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Содержание" sheetId="2" r:id="rId3"/>
    <sheet name="Показатели" sheetId="3" r:id="rId4"/>
    <sheet name="Динамика" sheetId="4" r:id="rId5"/>
    <sheet name="Тональность" sheetId="5" r:id="rId6"/>
    <sheet name="Мнения" sheetId="6" r:id="rId7"/>
    <sheet name="Оценки" sheetId="7" r:id="rId8"/>
    <sheet name="Типы площадок" sheetId="8" r:id="rId9"/>
    <sheet name="Площадки" sheetId="9" r:id="rId10"/>
    <sheet name="Эмоции" sheetId="10" r:id="rId11"/>
    <sheet name="Страны" sheetId="11" r:id="rId12"/>
    <sheet name="Федеральные округа" sheetId="12" r:id="rId13"/>
    <sheet name="Регионы РФ" sheetId="13" r:id="rId14"/>
    <sheet name="Города РФ" sheetId="14" r:id="rId15"/>
  </sheets>
  <definedNames/>
  <calcPr fullCalcOnLoad="1"/>
</workbook>
</file>

<file path=xl/calcChain.xml><?xml version="1.0" encoding="utf-8"?>
<calcChain xmlns="http://schemas.openxmlformats.org/spreadsheetml/2006/main">
  <c r="F23" i="5" l="1"/>
</calcChain>
</file>

<file path=xl/sharedStrings.xml><?xml version="1.0" encoding="utf-8"?>
<sst xmlns="http://schemas.openxmlformats.org/spreadsheetml/2006/main" count="582" uniqueCount="228">
  <si>
    <t>© Медиалогия</t>
  </si>
  <si>
    <t>Содержание</t>
  </si>
  <si>
    <t>К содержанию</t>
  </si>
  <si>
    <t>Показатели</t>
  </si>
  <si>
    <t>Динамика</t>
  </si>
  <si>
    <t>Сообщения</t>
  </si>
  <si>
    <t>Дата</t>
  </si>
  <si>
    <t>Вессел</t>
  </si>
  <si>
    <t>Тромболикс</t>
  </si>
  <si>
    <t>Тромбообразование и полинейропатия нижних конечностей</t>
  </si>
  <si>
    <t>Пентоксифиллин</t>
  </si>
  <si>
    <t>Итого</t>
  </si>
  <si>
    <t>СМ Индекс</t>
  </si>
  <si>
    <t>Аудитория</t>
  </si>
  <si>
    <t>Просмотры</t>
  </si>
  <si>
    <t>Вовлечённость</t>
  </si>
  <si>
    <t>Тональность</t>
  </si>
  <si>
    <t>Объект</t>
  </si>
  <si>
    <t>Позитивные</t>
  </si>
  <si>
    <t>Нейтральные</t>
  </si>
  <si>
    <t>Негативные</t>
  </si>
  <si>
    <t>% позитивных</t>
  </si>
  <si>
    <t>% нейтральных</t>
  </si>
  <si>
    <t>% негативных</t>
  </si>
  <si>
    <t>Мнения</t>
  </si>
  <si>
    <t>Высокая эффективность препарата</t>
  </si>
  <si>
    <t>Отсутствие побочных эффектов препарата</t>
  </si>
  <si>
    <t>Оценки</t>
  </si>
  <si>
    <t>Типы площадок</t>
  </si>
  <si>
    <t>Площадки</t>
  </si>
  <si>
    <t>Эмоции</t>
  </si>
  <si>
    <t>Оценки в отзывах</t>
  </si>
  <si>
    <t>Оценка 5</t>
  </si>
  <si>
    <t>Оценка 4</t>
  </si>
  <si>
    <t>Оценка 3</t>
  </si>
  <si>
    <t>Оценка 2</t>
  </si>
  <si>
    <t>Оценка 1</t>
  </si>
  <si>
    <t>Средняя оценка</t>
  </si>
  <si>
    <t>Страны</t>
  </si>
  <si>
    <t>Федеральные округа</t>
  </si>
  <si>
    <t>Регионы РФ</t>
  </si>
  <si>
    <t>Города РФ</t>
  </si>
  <si>
    <t>Название отчета:</t>
  </si>
  <si>
    <t>Тромболикс, Трентал</t>
  </si>
  <si>
    <t>Период:</t>
  </si>
  <si>
    <t>01 - 31 мая 2026</t>
  </si>
  <si>
    <t>Контекст:</t>
  </si>
  <si>
    <t>Объекты:</t>
  </si>
  <si>
    <t>Тромболикс, Вессел, Трентал, Вазонит, Пентоксифиллин, Тромбообразование и полинейропатия нижних конечностей, Пиаскледин</t>
  </si>
  <si>
    <t>Область поиска:</t>
  </si>
  <si>
    <t>Тексты сообщений, Расшифровки видео Youtube</t>
  </si>
  <si>
    <t>Язык:</t>
  </si>
  <si>
    <t>Неизвестный, Русский</t>
  </si>
  <si>
    <t>Дополнительно:</t>
  </si>
  <si>
    <t>исключены спам и объявления</t>
  </si>
  <si>
    <t>Всего сообщений в отчёте:</t>
  </si>
  <si>
    <t>Дата подготовки:</t>
  </si>
  <si>
    <t>10 июня 2026</t>
  </si>
  <si>
    <t>Соцсети</t>
  </si>
  <si>
    <t>Меcсенджеры (Каналы)</t>
  </si>
  <si>
    <t>Мессенджеры (Чаты)</t>
  </si>
  <si>
    <t>Отзывы</t>
  </si>
  <si>
    <t>Блоги</t>
  </si>
  <si>
    <t>Форумы</t>
  </si>
  <si>
    <t>СМИ</t>
  </si>
  <si>
    <t>Всего</t>
  </si>
  <si>
    <t>Метрики</t>
  </si>
  <si>
    <t>Комментарии</t>
  </si>
  <si>
    <t>Лайки</t>
  </si>
  <si>
    <t>Репосты</t>
  </si>
  <si>
    <t>Share of voice</t>
  </si>
  <si>
    <t>Типы сообщений</t>
  </si>
  <si>
    <t>Посты</t>
  </si>
  <si>
    <t>Репосты с дополнением</t>
  </si>
  <si>
    <t>Сторис</t>
  </si>
  <si>
    <t>Публикации СМИ</t>
  </si>
  <si>
    <t>Ответы</t>
  </si>
  <si>
    <t>Вопросы</t>
  </si>
  <si>
    <t>Источники сообщений</t>
  </si>
  <si>
    <t>Группы</t>
  </si>
  <si>
    <t>Авторы</t>
  </si>
  <si>
    <t>ВКонтакте</t>
  </si>
  <si>
    <t>Telegram</t>
  </si>
  <si>
    <t>Дзен</t>
  </si>
  <si>
    <t>Sprosivracha.com - форум</t>
  </si>
  <si>
    <t>Мамлайф</t>
  </si>
  <si>
    <t>Одноклассники</t>
  </si>
  <si>
    <t>Otzovik.com</t>
  </si>
  <si>
    <t>Озон</t>
  </si>
  <si>
    <t>Threads</t>
  </si>
  <si>
    <t>YouTube</t>
  </si>
  <si>
    <t>Instagram</t>
  </si>
  <si>
    <t>БебиБлог (babyblog.ru)</t>
  </si>
  <si>
    <t>Женский журнал Woman.ru</t>
  </si>
  <si>
    <t xml:space="preserve">Otzyv.pro </t>
  </si>
  <si>
    <t xml:space="preserve">Vashe-mnenie.com </t>
  </si>
  <si>
    <t xml:space="preserve">Otzyvru.com </t>
  </si>
  <si>
    <t>Rutube.ru</t>
  </si>
  <si>
    <t>TikTok</t>
  </si>
  <si>
    <t>Женский форум Бэби.ру</t>
  </si>
  <si>
    <t>sports.ru</t>
  </si>
  <si>
    <t xml:space="preserve">Irecommend.ru </t>
  </si>
  <si>
    <t>Яндекс.Маркет</t>
  </si>
  <si>
    <t xml:space="preserve">Medcentre24.ru  </t>
  </si>
  <si>
    <t xml:space="preserve"> Medum.ru</t>
  </si>
  <si>
    <t>Площадки по аудитории</t>
  </si>
  <si>
    <t>Площадки по вовлеченности</t>
  </si>
  <si>
    <t>Страна</t>
  </si>
  <si>
    <t>Россия</t>
  </si>
  <si>
    <t>Без страны</t>
  </si>
  <si>
    <t>2 страны определены у 55,2% (111) сообщение</t>
  </si>
  <si>
    <t>Страны по аудитории</t>
  </si>
  <si>
    <t>Федеральный округ</t>
  </si>
  <si>
    <t>ЦФО</t>
  </si>
  <si>
    <t>ПФО</t>
  </si>
  <si>
    <t>СЗФО</t>
  </si>
  <si>
    <t>ЮФО</t>
  </si>
  <si>
    <t>УФО</t>
  </si>
  <si>
    <t>СФО</t>
  </si>
  <si>
    <t>СКФО</t>
  </si>
  <si>
    <t>ДФО</t>
  </si>
  <si>
    <t>Без округа</t>
  </si>
  <si>
    <t>9 округов определены у 76,6% (85) сообщений</t>
  </si>
  <si>
    <t>Федеральные округа по аудитории</t>
  </si>
  <si>
    <t>Регион</t>
  </si>
  <si>
    <t>Москва</t>
  </si>
  <si>
    <t>Кировская область</t>
  </si>
  <si>
    <t>Республика Татарстан</t>
  </si>
  <si>
    <t>Московская область</t>
  </si>
  <si>
    <t>Санкт-Петербург</t>
  </si>
  <si>
    <t>Владимирская область</t>
  </si>
  <si>
    <t>Липецкая область</t>
  </si>
  <si>
    <t>Воронежская область</t>
  </si>
  <si>
    <t>Пермский край</t>
  </si>
  <si>
    <t>Удмуртская Республика</t>
  </si>
  <si>
    <t>Краснодарский край</t>
  </si>
  <si>
    <t>Ивановская область</t>
  </si>
  <si>
    <t>Нижегородская область</t>
  </si>
  <si>
    <t>Оренбургская область</t>
  </si>
  <si>
    <t>Ростовская область</t>
  </si>
  <si>
    <t>Свердловская область</t>
  </si>
  <si>
    <t>Смоленская область</t>
  </si>
  <si>
    <t>Республика Дагестан</t>
  </si>
  <si>
    <t>Республика Коми</t>
  </si>
  <si>
    <t>Республика Марий Эл</t>
  </si>
  <si>
    <t>Республика Мордовия</t>
  </si>
  <si>
    <t>Красноярский край</t>
  </si>
  <si>
    <t>Брянская область</t>
  </si>
  <si>
    <t>Кемеровская область - Кузбасс</t>
  </si>
  <si>
    <t>Ленинградская область</t>
  </si>
  <si>
    <t>Пензенская область</t>
  </si>
  <si>
    <t>Самарская область</t>
  </si>
  <si>
    <t>Саратовская область</t>
  </si>
  <si>
    <t>Забайкальский край</t>
  </si>
  <si>
    <t>Республика Крым</t>
  </si>
  <si>
    <t>Без региона</t>
  </si>
  <si>
    <t>31 регион определена у 76,6% (85) сообщений</t>
  </si>
  <si>
    <t>Регионы по аудитории</t>
  </si>
  <si>
    <t>Город</t>
  </si>
  <si>
    <t>Казань</t>
  </si>
  <si>
    <t>Владимир</t>
  </si>
  <si>
    <t>Кирово-Чепецк</t>
  </si>
  <si>
    <t>Киров</t>
  </si>
  <si>
    <t>Воронеж</t>
  </si>
  <si>
    <t>Липецк</t>
  </si>
  <si>
    <t>Ижевск</t>
  </si>
  <si>
    <t>Иваново</t>
  </si>
  <si>
    <t>Елец</t>
  </si>
  <si>
    <t>Домодедово</t>
  </si>
  <si>
    <t>Кстово</t>
  </si>
  <si>
    <t>Оренбург</t>
  </si>
  <si>
    <t>Пермь</t>
  </si>
  <si>
    <t>Екатеринбург</t>
  </si>
  <si>
    <t>Кизилюрт</t>
  </si>
  <si>
    <t>Сыктывкар</t>
  </si>
  <si>
    <t>Йошкар-Ола</t>
  </si>
  <si>
    <t>Саранск</t>
  </si>
  <si>
    <t>Новороссийск</t>
  </si>
  <si>
    <t>Сочи</t>
  </si>
  <si>
    <t>Красноярск</t>
  </si>
  <si>
    <t>Брянск</t>
  </si>
  <si>
    <t>Новокузнецк</t>
  </si>
  <si>
    <t>Сланцы</t>
  </si>
  <si>
    <t>Дубна</t>
  </si>
  <si>
    <t>Коломна</t>
  </si>
  <si>
    <t>Краснознаменск</t>
  </si>
  <si>
    <t>Балашиха</t>
  </si>
  <si>
    <t>Пенза</t>
  </si>
  <si>
    <t>Чайковский</t>
  </si>
  <si>
    <t>Новочеркасск</t>
  </si>
  <si>
    <t>Ростов-на-Дону</t>
  </si>
  <si>
    <t>Самара</t>
  </si>
  <si>
    <t>Саратов</t>
  </si>
  <si>
    <t>Смоленск</t>
  </si>
  <si>
    <t>Вязьма</t>
  </si>
  <si>
    <t>Чита</t>
  </si>
  <si>
    <t>Евпатория</t>
  </si>
  <si>
    <t>Без города</t>
  </si>
  <si>
    <t>41 город определена у 76,6% (85) сообщений</t>
  </si>
  <si>
    <t>Города по аудитории</t>
  </si>
  <si>
    <t>Объекты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</si>
  <si>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</si>
  <si>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</si>
  <si>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</si>
  <si>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</si>
  <si>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</si>
  <si>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</si>
  <si>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</si>
  <si>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</si>
  <si>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</si>
  <si>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</si>
  <si>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✅ 14</t>
  </si>
  <si>
    <t>🌐 11</t>
  </si>
  <si>
    <t>👉 4</t>
  </si>
  <si>
    <t>👇 3</t>
  </si>
  <si>
    <t>❤ 2</t>
  </si>
  <si>
    <t>🙏 2</t>
  </si>
  <si>
    <t>🌀 2</t>
  </si>
  <si>
    <t>☝ 2</t>
  </si>
  <si>
    <t>⚡ 2</t>
  </si>
  <si>
    <t>💬 2</t>
  </si>
  <si>
    <t>✅ 1</t>
  </si>
  <si>
    <t>😉 1</t>
  </si>
  <si>
    <t/>
  </si>
  <si>
    <t>Трентал</t>
  </si>
  <si>
    <t>Вазонит</t>
  </si>
  <si>
    <t>Пиаскледин</t>
  </si>
  <si>
    <t>Внешний вид эмодзи может различаться в зависимости от используемого ПО, операционной системы и модели устройства.</t>
  </si>
</sst>
</file>

<file path=xl/styles.xml><?xml version="1.0" encoding="utf-8"?>
<styleSheet xmlns="http://schemas.openxmlformats.org/spreadsheetml/2006/main">
  <numFmts count="5">
    <numFmt numFmtId="177" formatCode="0.0%"/>
    <numFmt numFmtId="178" formatCode="dd MMMM yyyy"/>
    <numFmt numFmtId="179" formatCode="#,##0.00"/>
    <numFmt numFmtId="180" formatCode="#,#0.0"/>
    <numFmt numFmtId="181" formatCode="dd.MM.yyyy"/>
  </numFmts>
  <fonts count="10">
    <font>
      <sz val="10"/>
      <color theme="1"/>
      <name val="Arial"/>
      <family val="2"/>
    </font>
    <font>
      <sz val="8"/>
      <color rgb="FF585A5D"/>
      <name val="Arial"/>
      <family val="2"/>
    </font>
    <font>
      <sz val="11"/>
      <color rgb="FF585A5D"/>
      <name val="Arial"/>
      <family val="2"/>
    </font>
    <font>
      <b/>
      <sz val="11"/>
      <color rgb="FF585A5D"/>
      <name val="Arial"/>
      <family val="2"/>
    </font>
    <font>
      <u val="single"/>
      <sz val="10"/>
      <color rgb="FF0000FF"/>
      <name val="Arial"/>
      <family val="2"/>
    </font>
    <font>
      <u val="single"/>
      <sz val="10"/>
      <color rgb="FF005061"/>
      <name val="Arial"/>
      <family val="2"/>
    </font>
    <font>
      <b/>
      <sz val="11"/>
      <color rgb="FFFFFFFF"/>
      <name val="Arial"/>
      <family val="2"/>
    </font>
    <font>
      <b/>
      <sz val="12"/>
      <color rgb="FF044654"/>
      <name val="Arial"/>
      <family val="2"/>
    </font>
    <font>
      <b/>
      <sz val="18"/>
      <color rgb="FF585A5D"/>
      <name val="Arial"/>
      <family val="2"/>
    </font>
    <font>
      <sz val="10"/>
      <color rgb="FF447F8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4EDEE"/>
        <bgColor indexed="64"/>
      </patternFill>
    </fill>
    <fill>
      <patternFill patternType="solid">
        <fgColor rgb="FF005061"/>
        <bgColor indexed="64"/>
      </patternFill>
    </fill>
  </fills>
  <borders count="2">
    <border>
      <left/>
      <right/>
      <top/>
      <bottom/>
      <diagonal/>
    </border>
    <border>
      <left style="thin">
        <color rgb="FFCCD3DB"/>
      </left>
      <right style="thin">
        <color rgb="FFCCD3DB"/>
      </right>
      <top style="thin">
        <color rgb="FFCCD3DB"/>
      </top>
      <bottom style="thin">
        <color rgb="FFCCD3DB"/>
      </bottom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4" fillId="0" borderId="0">
      <alignment/>
      <protection/>
    </xf>
  </cellStyleXfs>
  <cellXfs count="30">
    <xf numFmtId="0" fontId="0" fillId="0" borderId="0" xfId="0"/>
    <xf numFmtId="0" fontId="9" fillId="2" borderId="0" xfId="0" applyFill="1" applyAlignment="1">
      <alignment horizontal="left"/>
    </xf>
    <xf numFmtId="0" fontId="8" fillId="0" borderId="0" xfId="0" applyFont="1"/>
    <xf numFmtId="0" fontId="5" fillId="2" borderId="0" xfId="0" applyFont="1" applyFill="1" applyAlignment="1">
      <alignment horizontal="left"/>
    </xf>
    <xf numFmtId="0" fontId="4" fillId="2" borderId="0" xfId="20" applyFont="1" applyFill="1" applyAlignment="1">
      <alignment horizontal="left"/>
      <protection/>
    </xf>
    <xf numFmtId="0" fontId="7" fillId="0" borderId="0" xfId="0" applyFont="1" applyAlignment="1">
      <alignment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181" fontId="2" fillId="0" borderId="1" xfId="0" applyNumberFormat="1" applyFont="1" applyBorder="1" applyAlignment="1">
      <alignment horizontal="left" vertical="center"/>
    </xf>
    <xf numFmtId="181" fontId="3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center"/>
    </xf>
    <xf numFmtId="180" fontId="3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0" fontId="5" fillId="0" borderId="0" xfId="0" applyFont="1"/>
    <xf numFmtId="0" fontId="4" fillId="0" borderId="0" xfId="20" applyFont="1">
      <alignment/>
      <protection/>
    </xf>
    <xf numFmtId="177" fontId="2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15" Type="http://schemas.openxmlformats.org/officeDocument/2006/relationships/worksheet" Target="worksheets/sheet13.xml" /><Relationship Id="rId17" Type="http://schemas.openxmlformats.org/officeDocument/2006/relationships/calcChain" Target="calcChain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2" Type="http://schemas.openxmlformats.org/officeDocument/2006/relationships/styles" Target="styles.xml" /><Relationship Id="rId10" Type="http://schemas.openxmlformats.org/officeDocument/2006/relationships/worksheet" Target="worksheets/sheet8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1" Type="http://schemas.openxmlformats.org/officeDocument/2006/relationships/worksheet" Target="worksheets/sheet9.xml" /><Relationship Id="rId14" Type="http://schemas.openxmlformats.org/officeDocument/2006/relationships/worksheet" Target="worksheets/sheet12.xml" /><Relationship Id="rId16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Сообщения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spPr>
              <a:solidFill>
                <a:srgbClr val="BC6A8C"/>
              </a:solidFill>
            </c:spPr>
          </c:dPt>
          <c:dPt>
            <c:idx val="1"/>
            <c:invertIfNegative val="0"/>
            <c:spPr>
              <a:solidFill>
                <a:srgbClr val="8753E5"/>
              </a:solidFill>
            </c:spPr>
          </c:dPt>
          <c:dPt>
            <c:idx val="2"/>
            <c:invertIfNegative val="0"/>
            <c:spPr>
              <a:solidFill>
                <a:srgbClr val="EEDA77"/>
              </a:solidFill>
            </c:spPr>
          </c:dPt>
          <c:dPt>
            <c:idx val="3"/>
            <c:invertIfNegative val="0"/>
            <c:spPr>
              <a:solidFill>
                <a:srgbClr val="55C1F3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elete val="1"/>
          </c:dLbls>
          <c:cat>
            <c:strRef>
              <c:f>Показатели!$B$9:$B$12</c:f>
              <c:strCache/>
            </c:strRef>
          </c:cat>
          <c:val>
            <c:numRef>
              <c:f>Показатели!$C$9:$C$12</c:f>
              <c:numCache/>
            </c:numRef>
          </c:val>
        </c:ser>
        <c:axId val="33820865"/>
        <c:axId val="62628219"/>
      </c:barChart>
      <c:catAx>
        <c:axId val="338208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959"/>
                </a:solidFill>
                <a:latin typeface="Arial"/>
                <a:ea typeface="Arial"/>
              </a:defRPr>
            </a:pPr>
            <a:endParaRPr lang="en-US"/>
          </a:p>
        </c:txPr>
        <c:crossAx val="62628219"/>
        <c:crosses val="autoZero"/>
        <c:lblOffset val="100"/>
        <c:tickLblSkip val="1"/>
        <c:noMultiLvlLbl val="0"/>
      </c:catAx>
      <c:valAx>
        <c:axId val="62628219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33820865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СМ Индекс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spPr>
              <a:solidFill>
                <a:srgbClr val="BC6A8C"/>
              </a:solidFill>
            </c:spPr>
          </c:dPt>
          <c:dPt>
            <c:idx val="1"/>
            <c:invertIfNegative val="0"/>
            <c:spPr>
              <a:solidFill>
                <a:srgbClr val="8753E5"/>
              </a:solidFill>
            </c:spPr>
          </c:dPt>
          <c:dPt>
            <c:idx val="2"/>
            <c:invertIfNegative val="0"/>
            <c:spPr>
              <a:solidFill>
                <a:srgbClr val="EEDA77"/>
              </a:solidFill>
            </c:spPr>
          </c:dPt>
          <c:dPt>
            <c:idx val="3"/>
            <c:invertIfNegative val="0"/>
            <c:spPr>
              <a:solidFill>
                <a:srgbClr val="55C1F3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elete val="1"/>
          </c:dLbls>
          <c:cat>
            <c:strRef>
              <c:f>Показатели!$B$9:$B$12</c:f>
              <c:strCache/>
            </c:strRef>
          </c:cat>
          <c:val>
            <c:numRef>
              <c:f>Показатели!$D$9:$D$12</c:f>
              <c:numCache/>
            </c:numRef>
          </c:val>
        </c:ser>
        <c:axId val="60208918"/>
        <c:axId val="59256540"/>
      </c:barChart>
      <c:catAx>
        <c:axId val="60208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959"/>
                </a:solidFill>
                <a:latin typeface="Arial"/>
                <a:ea typeface="Arial"/>
              </a:defRPr>
            </a:pPr>
            <a:endParaRPr lang="en-US"/>
          </a:p>
        </c:txPr>
        <c:crossAx val="59256540"/>
        <c:crosses val="autoZero"/>
        <c:lblOffset val="100"/>
        <c:tickLblSkip val="1"/>
        <c:noMultiLvlLbl val="0"/>
      </c:catAx>
      <c:valAx>
        <c:axId val="59256540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60208918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Аудитория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spPr>
              <a:solidFill>
                <a:srgbClr val="BC6A8C"/>
              </a:solidFill>
            </c:spPr>
          </c:dPt>
          <c:dPt>
            <c:idx val="1"/>
            <c:invertIfNegative val="0"/>
            <c:spPr>
              <a:solidFill>
                <a:srgbClr val="8753E5"/>
              </a:solidFill>
            </c:spPr>
          </c:dPt>
          <c:dPt>
            <c:idx val="2"/>
            <c:invertIfNegative val="0"/>
            <c:spPr>
              <a:solidFill>
                <a:srgbClr val="EEDA77"/>
              </a:solidFill>
            </c:spPr>
          </c:dPt>
          <c:dPt>
            <c:idx val="3"/>
            <c:invertIfNegative val="0"/>
            <c:spPr>
              <a:solidFill>
                <a:srgbClr val="55C1F3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elete val="1"/>
          </c:dLbls>
          <c:cat>
            <c:strRef>
              <c:f>Показатели!$B$9:$B$12</c:f>
              <c:strCache/>
            </c:strRef>
          </c:cat>
          <c:val>
            <c:numRef>
              <c:f>Показатели!$E$9:$E$12</c:f>
              <c:numCache/>
            </c:numRef>
          </c:val>
        </c:ser>
        <c:axId val="50992317"/>
        <c:axId val="20397971"/>
      </c:barChart>
      <c:catAx>
        <c:axId val="509923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959"/>
                </a:solidFill>
                <a:latin typeface="Arial"/>
                <a:ea typeface="Arial"/>
              </a:defRPr>
            </a:pPr>
            <a:endParaRPr lang="en-US"/>
          </a:p>
        </c:txPr>
        <c:crossAx val="20397971"/>
        <c:crosses val="autoZero"/>
        <c:lblOffset val="100"/>
        <c:tickLblSkip val="1"/>
        <c:noMultiLvlLbl val="0"/>
      </c:catAx>
      <c:valAx>
        <c:axId val="20397971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50992317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Вовлечённость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spPr>
              <a:solidFill>
                <a:srgbClr val="BC6A8C"/>
              </a:solidFill>
            </c:spPr>
          </c:dPt>
          <c:dPt>
            <c:idx val="1"/>
            <c:invertIfNegative val="0"/>
            <c:spPr>
              <a:solidFill>
                <a:srgbClr val="8753E5"/>
              </a:solidFill>
            </c:spPr>
          </c:dPt>
          <c:dPt>
            <c:idx val="2"/>
            <c:invertIfNegative val="0"/>
            <c:spPr>
              <a:solidFill>
                <a:srgbClr val="EEDA77"/>
              </a:solidFill>
            </c:spPr>
          </c:dPt>
          <c:dPt>
            <c:idx val="3"/>
            <c:invertIfNegative val="0"/>
            <c:spPr>
              <a:solidFill>
                <a:srgbClr val="55C1F3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elete val="1"/>
          </c:dLbls>
          <c:cat>
            <c:strRef>
              <c:f>Показатели!$B$9:$B$12</c:f>
              <c:strCache/>
            </c:strRef>
          </c:cat>
          <c:val>
            <c:numRef>
              <c:f>Показатели!$G$9:$G$12</c:f>
              <c:numCache/>
            </c:numRef>
          </c:val>
        </c:ser>
        <c:axId val="13792946"/>
        <c:axId val="13197648"/>
      </c:barChart>
      <c:catAx>
        <c:axId val="137929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959"/>
                </a:solidFill>
                <a:latin typeface="Arial"/>
                <a:ea typeface="Arial"/>
              </a:defRPr>
            </a:pPr>
            <a:endParaRPr lang="en-US"/>
          </a:p>
        </c:txPr>
        <c:crossAx val="13197648"/>
        <c:crosses val="autoZero"/>
        <c:lblOffset val="100"/>
        <c:tickLblSkip val="1"/>
        <c:noMultiLvlLbl val="0"/>
      </c:catAx>
      <c:valAx>
        <c:axId val="13197648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1379294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Просмотры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spPr>
              <a:solidFill>
                <a:srgbClr val="BC6A8C"/>
              </a:solidFill>
            </c:spPr>
          </c:dPt>
          <c:dPt>
            <c:idx val="1"/>
            <c:invertIfNegative val="0"/>
            <c:spPr>
              <a:solidFill>
                <a:srgbClr val="8753E5"/>
              </a:solidFill>
            </c:spPr>
          </c:dPt>
          <c:dPt>
            <c:idx val="2"/>
            <c:invertIfNegative val="0"/>
            <c:spPr>
              <a:solidFill>
                <a:srgbClr val="EEDA77"/>
              </a:solidFill>
            </c:spPr>
          </c:dPt>
          <c:dPt>
            <c:idx val="3"/>
            <c:invertIfNegative val="0"/>
            <c:spPr>
              <a:solidFill>
                <a:srgbClr val="55C1F3"/>
              </a:solidFill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2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Lbl>
              <c:idx val="3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</c:dLbl>
            <c:delete val="1"/>
          </c:dLbls>
          <c:cat>
            <c:strRef>
              <c:f>Показатели!$B$9:$B$12</c:f>
              <c:strCache/>
            </c:strRef>
          </c:cat>
          <c:val>
            <c:numRef>
              <c:f>Показатели!$F$9:$F$12</c:f>
              <c:numCache/>
            </c:numRef>
          </c:val>
        </c:ser>
        <c:axId val="48801631"/>
        <c:axId val="34866569"/>
      </c:barChart>
      <c:catAx>
        <c:axId val="4880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959"/>
                </a:solidFill>
                <a:latin typeface="Arial"/>
                <a:ea typeface="Arial"/>
              </a:defRPr>
            </a:pPr>
            <a:endParaRPr lang="en-US"/>
          </a:p>
        </c:txPr>
        <c:crossAx val="34866569"/>
        <c:crosses val="autoZero"/>
        <c:lblOffset val="100"/>
        <c:tickLblSkip val="1"/>
        <c:noMultiLvlLbl val="0"/>
      </c:catAx>
      <c:valAx>
        <c:axId val="34866569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crossAx val="4880163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Share of Voice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spPr>
              <a:solidFill>
                <a:srgbClr val="BC6A8C"/>
              </a:solidFill>
            </c:spPr>
          </c:dPt>
          <c:dPt>
            <c:idx val="1"/>
            <c:spPr>
              <a:solidFill>
                <a:srgbClr val="8753E5"/>
              </a:solidFill>
            </c:spPr>
          </c:dPt>
          <c:dPt>
            <c:idx val="2"/>
            <c:spPr>
              <a:solidFill>
                <a:srgbClr val="EEDA77"/>
              </a:solidFill>
            </c:spPr>
          </c:dPt>
          <c:dPt>
            <c:idx val="3"/>
            <c:spPr>
              <a:solidFill>
                <a:srgbClr val="55C1F3"/>
              </a:solidFill>
            </c:spPr>
          </c:dPt>
          <c:dLbls>
            <c:numFmt formatCode="General" sourceLinked="1"/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Показатели!$B$9:$B$12</c:f>
              <c:strCache/>
            </c:strRef>
          </c:cat>
          <c:val>
            <c:numRef>
              <c:f>Показатели!$K$9:$K$12</c:f>
              <c:numCache/>
            </c:numRef>
          </c:val>
        </c:ser>
      </c:pieChart>
      <c:spPr>
        <a:solidFill>
          <a:srgbClr val="FFFFFF"/>
        </a:solidFill>
        <a:ln w="12700">
          <a:noFill/>
        </a:ln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Тональность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Показатели!$C$55</c:f>
            </c:strRef>
          </c:tx>
          <c:spPr>
            <a:solidFill>
              <a:srgbClr val="98D497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Показатели!$B$56:$B$59</c:f>
              <c:strCache/>
            </c:strRef>
          </c:cat>
          <c:val>
            <c:numRef>
              <c:f>Показатели!$C$56:$C$59</c:f>
              <c:numCache/>
            </c:numRef>
          </c:val>
        </c:ser>
        <c:ser>
          <c:idx val="1"/>
          <c:order val="1"/>
          <c:tx>
            <c:strRef>
              <c:f>Показатели!$D$55</c:f>
            </c:strRef>
          </c:tx>
          <c:spPr>
            <a:solidFill>
              <a:srgbClr val="C6D2D9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Показатели!$B$56:$B$59</c:f>
              <c:strCache/>
            </c:strRef>
          </c:cat>
          <c:val>
            <c:numRef>
              <c:f>Показатели!$D$56:$D$59</c:f>
              <c:numCache/>
            </c:numRef>
          </c:val>
        </c:ser>
        <c:ser>
          <c:idx val="2"/>
          <c:order val="2"/>
          <c:tx>
            <c:strRef>
              <c:f>Показатели!$E$55</c:f>
            </c:strRef>
          </c:tx>
          <c:spPr>
            <a:solidFill>
              <a:srgbClr val="FC6C73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Показатели!$B$56:$B$59</c:f>
              <c:strCache/>
            </c:strRef>
          </c:cat>
          <c:val>
            <c:numRef>
              <c:f>Показатели!$E$56:$E$59</c:f>
              <c:numCache/>
            </c:numRef>
          </c:val>
        </c:ser>
        <c:overlap val="100"/>
        <c:axId val="66730803"/>
        <c:axId val="64846706"/>
      </c:barChart>
      <c:catAx>
        <c:axId val="667308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4846706"/>
        <c:crosses val="autoZero"/>
        <c:lblOffset val="100"/>
        <c:noMultiLvlLbl val="0"/>
      </c:catAx>
      <c:valAx>
        <c:axId val="64846706"/>
        <c:scaling>
          <c:orientation val="minMax"/>
        </c:scaling>
        <c:delete val="1"/>
        <c:axPos val="t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6730803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Тональность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Показатели!$G$55</c:f>
            </c:strRef>
          </c:tx>
          <c:spPr>
            <a:solidFill>
              <a:srgbClr val="98D497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Показатели!$B$56:$B$59</c:f>
              <c:strCache/>
            </c:strRef>
          </c:cat>
          <c:val>
            <c:numRef>
              <c:f>Показатели!$G$56:$G$59</c:f>
              <c:numCache/>
            </c:numRef>
          </c:val>
        </c:ser>
        <c:ser>
          <c:idx val="1"/>
          <c:order val="1"/>
          <c:tx>
            <c:strRef>
              <c:f>Показатели!$H$55</c:f>
            </c:strRef>
          </c:tx>
          <c:spPr>
            <a:solidFill>
              <a:srgbClr val="C6D2D9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Показатели!$B$56:$B$59</c:f>
              <c:strCache/>
            </c:strRef>
          </c:cat>
          <c:val>
            <c:numRef>
              <c:f>Показатели!$H$56:$H$59</c:f>
              <c:numCache/>
            </c:numRef>
          </c:val>
        </c:ser>
        <c:ser>
          <c:idx val="2"/>
          <c:order val="2"/>
          <c:tx>
            <c:strRef>
              <c:f>Показатели!$I$55</c:f>
            </c:strRef>
          </c:tx>
          <c:spPr>
            <a:solidFill>
              <a:srgbClr val="FC6C73"/>
            </a:solidFill>
          </c:spPr>
          <c:invertIfNegative val="0"/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Показатели!$B$56:$B$59</c:f>
              <c:strCache/>
            </c:strRef>
          </c:cat>
          <c:val>
            <c:numRef>
              <c:f>Показатели!$I$56:$I$59</c:f>
              <c:numCache/>
            </c:numRef>
          </c:val>
        </c:ser>
        <c:overlap val="100"/>
        <c:axId val="35854197"/>
        <c:axId val="58463533"/>
      </c:barChart>
      <c:catAx>
        <c:axId val="3585419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8463533"/>
        <c:crosses val="autoZero"/>
        <c:lblOffset val="100"/>
        <c:noMultiLvlLbl val="0"/>
      </c:catAx>
      <c:valAx>
        <c:axId val="58463533"/>
        <c:scaling>
          <c:orientation val="minMax"/>
        </c:scaling>
        <c:delete val="1"/>
        <c:axPos val="t"/>
        <c:majorGridlines>
          <c:spPr>
            <a:ln>
              <a:noFill/>
            </a:ln>
          </c:spPr>
        </c:majorGridlines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35854197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Сообщения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Динамика!$C$8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Динамика!$B$9:$B$39</c:f>
              <c:numCache/>
            </c:numRef>
          </c:cat>
          <c:val>
            <c:numRef>
              <c:f>Динамика!$C$9:$C$39</c:f>
              <c:numCache/>
            </c:numRef>
          </c:val>
          <c:smooth val="1"/>
        </c:ser>
        <c:ser>
          <c:idx val="1"/>
          <c:order val="1"/>
          <c:tx>
            <c:strRef>
              <c:f>Динамика!$D$8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Динамика!$B$9:$B$39</c:f>
              <c:numCache/>
            </c:numRef>
          </c:cat>
          <c:val>
            <c:numRef>
              <c:f>Динамика!$D$9:$D$39</c:f>
              <c:numCache/>
            </c:numRef>
          </c:val>
          <c:smooth val="1"/>
        </c:ser>
        <c:ser>
          <c:idx val="2"/>
          <c:order val="2"/>
          <c:tx>
            <c:strRef>
              <c:f>Динамика!$E$8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Динамика!$B$9:$B$39</c:f>
              <c:numCache/>
            </c:numRef>
          </c:cat>
          <c:val>
            <c:numRef>
              <c:f>Динамика!$E$9:$E$39</c:f>
              <c:numCache/>
            </c:numRef>
          </c:val>
          <c:smooth val="1"/>
        </c:ser>
        <c:ser>
          <c:idx val="3"/>
          <c:order val="3"/>
          <c:tx>
            <c:strRef>
              <c:f>Динамика!$F$8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Динамика!$B$9:$B$39</c:f>
              <c:numCache/>
            </c:numRef>
          </c:cat>
          <c:val>
            <c:numRef>
              <c:f>Динамика!$F$9:$F$39</c:f>
              <c:numCache/>
            </c:numRef>
          </c:val>
          <c:smooth val="1"/>
        </c:ser>
        <c:marker val="1"/>
        <c:axId val="55776335"/>
        <c:axId val="2597746"/>
      </c:lineChart>
      <c:catAx>
        <c:axId val="55776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597746"/>
        <c:crosses val="autoZero"/>
        <c:lblOffset val="100"/>
        <c:noMultiLvlLbl val="0"/>
      </c:catAx>
      <c:valAx>
        <c:axId val="2597746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55776335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СМ Индекс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Динамика!$C$44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Динамика!$B$45:$B$75</c:f>
              <c:numCache/>
            </c:numRef>
          </c:cat>
          <c:val>
            <c:numRef>
              <c:f>Динамика!$C$45:$C$75</c:f>
              <c:numCache/>
            </c:numRef>
          </c:val>
          <c:smooth val="1"/>
        </c:ser>
        <c:ser>
          <c:idx val="1"/>
          <c:order val="1"/>
          <c:tx>
            <c:strRef>
              <c:f>Динамика!$D$44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Динамика!$B$45:$B$75</c:f>
              <c:numCache/>
            </c:numRef>
          </c:cat>
          <c:val>
            <c:numRef>
              <c:f>Динамика!$D$45:$D$75</c:f>
              <c:numCache/>
            </c:numRef>
          </c:val>
          <c:smooth val="1"/>
        </c:ser>
        <c:ser>
          <c:idx val="2"/>
          <c:order val="2"/>
          <c:tx>
            <c:strRef>
              <c:f>Динамика!$E$44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Динамика!$B$45:$B$75</c:f>
              <c:numCache/>
            </c:numRef>
          </c:cat>
          <c:val>
            <c:numRef>
              <c:f>Динамика!$E$45:$E$75</c:f>
              <c:numCache/>
            </c:numRef>
          </c:val>
          <c:smooth val="1"/>
        </c:ser>
        <c:ser>
          <c:idx val="3"/>
          <c:order val="3"/>
          <c:tx>
            <c:strRef>
              <c:f>Динамика!$F$44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Динамика!$B$45:$B$75</c:f>
              <c:numCache/>
            </c:numRef>
          </c:cat>
          <c:val>
            <c:numRef>
              <c:f>Динамика!$F$45:$F$75</c:f>
              <c:numCache/>
            </c:numRef>
          </c:val>
          <c:smooth val="1"/>
        </c:ser>
        <c:marker val="1"/>
        <c:axId val="55205527"/>
        <c:axId val="64971785"/>
      </c:lineChart>
      <c:catAx>
        <c:axId val="55205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4971785"/>
        <c:crosses val="autoZero"/>
        <c:lblOffset val="100"/>
        <c:noMultiLvlLbl val="0"/>
      </c:catAx>
      <c:valAx>
        <c:axId val="64971785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55205527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Аудитория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Динамика!$C$80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Динамика!$B$81:$B$111</c:f>
              <c:numCache/>
            </c:numRef>
          </c:cat>
          <c:val>
            <c:numRef>
              <c:f>Динамика!$C$81:$C$111</c:f>
              <c:numCache/>
            </c:numRef>
          </c:val>
          <c:smooth val="1"/>
        </c:ser>
        <c:ser>
          <c:idx val="1"/>
          <c:order val="1"/>
          <c:tx>
            <c:strRef>
              <c:f>Динамика!$D$80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Динамика!$B$81:$B$111</c:f>
              <c:numCache/>
            </c:numRef>
          </c:cat>
          <c:val>
            <c:numRef>
              <c:f>Динамика!$D$81:$D$111</c:f>
              <c:numCache/>
            </c:numRef>
          </c:val>
          <c:smooth val="1"/>
        </c:ser>
        <c:ser>
          <c:idx val="2"/>
          <c:order val="2"/>
          <c:tx>
            <c:strRef>
              <c:f>Динамика!$E$80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Динамика!$B$81:$B$111</c:f>
              <c:numCache/>
            </c:numRef>
          </c:cat>
          <c:val>
            <c:numRef>
              <c:f>Динамика!$E$81:$E$111</c:f>
              <c:numCache/>
            </c:numRef>
          </c:val>
          <c:smooth val="1"/>
        </c:ser>
        <c:ser>
          <c:idx val="3"/>
          <c:order val="3"/>
          <c:tx>
            <c:strRef>
              <c:f>Динамика!$F$80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Динамика!$B$81:$B$111</c:f>
              <c:numCache/>
            </c:numRef>
          </c:cat>
          <c:val>
            <c:numRef>
              <c:f>Динамика!$F$81:$F$111</c:f>
              <c:numCache/>
            </c:numRef>
          </c:val>
          <c:smooth val="1"/>
        </c:ser>
        <c:marker val="1"/>
        <c:axId val="59437040"/>
        <c:axId val="49043869"/>
      </c:lineChart>
      <c:catAx>
        <c:axId val="5943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49043869"/>
        <c:crosses val="autoZero"/>
        <c:lblOffset val="100"/>
        <c:noMultiLvlLbl val="0"/>
      </c:catAx>
      <c:valAx>
        <c:axId val="49043869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59437040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Просмотры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Динамика!$C$116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Динамика!$B$117:$B$147</c:f>
              <c:numCache/>
            </c:numRef>
          </c:cat>
          <c:val>
            <c:numRef>
              <c:f>Динамика!$C$117:$C$147</c:f>
              <c:numCache/>
            </c:numRef>
          </c:val>
          <c:smooth val="1"/>
        </c:ser>
        <c:ser>
          <c:idx val="1"/>
          <c:order val="1"/>
          <c:tx>
            <c:strRef>
              <c:f>Динамика!$D$116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Динамика!$B$117:$B$147</c:f>
              <c:numCache/>
            </c:numRef>
          </c:cat>
          <c:val>
            <c:numRef>
              <c:f>Динамика!$D$117:$D$147</c:f>
              <c:numCache/>
            </c:numRef>
          </c:val>
          <c:smooth val="1"/>
        </c:ser>
        <c:ser>
          <c:idx val="2"/>
          <c:order val="2"/>
          <c:tx>
            <c:strRef>
              <c:f>Динамика!$E$116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Динамика!$B$117:$B$147</c:f>
              <c:numCache/>
            </c:numRef>
          </c:cat>
          <c:val>
            <c:numRef>
              <c:f>Динамика!$E$117:$E$147</c:f>
              <c:numCache/>
            </c:numRef>
          </c:val>
          <c:smooth val="1"/>
        </c:ser>
        <c:ser>
          <c:idx val="3"/>
          <c:order val="3"/>
          <c:tx>
            <c:strRef>
              <c:f>Динамика!$F$116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Динамика!$B$117:$B$147</c:f>
              <c:numCache/>
            </c:numRef>
          </c:cat>
          <c:val>
            <c:numRef>
              <c:f>Динамика!$F$117:$F$147</c:f>
              <c:numCache/>
            </c:numRef>
          </c:val>
          <c:smooth val="1"/>
        </c:ser>
        <c:marker val="1"/>
        <c:axId val="11887051"/>
        <c:axId val="63367136"/>
      </c:lineChart>
      <c:catAx>
        <c:axId val="118870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3367136"/>
        <c:crosses val="autoZero"/>
        <c:lblOffset val="100"/>
        <c:noMultiLvlLbl val="0"/>
      </c:catAx>
      <c:valAx>
        <c:axId val="63367136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11887051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Вовлечённость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Динамика!$C$152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Динамика!$B$153:$B$183</c:f>
              <c:numCache/>
            </c:numRef>
          </c:cat>
          <c:val>
            <c:numRef>
              <c:f>Динамика!$C$153:$C$183</c:f>
              <c:numCache/>
            </c:numRef>
          </c:val>
          <c:smooth val="1"/>
        </c:ser>
        <c:ser>
          <c:idx val="1"/>
          <c:order val="1"/>
          <c:tx>
            <c:strRef>
              <c:f>Динамика!$D$152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Динамика!$B$153:$B$183</c:f>
              <c:numCache/>
            </c:numRef>
          </c:cat>
          <c:val>
            <c:numRef>
              <c:f>Динамика!$D$153:$D$183</c:f>
              <c:numCache/>
            </c:numRef>
          </c:val>
          <c:smooth val="1"/>
        </c:ser>
        <c:ser>
          <c:idx val="2"/>
          <c:order val="2"/>
          <c:tx>
            <c:strRef>
              <c:f>Динамика!$E$152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Динамика!$B$153:$B$183</c:f>
              <c:numCache/>
            </c:numRef>
          </c:cat>
          <c:val>
            <c:numRef>
              <c:f>Динамика!$E$153:$E$183</c:f>
              <c:numCache/>
            </c:numRef>
          </c:val>
          <c:smooth val="1"/>
        </c:ser>
        <c:ser>
          <c:idx val="3"/>
          <c:order val="3"/>
          <c:tx>
            <c:strRef>
              <c:f>Динамика!$F$152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Динамика!$B$153:$B$183</c:f>
              <c:numCache/>
            </c:numRef>
          </c:cat>
          <c:val>
            <c:numRef>
              <c:f>Динамика!$F$153:$F$183</c:f>
              <c:numCache/>
            </c:numRef>
          </c:val>
          <c:smooth val="1"/>
        </c:ser>
        <c:marker val="1"/>
        <c:axId val="58522680"/>
        <c:axId val="54504217"/>
      </c:lineChart>
      <c:catAx>
        <c:axId val="58522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4504217"/>
        <c:crosses val="autoZero"/>
        <c:lblOffset val="100"/>
        <c:noMultiLvlLbl val="0"/>
      </c:catAx>
      <c:valAx>
        <c:axId val="54504217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crossAx val="58522680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Мнения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Мнения!$C$31</c:f>
            </c:strRef>
          </c:tx>
          <c:spPr>
            <a:solidFill>
              <a:srgbClr val="BC6A8C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Мнения!$B$32:$B$33</c:f>
              <c:strCache/>
            </c:strRef>
          </c:cat>
          <c:val>
            <c:numRef>
              <c:f>Мнения!$C$32:$C$33</c:f>
              <c:numCache/>
            </c:numRef>
          </c:val>
        </c:ser>
        <c:axId val="13125495"/>
        <c:axId val="40683305"/>
      </c:barChart>
      <c:catAx>
        <c:axId val="13125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40683305"/>
        <c:crosses val="autoZero"/>
        <c:lblOffset val="100"/>
        <c:tickLblSkip val="1"/>
        <c:noMultiLvlLbl val="0"/>
      </c:catAx>
      <c:valAx>
        <c:axId val="40683305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3125495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Оценки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Оценки!$C$31</c:f>
            </c:strRef>
          </c:tx>
          <c:spPr>
            <a:solidFill>
              <a:srgbClr val="BC6A8C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Оценки!$B$32:$B$36</c:f>
              <c:strCache/>
            </c:strRef>
          </c:cat>
          <c:val>
            <c:numRef>
              <c:f>Оценки!$C$32:$C$36</c:f>
              <c:numCache/>
            </c:numRef>
          </c:val>
        </c:ser>
        <c:ser>
          <c:idx val="1"/>
          <c:order val="1"/>
          <c:tx>
            <c:strRef>
              <c:f>Оценки!$D$31</c:f>
            </c:strRef>
          </c:tx>
          <c:spPr>
            <a:solidFill>
              <a:srgbClr val="8753E5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Оценки!$B$32:$B$36</c:f>
              <c:strCache/>
            </c:strRef>
          </c:cat>
          <c:val>
            <c:numRef>
              <c:f>Оценки!$D$32:$D$36</c:f>
              <c:numCache/>
            </c:numRef>
          </c:val>
        </c:ser>
        <c:ser>
          <c:idx val="2"/>
          <c:order val="2"/>
          <c:tx>
            <c:strRef>
              <c:f>Оценки!$E$31</c:f>
            </c:strRef>
          </c:tx>
          <c:spPr>
            <a:solidFill>
              <a:srgbClr val="EEDA77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Оценки!$B$32:$B$36</c:f>
              <c:strCache/>
            </c:strRef>
          </c:cat>
          <c:val>
            <c:numRef>
              <c:f>Оценки!$E$32:$E$36</c:f>
              <c:numCache/>
            </c:numRef>
          </c:val>
        </c:ser>
        <c:ser>
          <c:idx val="3"/>
          <c:order val="3"/>
          <c:tx>
            <c:strRef>
              <c:f>Оценки!$F$31</c:f>
            </c:strRef>
          </c:tx>
          <c:spPr>
            <a:solidFill>
              <a:srgbClr val="55C1F3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Оценки!$B$32:$B$36</c:f>
              <c:strCache/>
            </c:strRef>
          </c:cat>
          <c:val>
            <c:numRef>
              <c:f>Оценки!$F$32:$F$36</c:f>
              <c:numCache/>
            </c:numRef>
          </c:val>
        </c:ser>
        <c:axId val="25733517"/>
        <c:axId val="28776427"/>
      </c:barChart>
      <c:catAx>
        <c:axId val="257335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8776427"/>
        <c:crosses val="autoZero"/>
        <c:lblOffset val="100"/>
        <c:tickLblSkip val="1"/>
        <c:noMultiLvlLbl val="0"/>
      </c:catAx>
      <c:valAx>
        <c:axId val="28776427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5733517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Средняя оценка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Оценки!$C$69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Оценки!$B$70:$B$100</c:f>
              <c:numCache/>
            </c:numRef>
          </c:cat>
          <c:val>
            <c:numRef>
              <c:f>Оценки!$C$70:$C$100</c:f>
              <c:numCache/>
            </c:numRef>
          </c:val>
          <c:smooth val="1"/>
        </c:ser>
        <c:ser>
          <c:idx val="1"/>
          <c:order val="1"/>
          <c:tx>
            <c:strRef>
              <c:f>Оценки!$D$69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Оценки!$B$70:$B$100</c:f>
              <c:numCache/>
            </c:numRef>
          </c:cat>
          <c:val>
            <c:numRef>
              <c:f>Оценки!$D$70:$D$100</c:f>
              <c:numCache/>
            </c:numRef>
          </c:val>
          <c:smooth val="1"/>
        </c:ser>
        <c:ser>
          <c:idx val="2"/>
          <c:order val="2"/>
          <c:tx>
            <c:strRef>
              <c:f>Оценки!$E$69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Оценки!$B$70:$B$100</c:f>
              <c:numCache/>
            </c:numRef>
          </c:cat>
          <c:val>
            <c:numRef>
              <c:f>Оценки!$E$70:$E$100</c:f>
              <c:numCache/>
            </c:numRef>
          </c:val>
          <c:smooth val="1"/>
        </c:ser>
        <c:ser>
          <c:idx val="3"/>
          <c:order val="3"/>
          <c:tx>
            <c:strRef>
              <c:f>Оценки!$F$69</c:f>
            </c:strRef>
          </c:tx>
          <c:spPr>
            <a:ln cap="rnd" cmpd="sng">
              <a:prstDash val="solid"/>
              <a:round/>
            </a:ln>
          </c:spPr>
          <c:marker>
            <c:symbol val="circle"/>
            <c:size val="5"/>
            <c:spPr>
              <a:ln>
                <a:noFill/>
              </a:ln>
            </c:spPr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numRef>
              <c:f>Оценки!$B$70:$B$100</c:f>
              <c:numCache/>
            </c:numRef>
          </c:cat>
          <c:val>
            <c:numRef>
              <c:f>Оценки!$F$70:$F$100</c:f>
              <c:numCache/>
            </c:numRef>
          </c:val>
          <c:smooth val="1"/>
        </c:ser>
        <c:marker val="1"/>
        <c:axId val="53525299"/>
        <c:axId val="62389230"/>
      </c:lineChart>
      <c:catAx>
        <c:axId val="535252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2389230"/>
        <c:crosses val="autoZero"/>
        <c:lblOffset val="100"/>
        <c:noMultiLvlLbl val="0"/>
      </c:catAx>
      <c:valAx>
        <c:axId val="62389230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#,#0.0" sourceLinked="0"/>
        <c:majorTickMark val="out"/>
        <c:minorTickMark val="none"/>
        <c:tickLblPos val="nextTo"/>
        <c:spPr>
          <a:ln>
            <a:noFill/>
          </a:ln>
        </c:spPr>
        <c:crossAx val="53525299"/>
        <c:crosses val="autoZero"/>
        <c:crossBetween val="between"/>
      </c:valAx>
      <c:spPr>
        <a:solidFill>
          <a:srgbClr val="FFFFFF"/>
        </a:solidFill>
        <a:ln w="12700">
          <a:noFill/>
          <a:round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Типы площадок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70AD47"/>
              </a:solidFill>
            </c:spPr>
          </c:dPt>
          <c:dPt>
            <c:idx val="2"/>
            <c:spPr>
              <a:solidFill>
                <a:srgbClr val="BC13FE"/>
              </a:solidFill>
            </c:spPr>
          </c:dPt>
          <c:dPt>
            <c:idx val="3"/>
            <c:spPr>
              <a:solidFill>
                <a:srgbClr val="A5A5A5"/>
              </a:solidFill>
            </c:spPr>
          </c:dPt>
          <c:dPt>
            <c:idx val="4"/>
            <c:spPr>
              <a:solidFill>
                <a:srgbClr val="FFC000"/>
              </a:solidFill>
            </c:spPr>
          </c:dPt>
          <c:dPt>
            <c:idx val="5"/>
            <c:spPr>
              <a:solidFill>
                <a:srgbClr val="4472C4"/>
              </a:solidFill>
            </c:spPr>
          </c:dPt>
          <c:dPt>
            <c:idx val="6"/>
            <c:spPr>
              <a:solidFill>
                <a:srgbClr val="ED7D31"/>
              </a:solidFill>
            </c:spPr>
          </c:dPt>
          <c:dLbls>
            <c:numFmt formatCode="General" sourceLinked="1"/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'Типы площадок'!$B$7:$B$13</c:f>
              <c:strCache/>
            </c:strRef>
          </c:cat>
          <c:val>
            <c:numRef>
              <c:f>'Типы площадок'!$G$7:$G$13</c:f>
              <c:numCache/>
            </c:numRef>
          </c:val>
        </c:ser>
      </c:pieChart>
      <c:spPr>
        <a:solidFill>
          <a:srgbClr val="FFFFFF"/>
        </a:solidFill>
        <a:ln w="12700">
          <a:noFill/>
        </a:ln>
      </c:spPr>
    </c:plotArea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Типы площадок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'Типы площадок'!$C$6</c:f>
            </c:strRef>
          </c:tx>
          <c:spPr>
            <a:solidFill>
              <a:srgbClr val="BC6A8C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'Типы площадок'!$B$7:$B$13</c:f>
              <c:strCache/>
            </c:strRef>
          </c:cat>
          <c:val>
            <c:numRef>
              <c:f>'Типы площадок'!$C$7:$C$13</c:f>
              <c:numCache/>
            </c:numRef>
          </c:val>
        </c:ser>
        <c:ser>
          <c:idx val="1"/>
          <c:order val="1"/>
          <c:tx>
            <c:strRef>
              <c:f>'Типы площадок'!$D$6</c:f>
            </c:strRef>
          </c:tx>
          <c:spPr>
            <a:solidFill>
              <a:srgbClr val="8753E5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'Типы площадок'!$B$7:$B$13</c:f>
              <c:strCache/>
            </c:strRef>
          </c:cat>
          <c:val>
            <c:numRef>
              <c:f>'Типы площадок'!$D$7:$D$13</c:f>
              <c:numCache/>
            </c:numRef>
          </c:val>
        </c:ser>
        <c:ser>
          <c:idx val="2"/>
          <c:order val="2"/>
          <c:tx>
            <c:strRef>
              <c:f>'Типы площадок'!$E$6</c:f>
            </c:strRef>
          </c:tx>
          <c:spPr>
            <a:solidFill>
              <a:srgbClr val="EEDA77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'Типы площадок'!$B$7:$B$13</c:f>
              <c:strCache/>
            </c:strRef>
          </c:cat>
          <c:val>
            <c:numRef>
              <c:f>'Типы площадок'!$E$7:$E$13</c:f>
              <c:numCache/>
            </c:numRef>
          </c:val>
        </c:ser>
        <c:ser>
          <c:idx val="3"/>
          <c:order val="3"/>
          <c:tx>
            <c:strRef>
              <c:f>'Типы площадок'!$F$6</c:f>
            </c:strRef>
          </c:tx>
          <c:spPr>
            <a:solidFill>
              <a:srgbClr val="55C1F3"/>
            </a:solidFill>
          </c:spPr>
          <c:invertIfNegative val="0"/>
          <c:dLbls>
            <c:numFmt formatCode="General" sourceLinked="1"/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'Типы площадок'!$B$7:$B$13</c:f>
              <c:strCache/>
            </c:strRef>
          </c:cat>
          <c:val>
            <c:numRef>
              <c:f>'Типы площадок'!$F$7:$F$13</c:f>
              <c:numCache/>
            </c:numRef>
          </c:val>
        </c:ser>
        <c:axId val="23482752"/>
        <c:axId val="21556799"/>
      </c:barChart>
      <c:catAx>
        <c:axId val="2348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1556799"/>
        <c:crosses val="autoZero"/>
        <c:lblOffset val="100"/>
        <c:tickLblSkip val="1"/>
        <c:noMultiLvlLbl val="0"/>
      </c:catAx>
      <c:valAx>
        <c:axId val="21556799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348275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площадок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Площадки!$C$30</c:f>
            </c:strRef>
          </c:tx>
          <c:spPr>
            <a:solidFill>
              <a:srgbClr val="BC6A8C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Площадки!$B$31:$B$40</c:f>
              <c:strCache/>
            </c:strRef>
          </c:cat>
          <c:val>
            <c:numRef>
              <c:f>Площадки!$C$31:$C$40</c:f>
              <c:numCache/>
            </c:numRef>
          </c:val>
        </c:ser>
        <c:ser>
          <c:idx val="1"/>
          <c:order val="1"/>
          <c:tx>
            <c:strRef>
              <c:f>Площадки!$D$30</c:f>
            </c:strRef>
          </c:tx>
          <c:spPr>
            <a:solidFill>
              <a:srgbClr val="8753E5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Площадки!$B$31:$B$40</c:f>
              <c:strCache/>
            </c:strRef>
          </c:cat>
          <c:val>
            <c:numRef>
              <c:f>Площадки!$D$31:$D$40</c:f>
              <c:numCache/>
            </c:numRef>
          </c:val>
        </c:ser>
        <c:ser>
          <c:idx val="2"/>
          <c:order val="2"/>
          <c:tx>
            <c:strRef>
              <c:f>Площадки!$E$30</c:f>
            </c:strRef>
          </c:tx>
          <c:spPr>
            <a:solidFill>
              <a:srgbClr val="EEDA77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Площадки!$B$31:$B$40</c:f>
              <c:strCache/>
            </c:strRef>
          </c:cat>
          <c:val>
            <c:numRef>
              <c:f>Площадки!$E$31:$E$40</c:f>
              <c:numCache/>
            </c:numRef>
          </c:val>
        </c:ser>
        <c:ser>
          <c:idx val="3"/>
          <c:order val="3"/>
          <c:tx>
            <c:strRef>
              <c:f>Площадки!$F$30</c:f>
            </c:strRef>
          </c:tx>
          <c:spPr>
            <a:solidFill>
              <a:srgbClr val="55C1F3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Площадки!$B$31:$B$40</c:f>
              <c:strCache/>
            </c:strRef>
          </c:cat>
          <c:val>
            <c:numRef>
              <c:f>Площадки!$F$31:$F$40</c:f>
              <c:numCache/>
            </c:numRef>
          </c:val>
        </c:ser>
        <c:axId val="64485366"/>
        <c:axId val="59550430"/>
      </c:barChart>
      <c:catAx>
        <c:axId val="6448536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9550430"/>
        <c:crosses val="autoZero"/>
        <c:lblOffset val="100"/>
        <c:noMultiLvlLbl val="0"/>
      </c:catAx>
      <c:valAx>
        <c:axId val="59550430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4485366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площадок по аудитории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Площадки!$C$82</c:f>
            </c:strRef>
          </c:tx>
          <c:spPr>
            <a:solidFill>
              <a:srgbClr val="BC6A8C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Площадки!$B$83:$B$92</c:f>
              <c:strCache/>
            </c:strRef>
          </c:cat>
          <c:val>
            <c:numRef>
              <c:f>Площадки!$C$83:$C$92</c:f>
              <c:numCache/>
            </c:numRef>
          </c:val>
        </c:ser>
        <c:ser>
          <c:idx val="1"/>
          <c:order val="1"/>
          <c:tx>
            <c:strRef>
              <c:f>Площадки!$D$82</c:f>
            </c:strRef>
          </c:tx>
          <c:spPr>
            <a:solidFill>
              <a:srgbClr val="8753E5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Площадки!$B$83:$B$92</c:f>
              <c:strCache/>
            </c:strRef>
          </c:cat>
          <c:val>
            <c:numRef>
              <c:f>Площадки!$D$83:$D$92</c:f>
              <c:numCache/>
            </c:numRef>
          </c:val>
        </c:ser>
        <c:ser>
          <c:idx val="2"/>
          <c:order val="2"/>
          <c:tx>
            <c:strRef>
              <c:f>Площадки!$E$82</c:f>
            </c:strRef>
          </c:tx>
          <c:spPr>
            <a:solidFill>
              <a:srgbClr val="EEDA77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Площадки!$B$83:$B$92</c:f>
              <c:strCache/>
            </c:strRef>
          </c:cat>
          <c:val>
            <c:numRef>
              <c:f>Площадки!$E$83:$E$92</c:f>
              <c:numCache/>
            </c:numRef>
          </c:val>
        </c:ser>
        <c:ser>
          <c:idx val="3"/>
          <c:order val="3"/>
          <c:tx>
            <c:strRef>
              <c:f>Площадки!$F$82</c:f>
            </c:strRef>
          </c:tx>
          <c:spPr>
            <a:solidFill>
              <a:srgbClr val="55C1F3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Площадки!$B$83:$B$92</c:f>
              <c:strCache/>
            </c:strRef>
          </c:cat>
          <c:val>
            <c:numRef>
              <c:f>Площадки!$F$83:$F$92</c:f>
              <c:numCache/>
            </c:numRef>
          </c:val>
        </c:ser>
        <c:axId val="50385610"/>
        <c:axId val="2703246"/>
      </c:barChart>
      <c:catAx>
        <c:axId val="503856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703246"/>
        <c:crosses val="autoZero"/>
        <c:lblOffset val="100"/>
        <c:noMultiLvlLbl val="0"/>
      </c:catAx>
      <c:valAx>
        <c:axId val="2703246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0385610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площадок по вовлеченности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Площадки!$C$134</c:f>
            </c:strRef>
          </c:tx>
          <c:spPr>
            <a:solidFill>
              <a:srgbClr val="BC6A8C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Площадки!$B$135:$B$144</c:f>
              <c:strCache/>
            </c:strRef>
          </c:cat>
          <c:val>
            <c:numRef>
              <c:f>Площадки!$C$135:$C$144</c:f>
              <c:numCache/>
            </c:numRef>
          </c:val>
        </c:ser>
        <c:ser>
          <c:idx val="1"/>
          <c:order val="1"/>
          <c:tx>
            <c:strRef>
              <c:f>Площадки!$D$134</c:f>
            </c:strRef>
          </c:tx>
          <c:spPr>
            <a:solidFill>
              <a:srgbClr val="8753E5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Площадки!$B$135:$B$144</c:f>
              <c:strCache/>
            </c:strRef>
          </c:cat>
          <c:val>
            <c:numRef>
              <c:f>Площадки!$D$135:$D$144</c:f>
              <c:numCache/>
            </c:numRef>
          </c:val>
        </c:ser>
        <c:ser>
          <c:idx val="2"/>
          <c:order val="2"/>
          <c:tx>
            <c:strRef>
              <c:f>Площадки!$E$134</c:f>
            </c:strRef>
          </c:tx>
          <c:spPr>
            <a:solidFill>
              <a:srgbClr val="EEDA77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Площадки!$B$135:$B$144</c:f>
              <c:strCache/>
            </c:strRef>
          </c:cat>
          <c:val>
            <c:numRef>
              <c:f>Площадки!$E$135:$E$144</c:f>
              <c:numCache/>
            </c:numRef>
          </c:val>
        </c:ser>
        <c:ser>
          <c:idx val="3"/>
          <c:order val="3"/>
          <c:tx>
            <c:strRef>
              <c:f>Площадки!$F$134</c:f>
            </c:strRef>
          </c:tx>
          <c:spPr>
            <a:solidFill>
              <a:srgbClr val="55C1F3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Площадки!$B$135:$B$144</c:f>
              <c:strCache/>
            </c:strRef>
          </c:cat>
          <c:val>
            <c:numRef>
              <c:f>Площадки!$F$135:$F$144</c:f>
              <c:numCache/>
            </c:numRef>
          </c:val>
        </c:ser>
        <c:axId val="36347896"/>
        <c:axId val="35362032"/>
      </c:barChart>
      <c:catAx>
        <c:axId val="363478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35362032"/>
        <c:crosses val="autoZero"/>
        <c:lblOffset val="100"/>
        <c:noMultiLvlLbl val="0"/>
      </c:catAx>
      <c:valAx>
        <c:axId val="35362032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36347896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Топ-5 стран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Страны!$C$24</c:f>
            </c:strRef>
          </c:tx>
          <c:spPr>
            <a:solidFill>
              <a:srgbClr val="BC6A8C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Страны!$B$25:$B$26</c:f>
              <c:strCache/>
            </c:strRef>
          </c:cat>
          <c:val>
            <c:numRef>
              <c:f>Страны!$C$25:$C$26</c:f>
              <c:numCache/>
            </c:numRef>
          </c:val>
        </c:ser>
        <c:ser>
          <c:idx val="1"/>
          <c:order val="1"/>
          <c:tx>
            <c:strRef>
              <c:f>Страны!$D$24</c:f>
            </c:strRef>
          </c:tx>
          <c:spPr>
            <a:solidFill>
              <a:srgbClr val="8753E5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Страны!$B$25:$B$26</c:f>
              <c:strCache/>
            </c:strRef>
          </c:cat>
          <c:val>
            <c:numRef>
              <c:f>Страны!$D$25:$D$26</c:f>
              <c:numCache/>
            </c:numRef>
          </c:val>
        </c:ser>
        <c:axId val="15009544"/>
        <c:axId val="49736376"/>
      </c:barChart>
      <c:catAx>
        <c:axId val="150095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49736376"/>
        <c:crosses val="autoZero"/>
        <c:lblOffset val="100"/>
        <c:noMultiLvlLbl val="0"/>
      </c:catAx>
      <c:valAx>
        <c:axId val="49736376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5009544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Топ-5 стран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Страны!$C$51</c:f>
            </c:strRef>
          </c:tx>
          <c:spPr>
            <a:solidFill>
              <a:srgbClr val="BC6A8C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Страны!$B$52:$B$53</c:f>
              <c:strCache/>
            </c:strRef>
          </c:cat>
          <c:val>
            <c:numRef>
              <c:f>Страны!$C$52:$C$53</c:f>
              <c:numCache/>
            </c:numRef>
          </c:val>
        </c:ser>
        <c:ser>
          <c:idx val="1"/>
          <c:order val="1"/>
          <c:tx>
            <c:strRef>
              <c:f>Страны!$D$51</c:f>
            </c:strRef>
          </c:tx>
          <c:spPr>
            <a:solidFill>
              <a:srgbClr val="8753E5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Страны!$B$52:$B$53</c:f>
              <c:strCache/>
            </c:strRef>
          </c:cat>
          <c:val>
            <c:numRef>
              <c:f>Страны!$D$52:$D$53</c:f>
              <c:numCache/>
            </c:numRef>
          </c:val>
        </c:ser>
        <c:axId val="22868823"/>
        <c:axId val="1254955"/>
      </c:barChart>
      <c:catAx>
        <c:axId val="22868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1254955"/>
        <c:crosses val="autoZero"/>
        <c:lblOffset val="100"/>
        <c:noMultiLvlLbl val="0"/>
      </c:catAx>
      <c:valAx>
        <c:axId val="1254955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2868823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 федеральных округов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'Федеральные округа'!$C$29</c:f>
            </c:strRef>
          </c:tx>
          <c:spPr>
            <a:solidFill>
              <a:srgbClr val="BC6A8C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округа'!$B$30:$B$38</c:f>
              <c:strCache/>
            </c:strRef>
          </c:cat>
          <c:val>
            <c:numRef>
              <c:f>'Федеральные округа'!$C$30:$C$38</c:f>
              <c:numCache/>
            </c:numRef>
          </c:val>
        </c:ser>
        <c:ser>
          <c:idx val="1"/>
          <c:order val="1"/>
          <c:tx>
            <c:strRef>
              <c:f>'Федеральные округа'!$D$29</c:f>
            </c:strRef>
          </c:tx>
          <c:spPr>
            <a:solidFill>
              <a:srgbClr val="8753E5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округа'!$B$30:$B$38</c:f>
              <c:strCache/>
            </c:strRef>
          </c:cat>
          <c:val>
            <c:numRef>
              <c:f>'Федеральные округа'!$D$30:$D$38</c:f>
              <c:numCache/>
            </c:numRef>
          </c:val>
        </c:ser>
        <c:axId val="41042764"/>
        <c:axId val="52488039"/>
      </c:barChart>
      <c:catAx>
        <c:axId val="410427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2488039"/>
        <c:crosses val="autoZero"/>
        <c:lblOffset val="100"/>
        <c:noMultiLvlLbl val="0"/>
      </c:catAx>
      <c:valAx>
        <c:axId val="52488039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41042764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 федеральных округов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'Федеральные округа'!$C$68</c:f>
            </c:strRef>
          </c:tx>
          <c:spPr>
            <a:solidFill>
              <a:srgbClr val="BC6A8C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округа'!$B$69:$B$77</c:f>
              <c:strCache/>
            </c:strRef>
          </c:cat>
          <c:val>
            <c:numRef>
              <c:f>'Федеральные округа'!$C$69:$C$77</c:f>
              <c:numCache/>
            </c:numRef>
          </c:val>
        </c:ser>
        <c:ser>
          <c:idx val="1"/>
          <c:order val="1"/>
          <c:tx>
            <c:strRef>
              <c:f>'Федеральные округа'!$D$68</c:f>
            </c:strRef>
          </c:tx>
          <c:spPr>
            <a:solidFill>
              <a:srgbClr val="8753E5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'Федеральные округа'!$B$69:$B$77</c:f>
              <c:strCache/>
            </c:strRef>
          </c:cat>
          <c:val>
            <c:numRef>
              <c:f>'Федеральные округа'!$D$69:$D$77</c:f>
              <c:numCache/>
            </c:numRef>
          </c:val>
        </c:ser>
        <c:axId val="56940848"/>
        <c:axId val="20334071"/>
      </c:barChart>
      <c:catAx>
        <c:axId val="56940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20334071"/>
        <c:crosses val="autoZero"/>
        <c:lblOffset val="100"/>
        <c:noMultiLvlLbl val="0"/>
      </c:catAx>
      <c:valAx>
        <c:axId val="20334071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6940848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регионов РФ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'Регионы РФ'!$C$29</c:f>
            </c:strRef>
          </c:tx>
          <c:spPr>
            <a:solidFill>
              <a:srgbClr val="BC6A8C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РФ'!$B$30:$B$39</c:f>
              <c:strCache/>
            </c:strRef>
          </c:cat>
          <c:val>
            <c:numRef>
              <c:f>'Регионы РФ'!$C$30:$C$39</c:f>
              <c:numCache/>
            </c:numRef>
          </c:val>
        </c:ser>
        <c:ser>
          <c:idx val="1"/>
          <c:order val="1"/>
          <c:tx>
            <c:strRef>
              <c:f>'Регионы РФ'!$D$29</c:f>
            </c:strRef>
          </c:tx>
          <c:spPr>
            <a:solidFill>
              <a:srgbClr val="8753E5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РФ'!$B$30:$B$39</c:f>
              <c:strCache/>
            </c:strRef>
          </c:cat>
          <c:val>
            <c:numRef>
              <c:f>'Регионы РФ'!$D$30:$D$39</c:f>
              <c:numCache/>
            </c:numRef>
          </c:val>
        </c:ser>
        <c:axId val="58203401"/>
        <c:axId val="6353430"/>
      </c:barChart>
      <c:catAx>
        <c:axId val="5820340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353430"/>
        <c:crosses val="autoZero"/>
        <c:lblOffset val="100"/>
        <c:noMultiLvlLbl val="0"/>
      </c:catAx>
      <c:valAx>
        <c:axId val="6353430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82034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регионов РФ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'Регионы РФ'!$C$90</c:f>
            </c:strRef>
          </c:tx>
          <c:spPr>
            <a:solidFill>
              <a:srgbClr val="BC6A8C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РФ'!$B$91:$B$100</c:f>
              <c:strCache/>
            </c:strRef>
          </c:cat>
          <c:val>
            <c:numRef>
              <c:f>'Регионы РФ'!$C$91:$C$100</c:f>
              <c:numCache/>
            </c:numRef>
          </c:val>
        </c:ser>
        <c:ser>
          <c:idx val="1"/>
          <c:order val="1"/>
          <c:tx>
            <c:strRef>
              <c:f>'Регионы РФ'!$D$90</c:f>
            </c:strRef>
          </c:tx>
          <c:spPr>
            <a:solidFill>
              <a:srgbClr val="8753E5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'Регионы РФ'!$B$91:$B$100</c:f>
              <c:strCache/>
            </c:strRef>
          </c:cat>
          <c:val>
            <c:numRef>
              <c:f>'Регионы РФ'!$D$91:$D$100</c:f>
              <c:numCache/>
            </c:numRef>
          </c:val>
        </c:ser>
        <c:axId val="36765346"/>
        <c:axId val="51844047"/>
      </c:barChart>
      <c:catAx>
        <c:axId val="3676534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51844047"/>
        <c:crosses val="autoZero"/>
        <c:lblOffset val="100"/>
        <c:noMultiLvlLbl val="0"/>
      </c:catAx>
      <c:valAx>
        <c:axId val="51844047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36765346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городов РФ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'Города РФ'!$C$29</c:f>
            </c:strRef>
          </c:tx>
          <c:spPr>
            <a:solidFill>
              <a:srgbClr val="BC6A8C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РФ'!$B$30:$B$39</c:f>
              <c:strCache/>
            </c:strRef>
          </c:cat>
          <c:val>
            <c:numRef>
              <c:f>'Города РФ'!$C$30:$C$39</c:f>
              <c:numCache/>
            </c:numRef>
          </c:val>
        </c:ser>
        <c:ser>
          <c:idx val="1"/>
          <c:order val="1"/>
          <c:tx>
            <c:strRef>
              <c:f>'Города РФ'!$D$29</c:f>
            </c:strRef>
          </c:tx>
          <c:spPr>
            <a:solidFill>
              <a:srgbClr val="8753E5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РФ'!$B$30:$B$39</c:f>
              <c:strCache/>
            </c:strRef>
          </c:cat>
          <c:val>
            <c:numRef>
              <c:f>'Города РФ'!$D$30:$D$39</c:f>
              <c:numCache/>
            </c:numRef>
          </c:val>
        </c:ser>
        <c:axId val="65371181"/>
        <c:axId val="43785144"/>
      </c:barChart>
      <c:catAx>
        <c:axId val="6537118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43785144"/>
        <c:crosses val="autoZero"/>
        <c:lblOffset val="100"/>
        <c:noMultiLvlLbl val="0"/>
      </c:catAx>
      <c:valAx>
        <c:axId val="43785144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6537118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200" b="0" u="none" baseline="0">
                <a:latin typeface="Arial"/>
                <a:ea typeface="Arial"/>
              </a:defRPr>
            </a:pPr>
            <a:r>
              <a:rPr lang="en-US"/>
              <a:t>Топ-10 городов РФ по сообщениям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'Города РФ'!$C$100</c:f>
            </c:strRef>
          </c:tx>
          <c:spPr>
            <a:solidFill>
              <a:srgbClr val="BC6A8C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РФ'!$B$101:$B$110</c:f>
              <c:strCache/>
            </c:strRef>
          </c:cat>
          <c:val>
            <c:numRef>
              <c:f>'Города РФ'!$C$101:$C$110</c:f>
              <c:numCache/>
            </c:numRef>
          </c:val>
        </c:ser>
        <c:ser>
          <c:idx val="1"/>
          <c:order val="1"/>
          <c:tx>
            <c:strRef>
              <c:f>'Города РФ'!$D$100</c:f>
            </c:strRef>
          </c:tx>
          <c:spPr>
            <a:solidFill>
              <a:srgbClr val="8753E5"/>
            </a:solidFill>
          </c:spPr>
          <c:invertIfNegative val="0"/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separator> </c:separator>
          </c:dLbls>
          <c:cat>
            <c:strRef>
              <c:f>'Города РФ'!$B$101:$B$110</c:f>
              <c:strCache/>
            </c:strRef>
          </c:cat>
          <c:val>
            <c:numRef>
              <c:f>'Города РФ'!$D$101:$D$110</c:f>
              <c:numCache/>
            </c:numRef>
          </c:val>
        </c:ser>
        <c:axId val="37474083"/>
        <c:axId val="39262502"/>
      </c:barChart>
      <c:catAx>
        <c:axId val="374740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39262502"/>
        <c:crosses val="autoZero"/>
        <c:lblOffset val="100"/>
        <c:noMultiLvlLbl val="0"/>
      </c:catAx>
      <c:valAx>
        <c:axId val="39262502"/>
        <c:scaling>
          <c:orientation val="minMax"/>
        </c:scaling>
        <c:delete val="0"/>
        <c:axPos val="t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wrap="square"/>
          <a:lstStyle/>
          <a:p>
            <a:pPr>
              <a:defRPr lang="en-US" sz="900" u="none" baseline="0">
                <a:solidFill>
                  <a:srgbClr val="585A5D"/>
                </a:solidFill>
                <a:latin typeface="Arial"/>
                <a:ea typeface="Arial"/>
              </a:defRPr>
            </a:pPr>
            <a:endParaRPr lang="en-US"/>
          </a:p>
        </c:txPr>
        <c:crossAx val="37474083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solidFill>
        <a:srgbClr val="D9D9D9"/>
      </a:solidFill>
    </a:ln>
  </c:spPr>
  <c:txPr>
    <a:bodyPr vert="horz" rot="0" wrap="square"/>
    <a:lstStyle/>
    <a:p>
      <a:pPr>
        <a:defRPr lang="en-US" sz="900" u="none" baseline="0">
          <a:latin typeface="Arial"/>
          <a:ea typeface="Arial"/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8" Type="http://schemas.openxmlformats.org/officeDocument/2006/relationships/chart" Target="../charts/chart8.xml" /><Relationship Id="rId5" Type="http://schemas.openxmlformats.org/officeDocument/2006/relationships/chart" Target="../charts/chart5.xml" /><Relationship Id="rId7" Type="http://schemas.openxmlformats.org/officeDocument/2006/relationships/chart" Target="../charts/chart7.xml" /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6" Type="http://schemas.openxmlformats.org/officeDocument/2006/relationships/chart" Target="../charts/chart6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9.xml" /><Relationship Id="rId5" Type="http://schemas.openxmlformats.org/officeDocument/2006/relationships/chart" Target="../charts/chart13.xml" /><Relationship Id="rId4" Type="http://schemas.openxmlformats.org/officeDocument/2006/relationships/chart" Target="../charts/chart12.xml" /><Relationship Id="rId3" Type="http://schemas.openxmlformats.org/officeDocument/2006/relationships/chart" Target="../charts/chart11.xml" /><Relationship Id="rId2" Type="http://schemas.openxmlformats.org/officeDocument/2006/relationships/chart" Target="../charts/chart10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4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15.xml" /><Relationship Id="rId2" Type="http://schemas.openxmlformats.org/officeDocument/2006/relationships/chart" Target="../charts/chart16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17.xml" /><Relationship Id="rId2" Type="http://schemas.openxmlformats.org/officeDocument/2006/relationships/chart" Target="../charts/chart18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19.xml" /><Relationship Id="rId3" Type="http://schemas.openxmlformats.org/officeDocument/2006/relationships/chart" Target="../charts/chart21.xml" /><Relationship Id="rId2" Type="http://schemas.openxmlformats.org/officeDocument/2006/relationships/chart" Target="../charts/chart20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22.xml" /><Relationship Id="rId2" Type="http://schemas.openxmlformats.org/officeDocument/2006/relationships/chart" Target="../charts/chart23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../charts/chart24.xml" /><Relationship Id="rId2" Type="http://schemas.openxmlformats.org/officeDocument/2006/relationships/chart" Target="../charts/chart25.xml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../charts/chart26.xml" /><Relationship Id="rId2" Type="http://schemas.openxmlformats.org/officeDocument/2006/relationships/chart" Target="../charts/chart27.xm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../charts/chart28.xml" /><Relationship Id="rId2" Type="http://schemas.openxmlformats.org/officeDocument/2006/relationships/chart" Target="../charts/chart29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304800</xdr:colOff>
      <xdr:row>14</xdr:row>
      <xdr:rowOff>0</xdr:rowOff>
    </xdr:from>
    <xdr:to>
      <xdr:col>4</xdr:col>
      <xdr:colOff>161925</xdr:colOff>
      <xdr:row>31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643e8699-71a6-4b87-b3b0-be1ea519685a}"/>
            </a:ext>
          </a:extLst>
        </xdr:cNvPr>
        <xdr:cNvGraphicFramePr/>
      </xdr:nvGraphicFramePr>
      <xdr:xfrm>
        <a:off x="304800" y="2847975"/>
        <a:ext cx="4105275" cy="27527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4</xdr:col>
      <xdr:colOff>219075</xdr:colOff>
      <xdr:row>14</xdr:row>
      <xdr:rowOff>0</xdr:rowOff>
    </xdr:from>
    <xdr:to>
      <xdr:col>7</xdr:col>
      <xdr:colOff>695325</xdr:colOff>
      <xdr:row>31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87965f04-619d-4ec4-ab11-5c4e6ba465a6}"/>
            </a:ext>
          </a:extLst>
        </xdr:cNvPr>
        <xdr:cNvGraphicFramePr/>
      </xdr:nvGraphicFramePr>
      <xdr:xfrm>
        <a:off x="4467225" y="2847975"/>
        <a:ext cx="4105275" cy="275272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7</xdr:col>
      <xdr:colOff>752475</xdr:colOff>
      <xdr:row>14</xdr:row>
      <xdr:rowOff>0</xdr:rowOff>
    </xdr:from>
    <xdr:to>
      <xdr:col>11</xdr:col>
      <xdr:colOff>19050</xdr:colOff>
      <xdr:row>31</xdr:row>
      <xdr:rowOff>0</xdr:rowOff>
    </xdr:to>
    <xdr:graphicFrame>
      <xdr:nvGraphicFramePr>
        <xdr:cNvPr id="3" name="Chart 3">
          <a:extLst>
            <a:ext uri="{FF2B5EF4-FFF2-40B4-BE49-F238E27FC236}">
              <a16:creationId xmlns:a16="http://schemas.microsoft.com/office/drawing/2014/main" id="{268d2e5d-3421-4c35-b70f-5b76b29d9b73}"/>
            </a:ext>
          </a:extLst>
        </xdr:cNvPr>
        <xdr:cNvGraphicFramePr/>
      </xdr:nvGraphicFramePr>
      <xdr:xfrm>
        <a:off x="8629650" y="2847975"/>
        <a:ext cx="4105275" cy="2752725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4</xdr:col>
      <xdr:colOff>219075</xdr:colOff>
      <xdr:row>33</xdr:row>
      <xdr:rowOff>0</xdr:rowOff>
    </xdr:from>
    <xdr:to>
      <xdr:col>7</xdr:col>
      <xdr:colOff>695325</xdr:colOff>
      <xdr:row>50</xdr:row>
      <xdr:rowOff>0</xdr:rowOff>
    </xdr:to>
    <xdr:graphicFrame>
      <xdr:nvGraphicFramePr>
        <xdr:cNvPr id="4" name="Chart 4">
          <a:extLst>
            <a:ext uri="{FF2B5EF4-FFF2-40B4-BE49-F238E27FC236}">
              <a16:creationId xmlns:a16="http://schemas.microsoft.com/office/drawing/2014/main" id="{08b49725-52b7-4c92-89da-3fd332d3246e}"/>
            </a:ext>
          </a:extLst>
        </xdr:cNvPr>
        <xdr:cNvGraphicFramePr/>
      </xdr:nvGraphicFramePr>
      <xdr:xfrm>
        <a:off x="4467225" y="5924550"/>
        <a:ext cx="4105275" cy="2752725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7</xdr:col>
      <xdr:colOff>752475</xdr:colOff>
      <xdr:row>33</xdr:row>
      <xdr:rowOff>0</xdr:rowOff>
    </xdr:from>
    <xdr:to>
      <xdr:col>11</xdr:col>
      <xdr:colOff>19050</xdr:colOff>
      <xdr:row>50</xdr:row>
      <xdr:rowOff>0</xdr:rowOff>
    </xdr:to>
    <xdr:graphicFrame>
      <xdr:nvGraphicFramePr>
        <xdr:cNvPr id="5" name="Chart 5">
          <a:extLst>
            <a:ext uri="{FF2B5EF4-FFF2-40B4-BE49-F238E27FC236}">
              <a16:creationId xmlns:a16="http://schemas.microsoft.com/office/drawing/2014/main" id="{ab0a1f44-23f0-4da7-8696-11b73f3777c5}"/>
            </a:ext>
          </a:extLst>
        </xdr:cNvPr>
        <xdr:cNvGraphicFramePr/>
      </xdr:nvGraphicFramePr>
      <xdr:xfrm>
        <a:off x="8629650" y="5924550"/>
        <a:ext cx="4105275" cy="2752725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0</xdr:col>
      <xdr:colOff>304800</xdr:colOff>
      <xdr:row>33</xdr:row>
      <xdr:rowOff>0</xdr:rowOff>
    </xdr:from>
    <xdr:to>
      <xdr:col>4</xdr:col>
      <xdr:colOff>161925</xdr:colOff>
      <xdr:row>50</xdr:row>
      <xdr:rowOff>0</xdr:rowOff>
    </xdr:to>
    <xdr:graphicFrame>
      <xdr:nvGraphicFramePr>
        <xdr:cNvPr id="6" name="Chart 6">
          <a:extLst>
            <a:ext uri="{FF2B5EF4-FFF2-40B4-BE49-F238E27FC236}">
              <a16:creationId xmlns:a16="http://schemas.microsoft.com/office/drawing/2014/main" id="{e8e7a547-0863-4b1c-b0e3-0480ac90022a}"/>
            </a:ext>
          </a:extLst>
        </xdr:cNvPr>
        <xdr:cNvGraphicFramePr/>
      </xdr:nvGraphicFramePr>
      <xdr:xfrm>
        <a:off x="304800" y="5924550"/>
        <a:ext cx="4105275" cy="2752725"/>
      </xdr:xfrm>
      <a:graphic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0</xdr:col>
      <xdr:colOff>304800</xdr:colOff>
      <xdr:row>62</xdr:row>
      <xdr:rowOff>0</xdr:rowOff>
    </xdr:from>
    <xdr:to>
      <xdr:col>4</xdr:col>
      <xdr:colOff>990600</xdr:colOff>
      <xdr:row>79</xdr:row>
      <xdr:rowOff>0</xdr:rowOff>
    </xdr:to>
    <xdr:graphicFrame>
      <xdr:nvGraphicFramePr>
        <xdr:cNvPr id="7" name="Chart 7">
          <a:extLst>
            <a:ext uri="{FF2B5EF4-FFF2-40B4-BE49-F238E27FC236}">
              <a16:creationId xmlns:a16="http://schemas.microsoft.com/office/drawing/2014/main" id="{3a1ab7de-74bd-448b-b0b3-92d8a02fc1ff}"/>
            </a:ext>
          </a:extLst>
        </xdr:cNvPr>
        <xdr:cNvGraphicFramePr/>
      </xdr:nvGraphicFramePr>
      <xdr:xfrm>
        <a:off x="304800" y="10982325"/>
        <a:ext cx="4933950" cy="2752725"/>
      </xdr:xfrm>
      <a:graphic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>
    <xdr:from>
      <xdr:col>4</xdr:col>
      <xdr:colOff>1104900</xdr:colOff>
      <xdr:row>62</xdr:row>
      <xdr:rowOff>0</xdr:rowOff>
    </xdr:from>
    <xdr:to>
      <xdr:col>8</xdr:col>
      <xdr:colOff>1200150</xdr:colOff>
      <xdr:row>79</xdr:row>
      <xdr:rowOff>0</xdr:rowOff>
    </xdr:to>
    <xdr:graphicFrame>
      <xdr:nvGraphicFramePr>
        <xdr:cNvPr id="8" name="Chart 8">
          <a:extLst>
            <a:ext uri="{FF2B5EF4-FFF2-40B4-BE49-F238E27FC236}">
              <a16:creationId xmlns:a16="http://schemas.microsoft.com/office/drawing/2014/main" id="{8807ff23-7e06-4cd3-9dda-eff964e511bb}"/>
            </a:ext>
          </a:extLst>
        </xdr:cNvPr>
        <xdr:cNvGraphicFramePr/>
      </xdr:nvGraphicFramePr>
      <xdr:xfrm>
        <a:off x="5353050" y="10982325"/>
        <a:ext cx="4933950" cy="2752725"/>
      </xdr:xfrm>
      <a:graphic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7</xdr:col>
      <xdr:colOff>0</xdr:colOff>
      <xdr:row>7</xdr:row>
      <xdr:rowOff>0</xdr:rowOff>
    </xdr:from>
    <xdr:to>
      <xdr:col>12</xdr:col>
      <xdr:colOff>0</xdr:colOff>
      <xdr:row>21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cde8d8de-6b07-4965-a272-db75e28d11bb}"/>
            </a:ext>
          </a:extLst>
        </xdr:cNvPr>
        <xdr:cNvGraphicFramePr/>
      </xdr:nvGraphicFramePr>
      <xdr:xfrm>
        <a:off x="9467850" y="1352550"/>
        <a:ext cx="5238750" cy="28575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12</xdr:col>
      <xdr:colOff>0</xdr:colOff>
      <xdr:row>57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c03a38f8-0291-4d5e-bc82-9b0309118a6b}"/>
            </a:ext>
          </a:extLst>
        </xdr:cNvPr>
        <xdr:cNvGraphicFramePr/>
      </xdr:nvGraphicFramePr>
      <xdr:xfrm>
        <a:off x="9467850" y="8315325"/>
        <a:ext cx="5238750" cy="28575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7</xdr:col>
      <xdr:colOff>0</xdr:colOff>
      <xdr:row>79</xdr:row>
      <xdr:rowOff>0</xdr:rowOff>
    </xdr:from>
    <xdr:to>
      <xdr:col>12</xdr:col>
      <xdr:colOff>0</xdr:colOff>
      <xdr:row>93</xdr:row>
      <xdr:rowOff>0</xdr:rowOff>
    </xdr:to>
    <xdr:graphicFrame>
      <xdr:nvGraphicFramePr>
        <xdr:cNvPr id="3" name="Chart 3">
          <a:extLst>
            <a:ext uri="{FF2B5EF4-FFF2-40B4-BE49-F238E27FC236}">
              <a16:creationId xmlns:a16="http://schemas.microsoft.com/office/drawing/2014/main" id="{3bbc5605-e367-4842-b0a7-0866261e0aea}"/>
            </a:ext>
          </a:extLst>
        </xdr:cNvPr>
        <xdr:cNvGraphicFramePr/>
      </xdr:nvGraphicFramePr>
      <xdr:xfrm>
        <a:off x="9467850" y="15278100"/>
        <a:ext cx="5238750" cy="285750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7</xdr:col>
      <xdr:colOff>0</xdr:colOff>
      <xdr:row>115</xdr:row>
      <xdr:rowOff>0</xdr:rowOff>
    </xdr:from>
    <xdr:to>
      <xdr:col>12</xdr:col>
      <xdr:colOff>0</xdr:colOff>
      <xdr:row>129</xdr:row>
      <xdr:rowOff>0</xdr:rowOff>
    </xdr:to>
    <xdr:graphicFrame>
      <xdr:nvGraphicFramePr>
        <xdr:cNvPr id="4" name="Chart 4">
          <a:extLst>
            <a:ext uri="{FF2B5EF4-FFF2-40B4-BE49-F238E27FC236}">
              <a16:creationId xmlns:a16="http://schemas.microsoft.com/office/drawing/2014/main" id="{ac43b10f-ea6e-43ea-9d55-3a0c359f35c7}"/>
            </a:ext>
          </a:extLst>
        </xdr:cNvPr>
        <xdr:cNvGraphicFramePr/>
      </xdr:nvGraphicFramePr>
      <xdr:xfrm>
        <a:off x="9467850" y="22240875"/>
        <a:ext cx="5238750" cy="285750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7</xdr:col>
      <xdr:colOff>0</xdr:colOff>
      <xdr:row>151</xdr:row>
      <xdr:rowOff>0</xdr:rowOff>
    </xdr:from>
    <xdr:to>
      <xdr:col>12</xdr:col>
      <xdr:colOff>0</xdr:colOff>
      <xdr:row>165</xdr:row>
      <xdr:rowOff>0</xdr:rowOff>
    </xdr:to>
    <xdr:graphicFrame>
      <xdr:nvGraphicFramePr>
        <xdr:cNvPr id="5" name="Chart 5">
          <a:extLst>
            <a:ext uri="{FF2B5EF4-FFF2-40B4-BE49-F238E27FC236}">
              <a16:creationId xmlns:a16="http://schemas.microsoft.com/office/drawing/2014/main" id="{5f8ed230-d4d9-4d78-828a-26763a5ddc32}"/>
            </a:ext>
          </a:extLst>
        </xdr:cNvPr>
        <xdr:cNvGraphicFramePr/>
      </xdr:nvGraphicFramePr>
      <xdr:xfrm>
        <a:off x="9467850" y="29203650"/>
        <a:ext cx="5238750" cy="2857500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7</xdr:col>
      <xdr:colOff>0</xdr:colOff>
      <xdr:row>28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c83c46ec-80c2-40de-8c0c-9ab7c0d69934}"/>
            </a:ext>
          </a:extLst>
        </xdr:cNvPr>
        <xdr:cNvGraphicFramePr/>
      </xdr:nvGraphicFramePr>
      <xdr:xfrm>
        <a:off x="314325" y="1028700"/>
        <a:ext cx="7467600" cy="37242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7</xdr:col>
      <xdr:colOff>0</xdr:colOff>
      <xdr:row>28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4009b6f2-0301-42cb-9dbe-6ee4def9f6af}"/>
            </a:ext>
          </a:extLst>
        </xdr:cNvPr>
        <xdr:cNvGraphicFramePr/>
      </xdr:nvGraphicFramePr>
      <xdr:xfrm>
        <a:off x="314325" y="1028700"/>
        <a:ext cx="7467600" cy="37242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7</xdr:col>
      <xdr:colOff>0</xdr:colOff>
      <xdr:row>64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89edf143-7d8b-4a87-9c73-13c021c9ce7a}"/>
            </a:ext>
          </a:extLst>
        </xdr:cNvPr>
        <xdr:cNvGraphicFramePr/>
      </xdr:nvGraphicFramePr>
      <xdr:xfrm>
        <a:off x="314325" y="7077075"/>
        <a:ext cx="7467600" cy="372427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16</xdr:row>
      <xdr:rowOff>0</xdr:rowOff>
    </xdr:from>
    <xdr:to>
      <xdr:col>7</xdr:col>
      <xdr:colOff>0</xdr:colOff>
      <xdr:row>40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449f969c-35aa-43b7-a55f-b448042c7343}"/>
            </a:ext>
          </a:extLst>
        </xdr:cNvPr>
        <xdr:cNvGraphicFramePr/>
      </xdr:nvGraphicFramePr>
      <xdr:xfrm>
        <a:off x="314325" y="3257550"/>
        <a:ext cx="7467600" cy="38862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7</xdr:col>
      <xdr:colOff>0</xdr:colOff>
      <xdr:row>66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2553a898-57b7-4e1c-9d6d-53b1ad1001d7}"/>
            </a:ext>
          </a:extLst>
        </xdr:cNvPr>
        <xdr:cNvGraphicFramePr/>
      </xdr:nvGraphicFramePr>
      <xdr:xfrm>
        <a:off x="314325" y="7467600"/>
        <a:ext cx="7467600" cy="38862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6</xdr:col>
      <xdr:colOff>0</xdr:colOff>
      <xdr:row>27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4925b6f2-a9b4-4bf0-870b-12da74c46468}"/>
            </a:ext>
          </a:extLst>
        </xdr:cNvPr>
        <xdr:cNvGraphicFramePr/>
      </xdr:nvGraphicFramePr>
      <xdr:xfrm>
        <a:off x="314325" y="1028700"/>
        <a:ext cx="6276975" cy="35623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6</xdr:col>
      <xdr:colOff>0</xdr:colOff>
      <xdr:row>80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9186af20-6492-44c5-94f7-435b23dd5cff}"/>
            </a:ext>
          </a:extLst>
        </xdr:cNvPr>
        <xdr:cNvGraphicFramePr/>
      </xdr:nvGraphicFramePr>
      <xdr:xfrm>
        <a:off x="314325" y="10515600"/>
        <a:ext cx="6276975" cy="356235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1</xdr:col>
      <xdr:colOff>0</xdr:colOff>
      <xdr:row>110</xdr:row>
      <xdr:rowOff>0</xdr:rowOff>
    </xdr:from>
    <xdr:to>
      <xdr:col>6</xdr:col>
      <xdr:colOff>0</xdr:colOff>
      <xdr:row>132</xdr:row>
      <xdr:rowOff>0</xdr:rowOff>
    </xdr:to>
    <xdr:graphicFrame>
      <xdr:nvGraphicFramePr>
        <xdr:cNvPr id="3" name="Chart 3">
          <a:extLst>
            <a:ext uri="{FF2B5EF4-FFF2-40B4-BE49-F238E27FC236}">
              <a16:creationId xmlns:a16="http://schemas.microsoft.com/office/drawing/2014/main" id="{a0e61d40-0e5d-4289-9504-ffb589449653}"/>
            </a:ext>
          </a:extLst>
        </xdr:cNvPr>
        <xdr:cNvGraphicFramePr/>
      </xdr:nvGraphicFramePr>
      <xdr:xfrm>
        <a:off x="314325" y="19840575"/>
        <a:ext cx="6276975" cy="356235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6</xdr:col>
      <xdr:colOff>0</xdr:colOff>
      <xdr:row>21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134343bf-3b41-4774-b476-717f27fb7a20}"/>
            </a:ext>
          </a:extLst>
        </xdr:cNvPr>
        <xdr:cNvGraphicFramePr/>
      </xdr:nvGraphicFramePr>
      <xdr:xfrm>
        <a:off x="314325" y="1028700"/>
        <a:ext cx="6276975" cy="25908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6</xdr:col>
      <xdr:colOff>0</xdr:colOff>
      <xdr:row>49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24ac1505-66b3-428f-a38f-e1a85e535e5f}"/>
            </a:ext>
          </a:extLst>
        </xdr:cNvPr>
        <xdr:cNvGraphicFramePr/>
      </xdr:nvGraphicFramePr>
      <xdr:xfrm>
        <a:off x="314325" y="5867400"/>
        <a:ext cx="6276975" cy="25908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6</xdr:col>
      <xdr:colOff>0</xdr:colOff>
      <xdr:row>26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793f8a0e-44ba-4e21-982f-f3758715a4f0}"/>
            </a:ext>
          </a:extLst>
        </xdr:cNvPr>
        <xdr:cNvGraphicFramePr/>
      </xdr:nvGraphicFramePr>
      <xdr:xfrm>
        <a:off x="314325" y="1028700"/>
        <a:ext cx="6276975" cy="34004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6</xdr:col>
      <xdr:colOff>0</xdr:colOff>
      <xdr:row>66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89326f16-2815-4853-8e34-1325e2a4ade5}"/>
            </a:ext>
          </a:extLst>
        </xdr:cNvPr>
        <xdr:cNvGraphicFramePr/>
      </xdr:nvGraphicFramePr>
      <xdr:xfrm>
        <a:off x="314325" y="8010525"/>
        <a:ext cx="6276975" cy="340042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6</xdr:col>
      <xdr:colOff>0</xdr:colOff>
      <xdr:row>26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5dd8bc43-d47f-4fe0-8d8a-8f59232b7140}"/>
            </a:ext>
          </a:extLst>
        </xdr:cNvPr>
        <xdr:cNvGraphicFramePr/>
      </xdr:nvGraphicFramePr>
      <xdr:xfrm>
        <a:off x="314325" y="1028700"/>
        <a:ext cx="6276975" cy="34004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67</xdr:row>
      <xdr:rowOff>0</xdr:rowOff>
    </xdr:from>
    <xdr:to>
      <xdr:col>6</xdr:col>
      <xdr:colOff>0</xdr:colOff>
      <xdr:row>88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8f3b5cff-80b7-4eca-b6bc-ee98c315dc80}"/>
            </a:ext>
          </a:extLst>
        </xdr:cNvPr>
        <xdr:cNvGraphicFramePr/>
      </xdr:nvGraphicFramePr>
      <xdr:xfrm>
        <a:off x="314325" y="12201525"/>
        <a:ext cx="6276975" cy="340042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</xdr:row>
      <xdr:rowOff>0</xdr:rowOff>
    </xdr:from>
    <xdr:to>
      <xdr:col>6</xdr:col>
      <xdr:colOff>0</xdr:colOff>
      <xdr:row>26</xdr:row>
      <xdr:rowOff>0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30ba50c8-c5bd-45f6-ba7f-b47f9303f032}"/>
            </a:ext>
          </a:extLst>
        </xdr:cNvPr>
        <xdr:cNvGraphicFramePr/>
      </xdr:nvGraphicFramePr>
      <xdr:xfrm>
        <a:off x="314325" y="1028700"/>
        <a:ext cx="6276975" cy="340042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</xdr:col>
      <xdr:colOff>0</xdr:colOff>
      <xdr:row>77</xdr:row>
      <xdr:rowOff>0</xdr:rowOff>
    </xdr:from>
    <xdr:to>
      <xdr:col>6</xdr:col>
      <xdr:colOff>0</xdr:colOff>
      <xdr:row>98</xdr:row>
      <xdr:rowOff>0</xdr:rowOff>
    </xdr:to>
    <xdr:graphicFrame>
      <xdr:nvGraphicFramePr>
        <xdr:cNvPr id="2" name="Chart 2">
          <a:extLst>
            <a:ext uri="{FF2B5EF4-FFF2-40B4-BE49-F238E27FC236}">
              <a16:creationId xmlns:a16="http://schemas.microsoft.com/office/drawing/2014/main" id="{9684a9b0-af45-4d81-a908-3544fc171281}"/>
            </a:ext>
          </a:extLst>
        </xdr:cNvPr>
        <xdr:cNvGraphicFramePr/>
      </xdr:nvGraphicFramePr>
      <xdr:xfrm>
        <a:off x="314325" y="14106525"/>
        <a:ext cx="6276975" cy="340042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8218c92-d8ae-4ff9-8df6-27fe6bbf8a64}">
  <dimension ref="B1:C28"/>
  <sheetViews>
    <sheetView showGridLines="0" workbookViewId="0" topLeftCell="A1"/>
  </sheetViews>
  <sheetFormatPr defaultRowHeight="12.75"/>
  <cols>
    <col min="1" max="1" width="4.714285714285714" customWidth="1"/>
    <col min="2" max="2" width="30.714285714285715" customWidth="1"/>
  </cols>
  <sheetData>
    <row r="1" spans="2:2" s="1" customFormat="1" ht="30" customHeight="1">
      <c r="B1" s="1" t="s">
        <v>0</v>
      </c>
    </row>
    <row r="4" spans="2:2" ht="12.75">
      <c r="B4" s="2" t="s">
        <v>1</v>
      </c>
    </row>
    <row r="6" spans="2:3" ht="12.75">
      <c r="B6" s="18" t="s">
        <v>42</v>
      </c>
      <c r="C6" s="19" t="s">
        <v>43</v>
      </c>
    </row>
    <row r="7" spans="2:3" ht="15" customHeight="1">
      <c r="B7" s="18" t="s">
        <v>44</v>
      </c>
      <c r="C7" s="19" t="s">
        <v>45</v>
      </c>
    </row>
    <row r="8" spans="2:3" ht="15" customHeight="1">
      <c r="B8" s="18" t="s">
        <v>46</v>
      </c>
      <c r="C8" s="19"/>
    </row>
    <row r="9" spans="2:3" ht="15" customHeight="1">
      <c r="B9" s="18" t="s">
        <v>47</v>
      </c>
      <c r="C9" s="19" t="s">
        <v>48</v>
      </c>
    </row>
    <row r="10" spans="2:3" ht="15" customHeight="1">
      <c r="B10" s="18" t="s">
        <v>49</v>
      </c>
      <c r="C10" s="19" t="s">
        <v>50</v>
      </c>
    </row>
    <row r="11" spans="2:3" ht="15" customHeight="1">
      <c r="B11" s="18" t="s">
        <v>51</v>
      </c>
      <c r="C11" s="19" t="s">
        <v>52</v>
      </c>
    </row>
    <row r="12" spans="2:3" ht="15" customHeight="1">
      <c r="B12" s="18" t="s">
        <v>53</v>
      </c>
      <c r="C12" s="19" t="s">
        <v>54</v>
      </c>
    </row>
    <row r="13" spans="2:3" ht="15" customHeight="1">
      <c r="B13" s="18" t="s">
        <v>55</v>
      </c>
      <c r="C13" s="20">
        <v>3006</v>
      </c>
    </row>
    <row r="14" spans="2:3" ht="15" customHeight="1">
      <c r="B14" s="18" t="s">
        <v>56</v>
      </c>
      <c r="C14" s="21" t="s">
        <v>57</v>
      </c>
    </row>
    <row r="15" ht="15" customHeight="1"/>
    <row r="16" spans="2:2" ht="15" customHeight="1">
      <c r="B16" s="23" t="s">
        <v>3</v>
      </c>
    </row>
    <row r="17" spans="2:2" ht="15" customHeight="1">
      <c r="B17" s="23" t="s">
        <v>4</v>
      </c>
    </row>
    <row r="18" spans="2:2" ht="15" customHeight="1">
      <c r="B18" s="23" t="s">
        <v>16</v>
      </c>
    </row>
    <row r="19" spans="2:2" ht="15" customHeight="1">
      <c r="B19" s="23" t="s">
        <v>24</v>
      </c>
    </row>
    <row r="20" spans="2:2" ht="15" customHeight="1">
      <c r="B20" s="23" t="s">
        <v>27</v>
      </c>
    </row>
    <row r="21" spans="2:2" ht="15" customHeight="1">
      <c r="B21" s="23" t="s">
        <v>28</v>
      </c>
    </row>
    <row r="22" spans="2:2" ht="15" customHeight="1">
      <c r="B22" s="23" t="s">
        <v>29</v>
      </c>
    </row>
    <row r="23" spans="2:2" ht="15" customHeight="1">
      <c r="B23" s="23" t="s">
        <v>30</v>
      </c>
    </row>
    <row r="24" spans="2:2" ht="15" customHeight="1">
      <c r="B24" s="23" t="s">
        <v>38</v>
      </c>
    </row>
    <row r="25" spans="2:2" ht="15" customHeight="1">
      <c r="B25" s="23" t="s">
        <v>39</v>
      </c>
    </row>
    <row r="26" spans="2:2" ht="15" customHeight="1">
      <c r="B26" s="23" t="s">
        <v>40</v>
      </c>
    </row>
    <row r="27" spans="2:2" ht="15" customHeight="1">
      <c r="B27" s="23" t="s">
        <v>41</v>
      </c>
    </row>
    <row r="28" spans="2:2" ht="15" customHeight="1"/>
  </sheetData>
  <hyperlinks>
    <hyperlink ref="B16" location="'Показатели'!B4" display="Показатели"/>
    <hyperlink ref="B17" location="'Динамика'!B4" display="Динамика"/>
    <hyperlink ref="B18" location="'Тональность'!B4" display="Тональность"/>
    <hyperlink ref="B19" location="'Мнения'!B4" display="Мнения"/>
    <hyperlink ref="B20" location="'Оценки'!B4" display="Оценки"/>
    <hyperlink ref="B21" location="'Типы площадок'!B4" display="Типы площадок"/>
    <hyperlink ref="B22" location="'Площадки'!B4" display="Площадки"/>
    <hyperlink ref="B23" location="'Эмоции'!B4" display="Эмоции"/>
    <hyperlink ref="B24" location="'Страны'!B4" display="Страны"/>
    <hyperlink ref="B25" location="'Федеральные округа'!B4" display="Федеральные округа"/>
    <hyperlink ref="B26" location="'Регионы РФ'!B4" display="Регионы РФ"/>
    <hyperlink ref="B27" location="'Города РФ'!B4" display="Города РФ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0f1ce40-15af-4bff-8959-1ced6d2b76b5}">
  <dimension ref="B1:K98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11" width="18.142857142857142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3</v>
      </c>
    </row>
    <row r="6" spans="2:2" ht="12.75">
      <c r="B6" s="5" t="s">
        <v>66</v>
      </c>
    </row>
    <row r="8" spans="2:11" ht="30" customHeight="1">
      <c r="B8" s="6" t="s">
        <v>17</v>
      </c>
      <c r="C8" s="7" t="s">
        <v>5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67</v>
      </c>
      <c r="I8" s="7" t="s">
        <v>68</v>
      </c>
      <c r="J8" s="7" t="s">
        <v>69</v>
      </c>
      <c r="K8" s="7" t="s">
        <v>70</v>
      </c>
    </row>
    <row r="9" spans="2:11" ht="15" customHeight="1">
      <c r="B9" s="12" t="s">
        <v>7</v>
      </c>
      <c r="C9" s="10">
        <v>156</v>
      </c>
      <c r="D9" s="10">
        <v>1692</v>
      </c>
      <c r="E9" s="10">
        <v>7538731</v>
      </c>
      <c r="F9" s="10">
        <v>18965</v>
      </c>
      <c r="G9" s="10">
        <v>644</v>
      </c>
      <c r="H9" s="10">
        <v>113</v>
      </c>
      <c r="I9" s="10">
        <v>507</v>
      </c>
      <c r="J9" s="10">
        <v>24</v>
      </c>
      <c r="K9" s="24">
        <f>IF(SUM(C9:C12)=0,0,C9/SUM(C9:C12))</f>
      </c>
    </row>
    <row r="10" spans="2:11" ht="15" customHeight="1">
      <c r="B10" s="12" t="s">
        <v>8</v>
      </c>
      <c r="C10" s="10">
        <v>45</v>
      </c>
      <c r="D10" s="10">
        <v>66</v>
      </c>
      <c r="E10" s="10">
        <v>4660016</v>
      </c>
      <c r="F10" s="10">
        <v>0</v>
      </c>
      <c r="G10" s="10">
        <v>19</v>
      </c>
      <c r="H10" s="10">
        <v>0</v>
      </c>
      <c r="I10" s="10">
        <v>19</v>
      </c>
      <c r="J10" s="10">
        <v>0</v>
      </c>
      <c r="K10" s="24">
        <f>IF(SUM(C9:C12)=0,0,C10/SUM(C9:C12))</f>
      </c>
    </row>
    <row r="11" spans="2:11" ht="15" customHeight="1">
      <c r="B11" s="12" t="s">
        <v>9</v>
      </c>
      <c r="C11" s="10">
        <v>9</v>
      </c>
      <c r="D11" s="10">
        <v>18</v>
      </c>
      <c r="E11" s="10">
        <v>1827000</v>
      </c>
      <c r="F11" s="10">
        <v>0</v>
      </c>
      <c r="G11" s="10">
        <v>1</v>
      </c>
      <c r="H11" s="10">
        <v>0</v>
      </c>
      <c r="I11" s="10">
        <v>1</v>
      </c>
      <c r="J11" s="10">
        <v>0</v>
      </c>
      <c r="K11" s="24">
        <f>IF(SUM(C9:C12)=0,0,C11/SUM(C9:C12))</f>
      </c>
    </row>
    <row r="12" spans="2:11" ht="15" customHeight="1">
      <c r="B12" s="12" t="s">
        <v>10</v>
      </c>
      <c r="C12" s="10">
        <v>1</v>
      </c>
      <c r="D12" s="10">
        <v>0</v>
      </c>
      <c r="E12" s="10">
        <v>50</v>
      </c>
      <c r="F12" s="10">
        <v>7</v>
      </c>
      <c r="G12" s="10">
        <v>0</v>
      </c>
      <c r="H12" s="10">
        <v>0</v>
      </c>
      <c r="I12" s="10">
        <v>0</v>
      </c>
      <c r="J12" s="10">
        <v>0</v>
      </c>
      <c r="K12" s="24">
        <f>IF(SUM(C9:C12)=0,0,C12/SUM(C9:C12))</f>
      </c>
    </row>
    <row r="13" spans="2:11" ht="15" customHeight="1">
      <c r="B13" s="14" t="s">
        <v>11</v>
      </c>
      <c r="C13" s="11">
        <v>201</v>
      </c>
      <c r="D13" s="11">
        <v>1758</v>
      </c>
      <c r="E13" s="11">
        <v>11901567</v>
      </c>
      <c r="F13" s="11">
        <v>18965</v>
      </c>
      <c r="G13" s="11">
        <v>663</v>
      </c>
      <c r="H13" s="11">
        <v>113</v>
      </c>
      <c r="I13" s="11">
        <v>526</v>
      </c>
      <c r="J13" s="11">
        <v>24</v>
      </c>
      <c r="K13" s="25">
        <f>SUM(K9:K12)</f>
      </c>
    </row>
    <row r="14" ht="13" customHeight="1"/>
    <row r="15" spans="2:8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ht="13" customHeight="1"/>
    <row r="32" ht="13" customHeight="1"/>
    <row r="33" ht="13" customHeight="1"/>
    <row r="34" spans="2:5" ht="13" customHeight="1"/>
    <row r="35" ht="13" customHeight="1"/>
    <row r="36" ht="13" customHeight="1"/>
    <row r="37" ht="13" customHeight="1"/>
    <row r="38" ht="13" customHeight="1"/>
    <row r="39" ht="13" customHeight="1"/>
    <row r="40" ht="13" customHeight="1"/>
    <row r="41" ht="13" customHeight="1"/>
    <row r="42" ht="13" customHeight="1"/>
    <row r="43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spans="2:2" ht="12.75">
      <c r="B53" s="5" t="s">
        <v>16</v>
      </c>
    </row>
    <row r="55" spans="2:9" ht="30" customHeight="1">
      <c r="B55" s="6" t="s">
        <v>17</v>
      </c>
      <c r="C55" s="7" t="s">
        <v>18</v>
      </c>
      <c r="D55" s="7" t="s">
        <v>19</v>
      </c>
      <c r="E55" s="7" t="s">
        <v>20</v>
      </c>
      <c r="F55" s="7" t="s">
        <v>65</v>
      </c>
      <c r="G55" s="7" t="s">
        <v>21</v>
      </c>
      <c r="H55" s="7" t="s">
        <v>22</v>
      </c>
      <c r="I55" s="7" t="s">
        <v>23</v>
      </c>
    </row>
    <row r="56" spans="2:9" ht="15" customHeight="1">
      <c r="B56" s="12" t="s">
        <v>7</v>
      </c>
      <c r="C56" s="10">
        <v>75</v>
      </c>
      <c r="D56" s="10">
        <v>73</v>
      </c>
      <c r="E56" s="10">
        <v>8</v>
      </c>
      <c r="F56" s="10">
        <f>SUM(C56,D56,E56)</f>
      </c>
      <c r="G56" s="13">
        <f>IF(F56=0,0,C56/F56)</f>
      </c>
      <c r="H56" s="13">
        <f>IF(F56=0,0,D56/F56)</f>
      </c>
      <c r="I56" s="13">
        <f>IF(F56=0,0,E56/F56)</f>
      </c>
    </row>
    <row r="57" spans="2:9" ht="15" customHeight="1">
      <c r="B57" s="12" t="s">
        <v>8</v>
      </c>
      <c r="C57" s="10">
        <v>18</v>
      </c>
      <c r="D57" s="10">
        <v>27</v>
      </c>
      <c r="E57" s="10">
        <v>0</v>
      </c>
      <c r="F57" s="10">
        <f>SUM(C57,D57,E57)</f>
      </c>
      <c r="G57" s="13">
        <f>IF(F57=0,0,C57/F57)</f>
      </c>
      <c r="H57" s="13">
        <f>IF(F57=0,0,D57/F57)</f>
      </c>
      <c r="I57" s="13">
        <f>IF(F57=0,0,E57/F57)</f>
      </c>
    </row>
    <row r="58" spans="2:9" ht="15" customHeight="1">
      <c r="B58" s="12" t="s">
        <v>9</v>
      </c>
      <c r="C58" s="10">
        <v>2</v>
      </c>
      <c r="D58" s="10">
        <v>7</v>
      </c>
      <c r="E58" s="10">
        <v>0</v>
      </c>
      <c r="F58" s="10">
        <f>SUM(C58,D58,E58)</f>
      </c>
      <c r="G58" s="13">
        <f>IF(F58=0,0,C58/F58)</f>
      </c>
      <c r="H58" s="13">
        <f>IF(F58=0,0,D58/F58)</f>
      </c>
      <c r="I58" s="13">
        <f>IF(F58=0,0,E58/F58)</f>
      </c>
    </row>
    <row r="59" spans="2:9" ht="15" customHeight="1">
      <c r="B59" s="12" t="s">
        <v>10</v>
      </c>
      <c r="C59" s="10">
        <v>0</v>
      </c>
      <c r="D59" s="10">
        <v>1</v>
      </c>
      <c r="E59" s="10">
        <v>0</v>
      </c>
      <c r="F59" s="10">
        <f>SUM(C59,D59,E59)</f>
      </c>
      <c r="G59" s="13">
        <f>IF(F59=0,0,C59/F59)</f>
      </c>
      <c r="H59" s="13">
        <f>IF(F59=0,0,D59/F59)</f>
      </c>
      <c r="I59" s="13">
        <f>IF(F59=0,0,E59/F59)</f>
      </c>
    </row>
    <row r="60" spans="2:9" ht="15" customHeight="1">
      <c r="B60" s="14" t="s">
        <v>11</v>
      </c>
      <c r="C60" s="11">
        <v>93</v>
      </c>
      <c r="D60" s="11">
        <v>100</v>
      </c>
      <c r="E60" s="11">
        <v>8</v>
      </c>
      <c r="F60" s="11">
        <f>SUM(F56:F59)</f>
      </c>
      <c r="G60" s="26">
        <f>SUM(G56:G59)</f>
      </c>
      <c r="H60" s="26">
        <f>SUM(H56:H59)</f>
      </c>
      <c r="I60" s="26">
        <f>SUM(I56:I59)</f>
      </c>
    </row>
    <row r="63" spans="2:5" ht="12.75"/>
    <row r="82" spans="2:2" ht="12.75">
      <c r="B82" s="5" t="s">
        <v>71</v>
      </c>
    </row>
    <row r="84" spans="2:11" ht="30" customHeight="1">
      <c r="B84" s="6" t="s">
        <v>17</v>
      </c>
      <c r="C84" s="7" t="s">
        <v>72</v>
      </c>
      <c r="D84" s="7" t="s">
        <v>61</v>
      </c>
      <c r="E84" s="7" t="s">
        <v>67</v>
      </c>
      <c r="F84" s="7" t="s">
        <v>69</v>
      </c>
      <c r="G84" s="7" t="s">
        <v>73</v>
      </c>
      <c r="H84" s="7" t="s">
        <v>74</v>
      </c>
      <c r="I84" s="7" t="s">
        <v>75</v>
      </c>
      <c r="J84" s="7" t="s">
        <v>76</v>
      </c>
      <c r="K84" s="7" t="s">
        <v>77</v>
      </c>
    </row>
    <row r="85" spans="2:11" ht="15" customHeight="1">
      <c r="B85" s="12" t="s">
        <v>7</v>
      </c>
      <c r="C85" s="10">
        <v>39</v>
      </c>
      <c r="D85" s="10">
        <v>17</v>
      </c>
      <c r="E85" s="10">
        <v>89</v>
      </c>
      <c r="F85" s="10">
        <v>3</v>
      </c>
      <c r="G85" s="10">
        <v>0</v>
      </c>
      <c r="H85" s="10">
        <v>0</v>
      </c>
      <c r="I85" s="10">
        <v>0</v>
      </c>
      <c r="J85" s="10">
        <v>5</v>
      </c>
      <c r="K85" s="10">
        <v>3</v>
      </c>
    </row>
    <row r="86" spans="2:11" ht="15" customHeight="1">
      <c r="B86" s="12" t="s">
        <v>10</v>
      </c>
      <c r="C86" s="10">
        <v>1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2:11" ht="15" customHeight="1">
      <c r="B87" s="12" t="s">
        <v>9</v>
      </c>
      <c r="C87" s="10">
        <v>0</v>
      </c>
      <c r="D87" s="10">
        <v>2</v>
      </c>
      <c r="E87" s="10">
        <v>7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</row>
    <row r="88" spans="2:11" ht="15" customHeight="1">
      <c r="B88" s="12" t="s">
        <v>8</v>
      </c>
      <c r="C88" s="10">
        <v>0</v>
      </c>
      <c r="D88" s="10">
        <v>4</v>
      </c>
      <c r="E88" s="10">
        <v>41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</row>
    <row r="89" spans="2:11" ht="15" customHeight="1">
      <c r="B89" s="14" t="s">
        <v>11</v>
      </c>
      <c r="C89" s="11">
        <v>39</v>
      </c>
      <c r="D89" s="11">
        <v>21</v>
      </c>
      <c r="E89" s="11">
        <v>130</v>
      </c>
      <c r="F89" s="11">
        <v>3</v>
      </c>
      <c r="G89" s="11">
        <v>0</v>
      </c>
      <c r="H89" s="11">
        <v>0</v>
      </c>
      <c r="I89" s="11">
        <v>0</v>
      </c>
      <c r="J89" s="11">
        <v>5</v>
      </c>
      <c r="K89" s="11">
        <v>3</v>
      </c>
    </row>
    <row r="91" spans="2:2" ht="12.75">
      <c r="B91" s="5" t="s">
        <v>78</v>
      </c>
    </row>
    <row r="93" spans="2:5" ht="30" customHeight="1">
      <c r="B93" s="6" t="s">
        <v>17</v>
      </c>
      <c r="C93" s="7" t="s">
        <v>29</v>
      </c>
      <c r="D93" s="7" t="s">
        <v>79</v>
      </c>
      <c r="E93" s="7" t="s">
        <v>80</v>
      </c>
    </row>
    <row r="94" spans="2:5" ht="15" customHeight="1">
      <c r="B94" s="12" t="s">
        <v>7</v>
      </c>
      <c r="C94" s="10">
        <v>23</v>
      </c>
      <c r="D94" s="10">
        <v>102</v>
      </c>
      <c r="E94" s="10">
        <v>112</v>
      </c>
    </row>
    <row r="95" spans="2:5" ht="15" customHeight="1">
      <c r="B95" s="12" t="s">
        <v>8</v>
      </c>
      <c r="C95" s="10">
        <v>5</v>
      </c>
      <c r="D95" s="10">
        <v>36</v>
      </c>
      <c r="E95" s="10">
        <v>25</v>
      </c>
    </row>
    <row r="96" spans="2:5" ht="15" customHeight="1">
      <c r="B96" s="12" t="s">
        <v>9</v>
      </c>
      <c r="C96" s="10">
        <v>4</v>
      </c>
      <c r="D96" s="10">
        <v>9</v>
      </c>
      <c r="E96" s="10">
        <v>9</v>
      </c>
    </row>
    <row r="97" spans="2:5" ht="15" customHeight="1">
      <c r="B97" s="12" t="s">
        <v>10</v>
      </c>
      <c r="C97" s="10">
        <v>1</v>
      </c>
      <c r="D97" s="10">
        <v>1</v>
      </c>
      <c r="E97" s="10">
        <v>1</v>
      </c>
    </row>
    <row r="98" spans="2:5" ht="15" customHeight="1">
      <c r="B98" s="14" t="s">
        <v>11</v>
      </c>
      <c r="C98" s="11">
        <v>24</v>
      </c>
      <c r="D98" s="11">
        <v>136</v>
      </c>
      <c r="E98" s="11">
        <v>136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55e6e25-8d47-44cb-9cfd-4ba527dc419d}">
  <dimension ref="B1:H184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6" width="24.714285714285715" customWidth="1"/>
    <col min="7" max="12" width="15.714285714285714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4</v>
      </c>
    </row>
    <row r="6" spans="2:2" ht="12.75">
      <c r="B6" s="5" t="s">
        <v>5</v>
      </c>
    </row>
    <row r="8" spans="2:8" ht="30" customHeight="1">
      <c r="B8" s="6" t="s">
        <v>6</v>
      </c>
      <c r="C8" s="7" t="s">
        <v>7</v>
      </c>
      <c r="D8" s="7" t="s">
        <v>8</v>
      </c>
      <c r="E8" s="7" t="s">
        <v>9</v>
      </c>
      <c r="F8" s="7" t="s">
        <v>10</v>
      </c>
    </row>
    <row r="9" spans="2:6" ht="15" customHeight="1">
      <c r="B9" s="8">
        <v>46143</v>
      </c>
      <c r="C9" s="10">
        <v>1</v>
      </c>
      <c r="D9" s="10">
        <v>0</v>
      </c>
      <c r="E9" s="10">
        <v>0</v>
      </c>
      <c r="F9" s="10">
        <v>0</v>
      </c>
    </row>
    <row r="10" spans="2:6" ht="15" customHeight="1">
      <c r="B10" s="8">
        <v>46144</v>
      </c>
      <c r="C10" s="10">
        <v>1</v>
      </c>
      <c r="D10" s="10">
        <v>0</v>
      </c>
      <c r="E10" s="10">
        <v>0</v>
      </c>
      <c r="F10" s="10">
        <v>0</v>
      </c>
    </row>
    <row r="11" spans="2:6" ht="15" customHeight="1">
      <c r="B11" s="8">
        <v>46145</v>
      </c>
      <c r="C11" s="10">
        <v>3</v>
      </c>
      <c r="D11" s="10">
        <v>0</v>
      </c>
      <c r="E11" s="10">
        <v>0</v>
      </c>
      <c r="F11" s="10">
        <v>0</v>
      </c>
    </row>
    <row r="12" spans="2:6" ht="15" customHeight="1">
      <c r="B12" s="8">
        <v>46146</v>
      </c>
      <c r="C12" s="10">
        <v>5</v>
      </c>
      <c r="D12" s="10">
        <v>2</v>
      </c>
      <c r="E12" s="10">
        <v>1</v>
      </c>
      <c r="F12" s="10">
        <v>0</v>
      </c>
    </row>
    <row r="13" spans="2:6" ht="15" customHeight="1">
      <c r="B13" s="8">
        <v>46147</v>
      </c>
      <c r="C13" s="10">
        <v>10</v>
      </c>
      <c r="D13" s="10">
        <v>5</v>
      </c>
      <c r="E13" s="10">
        <v>1</v>
      </c>
      <c r="F13" s="10">
        <v>0</v>
      </c>
    </row>
    <row r="14" spans="2:6" ht="15" customHeight="1">
      <c r="B14" s="8">
        <v>46148</v>
      </c>
      <c r="C14" s="10">
        <v>3</v>
      </c>
      <c r="D14" s="10">
        <v>5</v>
      </c>
      <c r="E14" s="10">
        <v>2</v>
      </c>
      <c r="F14" s="10">
        <v>0</v>
      </c>
    </row>
    <row r="15" spans="2:6" ht="15" customHeight="1">
      <c r="B15" s="8">
        <v>46149</v>
      </c>
      <c r="C15" s="10">
        <v>10</v>
      </c>
      <c r="D15" s="10">
        <v>5</v>
      </c>
      <c r="E15" s="10">
        <v>1</v>
      </c>
      <c r="F15" s="10">
        <v>0</v>
      </c>
    </row>
    <row r="16" spans="2:6" ht="15" customHeight="1">
      <c r="B16" s="8">
        <v>46150</v>
      </c>
      <c r="C16" s="10">
        <v>6</v>
      </c>
      <c r="D16" s="10">
        <v>4</v>
      </c>
      <c r="E16" s="10">
        <v>0</v>
      </c>
      <c r="F16" s="10">
        <v>0</v>
      </c>
    </row>
    <row r="17" spans="2:6" ht="15" customHeight="1">
      <c r="B17" s="8">
        <v>46151</v>
      </c>
      <c r="C17" s="10">
        <v>5</v>
      </c>
      <c r="D17" s="10">
        <v>0</v>
      </c>
      <c r="E17" s="10">
        <v>0</v>
      </c>
      <c r="F17" s="10">
        <v>0</v>
      </c>
    </row>
    <row r="18" spans="2:6" ht="15" customHeight="1">
      <c r="B18" s="8">
        <v>46152</v>
      </c>
      <c r="C18" s="10">
        <v>13</v>
      </c>
      <c r="D18" s="10">
        <v>0</v>
      </c>
      <c r="E18" s="10">
        <v>0</v>
      </c>
      <c r="F18" s="10">
        <v>0</v>
      </c>
    </row>
    <row r="19" spans="2:6" ht="15" customHeight="1">
      <c r="B19" s="8">
        <v>46153</v>
      </c>
      <c r="C19" s="10">
        <v>1</v>
      </c>
      <c r="D19" s="10">
        <v>0</v>
      </c>
      <c r="E19" s="10">
        <v>0</v>
      </c>
      <c r="F19" s="10">
        <v>0</v>
      </c>
    </row>
    <row r="20" spans="2:6" ht="15" customHeight="1">
      <c r="B20" s="8">
        <v>46154</v>
      </c>
      <c r="C20" s="10">
        <v>0</v>
      </c>
      <c r="D20" s="10">
        <v>2</v>
      </c>
      <c r="E20" s="10">
        <v>0</v>
      </c>
      <c r="F20" s="10">
        <v>0</v>
      </c>
    </row>
    <row r="21" spans="2:6" ht="15" customHeight="1">
      <c r="B21" s="8">
        <v>46155</v>
      </c>
      <c r="C21" s="10">
        <v>5</v>
      </c>
      <c r="D21" s="10">
        <v>4</v>
      </c>
      <c r="E21" s="10">
        <v>1</v>
      </c>
      <c r="F21" s="10">
        <v>0</v>
      </c>
    </row>
    <row r="22" spans="2:6" ht="15" customHeight="1">
      <c r="B22" s="8">
        <v>46156</v>
      </c>
      <c r="C22" s="10">
        <v>4</v>
      </c>
      <c r="D22" s="10">
        <v>2</v>
      </c>
      <c r="E22" s="10">
        <v>0</v>
      </c>
      <c r="F22" s="10">
        <v>0</v>
      </c>
    </row>
    <row r="23" spans="2:6" ht="15" customHeight="1">
      <c r="B23" s="8">
        <v>46157</v>
      </c>
      <c r="C23" s="10">
        <v>8</v>
      </c>
      <c r="D23" s="10">
        <v>3</v>
      </c>
      <c r="E23" s="10">
        <v>0</v>
      </c>
      <c r="F23" s="10">
        <v>0</v>
      </c>
    </row>
    <row r="24" spans="2:6" ht="15" customHeight="1">
      <c r="B24" s="8">
        <v>46158</v>
      </c>
      <c r="C24" s="10">
        <v>0</v>
      </c>
      <c r="D24" s="10">
        <v>0</v>
      </c>
      <c r="E24" s="10">
        <v>0</v>
      </c>
      <c r="F24" s="10">
        <v>0</v>
      </c>
    </row>
    <row r="25" spans="2:6" ht="15" customHeight="1">
      <c r="B25" s="8">
        <v>46159</v>
      </c>
      <c r="C25" s="10">
        <v>0</v>
      </c>
      <c r="D25" s="10">
        <v>0</v>
      </c>
      <c r="E25" s="10">
        <v>0</v>
      </c>
      <c r="F25" s="10">
        <v>0</v>
      </c>
    </row>
    <row r="26" spans="2:6" ht="15" customHeight="1">
      <c r="B26" s="8">
        <v>46160</v>
      </c>
      <c r="C26" s="10">
        <v>2</v>
      </c>
      <c r="D26" s="10">
        <v>1</v>
      </c>
      <c r="E26" s="10">
        <v>0</v>
      </c>
      <c r="F26" s="10">
        <v>0</v>
      </c>
    </row>
    <row r="27" spans="2:6" ht="15" customHeight="1">
      <c r="B27" s="8">
        <v>46161</v>
      </c>
      <c r="C27" s="10">
        <v>5</v>
      </c>
      <c r="D27" s="10">
        <v>3</v>
      </c>
      <c r="E27" s="10">
        <v>0</v>
      </c>
      <c r="F27" s="10">
        <v>0</v>
      </c>
    </row>
    <row r="28" spans="2:6" ht="15" customHeight="1">
      <c r="B28" s="8">
        <v>46162</v>
      </c>
      <c r="C28" s="10">
        <v>14</v>
      </c>
      <c r="D28" s="10">
        <v>2</v>
      </c>
      <c r="E28" s="10">
        <v>1</v>
      </c>
      <c r="F28" s="10">
        <v>0</v>
      </c>
    </row>
    <row r="29" spans="2:6" ht="15" customHeight="1">
      <c r="B29" s="8">
        <v>46163</v>
      </c>
      <c r="C29" s="10">
        <v>5</v>
      </c>
      <c r="D29" s="10">
        <v>1</v>
      </c>
      <c r="E29" s="10">
        <v>0</v>
      </c>
      <c r="F29" s="10">
        <v>1</v>
      </c>
    </row>
    <row r="30" spans="2:6" ht="15" customHeight="1">
      <c r="B30" s="8">
        <v>46164</v>
      </c>
      <c r="C30" s="10">
        <v>6</v>
      </c>
      <c r="D30" s="10">
        <v>2</v>
      </c>
      <c r="E30" s="10">
        <v>0</v>
      </c>
      <c r="F30" s="10">
        <v>0</v>
      </c>
    </row>
    <row r="31" spans="2:6" ht="15" customHeight="1">
      <c r="B31" s="8">
        <v>46165</v>
      </c>
      <c r="C31" s="10">
        <v>5</v>
      </c>
      <c r="D31" s="10">
        <v>0</v>
      </c>
      <c r="E31" s="10">
        <v>0</v>
      </c>
      <c r="F31" s="10">
        <v>0</v>
      </c>
    </row>
    <row r="32" spans="2:6" ht="15" customHeight="1">
      <c r="B32" s="8">
        <v>46166</v>
      </c>
      <c r="C32" s="10">
        <v>4</v>
      </c>
      <c r="D32" s="10">
        <v>0</v>
      </c>
      <c r="E32" s="10">
        <v>0</v>
      </c>
      <c r="F32" s="10">
        <v>0</v>
      </c>
    </row>
    <row r="33" spans="2:6" ht="15" customHeight="1">
      <c r="B33" s="8">
        <v>46167</v>
      </c>
      <c r="C33" s="10">
        <v>4</v>
      </c>
      <c r="D33" s="10">
        <v>1</v>
      </c>
      <c r="E33" s="10">
        <v>1</v>
      </c>
      <c r="F33" s="10">
        <v>0</v>
      </c>
    </row>
    <row r="34" spans="2:6" ht="15" customHeight="1">
      <c r="B34" s="8">
        <v>46168</v>
      </c>
      <c r="C34" s="10">
        <v>17</v>
      </c>
      <c r="D34" s="10">
        <v>1</v>
      </c>
      <c r="E34" s="10">
        <v>0</v>
      </c>
      <c r="F34" s="10">
        <v>0</v>
      </c>
    </row>
    <row r="35" spans="2:6" ht="15" customHeight="1">
      <c r="B35" s="8">
        <v>46169</v>
      </c>
      <c r="C35" s="10">
        <v>1</v>
      </c>
      <c r="D35" s="10">
        <v>1</v>
      </c>
      <c r="E35" s="10">
        <v>1</v>
      </c>
      <c r="F35" s="10">
        <v>0</v>
      </c>
    </row>
    <row r="36" spans="2:6" ht="15" customHeight="1">
      <c r="B36" s="8">
        <v>46170</v>
      </c>
      <c r="C36" s="10">
        <v>7</v>
      </c>
      <c r="D36" s="10">
        <v>1</v>
      </c>
      <c r="E36" s="10">
        <v>0</v>
      </c>
      <c r="F36" s="10">
        <v>0</v>
      </c>
    </row>
    <row r="37" spans="2:6" ht="15" customHeight="1">
      <c r="B37" s="8">
        <v>46171</v>
      </c>
      <c r="C37" s="10">
        <v>3</v>
      </c>
      <c r="D37" s="10">
        <v>0</v>
      </c>
      <c r="E37" s="10">
        <v>0</v>
      </c>
      <c r="F37" s="10">
        <v>0</v>
      </c>
    </row>
    <row r="38" spans="2:6" ht="15" customHeight="1">
      <c r="B38" s="8">
        <v>46172</v>
      </c>
      <c r="C38" s="10">
        <v>4</v>
      </c>
      <c r="D38" s="10">
        <v>0</v>
      </c>
      <c r="E38" s="10">
        <v>0</v>
      </c>
      <c r="F38" s="10">
        <v>0</v>
      </c>
    </row>
    <row r="39" spans="2:6" ht="15" customHeight="1">
      <c r="B39" s="8">
        <v>46173</v>
      </c>
      <c r="C39" s="10">
        <v>4</v>
      </c>
      <c r="D39" s="10">
        <v>0</v>
      </c>
      <c r="E39" s="10">
        <v>0</v>
      </c>
      <c r="F39" s="10">
        <v>0</v>
      </c>
    </row>
    <row r="40" spans="2:6" ht="15" customHeight="1">
      <c r="B40" s="9" t="s">
        <v>11</v>
      </c>
      <c r="C40" s="11">
        <v>156</v>
      </c>
      <c r="D40" s="11">
        <v>45</v>
      </c>
      <c r="E40" s="11">
        <v>9</v>
      </c>
      <c r="F40" s="11">
        <v>1</v>
      </c>
    </row>
    <row r="42" spans="2:2" ht="12.75">
      <c r="B42" s="5" t="s">
        <v>12</v>
      </c>
    </row>
    <row r="44" spans="2:8" ht="30" customHeight="1">
      <c r="B44" s="6" t="s">
        <v>6</v>
      </c>
      <c r="C44" s="7" t="s">
        <v>7</v>
      </c>
      <c r="D44" s="7" t="s">
        <v>8</v>
      </c>
      <c r="E44" s="7" t="s">
        <v>9</v>
      </c>
      <c r="F44" s="7" t="s">
        <v>10</v>
      </c>
    </row>
    <row r="45" spans="2:6" ht="15" customHeight="1">
      <c r="B45" s="8">
        <v>46143</v>
      </c>
      <c r="C45" s="10">
        <v>6</v>
      </c>
      <c r="D45" s="10">
        <v>0</v>
      </c>
      <c r="E45" s="10">
        <v>0</v>
      </c>
      <c r="F45" s="10">
        <v>0</v>
      </c>
    </row>
    <row r="46" spans="2:6" ht="15" customHeight="1">
      <c r="B46" s="8">
        <v>46144</v>
      </c>
      <c r="C46" s="10">
        <v>0</v>
      </c>
      <c r="D46" s="10">
        <v>0</v>
      </c>
      <c r="E46" s="10">
        <v>0</v>
      </c>
      <c r="F46" s="10">
        <v>0</v>
      </c>
    </row>
    <row r="47" spans="2:6" ht="15" customHeight="1">
      <c r="B47" s="8">
        <v>46145</v>
      </c>
      <c r="C47" s="10">
        <v>152</v>
      </c>
      <c r="D47" s="10">
        <v>0</v>
      </c>
      <c r="E47" s="10">
        <v>0</v>
      </c>
      <c r="F47" s="10">
        <v>0</v>
      </c>
    </row>
    <row r="48" spans="2:6" ht="15" customHeight="1">
      <c r="B48" s="8">
        <v>46146</v>
      </c>
      <c r="C48" s="10">
        <v>0</v>
      </c>
      <c r="D48" s="10">
        <v>10</v>
      </c>
      <c r="E48" s="10">
        <v>5</v>
      </c>
      <c r="F48" s="10">
        <v>0</v>
      </c>
    </row>
    <row r="49" spans="2:6" ht="15" customHeight="1">
      <c r="B49" s="8">
        <v>46147</v>
      </c>
      <c r="C49" s="10">
        <v>13</v>
      </c>
      <c r="D49" s="10">
        <v>9</v>
      </c>
      <c r="E49" s="10">
        <v>2</v>
      </c>
      <c r="F49" s="10">
        <v>0</v>
      </c>
    </row>
    <row r="50" spans="2:6" ht="15" customHeight="1">
      <c r="B50" s="8">
        <v>46148</v>
      </c>
      <c r="C50" s="10">
        <v>173</v>
      </c>
      <c r="D50" s="10">
        <v>4</v>
      </c>
      <c r="E50" s="10">
        <v>3</v>
      </c>
      <c r="F50" s="10">
        <v>0</v>
      </c>
    </row>
    <row r="51" spans="2:6" ht="15" customHeight="1">
      <c r="B51" s="8">
        <v>46149</v>
      </c>
      <c r="C51" s="10">
        <v>4</v>
      </c>
      <c r="D51" s="10">
        <v>4</v>
      </c>
      <c r="E51" s="10">
        <v>0</v>
      </c>
      <c r="F51" s="10">
        <v>0</v>
      </c>
    </row>
    <row r="52" spans="2:6" ht="15" customHeight="1">
      <c r="B52" s="8">
        <v>46150</v>
      </c>
      <c r="C52" s="10">
        <v>10</v>
      </c>
      <c r="D52" s="10">
        <v>4</v>
      </c>
      <c r="E52" s="10">
        <v>0</v>
      </c>
      <c r="F52" s="10">
        <v>0</v>
      </c>
    </row>
    <row r="53" spans="2:6" ht="15" customHeight="1">
      <c r="B53" s="8">
        <v>46151</v>
      </c>
      <c r="C53" s="10">
        <v>13</v>
      </c>
      <c r="D53" s="10">
        <v>0</v>
      </c>
      <c r="E53" s="10">
        <v>0</v>
      </c>
      <c r="F53" s="10">
        <v>0</v>
      </c>
    </row>
    <row r="54" spans="2:6" ht="15" customHeight="1">
      <c r="B54" s="8">
        <v>46152</v>
      </c>
      <c r="C54" s="10">
        <v>360</v>
      </c>
      <c r="D54" s="10">
        <v>0</v>
      </c>
      <c r="E54" s="10">
        <v>0</v>
      </c>
      <c r="F54" s="10">
        <v>0</v>
      </c>
    </row>
    <row r="55" spans="2:6" ht="15" customHeight="1">
      <c r="B55" s="8">
        <v>46153</v>
      </c>
      <c r="C55" s="10">
        <v>396</v>
      </c>
      <c r="D55" s="10">
        <v>0</v>
      </c>
      <c r="E55" s="10">
        <v>0</v>
      </c>
      <c r="F55" s="10">
        <v>0</v>
      </c>
    </row>
    <row r="56" spans="2:6" ht="15" customHeight="1">
      <c r="B56" s="8">
        <v>46154</v>
      </c>
      <c r="C56" s="10">
        <v>0</v>
      </c>
      <c r="D56" s="10">
        <v>1</v>
      </c>
      <c r="E56" s="10">
        <v>0</v>
      </c>
      <c r="F56" s="10">
        <v>0</v>
      </c>
    </row>
    <row r="57" spans="2:6" ht="15" customHeight="1">
      <c r="B57" s="8">
        <v>46155</v>
      </c>
      <c r="C57" s="10">
        <v>16</v>
      </c>
      <c r="D57" s="10">
        <v>8</v>
      </c>
      <c r="E57" s="10">
        <v>0</v>
      </c>
      <c r="F57" s="10">
        <v>0</v>
      </c>
    </row>
    <row r="58" spans="2:6" ht="15" customHeight="1">
      <c r="B58" s="8">
        <v>46156</v>
      </c>
      <c r="C58" s="10">
        <v>4</v>
      </c>
      <c r="D58" s="10">
        <v>4</v>
      </c>
      <c r="E58" s="10">
        <v>0</v>
      </c>
      <c r="F58" s="10">
        <v>0</v>
      </c>
    </row>
    <row r="59" spans="2:6" ht="15" customHeight="1">
      <c r="B59" s="8">
        <v>46157</v>
      </c>
      <c r="C59" s="10">
        <v>12</v>
      </c>
      <c r="D59" s="10">
        <v>3</v>
      </c>
      <c r="E59" s="10">
        <v>0</v>
      </c>
      <c r="F59" s="10">
        <v>0</v>
      </c>
    </row>
    <row r="60" spans="2:6" ht="15" customHeight="1">
      <c r="B60" s="8">
        <v>46158</v>
      </c>
      <c r="C60" s="10">
        <v>0</v>
      </c>
      <c r="D60" s="10">
        <v>0</v>
      </c>
      <c r="E60" s="10">
        <v>0</v>
      </c>
      <c r="F60" s="10">
        <v>0</v>
      </c>
    </row>
    <row r="61" spans="2:6" ht="15" customHeight="1">
      <c r="B61" s="8">
        <v>46159</v>
      </c>
      <c r="C61" s="10">
        <v>0</v>
      </c>
      <c r="D61" s="10">
        <v>0</v>
      </c>
      <c r="E61" s="10">
        <v>0</v>
      </c>
      <c r="F61" s="10">
        <v>0</v>
      </c>
    </row>
    <row r="62" spans="2:6" ht="15" customHeight="1">
      <c r="B62" s="8">
        <v>46160</v>
      </c>
      <c r="C62" s="10">
        <v>328</v>
      </c>
      <c r="D62" s="10">
        <v>0</v>
      </c>
      <c r="E62" s="10">
        <v>0</v>
      </c>
      <c r="F62" s="10">
        <v>0</v>
      </c>
    </row>
    <row r="63" spans="2:6" ht="15" customHeight="1">
      <c r="B63" s="8">
        <v>46161</v>
      </c>
      <c r="C63" s="10">
        <v>12</v>
      </c>
      <c r="D63" s="10">
        <v>2</v>
      </c>
      <c r="E63" s="10">
        <v>0</v>
      </c>
      <c r="F63" s="10">
        <v>0</v>
      </c>
    </row>
    <row r="64" spans="2:6" ht="15" customHeight="1">
      <c r="B64" s="8">
        <v>46162</v>
      </c>
      <c r="C64" s="10">
        <v>13</v>
      </c>
      <c r="D64" s="10">
        <v>3</v>
      </c>
      <c r="E64" s="10">
        <v>3</v>
      </c>
      <c r="F64" s="10">
        <v>0</v>
      </c>
    </row>
    <row r="65" spans="2:6" ht="15" customHeight="1">
      <c r="B65" s="8">
        <v>46163</v>
      </c>
      <c r="C65" s="10">
        <v>10</v>
      </c>
      <c r="D65" s="10">
        <v>3</v>
      </c>
      <c r="E65" s="10">
        <v>0</v>
      </c>
      <c r="F65" s="10">
        <v>0</v>
      </c>
    </row>
    <row r="66" spans="2:6" ht="15" customHeight="1">
      <c r="B66" s="8">
        <v>46164</v>
      </c>
      <c r="C66" s="10">
        <v>2</v>
      </c>
      <c r="D66" s="10">
        <v>3</v>
      </c>
      <c r="E66" s="10">
        <v>0</v>
      </c>
      <c r="F66" s="10">
        <v>0</v>
      </c>
    </row>
    <row r="67" spans="2:6" ht="15" customHeight="1">
      <c r="B67" s="8">
        <v>46165</v>
      </c>
      <c r="C67" s="10">
        <v>9</v>
      </c>
      <c r="D67" s="10">
        <v>0</v>
      </c>
      <c r="E67" s="10">
        <v>0</v>
      </c>
      <c r="F67" s="10">
        <v>0</v>
      </c>
    </row>
    <row r="68" spans="2:6" ht="15" customHeight="1">
      <c r="B68" s="8">
        <v>46166</v>
      </c>
      <c r="C68" s="10">
        <v>1</v>
      </c>
      <c r="D68" s="10">
        <v>0</v>
      </c>
      <c r="E68" s="10">
        <v>0</v>
      </c>
      <c r="F68" s="10">
        <v>0</v>
      </c>
    </row>
    <row r="69" spans="2:6" ht="15" customHeight="1">
      <c r="B69" s="8">
        <v>46167</v>
      </c>
      <c r="C69" s="10">
        <v>0</v>
      </c>
      <c r="D69" s="10">
        <v>3</v>
      </c>
      <c r="E69" s="10">
        <v>3</v>
      </c>
      <c r="F69" s="10">
        <v>0</v>
      </c>
    </row>
    <row r="70" spans="2:6" ht="15" customHeight="1">
      <c r="B70" s="8">
        <v>46168</v>
      </c>
      <c r="C70" s="10">
        <v>15</v>
      </c>
      <c r="D70" s="10">
        <v>2</v>
      </c>
      <c r="E70" s="10">
        <v>0</v>
      </c>
      <c r="F70" s="10">
        <v>0</v>
      </c>
    </row>
    <row r="71" spans="2:6" ht="15" customHeight="1">
      <c r="B71" s="8">
        <v>46169</v>
      </c>
      <c r="C71" s="10">
        <v>4</v>
      </c>
      <c r="D71" s="10">
        <v>2</v>
      </c>
      <c r="E71" s="10">
        <v>2</v>
      </c>
      <c r="F71" s="10">
        <v>0</v>
      </c>
    </row>
    <row r="72" spans="2:6" ht="15" customHeight="1">
      <c r="B72" s="8">
        <v>46170</v>
      </c>
      <c r="C72" s="10">
        <v>138</v>
      </c>
      <c r="D72" s="10">
        <v>1</v>
      </c>
      <c r="E72" s="10">
        <v>0</v>
      </c>
      <c r="F72" s="10">
        <v>0</v>
      </c>
    </row>
    <row r="73" spans="2:6" ht="15" customHeight="1">
      <c r="B73" s="8">
        <v>46171</v>
      </c>
      <c r="C73" s="10">
        <v>0</v>
      </c>
      <c r="D73" s="10">
        <v>0</v>
      </c>
      <c r="E73" s="10">
        <v>0</v>
      </c>
      <c r="F73" s="10">
        <v>0</v>
      </c>
    </row>
    <row r="74" spans="2:6" ht="15" customHeight="1">
      <c r="B74" s="8">
        <v>46172</v>
      </c>
      <c r="C74" s="10">
        <v>1</v>
      </c>
      <c r="D74" s="10">
        <v>0</v>
      </c>
      <c r="E74" s="10">
        <v>0</v>
      </c>
      <c r="F74" s="10">
        <v>0</v>
      </c>
    </row>
    <row r="75" spans="2:6" ht="15" customHeight="1">
      <c r="B75" s="8">
        <v>46173</v>
      </c>
      <c r="C75" s="10">
        <v>0</v>
      </c>
      <c r="D75" s="10">
        <v>0</v>
      </c>
      <c r="E75" s="10">
        <v>0</v>
      </c>
      <c r="F75" s="10">
        <v>0</v>
      </c>
    </row>
    <row r="76" spans="2:6" ht="15" customHeight="1">
      <c r="B76" s="9" t="s">
        <v>11</v>
      </c>
      <c r="C76" s="11">
        <v>1692</v>
      </c>
      <c r="D76" s="11">
        <v>66</v>
      </c>
      <c r="E76" s="11">
        <v>18</v>
      </c>
      <c r="F76" s="11">
        <v>0</v>
      </c>
    </row>
    <row r="78" spans="2:2" ht="12.75">
      <c r="B78" s="5" t="s">
        <v>13</v>
      </c>
    </row>
    <row r="80" spans="2:8" ht="30" customHeight="1">
      <c r="B80" s="6" t="s">
        <v>6</v>
      </c>
      <c r="C80" s="7" t="s">
        <v>7</v>
      </c>
      <c r="D80" s="7" t="s">
        <v>8</v>
      </c>
      <c r="E80" s="7" t="s">
        <v>9</v>
      </c>
      <c r="F80" s="7" t="s">
        <v>10</v>
      </c>
    </row>
    <row r="81" spans="2:6" ht="15" customHeight="1">
      <c r="B81" s="8">
        <v>46143</v>
      </c>
      <c r="C81" s="10">
        <v>153466</v>
      </c>
      <c r="D81" s="10">
        <v>0</v>
      </c>
      <c r="E81" s="10">
        <v>0</v>
      </c>
      <c r="F81" s="10">
        <v>0</v>
      </c>
    </row>
    <row r="82" spans="2:6" ht="15" customHeight="1">
      <c r="B82" s="8">
        <v>46144</v>
      </c>
      <c r="C82" s="10">
        <v>4402</v>
      </c>
      <c r="D82" s="10">
        <v>0</v>
      </c>
      <c r="E82" s="10">
        <v>0</v>
      </c>
      <c r="F82" s="10">
        <v>0</v>
      </c>
    </row>
    <row r="83" spans="2:6" ht="15" customHeight="1">
      <c r="B83" s="8">
        <v>46145</v>
      </c>
      <c r="C83" s="10">
        <v>98719</v>
      </c>
      <c r="D83" s="10">
        <v>0</v>
      </c>
      <c r="E83" s="10">
        <v>0</v>
      </c>
      <c r="F83" s="10">
        <v>0</v>
      </c>
    </row>
    <row r="84" spans="2:6" ht="15" customHeight="1">
      <c r="B84" s="8">
        <v>46146</v>
      </c>
      <c r="C84" s="10">
        <v>0</v>
      </c>
      <c r="D84" s="10">
        <v>1280300</v>
      </c>
      <c r="E84" s="10">
        <v>1280300</v>
      </c>
      <c r="F84" s="10">
        <v>0</v>
      </c>
    </row>
    <row r="85" spans="2:6" ht="15" customHeight="1">
      <c r="B85" s="8">
        <v>46147</v>
      </c>
      <c r="C85" s="10">
        <v>1408661</v>
      </c>
      <c r="D85" s="10">
        <v>469599</v>
      </c>
      <c r="E85" s="10">
        <v>3437</v>
      </c>
      <c r="F85" s="10">
        <v>0</v>
      </c>
    </row>
    <row r="86" spans="2:6" ht="15" customHeight="1">
      <c r="B86" s="8">
        <v>46148</v>
      </c>
      <c r="C86" s="10">
        <v>78400</v>
      </c>
      <c r="D86" s="10">
        <v>331090</v>
      </c>
      <c r="E86" s="10">
        <v>22770</v>
      </c>
      <c r="F86" s="10">
        <v>0</v>
      </c>
    </row>
    <row r="87" spans="2:6" ht="15" customHeight="1">
      <c r="B87" s="8">
        <v>46149</v>
      </c>
      <c r="C87" s="10">
        <v>41838</v>
      </c>
      <c r="D87" s="10">
        <v>579703</v>
      </c>
      <c r="E87" s="10">
        <v>0</v>
      </c>
      <c r="F87" s="10">
        <v>0</v>
      </c>
    </row>
    <row r="88" spans="2:6" ht="15" customHeight="1">
      <c r="B88" s="8">
        <v>46150</v>
      </c>
      <c r="C88" s="10">
        <v>271865</v>
      </c>
      <c r="D88" s="10">
        <v>312228</v>
      </c>
      <c r="E88" s="10">
        <v>0</v>
      </c>
      <c r="F88" s="10">
        <v>0</v>
      </c>
    </row>
    <row r="89" spans="2:6" ht="15" customHeight="1">
      <c r="B89" s="8">
        <v>46151</v>
      </c>
      <c r="C89" s="10">
        <v>50681</v>
      </c>
      <c r="D89" s="10">
        <v>0</v>
      </c>
      <c r="E89" s="10">
        <v>0</v>
      </c>
      <c r="F89" s="10">
        <v>0</v>
      </c>
    </row>
    <row r="90" spans="2:6" ht="15" customHeight="1">
      <c r="B90" s="8">
        <v>46152</v>
      </c>
      <c r="C90" s="10">
        <v>40607</v>
      </c>
      <c r="D90" s="10">
        <v>0</v>
      </c>
      <c r="E90" s="10">
        <v>0</v>
      </c>
      <c r="F90" s="10">
        <v>0</v>
      </c>
    </row>
    <row r="91" spans="2:6" ht="15" customHeight="1">
      <c r="B91" s="8">
        <v>46153</v>
      </c>
      <c r="C91" s="10">
        <v>17748</v>
      </c>
      <c r="D91" s="10">
        <v>0</v>
      </c>
      <c r="E91" s="10">
        <v>0</v>
      </c>
      <c r="F91" s="10">
        <v>0</v>
      </c>
    </row>
    <row r="92" spans="2:6" ht="15" customHeight="1">
      <c r="B92" s="8">
        <v>46154</v>
      </c>
      <c r="C92" s="10">
        <v>0</v>
      </c>
      <c r="D92" s="10">
        <v>61584</v>
      </c>
      <c r="E92" s="10">
        <v>0</v>
      </c>
      <c r="F92" s="10">
        <v>0</v>
      </c>
    </row>
    <row r="93" spans="2:6" ht="15" customHeight="1">
      <c r="B93" s="8">
        <v>46155</v>
      </c>
      <c r="C93" s="10">
        <v>222353</v>
      </c>
      <c r="D93" s="10">
        <v>675175</v>
      </c>
      <c r="E93" s="10">
        <v>280517</v>
      </c>
      <c r="F93" s="10">
        <v>0</v>
      </c>
    </row>
    <row r="94" spans="2:6" ht="15" customHeight="1">
      <c r="B94" s="8">
        <v>46156</v>
      </c>
      <c r="C94" s="10">
        <v>799717</v>
      </c>
      <c r="D94" s="10">
        <v>582104</v>
      </c>
      <c r="E94" s="10">
        <v>0</v>
      </c>
      <c r="F94" s="10">
        <v>0</v>
      </c>
    </row>
    <row r="95" spans="2:6" ht="15" customHeight="1">
      <c r="B95" s="8">
        <v>46157</v>
      </c>
      <c r="C95" s="10">
        <v>336516</v>
      </c>
      <c r="D95" s="10">
        <v>566850</v>
      </c>
      <c r="E95" s="10">
        <v>0</v>
      </c>
      <c r="F95" s="10">
        <v>0</v>
      </c>
    </row>
    <row r="96" spans="2:6" ht="15" customHeight="1">
      <c r="B96" s="8">
        <v>46158</v>
      </c>
      <c r="C96" s="10">
        <v>0</v>
      </c>
      <c r="D96" s="10">
        <v>0</v>
      </c>
      <c r="E96" s="10">
        <v>0</v>
      </c>
      <c r="F96" s="10">
        <v>0</v>
      </c>
    </row>
    <row r="97" spans="2:6" ht="15" customHeight="1">
      <c r="B97" s="8">
        <v>46159</v>
      </c>
      <c r="C97" s="10">
        <v>0</v>
      </c>
      <c r="D97" s="10">
        <v>0</v>
      </c>
      <c r="E97" s="10">
        <v>0</v>
      </c>
      <c r="F97" s="10">
        <v>0</v>
      </c>
    </row>
    <row r="98" spans="2:6" ht="15" customHeight="1">
      <c r="B98" s="8">
        <v>46160</v>
      </c>
      <c r="C98" s="10">
        <v>10458</v>
      </c>
      <c r="D98" s="10">
        <v>43179</v>
      </c>
      <c r="E98" s="10">
        <v>0</v>
      </c>
      <c r="F98" s="10">
        <v>0</v>
      </c>
    </row>
    <row r="99" spans="2:6" ht="15" customHeight="1">
      <c r="B99" s="8">
        <v>46161</v>
      </c>
      <c r="C99" s="10">
        <v>1419076</v>
      </c>
      <c r="D99" s="10">
        <v>236767</v>
      </c>
      <c r="E99" s="10">
        <v>0</v>
      </c>
      <c r="F99" s="10">
        <v>0</v>
      </c>
    </row>
    <row r="100" spans="2:6" ht="15" customHeight="1">
      <c r="B100" s="8">
        <v>46162</v>
      </c>
      <c r="C100" s="10">
        <v>234100</v>
      </c>
      <c r="D100" s="10">
        <v>180641</v>
      </c>
      <c r="E100" s="10">
        <v>173962</v>
      </c>
      <c r="F100" s="10">
        <v>0</v>
      </c>
    </row>
    <row r="101" spans="2:6" ht="15" customHeight="1">
      <c r="B101" s="8">
        <v>46163</v>
      </c>
      <c r="C101" s="10">
        <v>398386</v>
      </c>
      <c r="D101" s="10">
        <v>87176</v>
      </c>
      <c r="E101" s="10">
        <v>0</v>
      </c>
      <c r="F101" s="10">
        <v>50</v>
      </c>
    </row>
    <row r="102" spans="2:6" ht="15" customHeight="1">
      <c r="B102" s="8">
        <v>46164</v>
      </c>
      <c r="C102" s="10">
        <v>53026</v>
      </c>
      <c r="D102" s="10">
        <v>82162</v>
      </c>
      <c r="E102" s="10">
        <v>0</v>
      </c>
      <c r="F102" s="10">
        <v>0</v>
      </c>
    </row>
    <row r="103" spans="2:6" ht="15" customHeight="1">
      <c r="B103" s="8">
        <v>46165</v>
      </c>
      <c r="C103" s="10">
        <v>214536</v>
      </c>
      <c r="D103" s="10">
        <v>0</v>
      </c>
      <c r="E103" s="10">
        <v>0</v>
      </c>
      <c r="F103" s="10">
        <v>0</v>
      </c>
    </row>
    <row r="104" spans="2:6" ht="15" customHeight="1">
      <c r="B104" s="8">
        <v>46166</v>
      </c>
      <c r="C104" s="10">
        <v>19220</v>
      </c>
      <c r="D104" s="10">
        <v>0</v>
      </c>
      <c r="E104" s="10">
        <v>0</v>
      </c>
      <c r="F104" s="10">
        <v>0</v>
      </c>
    </row>
    <row r="105" spans="2:6" ht="15" customHeight="1">
      <c r="B105" s="8">
        <v>46167</v>
      </c>
      <c r="C105" s="10">
        <v>659</v>
      </c>
      <c r="D105" s="10">
        <v>42011</v>
      </c>
      <c r="E105" s="10">
        <v>42011</v>
      </c>
      <c r="F105" s="10">
        <v>0</v>
      </c>
    </row>
    <row r="106" spans="2:6" ht="15" customHeight="1">
      <c r="B106" s="8">
        <v>46168</v>
      </c>
      <c r="C106" s="10">
        <v>256569</v>
      </c>
      <c r="D106" s="10">
        <v>153200</v>
      </c>
      <c r="E106" s="10">
        <v>0</v>
      </c>
      <c r="F106" s="10">
        <v>0</v>
      </c>
    </row>
    <row r="107" spans="2:6" ht="15" customHeight="1">
      <c r="B107" s="8">
        <v>46169</v>
      </c>
      <c r="C107" s="10">
        <v>191376</v>
      </c>
      <c r="D107" s="10">
        <v>24003</v>
      </c>
      <c r="E107" s="10">
        <v>24003</v>
      </c>
      <c r="F107" s="10">
        <v>0</v>
      </c>
    </row>
    <row r="108" spans="2:6" ht="15" customHeight="1">
      <c r="B108" s="8">
        <v>46170</v>
      </c>
      <c r="C108" s="10">
        <v>336121</v>
      </c>
      <c r="D108" s="10">
        <v>60187</v>
      </c>
      <c r="E108" s="10">
        <v>0</v>
      </c>
      <c r="F108" s="10">
        <v>0</v>
      </c>
    </row>
    <row r="109" spans="2:6" ht="15" customHeight="1">
      <c r="B109" s="8">
        <v>46171</v>
      </c>
      <c r="C109" s="10">
        <v>4236</v>
      </c>
      <c r="D109" s="10">
        <v>0</v>
      </c>
      <c r="E109" s="10">
        <v>0</v>
      </c>
      <c r="F109" s="10">
        <v>0</v>
      </c>
    </row>
    <row r="110" spans="2:6" ht="15" customHeight="1">
      <c r="B110" s="8">
        <v>46172</v>
      </c>
      <c r="C110" s="10">
        <v>618216</v>
      </c>
      <c r="D110" s="10">
        <v>0</v>
      </c>
      <c r="E110" s="10">
        <v>0</v>
      </c>
      <c r="F110" s="10">
        <v>0</v>
      </c>
    </row>
    <row r="111" spans="2:6" ht="15" customHeight="1">
      <c r="B111" s="8">
        <v>46173</v>
      </c>
      <c r="C111" s="10">
        <v>1064229</v>
      </c>
      <c r="D111" s="10">
        <v>0</v>
      </c>
      <c r="E111" s="10">
        <v>0</v>
      </c>
      <c r="F111" s="10">
        <v>0</v>
      </c>
    </row>
    <row r="112" spans="2:6" ht="15" customHeight="1">
      <c r="B112" s="9" t="s">
        <v>11</v>
      </c>
      <c r="C112" s="11">
        <v>7538731</v>
      </c>
      <c r="D112" s="11">
        <v>4660016</v>
      </c>
      <c r="E112" s="11">
        <v>1827000</v>
      </c>
      <c r="F112" s="11">
        <v>50</v>
      </c>
    </row>
    <row r="114" spans="2:2" ht="12.75">
      <c r="B114" s="5" t="s">
        <v>14</v>
      </c>
    </row>
    <row r="116" spans="2:8" ht="30" customHeight="1">
      <c r="B116" s="6" t="s">
        <v>6</v>
      </c>
      <c r="C116" s="7" t="s">
        <v>7</v>
      </c>
      <c r="D116" s="7" t="s">
        <v>8</v>
      </c>
      <c r="E116" s="7" t="s">
        <v>9</v>
      </c>
      <c r="F116" s="7" t="s">
        <v>10</v>
      </c>
    </row>
    <row r="117" spans="2:6" ht="15" customHeight="1">
      <c r="B117" s="8">
        <v>46143</v>
      </c>
      <c r="C117" s="10">
        <v>0</v>
      </c>
      <c r="D117" s="10">
        <v>0</v>
      </c>
      <c r="E117" s="10">
        <v>0</v>
      </c>
      <c r="F117" s="10">
        <v>0</v>
      </c>
    </row>
    <row r="118" spans="2:6" ht="15" customHeight="1">
      <c r="B118" s="8">
        <v>46144</v>
      </c>
      <c r="C118" s="10">
        <v>0</v>
      </c>
      <c r="D118" s="10">
        <v>0</v>
      </c>
      <c r="E118" s="10">
        <v>0</v>
      </c>
      <c r="F118" s="10">
        <v>0</v>
      </c>
    </row>
    <row r="119" spans="2:6" ht="15" customHeight="1">
      <c r="B119" s="8">
        <v>46145</v>
      </c>
      <c r="C119" s="10">
        <v>6238</v>
      </c>
      <c r="D119" s="10">
        <v>0</v>
      </c>
      <c r="E119" s="10">
        <v>0</v>
      </c>
      <c r="F119" s="10">
        <v>0</v>
      </c>
    </row>
    <row r="120" spans="2:6" ht="15" customHeight="1">
      <c r="B120" s="8">
        <v>46146</v>
      </c>
      <c r="C120" s="10">
        <v>0</v>
      </c>
      <c r="D120" s="10">
        <v>0</v>
      </c>
      <c r="E120" s="10">
        <v>0</v>
      </c>
      <c r="F120" s="10">
        <v>0</v>
      </c>
    </row>
    <row r="121" spans="2:6" ht="15" customHeight="1">
      <c r="B121" s="8">
        <v>46147</v>
      </c>
      <c r="C121" s="10">
        <v>728</v>
      </c>
      <c r="D121" s="10">
        <v>0</v>
      </c>
      <c r="E121" s="10">
        <v>0</v>
      </c>
      <c r="F121" s="10">
        <v>0</v>
      </c>
    </row>
    <row r="122" spans="2:6" ht="15" customHeight="1">
      <c r="B122" s="8">
        <v>46148</v>
      </c>
      <c r="C122" s="10">
        <v>483</v>
      </c>
      <c r="D122" s="10">
        <v>0</v>
      </c>
      <c r="E122" s="10">
        <v>0</v>
      </c>
      <c r="F122" s="10">
        <v>0</v>
      </c>
    </row>
    <row r="123" spans="2:6" ht="15" customHeight="1">
      <c r="B123" s="8">
        <v>46149</v>
      </c>
      <c r="C123" s="10">
        <v>0</v>
      </c>
      <c r="D123" s="10">
        <v>0</v>
      </c>
      <c r="E123" s="10">
        <v>0</v>
      </c>
      <c r="F123" s="10">
        <v>0</v>
      </c>
    </row>
    <row r="124" spans="2:6" ht="15" customHeight="1">
      <c r="B124" s="8">
        <v>46150</v>
      </c>
      <c r="C124" s="10">
        <v>0</v>
      </c>
      <c r="D124" s="10">
        <v>0</v>
      </c>
      <c r="E124" s="10">
        <v>0</v>
      </c>
      <c r="F124" s="10">
        <v>0</v>
      </c>
    </row>
    <row r="125" spans="2:6" ht="15" customHeight="1">
      <c r="B125" s="8">
        <v>46151</v>
      </c>
      <c r="C125" s="10">
        <v>1415</v>
      </c>
      <c r="D125" s="10">
        <v>0</v>
      </c>
      <c r="E125" s="10">
        <v>0</v>
      </c>
      <c r="F125" s="10">
        <v>0</v>
      </c>
    </row>
    <row r="126" spans="2:6" ht="15" customHeight="1">
      <c r="B126" s="8">
        <v>46152</v>
      </c>
      <c r="C126" s="10">
        <v>1237</v>
      </c>
      <c r="D126" s="10">
        <v>0</v>
      </c>
      <c r="E126" s="10">
        <v>0</v>
      </c>
      <c r="F126" s="10">
        <v>0</v>
      </c>
    </row>
    <row r="127" spans="2:6" ht="15" customHeight="1">
      <c r="B127" s="8">
        <v>46153</v>
      </c>
      <c r="C127" s="10">
        <v>3460</v>
      </c>
      <c r="D127" s="10">
        <v>0</v>
      </c>
      <c r="E127" s="10">
        <v>0</v>
      </c>
      <c r="F127" s="10">
        <v>0</v>
      </c>
    </row>
    <row r="128" spans="2:6" ht="15" customHeight="1">
      <c r="B128" s="8">
        <v>46154</v>
      </c>
      <c r="C128" s="10">
        <v>0</v>
      </c>
      <c r="D128" s="10">
        <v>0</v>
      </c>
      <c r="E128" s="10">
        <v>0</v>
      </c>
      <c r="F128" s="10">
        <v>0</v>
      </c>
    </row>
    <row r="129" spans="2:6" ht="15" customHeight="1">
      <c r="B129" s="8">
        <v>46155</v>
      </c>
      <c r="C129" s="10">
        <v>219</v>
      </c>
      <c r="D129" s="10">
        <v>0</v>
      </c>
      <c r="E129" s="10">
        <v>0</v>
      </c>
      <c r="F129" s="10">
        <v>0</v>
      </c>
    </row>
    <row r="130" spans="2:6" ht="15" customHeight="1">
      <c r="B130" s="8">
        <v>46156</v>
      </c>
      <c r="C130" s="10">
        <v>0</v>
      </c>
      <c r="D130" s="10">
        <v>0</v>
      </c>
      <c r="E130" s="10">
        <v>0</v>
      </c>
      <c r="F130" s="10">
        <v>0</v>
      </c>
    </row>
    <row r="131" spans="2:6" ht="15" customHeight="1">
      <c r="B131" s="8">
        <v>46157</v>
      </c>
      <c r="C131" s="10">
        <v>0</v>
      </c>
      <c r="D131" s="10">
        <v>0</v>
      </c>
      <c r="E131" s="10">
        <v>0</v>
      </c>
      <c r="F131" s="10">
        <v>0</v>
      </c>
    </row>
    <row r="132" spans="2:6" ht="15" customHeight="1">
      <c r="B132" s="8">
        <v>46158</v>
      </c>
      <c r="C132" s="10">
        <v>0</v>
      </c>
      <c r="D132" s="10">
        <v>0</v>
      </c>
      <c r="E132" s="10">
        <v>0</v>
      </c>
      <c r="F132" s="10">
        <v>0</v>
      </c>
    </row>
    <row r="133" spans="2:6" ht="15" customHeight="1">
      <c r="B133" s="8">
        <v>46159</v>
      </c>
      <c r="C133" s="10">
        <v>0</v>
      </c>
      <c r="D133" s="10">
        <v>0</v>
      </c>
      <c r="E133" s="10">
        <v>0</v>
      </c>
      <c r="F133" s="10">
        <v>0</v>
      </c>
    </row>
    <row r="134" spans="2:6" ht="15" customHeight="1">
      <c r="B134" s="8">
        <v>46160</v>
      </c>
      <c r="C134" s="10">
        <v>1420</v>
      </c>
      <c r="D134" s="10">
        <v>0</v>
      </c>
      <c r="E134" s="10">
        <v>0</v>
      </c>
      <c r="F134" s="10">
        <v>0</v>
      </c>
    </row>
    <row r="135" spans="2:6" ht="15" customHeight="1">
      <c r="B135" s="8">
        <v>46161</v>
      </c>
      <c r="C135" s="10">
        <v>12</v>
      </c>
      <c r="D135" s="10">
        <v>0</v>
      </c>
      <c r="E135" s="10">
        <v>0</v>
      </c>
      <c r="F135" s="10">
        <v>0</v>
      </c>
    </row>
    <row r="136" spans="2:6" ht="15" customHeight="1">
      <c r="B136" s="8">
        <v>46162</v>
      </c>
      <c r="C136" s="10">
        <v>0</v>
      </c>
      <c r="D136" s="10">
        <v>0</v>
      </c>
      <c r="E136" s="10">
        <v>0</v>
      </c>
      <c r="F136" s="10">
        <v>0</v>
      </c>
    </row>
    <row r="137" spans="2:6" ht="15" customHeight="1">
      <c r="B137" s="8">
        <v>46163</v>
      </c>
      <c r="C137" s="10">
        <v>7</v>
      </c>
      <c r="D137" s="10">
        <v>0</v>
      </c>
      <c r="E137" s="10">
        <v>0</v>
      </c>
      <c r="F137" s="10">
        <v>7</v>
      </c>
    </row>
    <row r="138" spans="2:6" ht="15" customHeight="1">
      <c r="B138" s="8">
        <v>46164</v>
      </c>
      <c r="C138" s="10">
        <v>0</v>
      </c>
      <c r="D138" s="10">
        <v>0</v>
      </c>
      <c r="E138" s="10">
        <v>0</v>
      </c>
      <c r="F138" s="10">
        <v>0</v>
      </c>
    </row>
    <row r="139" spans="2:6" ht="15" customHeight="1">
      <c r="B139" s="8">
        <v>46165</v>
      </c>
      <c r="C139" s="10">
        <v>874</v>
      </c>
      <c r="D139" s="10">
        <v>0</v>
      </c>
      <c r="E139" s="10">
        <v>0</v>
      </c>
      <c r="F139" s="10">
        <v>0</v>
      </c>
    </row>
    <row r="140" spans="2:6" ht="15" customHeight="1">
      <c r="B140" s="8">
        <v>46166</v>
      </c>
      <c r="C140" s="10">
        <v>0</v>
      </c>
      <c r="D140" s="10">
        <v>0</v>
      </c>
      <c r="E140" s="10">
        <v>0</v>
      </c>
      <c r="F140" s="10">
        <v>0</v>
      </c>
    </row>
    <row r="141" spans="2:6" ht="15" customHeight="1">
      <c r="B141" s="8">
        <v>46167</v>
      </c>
      <c r="C141" s="10">
        <v>0</v>
      </c>
      <c r="D141" s="10">
        <v>0</v>
      </c>
      <c r="E141" s="10">
        <v>0</v>
      </c>
      <c r="F141" s="10">
        <v>0</v>
      </c>
    </row>
    <row r="142" spans="2:6" ht="15" customHeight="1">
      <c r="B142" s="8">
        <v>46168</v>
      </c>
      <c r="C142" s="10">
        <v>848</v>
      </c>
      <c r="D142" s="10">
        <v>0</v>
      </c>
      <c r="E142" s="10">
        <v>0</v>
      </c>
      <c r="F142" s="10">
        <v>0</v>
      </c>
    </row>
    <row r="143" spans="2:6" ht="15" customHeight="1">
      <c r="B143" s="8">
        <v>46169</v>
      </c>
      <c r="C143" s="10">
        <v>0</v>
      </c>
      <c r="D143" s="10">
        <v>0</v>
      </c>
      <c r="E143" s="10">
        <v>0</v>
      </c>
      <c r="F143" s="10">
        <v>0</v>
      </c>
    </row>
    <row r="144" spans="2:6" ht="15" customHeight="1">
      <c r="B144" s="8">
        <v>46170</v>
      </c>
      <c r="C144" s="10">
        <v>154</v>
      </c>
      <c r="D144" s="10">
        <v>0</v>
      </c>
      <c r="E144" s="10">
        <v>0</v>
      </c>
      <c r="F144" s="10">
        <v>0</v>
      </c>
    </row>
    <row r="145" spans="2:6" ht="15" customHeight="1">
      <c r="B145" s="8">
        <v>46171</v>
      </c>
      <c r="C145" s="10">
        <v>0</v>
      </c>
      <c r="D145" s="10">
        <v>0</v>
      </c>
      <c r="E145" s="10">
        <v>0</v>
      </c>
      <c r="F145" s="10">
        <v>0</v>
      </c>
    </row>
    <row r="146" spans="2:6" ht="15" customHeight="1">
      <c r="B146" s="8">
        <v>46172</v>
      </c>
      <c r="C146" s="10">
        <v>1577</v>
      </c>
      <c r="D146" s="10">
        <v>0</v>
      </c>
      <c r="E146" s="10">
        <v>0</v>
      </c>
      <c r="F146" s="10">
        <v>0</v>
      </c>
    </row>
    <row r="147" spans="2:6" ht="15" customHeight="1">
      <c r="B147" s="8">
        <v>46173</v>
      </c>
      <c r="C147" s="10">
        <v>293</v>
      </c>
      <c r="D147" s="10">
        <v>0</v>
      </c>
      <c r="E147" s="10">
        <v>0</v>
      </c>
      <c r="F147" s="10">
        <v>0</v>
      </c>
    </row>
    <row r="148" spans="2:6" ht="15" customHeight="1">
      <c r="B148" s="9" t="s">
        <v>11</v>
      </c>
      <c r="C148" s="11">
        <v>18965</v>
      </c>
      <c r="D148" s="11">
        <v>0</v>
      </c>
      <c r="E148" s="11">
        <v>0</v>
      </c>
      <c r="F148" s="11">
        <v>7</v>
      </c>
    </row>
    <row r="150" spans="2:2" ht="12.75">
      <c r="B150" s="5" t="s">
        <v>15</v>
      </c>
    </row>
    <row r="152" spans="2:8" ht="30" customHeight="1">
      <c r="B152" s="6" t="s">
        <v>6</v>
      </c>
      <c r="C152" s="7" t="s">
        <v>7</v>
      </c>
      <c r="D152" s="7" t="s">
        <v>8</v>
      </c>
      <c r="E152" s="7" t="s">
        <v>9</v>
      </c>
      <c r="F152" s="7" t="s">
        <v>10</v>
      </c>
    </row>
    <row r="153" spans="2:6" ht="15" customHeight="1">
      <c r="B153" s="8">
        <v>46143</v>
      </c>
      <c r="C153" s="10">
        <v>0</v>
      </c>
      <c r="D153" s="10">
        <v>0</v>
      </c>
      <c r="E153" s="10">
        <v>0</v>
      </c>
      <c r="F153" s="10">
        <v>0</v>
      </c>
    </row>
    <row r="154" spans="2:6" ht="15" customHeight="1">
      <c r="B154" s="8">
        <v>46144</v>
      </c>
      <c r="C154" s="10">
        <v>0</v>
      </c>
      <c r="D154" s="10">
        <v>0</v>
      </c>
      <c r="E154" s="10">
        <v>0</v>
      </c>
      <c r="F154" s="10">
        <v>0</v>
      </c>
    </row>
    <row r="155" spans="2:6" ht="15" customHeight="1">
      <c r="B155" s="8">
        <v>46145</v>
      </c>
      <c r="C155" s="10">
        <v>27</v>
      </c>
      <c r="D155" s="10">
        <v>0</v>
      </c>
      <c r="E155" s="10">
        <v>0</v>
      </c>
      <c r="F155" s="10">
        <v>0</v>
      </c>
    </row>
    <row r="156" spans="2:6" ht="15" customHeight="1">
      <c r="B156" s="8">
        <v>46146</v>
      </c>
      <c r="C156" s="10">
        <v>0</v>
      </c>
      <c r="D156" s="10">
        <v>0</v>
      </c>
      <c r="E156" s="10">
        <v>0</v>
      </c>
      <c r="F156" s="10">
        <v>0</v>
      </c>
    </row>
    <row r="157" spans="2:6" ht="15" customHeight="1">
      <c r="B157" s="8">
        <v>46147</v>
      </c>
      <c r="C157" s="10">
        <v>42</v>
      </c>
      <c r="D157" s="10">
        <v>1</v>
      </c>
      <c r="E157" s="10">
        <v>0</v>
      </c>
      <c r="F157" s="10">
        <v>0</v>
      </c>
    </row>
    <row r="158" spans="2:6" ht="15" customHeight="1">
      <c r="B158" s="8">
        <v>46148</v>
      </c>
      <c r="C158" s="10">
        <v>11</v>
      </c>
      <c r="D158" s="10">
        <v>10</v>
      </c>
      <c r="E158" s="10">
        <v>0</v>
      </c>
      <c r="F158" s="10">
        <v>0</v>
      </c>
    </row>
    <row r="159" spans="2:6" ht="15" customHeight="1">
      <c r="B159" s="8">
        <v>46149</v>
      </c>
      <c r="C159" s="10">
        <v>3</v>
      </c>
      <c r="D159" s="10">
        <v>5</v>
      </c>
      <c r="E159" s="10">
        <v>0</v>
      </c>
      <c r="F159" s="10">
        <v>0</v>
      </c>
    </row>
    <row r="160" spans="2:6" ht="15" customHeight="1">
      <c r="B160" s="8">
        <v>46150</v>
      </c>
      <c r="C160" s="10">
        <v>1</v>
      </c>
      <c r="D160" s="10">
        <v>0</v>
      </c>
      <c r="E160" s="10">
        <v>0</v>
      </c>
      <c r="F160" s="10">
        <v>0</v>
      </c>
    </row>
    <row r="161" spans="2:6" ht="15" customHeight="1">
      <c r="B161" s="8">
        <v>46151</v>
      </c>
      <c r="C161" s="10">
        <v>3</v>
      </c>
      <c r="D161" s="10">
        <v>0</v>
      </c>
      <c r="E161" s="10">
        <v>0</v>
      </c>
      <c r="F161" s="10">
        <v>0</v>
      </c>
    </row>
    <row r="162" spans="2:6" ht="15" customHeight="1">
      <c r="B162" s="8">
        <v>46152</v>
      </c>
      <c r="C162" s="10">
        <v>39</v>
      </c>
      <c r="D162" s="10">
        <v>0</v>
      </c>
      <c r="E162" s="10">
        <v>0</v>
      </c>
      <c r="F162" s="10">
        <v>0</v>
      </c>
    </row>
    <row r="163" spans="2:6" ht="15" customHeight="1">
      <c r="B163" s="8">
        <v>46153</v>
      </c>
      <c r="C163" s="10">
        <v>254</v>
      </c>
      <c r="D163" s="10">
        <v>0</v>
      </c>
      <c r="E163" s="10">
        <v>0</v>
      </c>
      <c r="F163" s="10">
        <v>0</v>
      </c>
    </row>
    <row r="164" spans="2:6" ht="15" customHeight="1">
      <c r="B164" s="8">
        <v>46154</v>
      </c>
      <c r="C164" s="10">
        <v>0</v>
      </c>
      <c r="D164" s="10">
        <v>0</v>
      </c>
      <c r="E164" s="10">
        <v>0</v>
      </c>
      <c r="F164" s="10">
        <v>0</v>
      </c>
    </row>
    <row r="165" spans="2:6" ht="15" customHeight="1">
      <c r="B165" s="8">
        <v>46155</v>
      </c>
      <c r="C165" s="10">
        <v>6</v>
      </c>
      <c r="D165" s="10">
        <v>0</v>
      </c>
      <c r="E165" s="10">
        <v>0</v>
      </c>
      <c r="F165" s="10">
        <v>0</v>
      </c>
    </row>
    <row r="166" spans="2:6" ht="15" customHeight="1">
      <c r="B166" s="8">
        <v>46156</v>
      </c>
      <c r="C166" s="10">
        <v>1</v>
      </c>
      <c r="D166" s="10">
        <v>0</v>
      </c>
      <c r="E166" s="10">
        <v>0</v>
      </c>
      <c r="F166" s="10">
        <v>0</v>
      </c>
    </row>
    <row r="167" spans="2:6" ht="15" customHeight="1">
      <c r="B167" s="8">
        <v>46157</v>
      </c>
      <c r="C167" s="10">
        <v>12</v>
      </c>
      <c r="D167" s="10">
        <v>0</v>
      </c>
      <c r="E167" s="10">
        <v>0</v>
      </c>
      <c r="F167" s="10">
        <v>0</v>
      </c>
    </row>
    <row r="168" spans="2:6" ht="15" customHeight="1">
      <c r="B168" s="8">
        <v>46158</v>
      </c>
      <c r="C168" s="10">
        <v>0</v>
      </c>
      <c r="D168" s="10">
        <v>0</v>
      </c>
      <c r="E168" s="10">
        <v>0</v>
      </c>
      <c r="F168" s="10">
        <v>0</v>
      </c>
    </row>
    <row r="169" spans="2:6" ht="15" customHeight="1">
      <c r="B169" s="8">
        <v>46159</v>
      </c>
      <c r="C169" s="10">
        <v>0</v>
      </c>
      <c r="D169" s="10">
        <v>0</v>
      </c>
      <c r="E169" s="10">
        <v>0</v>
      </c>
      <c r="F169" s="10">
        <v>0</v>
      </c>
    </row>
    <row r="170" spans="2:6" ht="15" customHeight="1">
      <c r="B170" s="8">
        <v>46160</v>
      </c>
      <c r="C170" s="10">
        <v>83</v>
      </c>
      <c r="D170" s="10">
        <v>0</v>
      </c>
      <c r="E170" s="10">
        <v>0</v>
      </c>
      <c r="F170" s="10">
        <v>0</v>
      </c>
    </row>
    <row r="171" spans="2:6" ht="15" customHeight="1">
      <c r="B171" s="8">
        <v>46161</v>
      </c>
      <c r="C171" s="10">
        <v>0</v>
      </c>
      <c r="D171" s="10">
        <v>1</v>
      </c>
      <c r="E171" s="10">
        <v>0</v>
      </c>
      <c r="F171" s="10">
        <v>0</v>
      </c>
    </row>
    <row r="172" spans="2:6" ht="15" customHeight="1">
      <c r="B172" s="8">
        <v>46162</v>
      </c>
      <c r="C172" s="10">
        <v>20</v>
      </c>
      <c r="D172" s="10">
        <v>1</v>
      </c>
      <c r="E172" s="10">
        <v>1</v>
      </c>
      <c r="F172" s="10">
        <v>0</v>
      </c>
    </row>
    <row r="173" spans="2:6" ht="15" customHeight="1">
      <c r="B173" s="8">
        <v>46163</v>
      </c>
      <c r="C173" s="10">
        <v>1</v>
      </c>
      <c r="D173" s="10">
        <v>1</v>
      </c>
      <c r="E173" s="10">
        <v>0</v>
      </c>
      <c r="F173" s="10">
        <v>0</v>
      </c>
    </row>
    <row r="174" spans="2:6" ht="15" customHeight="1">
      <c r="B174" s="8">
        <v>46164</v>
      </c>
      <c r="C174" s="10">
        <v>1</v>
      </c>
      <c r="D174" s="10">
        <v>0</v>
      </c>
      <c r="E174" s="10">
        <v>0</v>
      </c>
      <c r="F174" s="10">
        <v>0</v>
      </c>
    </row>
    <row r="175" spans="2:6" ht="15" customHeight="1">
      <c r="B175" s="8">
        <v>46165</v>
      </c>
      <c r="C175" s="10">
        <v>10</v>
      </c>
      <c r="D175" s="10">
        <v>0</v>
      </c>
      <c r="E175" s="10">
        <v>0</v>
      </c>
      <c r="F175" s="10">
        <v>0</v>
      </c>
    </row>
    <row r="176" spans="2:6" ht="15" customHeight="1">
      <c r="B176" s="8">
        <v>46166</v>
      </c>
      <c r="C176" s="10">
        <v>3</v>
      </c>
      <c r="D176" s="10">
        <v>0</v>
      </c>
      <c r="E176" s="10">
        <v>0</v>
      </c>
      <c r="F176" s="10">
        <v>0</v>
      </c>
    </row>
    <row r="177" spans="2:6" ht="15" customHeight="1">
      <c r="B177" s="8">
        <v>46167</v>
      </c>
      <c r="C177" s="10">
        <v>0</v>
      </c>
      <c r="D177" s="10">
        <v>0</v>
      </c>
      <c r="E177" s="10">
        <v>0</v>
      </c>
      <c r="F177" s="10">
        <v>0</v>
      </c>
    </row>
    <row r="178" spans="2:6" ht="15" customHeight="1">
      <c r="B178" s="8">
        <v>46168</v>
      </c>
      <c r="C178" s="10">
        <v>16</v>
      </c>
      <c r="D178" s="10">
        <v>0</v>
      </c>
      <c r="E178" s="10">
        <v>0</v>
      </c>
      <c r="F178" s="10">
        <v>0</v>
      </c>
    </row>
    <row r="179" spans="2:6" ht="15" customHeight="1">
      <c r="B179" s="8">
        <v>46169</v>
      </c>
      <c r="C179" s="10">
        <v>0</v>
      </c>
      <c r="D179" s="10">
        <v>0</v>
      </c>
      <c r="E179" s="10">
        <v>0</v>
      </c>
      <c r="F179" s="10">
        <v>0</v>
      </c>
    </row>
    <row r="180" spans="2:6" ht="15" customHeight="1">
      <c r="B180" s="8">
        <v>46170</v>
      </c>
      <c r="C180" s="10">
        <v>9</v>
      </c>
      <c r="D180" s="10">
        <v>0</v>
      </c>
      <c r="E180" s="10">
        <v>0</v>
      </c>
      <c r="F180" s="10">
        <v>0</v>
      </c>
    </row>
    <row r="181" spans="2:6" ht="15" customHeight="1">
      <c r="B181" s="8">
        <v>46171</v>
      </c>
      <c r="C181" s="10">
        <v>0</v>
      </c>
      <c r="D181" s="10">
        <v>0</v>
      </c>
      <c r="E181" s="10">
        <v>0</v>
      </c>
      <c r="F181" s="10">
        <v>0</v>
      </c>
    </row>
    <row r="182" spans="2:6" ht="15" customHeight="1">
      <c r="B182" s="8">
        <v>46172</v>
      </c>
      <c r="C182" s="10">
        <v>84</v>
      </c>
      <c r="D182" s="10">
        <v>0</v>
      </c>
      <c r="E182" s="10">
        <v>0</v>
      </c>
      <c r="F182" s="10">
        <v>0</v>
      </c>
    </row>
    <row r="183" spans="2:6" ht="15" customHeight="1">
      <c r="B183" s="8">
        <v>46173</v>
      </c>
      <c r="C183" s="10">
        <v>18</v>
      </c>
      <c r="D183" s="10">
        <v>0</v>
      </c>
      <c r="E183" s="10">
        <v>0</v>
      </c>
      <c r="F183" s="10">
        <v>0</v>
      </c>
    </row>
    <row r="184" spans="2:6" ht="15" customHeight="1">
      <c r="B184" s="9" t="s">
        <v>11</v>
      </c>
      <c r="C184" s="11">
        <v>644</v>
      </c>
      <c r="D184" s="11">
        <v>19</v>
      </c>
      <c r="E184" s="11">
        <v>1</v>
      </c>
      <c r="F184" s="11">
        <v>0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50e11a4-2c47-42ef-9e71-5852c3d624f6}">
  <dimension ref="B1:H26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10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16</v>
      </c>
    </row>
    <row r="6" spans="2:6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spans="2:8" ht="30" customHeight="1">
      <c r="B22" s="6" t="s">
        <v>17</v>
      </c>
      <c r="C22" s="7" t="s">
        <v>18</v>
      </c>
      <c r="D22" s="7" t="s">
        <v>19</v>
      </c>
      <c r="E22" s="7" t="s">
        <v>20</v>
      </c>
      <c r="F22" s="7" t="s">
        <v>21</v>
      </c>
      <c r="G22" s="7" t="s">
        <v>22</v>
      </c>
      <c r="H22" s="7" t="s">
        <v>23</v>
      </c>
    </row>
    <row r="23" spans="2:8" ht="15" customHeight="1">
      <c r="B23" s="12" t="s">
        <v>7</v>
      </c>
      <c r="C23" s="10">
        <v>75</v>
      </c>
      <c r="D23" s="10">
        <v>73</v>
      </c>
      <c r="E23" s="10">
        <v>8</v>
      </c>
      <c r="F23" s="13">
        <f>IF(SUM(C23,D23,E23)=0,0,C23/SUM(C23,D23,E23))</f>
      </c>
      <c r="G23" s="13">
        <f>IF(SUM(C23,D23,E23)=0,0,D23/SUM(C23,D23,E23))</f>
      </c>
      <c r="H23" s="13">
        <f>IF(SUM(C23,D23,E23)=0,0,E23/SUM(C23,D23,E23))</f>
      </c>
    </row>
    <row r="24" spans="2:8" ht="15" customHeight="1">
      <c r="B24" s="12" t="s">
        <v>8</v>
      </c>
      <c r="C24" s="10">
        <v>18</v>
      </c>
      <c r="D24" s="10">
        <v>27</v>
      </c>
      <c r="E24" s="10">
        <v>0</v>
      </c>
      <c r="F24" s="13">
        <f>IF(SUM(C24,D24,E24)=0,0,C24/SUM(C24,D24,E24))</f>
      </c>
      <c r="G24" s="13">
        <f>IF(SUM(C24,D24,E24)=0,0,D24/SUM(C24,D24,E24))</f>
      </c>
      <c r="H24" s="13">
        <f>IF(SUM(C24,D24,E24)=0,0,E24/SUM(C24,D24,E24))</f>
      </c>
    </row>
    <row r="25" spans="2:8" ht="15" customHeight="1">
      <c r="B25" s="12" t="s">
        <v>9</v>
      </c>
      <c r="C25" s="10">
        <v>2</v>
      </c>
      <c r="D25" s="10">
        <v>7</v>
      </c>
      <c r="E25" s="10">
        <v>0</v>
      </c>
      <c r="F25" s="13">
        <f>IF(SUM(C25,D25,E25)=0,0,C25/SUM(C25,D25,E25))</f>
      </c>
      <c r="G25" s="13">
        <f>IF(SUM(C25,D25,E25)=0,0,D25/SUM(C25,D25,E25))</f>
      </c>
      <c r="H25" s="13">
        <f>IF(SUM(C25,D25,E25)=0,0,E25/SUM(C25,D25,E25))</f>
      </c>
    </row>
    <row r="26" spans="2:8" ht="15" customHeight="1">
      <c r="B26" s="12" t="s">
        <v>10</v>
      </c>
      <c r="C26" s="10">
        <v>0</v>
      </c>
      <c r="D26" s="10">
        <v>1</v>
      </c>
      <c r="E26" s="10">
        <v>0</v>
      </c>
      <c r="F26" s="13">
        <f>IF(SUM(C26,D26,E26)=0,0,C26/SUM(C26,D26,E26))</f>
      </c>
      <c r="G26" s="13">
        <f>IF(SUM(C26,D26,E26)=0,0,D26/SUM(C26,D26,E26))</f>
      </c>
      <c r="H26" s="13">
        <f>IF(SUM(C26,D26,E26)=0,0,E26/SUM(C26,D26,E26))</f>
      </c>
    </row>
  </sheetData>
  <hyperlinks>
    <hyperlink ref="C1" location="Содержание!B4" display="К содержанию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6f643fd-84b4-42d7-ba83-fa7b7012b71a}">
  <dimension ref="B1:C34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7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24</v>
      </c>
    </row>
    <row r="6" spans="2:2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spans="2:3" ht="30" customHeight="1">
      <c r="B31" s="6" t="s">
        <v>24</v>
      </c>
      <c r="C31" s="7" t="s">
        <v>7</v>
      </c>
    </row>
    <row r="32" spans="2:3" ht="15" customHeight="1">
      <c r="B32" s="12" t="s">
        <v>25</v>
      </c>
      <c r="C32" s="10">
        <v>3</v>
      </c>
    </row>
    <row r="33" spans="2:3" ht="15" customHeight="1">
      <c r="B33" s="12" t="s">
        <v>26</v>
      </c>
      <c r="C33" s="10">
        <v>1</v>
      </c>
    </row>
    <row r="34" spans="2:3" ht="15" customHeight="1">
      <c r="B34" s="14" t="s">
        <v>11</v>
      </c>
      <c r="C34" s="11">
        <f>SUM(C32:C33)</f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af45e02-2c41-4015-8480-2fe4e4562b41}">
  <dimension ref="B1:F101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7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27</v>
      </c>
    </row>
    <row r="6" spans="2:2" ht="13" customHeight="1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spans="2:6" ht="30" customHeight="1">
      <c r="B31" s="6" t="s">
        <v>31</v>
      </c>
      <c r="C31" s="7" t="s">
        <v>7</v>
      </c>
      <c r="D31" s="7" t="s">
        <v>8</v>
      </c>
      <c r="E31" s="7" t="s">
        <v>9</v>
      </c>
      <c r="F31" s="7" t="s">
        <v>10</v>
      </c>
    </row>
    <row r="32" spans="2:6" ht="12.75">
      <c r="B32" s="12" t="s">
        <v>32</v>
      </c>
      <c r="C32" s="10">
        <v>15</v>
      </c>
      <c r="D32" s="10">
        <v>4</v>
      </c>
      <c r="E32" s="10">
        <v>2</v>
      </c>
      <c r="F32" s="10">
        <v>0</v>
      </c>
    </row>
    <row r="33" spans="2:6" ht="12.75">
      <c r="B33" s="12" t="s">
        <v>33</v>
      </c>
      <c r="C33" s="10">
        <v>2</v>
      </c>
      <c r="D33" s="10">
        <v>0</v>
      </c>
      <c r="E33" s="10">
        <v>0</v>
      </c>
      <c r="F33" s="10">
        <v>0</v>
      </c>
    </row>
    <row r="34" spans="2:6" ht="12.75">
      <c r="B34" s="12" t="s">
        <v>34</v>
      </c>
      <c r="C34" s="10">
        <v>0</v>
      </c>
      <c r="D34" s="10">
        <v>0</v>
      </c>
      <c r="E34" s="10">
        <v>0</v>
      </c>
      <c r="F34" s="10">
        <v>0</v>
      </c>
    </row>
    <row r="35" spans="2:6" ht="12.75">
      <c r="B35" s="12" t="s">
        <v>35</v>
      </c>
      <c r="C35" s="10">
        <v>0</v>
      </c>
      <c r="D35" s="10">
        <v>0</v>
      </c>
      <c r="E35" s="10">
        <v>0</v>
      </c>
      <c r="F35" s="10">
        <v>0</v>
      </c>
    </row>
    <row r="36" spans="2:6" ht="12.75">
      <c r="B36" s="12" t="s">
        <v>36</v>
      </c>
      <c r="C36" s="10">
        <v>0</v>
      </c>
      <c r="D36" s="10">
        <v>0</v>
      </c>
      <c r="E36" s="10">
        <v>0</v>
      </c>
      <c r="F36" s="10">
        <v>0</v>
      </c>
    </row>
    <row r="37" spans="2:6" ht="12.75">
      <c r="B37" s="14" t="s">
        <v>11</v>
      </c>
      <c r="C37" s="11">
        <f>SUM(C32:C36)</f>
      </c>
      <c r="D37" s="11">
        <f>SUM(D32:D36)</f>
      </c>
      <c r="E37" s="11">
        <f>SUM(E32:E36)</f>
      </c>
      <c r="F37" s="11">
        <f>SUM(F32:F36)</f>
      </c>
    </row>
    <row r="38" spans="2:6" ht="13" customHeight="1">
      <c r="B38" s="14" t="s">
        <v>37</v>
      </c>
      <c r="C38" s="15">
        <f>IF(C37=0,0,SUM(C32*5,C33*4,C34*3,C35*2,C36*1)/C37)</f>
      </c>
      <c r="D38" s="15">
        <f>IF(D37=0,0,SUM(D32*5,D33*4,D34*3,D35*2,D36*1)/D37)</f>
      </c>
      <c r="E38" s="15">
        <f>IF(E37=0,0,SUM(E32*5,E33*4,E34*3,E35*2,E36*1)/E37)</f>
      </c>
      <c r="F38" s="15">
        <f>IF(F37=0,0,SUM(F32*5,F33*4,F34*3,F35*2,F36*1)/F37)</f>
      </c>
    </row>
    <row r="39" ht="13" customHeight="1"/>
    <row r="40" ht="13" customHeight="1"/>
    <row r="41" ht="13" customHeight="1"/>
    <row r="42" spans="2:2" ht="13" customHeight="1"/>
    <row r="43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ht="13" customHeight="1"/>
    <row r="54" ht="13" customHeight="1"/>
    <row r="55" ht="13" customHeight="1"/>
    <row r="56" ht="13" customHeight="1"/>
    <row r="57" ht="13" customHeight="1"/>
    <row r="58" ht="13" customHeight="1"/>
    <row r="59" ht="13" customHeight="1"/>
    <row r="60" ht="13" customHeight="1"/>
    <row r="61" ht="13" customHeight="1"/>
    <row r="62" ht="13" customHeight="1"/>
    <row r="63" ht="13" customHeight="1"/>
    <row r="64" ht="13" customHeight="1"/>
    <row r="65" ht="13" customHeight="1"/>
    <row r="66" ht="13" customHeight="1"/>
    <row r="67" spans="2:2" ht="13" customHeight="1">
      <c r="B67" s="5" t="s">
        <v>37</v>
      </c>
    </row>
    <row r="68" ht="13" customHeight="1"/>
    <row r="69" spans="2:6" ht="30" customHeight="1">
      <c r="B69" s="6" t="s">
        <v>6</v>
      </c>
      <c r="C69" s="7" t="s">
        <v>7</v>
      </c>
      <c r="D69" s="7" t="s">
        <v>8</v>
      </c>
      <c r="E69" s="7" t="s">
        <v>9</v>
      </c>
      <c r="F69" s="7" t="s">
        <v>10</v>
      </c>
    </row>
    <row r="70" spans="2:6" ht="15" customHeight="1">
      <c r="B70" s="8">
        <v>46143</v>
      </c>
      <c r="C70" s="16">
        <v>0</v>
      </c>
      <c r="D70" s="16">
        <v>0</v>
      </c>
      <c r="E70" s="16">
        <v>0</v>
      </c>
      <c r="F70" s="16">
        <v>0</v>
      </c>
    </row>
    <row r="71" spans="2:6" ht="15" customHeight="1">
      <c r="B71" s="8">
        <v>46144</v>
      </c>
      <c r="C71" s="16">
        <v>0</v>
      </c>
      <c r="D71" s="16">
        <v>0</v>
      </c>
      <c r="E71" s="16">
        <v>0</v>
      </c>
      <c r="F71" s="16">
        <v>0</v>
      </c>
    </row>
    <row r="72" spans="2:6" ht="15" customHeight="1">
      <c r="B72" s="8">
        <v>46145</v>
      </c>
      <c r="C72" s="16">
        <v>0</v>
      </c>
      <c r="D72" s="16">
        <v>0</v>
      </c>
      <c r="E72" s="16">
        <v>0</v>
      </c>
      <c r="F72" s="16">
        <v>0</v>
      </c>
    </row>
    <row r="73" spans="2:6" ht="15" customHeight="1">
      <c r="B73" s="8">
        <v>46146</v>
      </c>
      <c r="C73" s="16">
        <v>5</v>
      </c>
      <c r="D73" s="16">
        <v>0</v>
      </c>
      <c r="E73" s="16">
        <v>0</v>
      </c>
      <c r="F73" s="16">
        <v>0</v>
      </c>
    </row>
    <row r="74" spans="2:6" ht="15" customHeight="1">
      <c r="B74" s="8">
        <v>46147</v>
      </c>
      <c r="C74" s="16">
        <v>5</v>
      </c>
      <c r="D74" s="16">
        <v>0</v>
      </c>
      <c r="E74" s="16">
        <v>0</v>
      </c>
      <c r="F74" s="16">
        <v>0</v>
      </c>
    </row>
    <row r="75" spans="2:6" ht="15" customHeight="1">
      <c r="B75" s="8">
        <v>46148</v>
      </c>
      <c r="C75" s="16">
        <v>0</v>
      </c>
      <c r="D75" s="16">
        <v>5</v>
      </c>
      <c r="E75" s="16">
        <v>5</v>
      </c>
      <c r="F75" s="16">
        <v>0</v>
      </c>
    </row>
    <row r="76" spans="2:6" ht="15" customHeight="1">
      <c r="B76" s="8">
        <v>46149</v>
      </c>
      <c r="C76" s="16">
        <v>0</v>
      </c>
      <c r="D76" s="16">
        <v>5</v>
      </c>
      <c r="E76" s="16">
        <v>5</v>
      </c>
      <c r="F76" s="16">
        <v>0</v>
      </c>
    </row>
    <row r="77" spans="2:6" ht="15" customHeight="1">
      <c r="B77" s="8">
        <v>46150</v>
      </c>
      <c r="C77" s="16">
        <v>0</v>
      </c>
      <c r="D77" s="16">
        <v>0</v>
      </c>
      <c r="E77" s="16">
        <v>0</v>
      </c>
      <c r="F77" s="16">
        <v>0</v>
      </c>
    </row>
    <row r="78" spans="2:6" ht="15" customHeight="1">
      <c r="B78" s="8">
        <v>46151</v>
      </c>
      <c r="C78" s="16">
        <v>0</v>
      </c>
      <c r="D78" s="16">
        <v>0</v>
      </c>
      <c r="E78" s="16">
        <v>0</v>
      </c>
      <c r="F78" s="16">
        <v>0</v>
      </c>
    </row>
    <row r="79" spans="2:6" ht="15" customHeight="1">
      <c r="B79" s="8">
        <v>46152</v>
      </c>
      <c r="C79" s="16">
        <v>0</v>
      </c>
      <c r="D79" s="16">
        <v>0</v>
      </c>
      <c r="E79" s="16">
        <v>0</v>
      </c>
      <c r="F79" s="16">
        <v>0</v>
      </c>
    </row>
    <row r="80" spans="2:6" ht="15" customHeight="1">
      <c r="B80" s="8">
        <v>46153</v>
      </c>
      <c r="C80" s="16">
        <v>0</v>
      </c>
      <c r="D80" s="16">
        <v>0</v>
      </c>
      <c r="E80" s="16">
        <v>0</v>
      </c>
      <c r="F80" s="16">
        <v>0</v>
      </c>
    </row>
    <row r="81" spans="2:6" ht="15" customHeight="1">
      <c r="B81" s="8">
        <v>46154</v>
      </c>
      <c r="C81" s="16">
        <v>0</v>
      </c>
      <c r="D81" s="16">
        <v>0</v>
      </c>
      <c r="E81" s="16">
        <v>0</v>
      </c>
      <c r="F81" s="16">
        <v>0</v>
      </c>
    </row>
    <row r="82" spans="2:6" ht="15" customHeight="1">
      <c r="B82" s="8">
        <v>46155</v>
      </c>
      <c r="C82" s="16">
        <v>0</v>
      </c>
      <c r="D82" s="16">
        <v>0</v>
      </c>
      <c r="E82" s="16">
        <v>0</v>
      </c>
      <c r="F82" s="16">
        <v>0</v>
      </c>
    </row>
    <row r="83" spans="2:6" ht="15" customHeight="1">
      <c r="B83" s="8">
        <v>46156</v>
      </c>
      <c r="C83" s="16">
        <v>0</v>
      </c>
      <c r="D83" s="16">
        <v>0</v>
      </c>
      <c r="E83" s="16">
        <v>0</v>
      </c>
      <c r="F83" s="16">
        <v>0</v>
      </c>
    </row>
    <row r="84" spans="2:6" ht="15" customHeight="1">
      <c r="B84" s="8">
        <v>46157</v>
      </c>
      <c r="C84" s="16">
        <v>5</v>
      </c>
      <c r="D84" s="16">
        <v>0</v>
      </c>
      <c r="E84" s="16">
        <v>0</v>
      </c>
      <c r="F84" s="16">
        <v>0</v>
      </c>
    </row>
    <row r="85" spans="2:6" ht="15" customHeight="1">
      <c r="B85" s="8">
        <v>46158</v>
      </c>
      <c r="C85" s="16">
        <v>0</v>
      </c>
      <c r="D85" s="16">
        <v>0</v>
      </c>
      <c r="E85" s="16">
        <v>0</v>
      </c>
      <c r="F85" s="16">
        <v>0</v>
      </c>
    </row>
    <row r="86" spans="2:6" ht="15" customHeight="1">
      <c r="B86" s="8">
        <v>46159</v>
      </c>
      <c r="C86" s="16">
        <v>0</v>
      </c>
      <c r="D86" s="16">
        <v>0</v>
      </c>
      <c r="E86" s="16">
        <v>0</v>
      </c>
      <c r="F86" s="16">
        <v>0</v>
      </c>
    </row>
    <row r="87" spans="2:6" ht="15" customHeight="1">
      <c r="B87" s="8">
        <v>46160</v>
      </c>
      <c r="C87" s="16">
        <v>4</v>
      </c>
      <c r="D87" s="16">
        <v>0</v>
      </c>
      <c r="E87" s="16">
        <v>0</v>
      </c>
      <c r="F87" s="16">
        <v>0</v>
      </c>
    </row>
    <row r="88" spans="2:6" ht="15" customHeight="1">
      <c r="B88" s="8">
        <v>46161</v>
      </c>
      <c r="C88" s="16">
        <v>0</v>
      </c>
      <c r="D88" s="16">
        <v>5</v>
      </c>
      <c r="E88" s="16">
        <v>0</v>
      </c>
      <c r="F88" s="16">
        <v>0</v>
      </c>
    </row>
    <row r="89" spans="2:6" ht="15" customHeight="1">
      <c r="B89" s="8">
        <v>46162</v>
      </c>
      <c r="C89" s="16">
        <v>5</v>
      </c>
      <c r="D89" s="16">
        <v>0</v>
      </c>
      <c r="E89" s="16">
        <v>0</v>
      </c>
      <c r="F89" s="16">
        <v>0</v>
      </c>
    </row>
    <row r="90" spans="2:6" ht="15" customHeight="1">
      <c r="B90" s="8">
        <v>46163</v>
      </c>
      <c r="C90" s="16">
        <v>0</v>
      </c>
      <c r="D90" s="16">
        <v>0</v>
      </c>
      <c r="E90" s="16">
        <v>0</v>
      </c>
      <c r="F90" s="16">
        <v>0</v>
      </c>
    </row>
    <row r="91" spans="2:6" ht="15" customHeight="1">
      <c r="B91" s="8">
        <v>46164</v>
      </c>
      <c r="C91" s="16">
        <v>5</v>
      </c>
      <c r="D91" s="16">
        <v>0</v>
      </c>
      <c r="E91" s="16">
        <v>0</v>
      </c>
      <c r="F91" s="16">
        <v>0</v>
      </c>
    </row>
    <row r="92" spans="2:6" ht="15" customHeight="1">
      <c r="B92" s="8">
        <v>46165</v>
      </c>
      <c r="C92" s="16">
        <v>0</v>
      </c>
      <c r="D92" s="16">
        <v>0</v>
      </c>
      <c r="E92" s="16">
        <v>0</v>
      </c>
      <c r="F92" s="16">
        <v>0</v>
      </c>
    </row>
    <row r="93" spans="2:6" ht="15" customHeight="1">
      <c r="B93" s="8">
        <v>46166</v>
      </c>
      <c r="C93" s="16">
        <v>5</v>
      </c>
      <c r="D93" s="16">
        <v>0</v>
      </c>
      <c r="E93" s="16">
        <v>0</v>
      </c>
      <c r="F93" s="16">
        <v>0</v>
      </c>
    </row>
    <row r="94" spans="2:6" ht="15" customHeight="1">
      <c r="B94" s="8">
        <v>46167</v>
      </c>
      <c r="C94" s="16">
        <v>5</v>
      </c>
      <c r="D94" s="16">
        <v>0</v>
      </c>
      <c r="E94" s="16">
        <v>0</v>
      </c>
      <c r="F94" s="16">
        <v>0</v>
      </c>
    </row>
    <row r="95" spans="2:6" ht="15" customHeight="1">
      <c r="B95" s="8">
        <v>46168</v>
      </c>
      <c r="C95" s="16">
        <v>5</v>
      </c>
      <c r="D95" s="16">
        <v>0</v>
      </c>
      <c r="E95" s="16">
        <v>0</v>
      </c>
      <c r="F95" s="16">
        <v>0</v>
      </c>
    </row>
    <row r="96" spans="2:6" ht="15" customHeight="1">
      <c r="B96" s="8">
        <v>46169</v>
      </c>
      <c r="C96" s="16">
        <v>0</v>
      </c>
      <c r="D96" s="16">
        <v>0</v>
      </c>
      <c r="E96" s="16">
        <v>0</v>
      </c>
      <c r="F96" s="16">
        <v>0</v>
      </c>
    </row>
    <row r="97" spans="2:6" ht="15" customHeight="1">
      <c r="B97" s="8">
        <v>46170</v>
      </c>
      <c r="C97" s="16">
        <v>5</v>
      </c>
      <c r="D97" s="16">
        <v>0</v>
      </c>
      <c r="E97" s="16">
        <v>0</v>
      </c>
      <c r="F97" s="16">
        <v>0</v>
      </c>
    </row>
    <row r="98" spans="2:6" ht="15" customHeight="1">
      <c r="B98" s="8">
        <v>46171</v>
      </c>
      <c r="C98" s="16">
        <v>4.5</v>
      </c>
      <c r="D98" s="16">
        <v>0</v>
      </c>
      <c r="E98" s="16">
        <v>0</v>
      </c>
      <c r="F98" s="16">
        <v>0</v>
      </c>
    </row>
    <row r="99" spans="2:6" ht="15" customHeight="1">
      <c r="B99" s="8">
        <v>46172</v>
      </c>
      <c r="C99" s="16">
        <v>0</v>
      </c>
      <c r="D99" s="16">
        <v>0</v>
      </c>
      <c r="E99" s="16">
        <v>0</v>
      </c>
      <c r="F99" s="16">
        <v>0</v>
      </c>
    </row>
    <row r="100" spans="2:6" ht="15" customHeight="1">
      <c r="B100" s="8">
        <v>46173</v>
      </c>
      <c r="C100" s="16">
        <v>0</v>
      </c>
      <c r="D100" s="16">
        <v>0</v>
      </c>
      <c r="E100" s="16">
        <v>0</v>
      </c>
      <c r="F100" s="16">
        <v>0</v>
      </c>
    </row>
    <row r="101" spans="2:6" ht="15" customHeight="1">
      <c r="B101" s="9" t="s">
        <v>37</v>
      </c>
      <c r="C101" s="17">
        <f>SUM(C70:C100)/31</f>
      </c>
      <c r="D101" s="17">
        <f>SUM(D70:D100)/31</f>
      </c>
      <c r="E101" s="17">
        <f>SUM(E70:E100)/31</f>
      </c>
      <c r="F101" s="17">
        <f>SUM(F70:F100)/31</f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8ea0706-d87c-4b85-8a53-fe48ccecbc39}">
  <dimension ref="B1:G43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7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28</v>
      </c>
    </row>
    <row r="6" spans="2:7" ht="30" customHeight="1">
      <c r="B6" s="6" t="s">
        <v>17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</row>
    <row r="7" spans="2:7" ht="15" customHeight="1">
      <c r="B7" s="12" t="s">
        <v>58</v>
      </c>
      <c r="C7" s="10">
        <v>82</v>
      </c>
      <c r="D7" s="10">
        <v>27</v>
      </c>
      <c r="E7" s="10">
        <v>6</v>
      </c>
      <c r="F7" s="10">
        <v>1</v>
      </c>
      <c r="G7" s="10">
        <f>SUM(C7:F7)</f>
      </c>
    </row>
    <row r="8" spans="2:7" ht="15" customHeight="1">
      <c r="B8" s="12" t="s">
        <v>59</v>
      </c>
      <c r="C8" s="10">
        <v>7</v>
      </c>
      <c r="D8" s="10">
        <v>0</v>
      </c>
      <c r="E8" s="10">
        <v>0</v>
      </c>
      <c r="F8" s="10">
        <v>0</v>
      </c>
      <c r="G8" s="10">
        <f>SUM(C8:F8)</f>
      </c>
    </row>
    <row r="9" spans="2:7" ht="15" customHeight="1">
      <c r="B9" s="12" t="s">
        <v>60</v>
      </c>
      <c r="C9" s="10">
        <v>18</v>
      </c>
      <c r="D9" s="10">
        <v>0</v>
      </c>
      <c r="E9" s="10">
        <v>0</v>
      </c>
      <c r="F9" s="10">
        <v>0</v>
      </c>
      <c r="G9" s="10">
        <f>SUM(C9:F9)</f>
      </c>
    </row>
    <row r="10" spans="2:7" ht="15" customHeight="1">
      <c r="B10" s="12" t="s">
        <v>61</v>
      </c>
      <c r="C10" s="10">
        <v>17</v>
      </c>
      <c r="D10" s="10">
        <v>4</v>
      </c>
      <c r="E10" s="10">
        <v>2</v>
      </c>
      <c r="F10" s="10">
        <v>0</v>
      </c>
      <c r="G10" s="10">
        <f>SUM(C10:F10)</f>
      </c>
    </row>
    <row r="11" spans="2:7" ht="15" customHeight="1">
      <c r="B11" s="12" t="s">
        <v>62</v>
      </c>
      <c r="C11" s="10">
        <v>17</v>
      </c>
      <c r="D11" s="10">
        <v>13</v>
      </c>
      <c r="E11" s="10">
        <v>1</v>
      </c>
      <c r="F11" s="10">
        <v>0</v>
      </c>
      <c r="G11" s="10">
        <f>SUM(C11:F11)</f>
      </c>
    </row>
    <row r="12" spans="2:7" ht="15" customHeight="1">
      <c r="B12" s="12" t="s">
        <v>63</v>
      </c>
      <c r="C12" s="10">
        <v>14</v>
      </c>
      <c r="D12" s="10">
        <v>1</v>
      </c>
      <c r="E12" s="10">
        <v>0</v>
      </c>
      <c r="F12" s="10">
        <v>0</v>
      </c>
      <c r="G12" s="10">
        <f>SUM(C12:F12)</f>
      </c>
    </row>
    <row r="13" spans="2:7" ht="15" customHeight="1">
      <c r="B13" s="12" t="s">
        <v>64</v>
      </c>
      <c r="C13" s="10">
        <v>1</v>
      </c>
      <c r="D13" s="10">
        <v>0</v>
      </c>
      <c r="E13" s="10">
        <v>0</v>
      </c>
      <c r="F13" s="10">
        <v>0</v>
      </c>
      <c r="G13" s="10">
        <f>SUM(C13:F13)</f>
      </c>
    </row>
    <row r="14" spans="2:7" ht="15" customHeight="1">
      <c r="B14" s="14" t="s">
        <v>65</v>
      </c>
      <c r="C14" s="11">
        <f>SUM(C7:C13)</f>
      </c>
      <c r="D14" s="11">
        <f>SUM(D7:D13)</f>
      </c>
      <c r="E14" s="11">
        <f>SUM(E7:E13)</f>
      </c>
      <c r="F14" s="11">
        <f>SUM(F7:F13)</f>
      </c>
      <c r="G14" s="11">
        <f>SUM(G7:G13)</f>
      </c>
    </row>
    <row r="15" ht="13" customHeight="1"/>
    <row r="16" ht="13" customHeight="1"/>
    <row r="17" spans="2:2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ht="13" customHeight="1"/>
    <row r="31" ht="13" customHeight="1"/>
    <row r="32" ht="13" customHeight="1"/>
    <row r="33" ht="13" customHeight="1"/>
    <row r="34" ht="13" customHeight="1"/>
    <row r="35" ht="13" customHeight="1"/>
    <row r="36" ht="13" customHeight="1"/>
    <row r="37" ht="13" customHeight="1"/>
    <row r="38" ht="13" customHeight="1"/>
    <row r="39" ht="13" customHeight="1"/>
    <row r="40" ht="13" customHeight="1"/>
    <row r="41" ht="13" customHeight="1"/>
    <row r="42" ht="13" customHeight="1"/>
    <row r="43" spans="2:2" ht="13" customHeight="1"/>
    <row r="44" ht="13" customHeight="1"/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ht="13" customHeight="1"/>
    <row r="54" ht="13" customHeight="1"/>
    <row r="55" ht="13" customHeight="1"/>
    <row r="56" ht="13" customHeight="1"/>
    <row r="57" ht="13" customHeight="1"/>
    <row r="58" ht="13" customHeight="1"/>
    <row r="59" ht="13" customHeight="1"/>
    <row r="60" ht="13" customHeight="1"/>
    <row r="61" ht="13" customHeight="1"/>
    <row r="62" ht="13" customHeight="1"/>
    <row r="63" ht="13" customHeight="1"/>
    <row r="64" ht="13" customHeight="1"/>
    <row r="65" ht="13" customHeight="1"/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74c4bab-13c7-4012-bc30-89c1b0a5579a}">
  <dimension ref="B1:F158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6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29</v>
      </c>
    </row>
    <row r="6" spans="2:2" ht="12.75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ht="13" customHeight="1"/>
    <row r="30" spans="2:6" ht="30" customHeight="1">
      <c r="B30" s="6" t="s">
        <v>29</v>
      </c>
      <c r="C30" s="7" t="s">
        <v>7</v>
      </c>
      <c r="D30" s="7" t="s">
        <v>8</v>
      </c>
      <c r="E30" s="7" t="s">
        <v>9</v>
      </c>
      <c r="F30" s="7" t="s">
        <v>10</v>
      </c>
    </row>
    <row r="31" spans="2:6" ht="15" customHeight="1">
      <c r="B31" s="12" t="s">
        <v>81</v>
      </c>
      <c r="C31" s="10">
        <v>64</v>
      </c>
      <c r="D31" s="10">
        <v>27</v>
      </c>
      <c r="E31" s="10">
        <v>6</v>
      </c>
      <c r="F31" s="10">
        <v>1</v>
      </c>
    </row>
    <row r="32" spans="2:6" ht="15" customHeight="1">
      <c r="B32" s="12" t="s">
        <v>82</v>
      </c>
      <c r="C32" s="10">
        <v>25</v>
      </c>
      <c r="D32" s="10">
        <v>0</v>
      </c>
      <c r="E32" s="10">
        <v>0</v>
      </c>
      <c r="F32" s="10">
        <v>0</v>
      </c>
    </row>
    <row r="33" spans="2:6" ht="15" customHeight="1">
      <c r="B33" s="12" t="s">
        <v>83</v>
      </c>
      <c r="C33" s="10">
        <v>10</v>
      </c>
      <c r="D33" s="10">
        <v>13</v>
      </c>
      <c r="E33" s="10">
        <v>1</v>
      </c>
      <c r="F33" s="10">
        <v>0</v>
      </c>
    </row>
    <row r="34" spans="2:6" ht="15" customHeight="1">
      <c r="B34" s="12" t="s">
        <v>84</v>
      </c>
      <c r="C34" s="10">
        <v>9</v>
      </c>
      <c r="D34" s="10">
        <v>0</v>
      </c>
      <c r="E34" s="10">
        <v>0</v>
      </c>
      <c r="F34" s="10">
        <v>0</v>
      </c>
    </row>
    <row r="35" spans="2:6" ht="15" customHeight="1">
      <c r="B35" s="12" t="s">
        <v>85</v>
      </c>
      <c r="C35" s="10">
        <v>8</v>
      </c>
      <c r="D35" s="10">
        <v>0</v>
      </c>
      <c r="E35" s="10">
        <v>0</v>
      </c>
      <c r="F35" s="10">
        <v>0</v>
      </c>
    </row>
    <row r="36" spans="2:6" ht="15" customHeight="1">
      <c r="B36" s="12" t="s">
        <v>86</v>
      </c>
      <c r="C36" s="10">
        <v>7</v>
      </c>
      <c r="D36" s="10">
        <v>0</v>
      </c>
      <c r="E36" s="10">
        <v>0</v>
      </c>
      <c r="F36" s="10">
        <v>0</v>
      </c>
    </row>
    <row r="37" spans="2:6" ht="15" customHeight="1">
      <c r="B37" s="12" t="s">
        <v>87</v>
      </c>
      <c r="C37" s="10">
        <v>4</v>
      </c>
      <c r="D37" s="10">
        <v>3</v>
      </c>
      <c r="E37" s="10">
        <v>1</v>
      </c>
      <c r="F37" s="10">
        <v>0</v>
      </c>
    </row>
    <row r="38" spans="2:6" ht="15" customHeight="1">
      <c r="B38" s="12" t="s">
        <v>88</v>
      </c>
      <c r="C38" s="10">
        <v>5</v>
      </c>
      <c r="D38" s="10">
        <v>0</v>
      </c>
      <c r="E38" s="10">
        <v>0</v>
      </c>
      <c r="F38" s="10">
        <v>0</v>
      </c>
    </row>
    <row r="39" spans="2:6" ht="15" customHeight="1">
      <c r="B39" s="12" t="s">
        <v>89</v>
      </c>
      <c r="C39" s="10">
        <v>4</v>
      </c>
      <c r="D39" s="10">
        <v>0</v>
      </c>
      <c r="E39" s="10">
        <v>0</v>
      </c>
      <c r="F39" s="10">
        <v>0</v>
      </c>
    </row>
    <row r="40" spans="2:6" ht="15" customHeight="1">
      <c r="B40" s="12" t="s">
        <v>90</v>
      </c>
      <c r="C40" s="10">
        <v>2</v>
      </c>
      <c r="D40" s="10">
        <v>0</v>
      </c>
      <c r="E40" s="10">
        <v>0</v>
      </c>
      <c r="F40" s="10">
        <v>0</v>
      </c>
    </row>
    <row r="41" spans="2:6" ht="15" customHeight="1">
      <c r="B41" s="12" t="s">
        <v>91</v>
      </c>
      <c r="C41" s="10">
        <v>2</v>
      </c>
      <c r="D41" s="10">
        <v>0</v>
      </c>
      <c r="E41" s="10">
        <v>0</v>
      </c>
      <c r="F41" s="10">
        <v>0</v>
      </c>
    </row>
    <row r="42" spans="2:6" ht="15" customHeight="1">
      <c r="B42" s="12" t="s">
        <v>92</v>
      </c>
      <c r="C42" s="10">
        <v>2</v>
      </c>
      <c r="D42" s="10">
        <v>0</v>
      </c>
      <c r="E42" s="10">
        <v>0</v>
      </c>
      <c r="F42" s="10">
        <v>0</v>
      </c>
    </row>
    <row r="43" spans="2:6" ht="15" customHeight="1">
      <c r="B43" s="12" t="s">
        <v>93</v>
      </c>
      <c r="C43" s="10">
        <v>2</v>
      </c>
      <c r="D43" s="10">
        <v>0</v>
      </c>
      <c r="E43" s="10">
        <v>0</v>
      </c>
      <c r="F43" s="10">
        <v>0</v>
      </c>
    </row>
    <row r="44" spans="2:6" ht="15" customHeight="1">
      <c r="B44" s="12" t="s">
        <v>94</v>
      </c>
      <c r="C44" s="10">
        <v>1</v>
      </c>
      <c r="D44" s="10">
        <v>1</v>
      </c>
      <c r="E44" s="10">
        <v>1</v>
      </c>
      <c r="F44" s="10">
        <v>0</v>
      </c>
    </row>
    <row r="45" spans="2:6" ht="15" customHeight="1">
      <c r="B45" s="12" t="s">
        <v>95</v>
      </c>
      <c r="C45" s="10">
        <v>2</v>
      </c>
      <c r="D45" s="10">
        <v>0</v>
      </c>
      <c r="E45" s="10">
        <v>0</v>
      </c>
      <c r="F45" s="10">
        <v>0</v>
      </c>
    </row>
    <row r="46" spans="2:6" ht="15" customHeight="1">
      <c r="B46" s="12" t="s">
        <v>96</v>
      </c>
      <c r="C46" s="10">
        <v>2</v>
      </c>
      <c r="D46" s="10">
        <v>0</v>
      </c>
      <c r="E46" s="10">
        <v>0</v>
      </c>
      <c r="F46" s="10">
        <v>0</v>
      </c>
    </row>
    <row r="47" spans="2:6" ht="15" customHeight="1">
      <c r="B47" s="12" t="s">
        <v>97</v>
      </c>
      <c r="C47" s="10">
        <v>1</v>
      </c>
      <c r="D47" s="10">
        <v>0</v>
      </c>
      <c r="E47" s="10">
        <v>0</v>
      </c>
      <c r="F47" s="10">
        <v>0</v>
      </c>
    </row>
    <row r="48" spans="2:6" ht="15" customHeight="1">
      <c r="B48" s="12" t="s">
        <v>98</v>
      </c>
      <c r="C48" s="10">
        <v>1</v>
      </c>
      <c r="D48" s="10">
        <v>0</v>
      </c>
      <c r="E48" s="10">
        <v>0</v>
      </c>
      <c r="F48" s="10">
        <v>0</v>
      </c>
    </row>
    <row r="49" spans="2:6" ht="15" customHeight="1">
      <c r="B49" s="12" t="s">
        <v>99</v>
      </c>
      <c r="C49" s="10">
        <v>1</v>
      </c>
      <c r="D49" s="10">
        <v>0</v>
      </c>
      <c r="E49" s="10">
        <v>0</v>
      </c>
      <c r="F49" s="10">
        <v>0</v>
      </c>
    </row>
    <row r="50" spans="2:6" ht="15" customHeight="1">
      <c r="B50" s="12" t="s">
        <v>100</v>
      </c>
      <c r="C50" s="10">
        <v>1</v>
      </c>
      <c r="D50" s="10">
        <v>0</v>
      </c>
      <c r="E50" s="10">
        <v>0</v>
      </c>
      <c r="F50" s="10">
        <v>0</v>
      </c>
    </row>
    <row r="51" spans="2:6" ht="15" customHeight="1">
      <c r="B51" s="12" t="s">
        <v>101</v>
      </c>
      <c r="C51" s="10">
        <v>1</v>
      </c>
      <c r="D51" s="10">
        <v>0</v>
      </c>
      <c r="E51" s="10">
        <v>0</v>
      </c>
      <c r="F51" s="10">
        <v>0</v>
      </c>
    </row>
    <row r="52" spans="2:6" ht="15" customHeight="1">
      <c r="B52" s="12" t="s">
        <v>102</v>
      </c>
      <c r="C52" s="10">
        <v>1</v>
      </c>
      <c r="D52" s="10">
        <v>0</v>
      </c>
      <c r="E52" s="10">
        <v>0</v>
      </c>
      <c r="F52" s="10">
        <v>0</v>
      </c>
    </row>
    <row r="53" spans="2:6" ht="15" customHeight="1">
      <c r="B53" s="12" t="s">
        <v>103</v>
      </c>
      <c r="C53" s="10">
        <v>1</v>
      </c>
      <c r="D53" s="10">
        <v>0</v>
      </c>
      <c r="E53" s="10">
        <v>0</v>
      </c>
      <c r="F53" s="10">
        <v>0</v>
      </c>
    </row>
    <row r="54" spans="2:6" ht="15" customHeight="1">
      <c r="B54" s="12" t="s">
        <v>104</v>
      </c>
      <c r="C54" s="10">
        <v>0</v>
      </c>
      <c r="D54" s="10">
        <v>1</v>
      </c>
      <c r="E54" s="10">
        <v>0</v>
      </c>
      <c r="F54" s="10">
        <v>0</v>
      </c>
    </row>
    <row r="57" spans="2:2" ht="12.75">
      <c r="B57" s="5" t="s">
        <v>105</v>
      </c>
    </row>
    <row r="58" ht="13" customHeight="1"/>
    <row r="59" spans="2:2" ht="13" customHeight="1"/>
    <row r="60" ht="13" customHeight="1"/>
    <row r="61" ht="13" customHeight="1"/>
    <row r="62" ht="13" customHeight="1"/>
    <row r="63" ht="13" customHeight="1"/>
    <row r="64" ht="13" customHeight="1"/>
    <row r="65" ht="13" customHeight="1"/>
    <row r="66" ht="13" customHeight="1"/>
    <row r="67" ht="13" customHeight="1"/>
    <row r="68" ht="13" customHeight="1"/>
    <row r="69" ht="13" customHeight="1"/>
    <row r="70" ht="13" customHeight="1"/>
    <row r="71" ht="13" customHeight="1"/>
    <row r="72" ht="13" customHeight="1"/>
    <row r="73" ht="13" customHeight="1"/>
    <row r="74" ht="13" customHeight="1"/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spans="2:6" ht="30" customHeight="1">
      <c r="B82" s="6" t="s">
        <v>29</v>
      </c>
      <c r="C82" s="7" t="s">
        <v>7</v>
      </c>
      <c r="D82" s="7" t="s">
        <v>8</v>
      </c>
      <c r="E82" s="7" t="s">
        <v>9</v>
      </c>
      <c r="F82" s="7" t="s">
        <v>10</v>
      </c>
    </row>
    <row r="83" spans="2:6" ht="15" customHeight="1">
      <c r="B83" s="12" t="s">
        <v>81</v>
      </c>
      <c r="C83" s="10">
        <v>4097735</v>
      </c>
      <c r="D83" s="10">
        <v>3521085</v>
      </c>
      <c r="E83" s="10">
        <v>1546483</v>
      </c>
      <c r="F83" s="10">
        <v>50</v>
      </c>
    </row>
    <row r="84" spans="2:6" ht="15" customHeight="1">
      <c r="B84" s="12" t="s">
        <v>90</v>
      </c>
      <c r="C84" s="10">
        <v>1495000</v>
      </c>
      <c r="D84" s="10">
        <v>0</v>
      </c>
      <c r="E84" s="10">
        <v>0</v>
      </c>
      <c r="F84" s="10">
        <v>0</v>
      </c>
    </row>
    <row r="85" spans="2:6" ht="15" customHeight="1">
      <c r="B85" s="12" t="s">
        <v>83</v>
      </c>
      <c r="C85" s="10">
        <v>183229</v>
      </c>
      <c r="D85" s="10">
        <v>1138931</v>
      </c>
      <c r="E85" s="10">
        <v>280517</v>
      </c>
      <c r="F85" s="10">
        <v>0</v>
      </c>
    </row>
    <row r="86" spans="2:6" ht="15" customHeight="1">
      <c r="B86" s="12" t="s">
        <v>100</v>
      </c>
      <c r="C86" s="10">
        <v>1060000</v>
      </c>
      <c r="D86" s="10">
        <v>0</v>
      </c>
      <c r="E86" s="10">
        <v>0</v>
      </c>
      <c r="F86" s="10">
        <v>0</v>
      </c>
    </row>
    <row r="87" spans="2:6" ht="15" customHeight="1">
      <c r="B87" s="12" t="s">
        <v>98</v>
      </c>
      <c r="C87" s="10">
        <v>415500</v>
      </c>
      <c r="D87" s="10">
        <v>0</v>
      </c>
      <c r="E87" s="10">
        <v>0</v>
      </c>
      <c r="F87" s="10">
        <v>0</v>
      </c>
    </row>
    <row r="88" spans="2:6" ht="15" customHeight="1">
      <c r="B88" s="12" t="s">
        <v>91</v>
      </c>
      <c r="C88" s="10">
        <v>153614</v>
      </c>
      <c r="D88" s="10">
        <v>0</v>
      </c>
      <c r="E88" s="10">
        <v>0</v>
      </c>
      <c r="F88" s="10">
        <v>0</v>
      </c>
    </row>
    <row r="89" spans="2:6" ht="15" customHeight="1">
      <c r="B89" s="12" t="s">
        <v>82</v>
      </c>
      <c r="C89" s="10">
        <v>104767</v>
      </c>
      <c r="D89" s="10">
        <v>0</v>
      </c>
      <c r="E89" s="10">
        <v>0</v>
      </c>
      <c r="F89" s="10">
        <v>0</v>
      </c>
    </row>
    <row r="90" spans="2:6" ht="15" customHeight="1">
      <c r="B90" s="12" t="s">
        <v>86</v>
      </c>
      <c r="C90" s="10">
        <v>27653</v>
      </c>
      <c r="D90" s="10">
        <v>0</v>
      </c>
      <c r="E90" s="10">
        <v>0</v>
      </c>
      <c r="F90" s="10">
        <v>0</v>
      </c>
    </row>
    <row r="91" spans="2:6" ht="15" customHeight="1">
      <c r="B91" s="12" t="s">
        <v>97</v>
      </c>
      <c r="C91" s="10">
        <v>826</v>
      </c>
      <c r="D91" s="10">
        <v>0</v>
      </c>
      <c r="E91" s="10">
        <v>0</v>
      </c>
      <c r="F91" s="10">
        <v>0</v>
      </c>
    </row>
    <row r="92" spans="2:6" ht="15" customHeight="1">
      <c r="B92" s="12" t="s">
        <v>85</v>
      </c>
      <c r="C92" s="10">
        <v>312</v>
      </c>
      <c r="D92" s="10">
        <v>0</v>
      </c>
      <c r="E92" s="10">
        <v>0</v>
      </c>
      <c r="F92" s="10">
        <v>0</v>
      </c>
    </row>
    <row r="93" spans="2:6" ht="15" customHeight="1">
      <c r="B93" s="12" t="s">
        <v>92</v>
      </c>
      <c r="C93" s="10">
        <v>81</v>
      </c>
      <c r="D93" s="10">
        <v>0</v>
      </c>
      <c r="E93" s="10">
        <v>0</v>
      </c>
      <c r="F93" s="10">
        <v>0</v>
      </c>
    </row>
    <row r="94" spans="2:6" ht="15" customHeight="1">
      <c r="B94" s="12" t="s">
        <v>89</v>
      </c>
      <c r="C94" s="10">
        <v>14</v>
      </c>
      <c r="D94" s="10">
        <v>0</v>
      </c>
      <c r="E94" s="10">
        <v>0</v>
      </c>
      <c r="F94" s="10">
        <v>0</v>
      </c>
    </row>
    <row r="95" spans="2:6" ht="15" customHeight="1">
      <c r="B95" s="12" t="s">
        <v>99</v>
      </c>
      <c r="C95" s="10">
        <v>0</v>
      </c>
      <c r="D95" s="10">
        <v>0</v>
      </c>
      <c r="E95" s="10">
        <v>0</v>
      </c>
      <c r="F95" s="10">
        <v>0</v>
      </c>
    </row>
    <row r="96" spans="2:6" ht="15" customHeight="1">
      <c r="B96" s="12" t="s">
        <v>93</v>
      </c>
      <c r="C96" s="10">
        <v>0</v>
      </c>
      <c r="D96" s="10">
        <v>0</v>
      </c>
      <c r="E96" s="10">
        <v>0</v>
      </c>
      <c r="F96" s="10">
        <v>0</v>
      </c>
    </row>
    <row r="97" spans="2:6" ht="15" customHeight="1">
      <c r="B97" s="12" t="s">
        <v>87</v>
      </c>
      <c r="C97" s="10">
        <v>0</v>
      </c>
      <c r="D97" s="10">
        <v>0</v>
      </c>
      <c r="E97" s="10">
        <v>0</v>
      </c>
      <c r="F97" s="10">
        <v>0</v>
      </c>
    </row>
    <row r="98" spans="2:6" ht="15" customHeight="1">
      <c r="B98" s="12" t="s">
        <v>101</v>
      </c>
      <c r="C98" s="10">
        <v>0</v>
      </c>
      <c r="D98" s="10">
        <v>0</v>
      </c>
      <c r="E98" s="10">
        <v>0</v>
      </c>
      <c r="F98" s="10">
        <v>0</v>
      </c>
    </row>
    <row r="99" spans="2:6" ht="15" customHeight="1">
      <c r="B99" s="12" t="s">
        <v>94</v>
      </c>
      <c r="C99" s="10">
        <v>0</v>
      </c>
      <c r="D99" s="10">
        <v>0</v>
      </c>
      <c r="E99" s="10">
        <v>0</v>
      </c>
      <c r="F99" s="10">
        <v>0</v>
      </c>
    </row>
    <row r="100" spans="2:6" ht="15" customHeight="1">
      <c r="B100" s="12" t="s">
        <v>102</v>
      </c>
      <c r="C100" s="10">
        <v>0</v>
      </c>
      <c r="D100" s="10">
        <v>0</v>
      </c>
      <c r="E100" s="10">
        <v>0</v>
      </c>
      <c r="F100" s="10">
        <v>0</v>
      </c>
    </row>
    <row r="101" spans="2:6" ht="15" customHeight="1">
      <c r="B101" s="12" t="s">
        <v>103</v>
      </c>
      <c r="C101" s="10">
        <v>0</v>
      </c>
      <c r="D101" s="10">
        <v>0</v>
      </c>
      <c r="E101" s="10">
        <v>0</v>
      </c>
      <c r="F101" s="10">
        <v>0</v>
      </c>
    </row>
    <row r="102" spans="2:6" ht="15" customHeight="1">
      <c r="B102" s="12" t="s">
        <v>88</v>
      </c>
      <c r="C102" s="10">
        <v>0</v>
      </c>
      <c r="D102" s="10">
        <v>0</v>
      </c>
      <c r="E102" s="10">
        <v>0</v>
      </c>
      <c r="F102" s="10">
        <v>0</v>
      </c>
    </row>
    <row r="103" spans="2:6" ht="15" customHeight="1">
      <c r="B103" s="12" t="s">
        <v>104</v>
      </c>
      <c r="C103" s="10">
        <v>0</v>
      </c>
      <c r="D103" s="10">
        <v>0</v>
      </c>
      <c r="E103" s="10">
        <v>0</v>
      </c>
      <c r="F103" s="10">
        <v>0</v>
      </c>
    </row>
    <row r="104" spans="2:6" ht="15" customHeight="1">
      <c r="B104" s="12" t="s">
        <v>95</v>
      </c>
      <c r="C104" s="10">
        <v>0</v>
      </c>
      <c r="D104" s="10">
        <v>0</v>
      </c>
      <c r="E104" s="10">
        <v>0</v>
      </c>
      <c r="F104" s="10">
        <v>0</v>
      </c>
    </row>
    <row r="105" spans="2:6" ht="15" customHeight="1">
      <c r="B105" s="12" t="s">
        <v>96</v>
      </c>
      <c r="C105" s="10">
        <v>0</v>
      </c>
      <c r="D105" s="10">
        <v>0</v>
      </c>
      <c r="E105" s="10">
        <v>0</v>
      </c>
      <c r="F105" s="10">
        <v>0</v>
      </c>
    </row>
    <row r="106" spans="2:6" ht="15" customHeight="1">
      <c r="B106" s="12" t="s">
        <v>84</v>
      </c>
      <c r="C106" s="10">
        <v>0</v>
      </c>
      <c r="D106" s="10">
        <v>0</v>
      </c>
      <c r="E106" s="10">
        <v>0</v>
      </c>
      <c r="F106" s="10">
        <v>0</v>
      </c>
    </row>
    <row r="109" spans="2:2" ht="12.75">
      <c r="B109" s="5" t="s">
        <v>106</v>
      </c>
    </row>
    <row r="110" ht="13" customHeight="1"/>
    <row r="111" spans="2:2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  <row r="119" ht="13" customHeight="1"/>
    <row r="120" ht="13" customHeight="1"/>
    <row r="121" ht="13" customHeight="1"/>
    <row r="122" ht="13" customHeight="1"/>
    <row r="123" ht="13" customHeight="1"/>
    <row r="124" ht="13" customHeight="1"/>
    <row r="125" ht="13" customHeight="1"/>
    <row r="126" ht="13" customHeight="1"/>
    <row r="127" ht="13" customHeight="1"/>
    <row r="128" ht="13" customHeight="1"/>
    <row r="129" ht="13" customHeight="1"/>
    <row r="130" ht="13" customHeight="1"/>
    <row r="131" ht="13" customHeight="1"/>
    <row r="132" ht="13" customHeight="1"/>
    <row r="133" ht="13" customHeight="1"/>
    <row r="134" spans="2:6" ht="30" customHeight="1">
      <c r="B134" s="6" t="s">
        <v>29</v>
      </c>
      <c r="C134" s="7" t="s">
        <v>7</v>
      </c>
      <c r="D134" s="7" t="s">
        <v>8</v>
      </c>
      <c r="E134" s="7" t="s">
        <v>9</v>
      </c>
      <c r="F134" s="7" t="s">
        <v>10</v>
      </c>
    </row>
    <row r="135" spans="2:6" ht="15" customHeight="1">
      <c r="B135" s="12" t="s">
        <v>82</v>
      </c>
      <c r="C135" s="10">
        <v>373</v>
      </c>
      <c r="D135" s="10">
        <v>0</v>
      </c>
      <c r="E135" s="10">
        <v>0</v>
      </c>
      <c r="F135" s="10">
        <v>0</v>
      </c>
    </row>
    <row r="136" spans="2:6" ht="15" customHeight="1">
      <c r="B136" s="12" t="s">
        <v>81</v>
      </c>
      <c r="C136" s="10">
        <v>96</v>
      </c>
      <c r="D136" s="10">
        <v>5</v>
      </c>
      <c r="E136" s="10">
        <v>1</v>
      </c>
      <c r="F136" s="10">
        <v>0</v>
      </c>
    </row>
    <row r="137" spans="2:6" ht="15" customHeight="1">
      <c r="B137" s="12" t="s">
        <v>98</v>
      </c>
      <c r="C137" s="10">
        <v>84</v>
      </c>
      <c r="D137" s="10">
        <v>0</v>
      </c>
      <c r="E137" s="10">
        <v>0</v>
      </c>
      <c r="F137" s="10">
        <v>0</v>
      </c>
    </row>
    <row r="138" spans="2:6" ht="15" customHeight="1">
      <c r="B138" s="12" t="s">
        <v>85</v>
      </c>
      <c r="C138" s="10">
        <v>58</v>
      </c>
      <c r="D138" s="10">
        <v>0</v>
      </c>
      <c r="E138" s="10">
        <v>0</v>
      </c>
      <c r="F138" s="10">
        <v>0</v>
      </c>
    </row>
    <row r="139" spans="2:6" ht="15" customHeight="1">
      <c r="B139" s="12" t="s">
        <v>83</v>
      </c>
      <c r="C139" s="10">
        <v>3</v>
      </c>
      <c r="D139" s="10">
        <v>13</v>
      </c>
      <c r="E139" s="10">
        <v>0</v>
      </c>
      <c r="F139" s="10">
        <v>0</v>
      </c>
    </row>
    <row r="140" spans="2:6" ht="15" customHeight="1">
      <c r="B140" s="12" t="s">
        <v>87</v>
      </c>
      <c r="C140" s="10">
        <v>13</v>
      </c>
      <c r="D140" s="10">
        <v>1</v>
      </c>
      <c r="E140" s="10">
        <v>0</v>
      </c>
      <c r="F140" s="10">
        <v>0</v>
      </c>
    </row>
    <row r="141" spans="2:6" ht="15" customHeight="1">
      <c r="B141" s="12" t="s">
        <v>100</v>
      </c>
      <c r="C141" s="10">
        <v>10</v>
      </c>
      <c r="D141" s="10">
        <v>0</v>
      </c>
      <c r="E141" s="10">
        <v>0</v>
      </c>
      <c r="F141" s="10">
        <v>0</v>
      </c>
    </row>
    <row r="142" spans="2:6" ht="15" customHeight="1">
      <c r="B142" s="12" t="s">
        <v>90</v>
      </c>
      <c r="C142" s="10">
        <v>6</v>
      </c>
      <c r="D142" s="10">
        <v>0</v>
      </c>
      <c r="E142" s="10">
        <v>0</v>
      </c>
      <c r="F142" s="10">
        <v>0</v>
      </c>
    </row>
    <row r="143" spans="2:6" ht="15" customHeight="1">
      <c r="B143" s="12" t="s">
        <v>89</v>
      </c>
      <c r="C143" s="10">
        <v>1</v>
      </c>
      <c r="D143" s="10">
        <v>0</v>
      </c>
      <c r="E143" s="10">
        <v>0</v>
      </c>
      <c r="F143" s="10">
        <v>0</v>
      </c>
    </row>
    <row r="144" spans="2:6" ht="15" customHeight="1">
      <c r="B144" s="12" t="s">
        <v>97</v>
      </c>
      <c r="C144" s="10">
        <v>0</v>
      </c>
      <c r="D144" s="10">
        <v>0</v>
      </c>
      <c r="E144" s="10">
        <v>0</v>
      </c>
      <c r="F144" s="10">
        <v>0</v>
      </c>
    </row>
    <row r="145" spans="2:6" ht="15" customHeight="1">
      <c r="B145" s="12" t="s">
        <v>86</v>
      </c>
      <c r="C145" s="10">
        <v>0</v>
      </c>
      <c r="D145" s="10">
        <v>0</v>
      </c>
      <c r="E145" s="10">
        <v>0</v>
      </c>
      <c r="F145" s="10">
        <v>0</v>
      </c>
    </row>
    <row r="146" spans="2:6" ht="15" customHeight="1">
      <c r="B146" s="12" t="s">
        <v>91</v>
      </c>
      <c r="C146" s="10">
        <v>0</v>
      </c>
      <c r="D146" s="10">
        <v>0</v>
      </c>
      <c r="E146" s="10">
        <v>0</v>
      </c>
      <c r="F146" s="10">
        <v>0</v>
      </c>
    </row>
    <row r="147" spans="2:6" ht="15" customHeight="1">
      <c r="B147" s="12" t="s">
        <v>92</v>
      </c>
      <c r="C147" s="10">
        <v>0</v>
      </c>
      <c r="D147" s="10">
        <v>0</v>
      </c>
      <c r="E147" s="10">
        <v>0</v>
      </c>
      <c r="F147" s="10">
        <v>0</v>
      </c>
    </row>
    <row r="148" spans="2:6" ht="15" customHeight="1">
      <c r="B148" s="12" t="s">
        <v>99</v>
      </c>
      <c r="C148" s="10">
        <v>0</v>
      </c>
      <c r="D148" s="10">
        <v>0</v>
      </c>
      <c r="E148" s="10">
        <v>0</v>
      </c>
      <c r="F148" s="10">
        <v>0</v>
      </c>
    </row>
    <row r="149" spans="2:6" ht="15" customHeight="1">
      <c r="B149" s="12" t="s">
        <v>93</v>
      </c>
      <c r="C149" s="10">
        <v>0</v>
      </c>
      <c r="D149" s="10">
        <v>0</v>
      </c>
      <c r="E149" s="10">
        <v>0</v>
      </c>
      <c r="F149" s="10">
        <v>0</v>
      </c>
    </row>
    <row r="150" spans="2:6" ht="15" customHeight="1">
      <c r="B150" s="12" t="s">
        <v>101</v>
      </c>
      <c r="C150" s="10">
        <v>0</v>
      </c>
      <c r="D150" s="10">
        <v>0</v>
      </c>
      <c r="E150" s="10">
        <v>0</v>
      </c>
      <c r="F150" s="10">
        <v>0</v>
      </c>
    </row>
    <row r="151" spans="2:6" ht="15" customHeight="1">
      <c r="B151" s="12" t="s">
        <v>94</v>
      </c>
      <c r="C151" s="10">
        <v>0</v>
      </c>
      <c r="D151" s="10">
        <v>0</v>
      </c>
      <c r="E151" s="10">
        <v>0</v>
      </c>
      <c r="F151" s="10">
        <v>0</v>
      </c>
    </row>
    <row r="152" spans="2:6" ht="15" customHeight="1">
      <c r="B152" s="12" t="s">
        <v>102</v>
      </c>
      <c r="C152" s="10">
        <v>0</v>
      </c>
      <c r="D152" s="10">
        <v>0</v>
      </c>
      <c r="E152" s="10">
        <v>0</v>
      </c>
      <c r="F152" s="10">
        <v>0</v>
      </c>
    </row>
    <row r="153" spans="2:6" ht="15" customHeight="1">
      <c r="B153" s="12" t="s">
        <v>103</v>
      </c>
      <c r="C153" s="10">
        <v>0</v>
      </c>
      <c r="D153" s="10">
        <v>0</v>
      </c>
      <c r="E153" s="10">
        <v>0</v>
      </c>
      <c r="F153" s="10">
        <v>0</v>
      </c>
    </row>
    <row r="154" spans="2:6" ht="15" customHeight="1">
      <c r="B154" s="12" t="s">
        <v>88</v>
      </c>
      <c r="C154" s="10">
        <v>0</v>
      </c>
      <c r="D154" s="10">
        <v>0</v>
      </c>
      <c r="E154" s="10">
        <v>0</v>
      </c>
      <c r="F154" s="10">
        <v>0</v>
      </c>
    </row>
    <row r="155" spans="2:6" ht="15" customHeight="1">
      <c r="B155" s="12" t="s">
        <v>104</v>
      </c>
      <c r="C155" s="10">
        <v>0</v>
      </c>
      <c r="D155" s="10">
        <v>0</v>
      </c>
      <c r="E155" s="10">
        <v>0</v>
      </c>
      <c r="F155" s="10">
        <v>0</v>
      </c>
    </row>
    <row r="156" spans="2:6" ht="15" customHeight="1">
      <c r="B156" s="12" t="s">
        <v>95</v>
      </c>
      <c r="C156" s="10">
        <v>0</v>
      </c>
      <c r="D156" s="10">
        <v>0</v>
      </c>
      <c r="E156" s="10">
        <v>0</v>
      </c>
      <c r="F156" s="10">
        <v>0</v>
      </c>
    </row>
    <row r="157" spans="2:6" ht="15" customHeight="1">
      <c r="B157" s="12" t="s">
        <v>96</v>
      </c>
      <c r="C157" s="10">
        <v>0</v>
      </c>
      <c r="D157" s="10">
        <v>0</v>
      </c>
      <c r="E157" s="10">
        <v>0</v>
      </c>
      <c r="F157" s="10">
        <v>0</v>
      </c>
    </row>
    <row r="158" spans="2:6" ht="15" customHeight="1">
      <c r="B158" s="12" t="s">
        <v>84</v>
      </c>
      <c r="C158" s="10">
        <v>0</v>
      </c>
      <c r="D158" s="10">
        <v>0</v>
      </c>
      <c r="E158" s="10">
        <v>0</v>
      </c>
      <c r="F158" s="10">
        <v>0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b038a6a-52d7-4f36-b037-75fe5b389286}">
  <dimension ref="B1:L15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12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30</v>
      </c>
    </row>
    <row r="6" spans="2:12" ht="30" customHeight="1">
      <c r="B6" s="6" t="s">
        <v>200</v>
      </c>
      <c r="C6" s="6" t="s">
        <v>201</v>
      </c>
      <c r="D6" s="6" t="s">
        <v>202</v>
      </c>
      <c r="E6" s="6" t="s">
        <v>203</v>
      </c>
      <c r="F6" s="6" t="s">
        <v>204</v>
      </c>
      <c r="G6" s="6" t="s">
        <v>205</v>
      </c>
      <c r="H6" s="6" t="s">
        <v>206</v>
      </c>
      <c r="I6" s="6" t="s">
        <v>207</v>
      </c>
      <c r="J6" s="6" t="s">
        <v>208</v>
      </c>
      <c r="K6" s="6" t="s">
        <v>209</v>
      </c>
      <c r="L6" s="6" t="s">
        <v>210</v>
      </c>
    </row>
    <row r="7" spans="2:12" ht="15" customHeight="1">
      <c r="B7" s="12" t="s">
        <v>7</v>
      </c>
      <c r="C7" s="28" t="s">
        <v>211</v>
      </c>
      <c r="D7" s="28" t="s">
        <v>212</v>
      </c>
      <c r="E7" s="28" t="s">
        <v>213</v>
      </c>
      <c r="F7" s="28" t="s">
        <v>214</v>
      </c>
      <c r="G7" s="28" t="s">
        <v>215</v>
      </c>
      <c r="H7" s="28" t="s">
        <v>216</v>
      </c>
      <c r="I7" s="28" t="s">
        <v>217</v>
      </c>
      <c r="J7" s="28" t="s">
        <v>218</v>
      </c>
      <c r="K7" s="28" t="s">
        <v>219</v>
      </c>
      <c r="L7" s="28" t="s">
        <v>220</v>
      </c>
    </row>
    <row r="8" spans="2:12" ht="15" customHeight="1">
      <c r="B8" s="12" t="s">
        <v>10</v>
      </c>
      <c r="C8" s="28" t="s">
        <v>221</v>
      </c>
      <c r="D8" s="28" t="s">
        <v>222</v>
      </c>
      <c r="E8" s="28" t="s">
        <v>223</v>
      </c>
      <c r="F8" s="28" t="s">
        <v>223</v>
      </c>
      <c r="G8" s="28" t="s">
        <v>223</v>
      </c>
      <c r="H8" s="28" t="s">
        <v>223</v>
      </c>
      <c r="I8" s="28" t="s">
        <v>223</v>
      </c>
      <c r="J8" s="28" t="s">
        <v>223</v>
      </c>
      <c r="K8" s="28" t="s">
        <v>223</v>
      </c>
      <c r="L8" s="28" t="s">
        <v>223</v>
      </c>
    </row>
    <row r="9" spans="2:12" ht="15" customHeight="1">
      <c r="B9" s="12" t="s">
        <v>8</v>
      </c>
      <c r="C9" s="28" t="s">
        <v>223</v>
      </c>
      <c r="D9" s="28" t="s">
        <v>223</v>
      </c>
      <c r="E9" s="28" t="s">
        <v>223</v>
      </c>
      <c r="F9" s="28" t="s">
        <v>223</v>
      </c>
      <c r="G9" s="28" t="s">
        <v>223</v>
      </c>
      <c r="H9" s="28" t="s">
        <v>223</v>
      </c>
      <c r="I9" s="28" t="s">
        <v>223</v>
      </c>
      <c r="J9" s="28" t="s">
        <v>223</v>
      </c>
      <c r="K9" s="28" t="s">
        <v>223</v>
      </c>
      <c r="L9" s="28" t="s">
        <v>223</v>
      </c>
    </row>
    <row r="10" spans="2:12" ht="15" customHeight="1">
      <c r="B10" s="12" t="s">
        <v>224</v>
      </c>
      <c r="C10" s="28" t="s">
        <v>223</v>
      </c>
      <c r="D10" s="28" t="s">
        <v>223</v>
      </c>
      <c r="E10" s="28" t="s">
        <v>223</v>
      </c>
      <c r="F10" s="28" t="s">
        <v>223</v>
      </c>
      <c r="G10" s="28" t="s">
        <v>223</v>
      </c>
      <c r="H10" s="28" t="s">
        <v>223</v>
      </c>
      <c r="I10" s="28" t="s">
        <v>223</v>
      </c>
      <c r="J10" s="28" t="s">
        <v>223</v>
      </c>
      <c r="K10" s="28" t="s">
        <v>223</v>
      </c>
      <c r="L10" s="28" t="s">
        <v>223</v>
      </c>
    </row>
    <row r="11" spans="2:12" ht="15" customHeight="1">
      <c r="B11" s="12" t="s">
        <v>225</v>
      </c>
      <c r="C11" s="28" t="s">
        <v>223</v>
      </c>
      <c r="D11" s="28" t="s">
        <v>223</v>
      </c>
      <c r="E11" s="28" t="s">
        <v>223</v>
      </c>
      <c r="F11" s="28" t="s">
        <v>223</v>
      </c>
      <c r="G11" s="28" t="s">
        <v>223</v>
      </c>
      <c r="H11" s="28" t="s">
        <v>223</v>
      </c>
      <c r="I11" s="28" t="s">
        <v>223</v>
      </c>
      <c r="J11" s="28" t="s">
        <v>223</v>
      </c>
      <c r="K11" s="28" t="s">
        <v>223</v>
      </c>
      <c r="L11" s="28" t="s">
        <v>223</v>
      </c>
    </row>
    <row r="12" spans="2:12" ht="15" customHeight="1">
      <c r="B12" s="12" t="s">
        <v>9</v>
      </c>
      <c r="C12" s="28" t="s">
        <v>223</v>
      </c>
      <c r="D12" s="28" t="s">
        <v>223</v>
      </c>
      <c r="E12" s="28" t="s">
        <v>223</v>
      </c>
      <c r="F12" s="28" t="s">
        <v>223</v>
      </c>
      <c r="G12" s="28" t="s">
        <v>223</v>
      </c>
      <c r="H12" s="28" t="s">
        <v>223</v>
      </c>
      <c r="I12" s="28" t="s">
        <v>223</v>
      </c>
      <c r="J12" s="28" t="s">
        <v>223</v>
      </c>
      <c r="K12" s="28" t="s">
        <v>223</v>
      </c>
      <c r="L12" s="28" t="s">
        <v>223</v>
      </c>
    </row>
    <row r="13" spans="2:12" ht="15" customHeight="1">
      <c r="B13" s="12" t="s">
        <v>226</v>
      </c>
      <c r="C13" s="28" t="s">
        <v>223</v>
      </c>
      <c r="D13" s="28" t="s">
        <v>223</v>
      </c>
      <c r="E13" s="28" t="s">
        <v>223</v>
      </c>
      <c r="F13" s="28" t="s">
        <v>223</v>
      </c>
      <c r="G13" s="28" t="s">
        <v>223</v>
      </c>
      <c r="H13" s="28" t="s">
        <v>223</v>
      </c>
      <c r="I13" s="28" t="s">
        <v>223</v>
      </c>
      <c r="J13" s="28" t="s">
        <v>223</v>
      </c>
      <c r="K13" s="28" t="s">
        <v>223</v>
      </c>
      <c r="L13" s="28" t="s">
        <v>223</v>
      </c>
    </row>
    <row r="15" spans="2:2" ht="15" customHeight="1">
      <c r="B15" s="29" t="s">
        <v>227</v>
      </c>
    </row>
  </sheetData>
  <hyperlinks>
    <hyperlink ref="C1" location="Содержание!B4" display="К содержанию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f7bd95-4157-40c0-9107-1877dc71f052}">
  <dimension ref="B1:D53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6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38</v>
      </c>
    </row>
    <row r="6" spans="2:2" ht="12.75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spans="2:4" ht="30" customHeight="1">
      <c r="B24" s="6" t="s">
        <v>107</v>
      </c>
      <c r="C24" s="7" t="s">
        <v>7</v>
      </c>
      <c r="D24" s="7" t="s">
        <v>8</v>
      </c>
    </row>
    <row r="25" spans="2:4" ht="15" customHeight="1">
      <c r="B25" s="12" t="s">
        <v>108</v>
      </c>
      <c r="C25" s="10">
        <v>86</v>
      </c>
      <c r="D25" s="10">
        <v>25</v>
      </c>
    </row>
    <row r="26" spans="2:4" ht="15" customHeight="1">
      <c r="B26" s="12" t="s">
        <v>109</v>
      </c>
      <c r="C26" s="10">
        <v>70</v>
      </c>
      <c r="D26" s="10">
        <v>20</v>
      </c>
    </row>
    <row r="28" spans="2:2" ht="15" customHeight="1">
      <c r="B28" s="27" t="s">
        <v>110</v>
      </c>
    </row>
    <row r="32" spans="2:2" ht="12.75">
      <c r="B32" s="5" t="s">
        <v>111</v>
      </c>
    </row>
    <row r="34" spans="2:2" ht="12.75"/>
    <row r="51" spans="2:4" ht="30" customHeight="1">
      <c r="B51" s="6" t="s">
        <v>107</v>
      </c>
      <c r="C51" s="7" t="s">
        <v>7</v>
      </c>
      <c r="D51" s="7" t="s">
        <v>8</v>
      </c>
    </row>
    <row r="52" spans="2:4" ht="15" customHeight="1">
      <c r="B52" s="12" t="s">
        <v>108</v>
      </c>
      <c r="C52" s="10">
        <v>3723473</v>
      </c>
      <c r="D52" s="10">
        <v>1242250</v>
      </c>
    </row>
    <row r="53" spans="2:4" ht="15" customHeight="1">
      <c r="B53" s="12" t="s">
        <v>109</v>
      </c>
      <c r="C53" s="10">
        <v>3815569</v>
      </c>
      <c r="D53" s="10">
        <v>3417766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7aa69c7-157d-4842-a1d6-14351babc35e}">
  <dimension ref="B1:D77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6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39</v>
      </c>
    </row>
    <row r="6" spans="2:2" ht="12.75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spans="2:4" ht="30" customHeight="1">
      <c r="B29" s="6" t="s">
        <v>112</v>
      </c>
      <c r="C29" s="7" t="s">
        <v>7</v>
      </c>
      <c r="D29" s="7" t="s">
        <v>8</v>
      </c>
    </row>
    <row r="30" spans="2:4" ht="15" customHeight="1">
      <c r="B30" s="12" t="s">
        <v>113</v>
      </c>
      <c r="C30" s="10">
        <v>27</v>
      </c>
      <c r="D30" s="10">
        <v>9</v>
      </c>
    </row>
    <row r="31" spans="2:4" ht="15" customHeight="1">
      <c r="B31" s="12" t="s">
        <v>114</v>
      </c>
      <c r="C31" s="10">
        <v>23</v>
      </c>
      <c r="D31" s="10">
        <v>7</v>
      </c>
    </row>
    <row r="32" spans="2:4" ht="15" customHeight="1">
      <c r="B32" s="12" t="s">
        <v>115</v>
      </c>
      <c r="C32" s="10">
        <v>4</v>
      </c>
      <c r="D32" s="10">
        <v>4</v>
      </c>
    </row>
    <row r="33" spans="2:4" ht="15" customHeight="1">
      <c r="B33" s="12" t="s">
        <v>116</v>
      </c>
      <c r="C33" s="10">
        <v>4</v>
      </c>
      <c r="D33" s="10">
        <v>1</v>
      </c>
    </row>
    <row r="34" spans="2:4" ht="15" customHeight="1">
      <c r="B34" s="12" t="s">
        <v>117</v>
      </c>
      <c r="C34" s="10">
        <v>2</v>
      </c>
      <c r="D34" s="10">
        <v>0</v>
      </c>
    </row>
    <row r="35" spans="2:4" ht="15" customHeight="1">
      <c r="B35" s="12" t="s">
        <v>118</v>
      </c>
      <c r="C35" s="10">
        <v>2</v>
      </c>
      <c r="D35" s="10">
        <v>0</v>
      </c>
    </row>
    <row r="36" spans="2:4" ht="15" customHeight="1">
      <c r="B36" s="12" t="s">
        <v>119</v>
      </c>
      <c r="C36" s="10">
        <v>1</v>
      </c>
      <c r="D36" s="10">
        <v>0</v>
      </c>
    </row>
    <row r="37" spans="2:4" ht="15" customHeight="1">
      <c r="B37" s="12" t="s">
        <v>120</v>
      </c>
      <c r="C37" s="10">
        <v>1</v>
      </c>
      <c r="D37" s="10">
        <v>0</v>
      </c>
    </row>
    <row r="38" spans="2:4" ht="15" customHeight="1">
      <c r="B38" s="12" t="s">
        <v>121</v>
      </c>
      <c r="C38" s="10">
        <v>23</v>
      </c>
      <c r="D38" s="10">
        <v>3</v>
      </c>
    </row>
    <row r="40" spans="2:2" ht="15" customHeight="1">
      <c r="B40" s="27" t="s">
        <v>122</v>
      </c>
    </row>
    <row r="44" spans="2:2" ht="12.75">
      <c r="B44" s="5" t="s">
        <v>123</v>
      </c>
    </row>
    <row r="46" spans="2:2" ht="12.75"/>
    <row r="68" spans="2:4" ht="30" customHeight="1">
      <c r="B68" s="6" t="s">
        <v>112</v>
      </c>
      <c r="C68" s="7" t="s">
        <v>7</v>
      </c>
      <c r="D68" s="7" t="s">
        <v>8</v>
      </c>
    </row>
    <row r="69" spans="2:4" ht="15" customHeight="1">
      <c r="B69" s="12" t="s">
        <v>113</v>
      </c>
      <c r="C69" s="10">
        <v>1126513</v>
      </c>
      <c r="D69" s="10">
        <v>333076</v>
      </c>
    </row>
    <row r="70" spans="2:4" ht="15" customHeight="1">
      <c r="B70" s="12" t="s">
        <v>115</v>
      </c>
      <c r="C70" s="10">
        <v>133566</v>
      </c>
      <c r="D70" s="10">
        <v>671057</v>
      </c>
    </row>
    <row r="71" spans="2:4" ht="15" customHeight="1">
      <c r="B71" s="12" t="s">
        <v>114</v>
      </c>
      <c r="C71" s="10">
        <v>528558</v>
      </c>
      <c r="D71" s="10">
        <v>198083</v>
      </c>
    </row>
    <row r="72" spans="2:4" ht="15" customHeight="1">
      <c r="B72" s="12" t="s">
        <v>118</v>
      </c>
      <c r="C72" s="10">
        <v>83729</v>
      </c>
      <c r="D72" s="10">
        <v>0</v>
      </c>
    </row>
    <row r="73" spans="2:4" ht="15" customHeight="1">
      <c r="B73" s="12" t="s">
        <v>116</v>
      </c>
      <c r="C73" s="10">
        <v>20907</v>
      </c>
      <c r="D73" s="10">
        <v>9410</v>
      </c>
    </row>
    <row r="74" spans="2:4" ht="15" customHeight="1">
      <c r="B74" s="12" t="s">
        <v>120</v>
      </c>
      <c r="C74" s="10">
        <v>22250</v>
      </c>
      <c r="D74" s="10">
        <v>0</v>
      </c>
    </row>
    <row r="75" spans="2:4" ht="15" customHeight="1">
      <c r="B75" s="12" t="s">
        <v>117</v>
      </c>
      <c r="C75" s="10">
        <v>311</v>
      </c>
      <c r="D75" s="10">
        <v>0</v>
      </c>
    </row>
    <row r="76" spans="2:4" ht="15" customHeight="1">
      <c r="B76" s="12" t="s">
        <v>119</v>
      </c>
      <c r="C76" s="10">
        <v>0</v>
      </c>
      <c r="D76" s="10">
        <v>0</v>
      </c>
    </row>
    <row r="77" spans="2:4" ht="15" customHeight="1">
      <c r="B77" s="12" t="s">
        <v>121</v>
      </c>
      <c r="C77" s="10">
        <v>1850796</v>
      </c>
      <c r="D77" s="10">
        <v>8374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343d086-c810-4a02-953a-b4a3f68c52c3}">
  <dimension ref="B1:D121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6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40</v>
      </c>
    </row>
    <row r="6" spans="2:2" ht="12.75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spans="2:4" ht="30" customHeight="1">
      <c r="B29" s="6" t="s">
        <v>124</v>
      </c>
      <c r="C29" s="7" t="s">
        <v>7</v>
      </c>
      <c r="D29" s="7" t="s">
        <v>8</v>
      </c>
    </row>
    <row r="30" spans="2:4" ht="15" customHeight="1">
      <c r="B30" s="12" t="s">
        <v>125</v>
      </c>
      <c r="C30" s="10">
        <v>9</v>
      </c>
      <c r="D30" s="10">
        <v>3</v>
      </c>
    </row>
    <row r="31" spans="2:4" ht="15" customHeight="1">
      <c r="B31" s="12" t="s">
        <v>126</v>
      </c>
      <c r="C31" s="10">
        <v>7</v>
      </c>
      <c r="D31" s="10">
        <v>2</v>
      </c>
    </row>
    <row r="32" spans="2:4" ht="15" customHeight="1">
      <c r="B32" s="12" t="s">
        <v>127</v>
      </c>
      <c r="C32" s="10">
        <v>7</v>
      </c>
      <c r="D32" s="10">
        <v>0</v>
      </c>
    </row>
    <row r="33" spans="2:4" ht="15" customHeight="1">
      <c r="B33" s="12" t="s">
        <v>128</v>
      </c>
      <c r="C33" s="10">
        <v>5</v>
      </c>
      <c r="D33" s="10">
        <v>1</v>
      </c>
    </row>
    <row r="34" spans="2:4" ht="15" customHeight="1">
      <c r="B34" s="12" t="s">
        <v>129</v>
      </c>
      <c r="C34" s="10">
        <v>4</v>
      </c>
      <c r="D34" s="10">
        <v>2</v>
      </c>
    </row>
    <row r="35" spans="2:4" ht="15" customHeight="1">
      <c r="B35" s="12" t="s">
        <v>130</v>
      </c>
      <c r="C35" s="10">
        <v>5</v>
      </c>
      <c r="D35" s="10">
        <v>0</v>
      </c>
    </row>
    <row r="36" spans="2:4" ht="15" customHeight="1">
      <c r="B36" s="12" t="s">
        <v>131</v>
      </c>
      <c r="C36" s="10">
        <v>5</v>
      </c>
      <c r="D36" s="10">
        <v>0</v>
      </c>
    </row>
    <row r="37" spans="2:4" ht="15" customHeight="1">
      <c r="B37" s="12" t="s">
        <v>132</v>
      </c>
      <c r="C37" s="10">
        <v>2</v>
      </c>
      <c r="D37" s="10">
        <v>1</v>
      </c>
    </row>
    <row r="38" spans="2:4" ht="15" customHeight="1">
      <c r="B38" s="12" t="s">
        <v>133</v>
      </c>
      <c r="C38" s="10">
        <v>2</v>
      </c>
      <c r="D38" s="10">
        <v>1</v>
      </c>
    </row>
    <row r="39" spans="2:4" ht="15" customHeight="1">
      <c r="B39" s="12" t="s">
        <v>134</v>
      </c>
      <c r="C39" s="10">
        <v>1</v>
      </c>
      <c r="D39" s="10">
        <v>1</v>
      </c>
    </row>
    <row r="40" spans="2:4" ht="15" customHeight="1">
      <c r="B40" s="12" t="s">
        <v>135</v>
      </c>
      <c r="C40" s="10">
        <v>2</v>
      </c>
      <c r="D40" s="10">
        <v>0</v>
      </c>
    </row>
    <row r="41" spans="2:4" ht="15" customHeight="1">
      <c r="B41" s="12" t="s">
        <v>136</v>
      </c>
      <c r="C41" s="10">
        <v>2</v>
      </c>
      <c r="D41" s="10">
        <v>0</v>
      </c>
    </row>
    <row r="42" spans="2:4" ht="15" customHeight="1">
      <c r="B42" s="12" t="s">
        <v>137</v>
      </c>
      <c r="C42" s="10">
        <v>2</v>
      </c>
      <c r="D42" s="10">
        <v>0</v>
      </c>
    </row>
    <row r="43" spans="2:4" ht="15" customHeight="1">
      <c r="B43" s="12" t="s">
        <v>138</v>
      </c>
      <c r="C43" s="10">
        <v>2</v>
      </c>
      <c r="D43" s="10">
        <v>0</v>
      </c>
    </row>
    <row r="44" spans="2:4" ht="15" customHeight="1">
      <c r="B44" s="12" t="s">
        <v>139</v>
      </c>
      <c r="C44" s="10">
        <v>2</v>
      </c>
      <c r="D44" s="10">
        <v>0</v>
      </c>
    </row>
    <row r="45" spans="2:4" ht="15" customHeight="1">
      <c r="B45" s="12" t="s">
        <v>140</v>
      </c>
      <c r="C45" s="10">
        <v>2</v>
      </c>
      <c r="D45" s="10">
        <v>0</v>
      </c>
    </row>
    <row r="46" spans="2:4" ht="15" customHeight="1">
      <c r="B46" s="12" t="s">
        <v>141</v>
      </c>
      <c r="C46" s="10">
        <v>1</v>
      </c>
      <c r="D46" s="10">
        <v>1</v>
      </c>
    </row>
    <row r="47" spans="2:4" ht="15" customHeight="1">
      <c r="B47" s="12" t="s">
        <v>142</v>
      </c>
      <c r="C47" s="10">
        <v>1</v>
      </c>
      <c r="D47" s="10">
        <v>0</v>
      </c>
    </row>
    <row r="48" spans="2:4" ht="15" customHeight="1">
      <c r="B48" s="12" t="s">
        <v>143</v>
      </c>
      <c r="C48" s="10">
        <v>1</v>
      </c>
      <c r="D48" s="10">
        <v>0</v>
      </c>
    </row>
    <row r="49" spans="2:4" ht="15" customHeight="1">
      <c r="B49" s="12" t="s">
        <v>144</v>
      </c>
      <c r="C49" s="10">
        <v>1</v>
      </c>
      <c r="D49" s="10">
        <v>0</v>
      </c>
    </row>
    <row r="50" spans="2:4" ht="15" customHeight="1">
      <c r="B50" s="12" t="s">
        <v>145</v>
      </c>
      <c r="C50" s="10">
        <v>1</v>
      </c>
      <c r="D50" s="10">
        <v>0</v>
      </c>
    </row>
    <row r="51" spans="2:4" ht="15" customHeight="1">
      <c r="B51" s="12" t="s">
        <v>146</v>
      </c>
      <c r="C51" s="10">
        <v>1</v>
      </c>
      <c r="D51" s="10">
        <v>0</v>
      </c>
    </row>
    <row r="52" spans="2:4" ht="15" customHeight="1">
      <c r="B52" s="12" t="s">
        <v>147</v>
      </c>
      <c r="C52" s="10">
        <v>1</v>
      </c>
      <c r="D52" s="10">
        <v>0</v>
      </c>
    </row>
    <row r="53" spans="2:4" ht="15" customHeight="1">
      <c r="B53" s="12" t="s">
        <v>148</v>
      </c>
      <c r="C53" s="10">
        <v>1</v>
      </c>
      <c r="D53" s="10">
        <v>0</v>
      </c>
    </row>
    <row r="54" spans="2:4" ht="15" customHeight="1">
      <c r="B54" s="12" t="s">
        <v>149</v>
      </c>
      <c r="C54" s="10">
        <v>1</v>
      </c>
      <c r="D54" s="10">
        <v>0</v>
      </c>
    </row>
    <row r="55" spans="2:4" ht="15" customHeight="1">
      <c r="B55" s="12" t="s">
        <v>150</v>
      </c>
      <c r="C55" s="10">
        <v>1</v>
      </c>
      <c r="D55" s="10">
        <v>0</v>
      </c>
    </row>
    <row r="56" spans="2:4" ht="15" customHeight="1">
      <c r="B56" s="12" t="s">
        <v>151</v>
      </c>
      <c r="C56" s="10">
        <v>1</v>
      </c>
      <c r="D56" s="10">
        <v>0</v>
      </c>
    </row>
    <row r="57" spans="2:4" ht="15" customHeight="1">
      <c r="B57" s="12" t="s">
        <v>152</v>
      </c>
      <c r="C57" s="10">
        <v>1</v>
      </c>
      <c r="D57" s="10">
        <v>0</v>
      </c>
    </row>
    <row r="58" spans="2:4" ht="15" customHeight="1">
      <c r="B58" s="12" t="s">
        <v>153</v>
      </c>
      <c r="C58" s="10">
        <v>1</v>
      </c>
      <c r="D58" s="10">
        <v>0</v>
      </c>
    </row>
    <row r="59" spans="2:4" ht="15" customHeight="1">
      <c r="B59" s="12" t="s">
        <v>154</v>
      </c>
      <c r="C59" s="10">
        <v>1</v>
      </c>
      <c r="D59" s="10">
        <v>0</v>
      </c>
    </row>
    <row r="60" spans="2:4" ht="15" customHeight="1">
      <c r="B60" s="12" t="s">
        <v>155</v>
      </c>
      <c r="C60" s="10">
        <v>23</v>
      </c>
      <c r="D60" s="10">
        <v>3</v>
      </c>
    </row>
    <row r="62" spans="2:2" ht="15" customHeight="1">
      <c r="B62" s="27" t="s">
        <v>156</v>
      </c>
    </row>
    <row r="66" spans="2:2" ht="12.75">
      <c r="B66" s="5" t="s">
        <v>157</v>
      </c>
    </row>
    <row r="68" spans="2:2" ht="12.75"/>
    <row r="90" spans="2:4" ht="30" customHeight="1">
      <c r="B90" s="6" t="s">
        <v>124</v>
      </c>
      <c r="C90" s="7" t="s">
        <v>7</v>
      </c>
      <c r="D90" s="7" t="s">
        <v>8</v>
      </c>
    </row>
    <row r="91" spans="2:4" ht="15" customHeight="1">
      <c r="B91" s="12" t="s">
        <v>128</v>
      </c>
      <c r="C91" s="10">
        <v>808409</v>
      </c>
      <c r="D91" s="10">
        <v>17881</v>
      </c>
    </row>
    <row r="92" spans="2:4" ht="15" customHeight="1">
      <c r="B92" s="12" t="s">
        <v>129</v>
      </c>
      <c r="C92" s="10">
        <v>671057</v>
      </c>
      <c r="D92" s="10">
        <v>104745</v>
      </c>
    </row>
    <row r="93" spans="2:4" ht="15" customHeight="1">
      <c r="B93" s="12" t="s">
        <v>127</v>
      </c>
      <c r="C93" s="10">
        <v>327793</v>
      </c>
      <c r="D93" s="10">
        <v>0</v>
      </c>
    </row>
    <row r="94" spans="2:4" ht="15" customHeight="1">
      <c r="B94" s="12" t="s">
        <v>125</v>
      </c>
      <c r="C94" s="10">
        <v>72694</v>
      </c>
      <c r="D94" s="10">
        <v>97201</v>
      </c>
    </row>
    <row r="95" spans="2:4" ht="15" customHeight="1">
      <c r="B95" s="12" t="s">
        <v>136</v>
      </c>
      <c r="C95" s="10">
        <v>153213</v>
      </c>
      <c r="D95" s="10">
        <v>0</v>
      </c>
    </row>
    <row r="96" spans="2:4" ht="15" customHeight="1">
      <c r="B96" s="12" t="s">
        <v>126</v>
      </c>
      <c r="C96" s="10">
        <v>61121</v>
      </c>
      <c r="D96" s="10">
        <v>61835</v>
      </c>
    </row>
    <row r="97" spans="2:4" ht="15" customHeight="1">
      <c r="B97" s="12" t="s">
        <v>130</v>
      </c>
      <c r="C97" s="10">
        <v>85332</v>
      </c>
      <c r="D97" s="10">
        <v>0</v>
      </c>
    </row>
    <row r="98" spans="2:4" ht="15" customHeight="1">
      <c r="B98" s="12" t="s">
        <v>131</v>
      </c>
      <c r="C98" s="10">
        <v>70208</v>
      </c>
      <c r="D98" s="10">
        <v>0</v>
      </c>
    </row>
    <row r="99" spans="2:4" ht="15" customHeight="1">
      <c r="B99" s="12" t="s">
        <v>152</v>
      </c>
      <c r="C99" s="10">
        <v>66349</v>
      </c>
      <c r="D99" s="10">
        <v>0</v>
      </c>
    </row>
    <row r="100" spans="2:4" ht="15" customHeight="1">
      <c r="B100" s="12" t="s">
        <v>146</v>
      </c>
      <c r="C100" s="10">
        <v>61816</v>
      </c>
      <c r="D100" s="10">
        <v>0</v>
      </c>
    </row>
    <row r="101" spans="2:4" ht="15" customHeight="1">
      <c r="B101" s="12" t="s">
        <v>145</v>
      </c>
      <c r="C101" s="10">
        <v>60187</v>
      </c>
      <c r="D101" s="10">
        <v>0</v>
      </c>
    </row>
    <row r="102" spans="2:4" ht="15" customHeight="1">
      <c r="B102" s="12" t="s">
        <v>132</v>
      </c>
      <c r="C102" s="10">
        <v>42011</v>
      </c>
      <c r="D102" s="10">
        <v>17496</v>
      </c>
    </row>
    <row r="103" spans="2:4" ht="15" customHeight="1">
      <c r="B103" s="12" t="s">
        <v>147</v>
      </c>
      <c r="C103" s="10">
        <v>50706</v>
      </c>
      <c r="D103" s="10">
        <v>0</v>
      </c>
    </row>
    <row r="104" spans="2:4" ht="15" customHeight="1">
      <c r="B104" s="12" t="s">
        <v>134</v>
      </c>
      <c r="C104" s="10">
        <v>22118</v>
      </c>
      <c r="D104" s="10">
        <v>27256</v>
      </c>
    </row>
    <row r="105" spans="2:4" ht="15" customHeight="1">
      <c r="B105" s="12" t="s">
        <v>133</v>
      </c>
      <c r="C105" s="10">
        <v>24903</v>
      </c>
      <c r="D105" s="10">
        <v>22662</v>
      </c>
    </row>
    <row r="106" spans="2:4" ht="15" customHeight="1">
      <c r="B106" s="12" t="s">
        <v>141</v>
      </c>
      <c r="C106" s="10">
        <v>21668</v>
      </c>
      <c r="D106" s="10">
        <v>22770</v>
      </c>
    </row>
    <row r="107" spans="2:4" ht="15" customHeight="1">
      <c r="B107" s="12" t="s">
        <v>144</v>
      </c>
      <c r="C107" s="10">
        <v>26143</v>
      </c>
      <c r="D107" s="10">
        <v>0</v>
      </c>
    </row>
    <row r="108" spans="2:4" ht="15" customHeight="1">
      <c r="B108" s="12" t="s">
        <v>143</v>
      </c>
      <c r="C108" s="10">
        <v>25816</v>
      </c>
      <c r="D108" s="10">
        <v>0</v>
      </c>
    </row>
    <row r="109" spans="2:4" ht="15" customHeight="1">
      <c r="B109" s="12" t="s">
        <v>153</v>
      </c>
      <c r="C109" s="10">
        <v>22250</v>
      </c>
      <c r="D109" s="10">
        <v>0</v>
      </c>
    </row>
    <row r="110" spans="2:4" ht="15" customHeight="1">
      <c r="B110" s="12" t="s">
        <v>148</v>
      </c>
      <c r="C110" s="10">
        <v>21913</v>
      </c>
      <c r="D110" s="10">
        <v>0</v>
      </c>
    </row>
    <row r="111" spans="2:4" ht="15" customHeight="1">
      <c r="B111" s="12" t="s">
        <v>135</v>
      </c>
      <c r="C111" s="10">
        <v>20907</v>
      </c>
      <c r="D111" s="10">
        <v>0</v>
      </c>
    </row>
    <row r="112" spans="2:4" ht="15" customHeight="1">
      <c r="B112" s="12" t="s">
        <v>137</v>
      </c>
      <c r="C112" s="10">
        <v>15658</v>
      </c>
      <c r="D112" s="10">
        <v>0</v>
      </c>
    </row>
    <row r="113" spans="2:4" ht="15" customHeight="1">
      <c r="B113" s="12" t="s">
        <v>150</v>
      </c>
      <c r="C113" s="10">
        <v>10616</v>
      </c>
      <c r="D113" s="10">
        <v>0</v>
      </c>
    </row>
    <row r="114" spans="2:4" ht="15" customHeight="1">
      <c r="B114" s="12" t="s">
        <v>154</v>
      </c>
      <c r="C114" s="10">
        <v>9410</v>
      </c>
      <c r="D114" s="10">
        <v>0</v>
      </c>
    </row>
    <row r="115" spans="2:4" ht="15" customHeight="1">
      <c r="B115" s="12" t="s">
        <v>149</v>
      </c>
      <c r="C115" s="10">
        <v>3005</v>
      </c>
      <c r="D115" s="10">
        <v>0</v>
      </c>
    </row>
    <row r="116" spans="2:4" ht="15" customHeight="1">
      <c r="B116" s="12" t="s">
        <v>140</v>
      </c>
      <c r="C116" s="10">
        <v>311</v>
      </c>
      <c r="D116" s="10">
        <v>0</v>
      </c>
    </row>
    <row r="117" spans="2:4" ht="15" customHeight="1">
      <c r="B117" s="12" t="s">
        <v>142</v>
      </c>
      <c r="C117" s="10">
        <v>0</v>
      </c>
      <c r="D117" s="10">
        <v>0</v>
      </c>
    </row>
    <row r="118" spans="2:4" ht="15" customHeight="1">
      <c r="B118" s="12" t="s">
        <v>138</v>
      </c>
      <c r="C118" s="10">
        <v>0</v>
      </c>
      <c r="D118" s="10">
        <v>0</v>
      </c>
    </row>
    <row r="119" spans="2:4" ht="15" customHeight="1">
      <c r="B119" s="12" t="s">
        <v>139</v>
      </c>
      <c r="C119" s="10">
        <v>0</v>
      </c>
      <c r="D119" s="10">
        <v>0</v>
      </c>
    </row>
    <row r="120" spans="2:4" ht="15" customHeight="1">
      <c r="B120" s="12" t="s">
        <v>151</v>
      </c>
      <c r="C120" s="10">
        <v>0</v>
      </c>
      <c r="D120" s="10">
        <v>0</v>
      </c>
    </row>
    <row r="121" spans="2:4" ht="15" customHeight="1">
      <c r="B121" s="12" t="s">
        <v>155</v>
      </c>
      <c r="C121" s="10">
        <v>1850796</v>
      </c>
      <c r="D121" s="10">
        <v>8374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a170cd7-6798-4bd6-8586-2274f40c99f0}">
  <dimension ref="B1:D141"/>
  <sheetViews>
    <sheetView showGridLines="0" workbookViewId="0" topLeftCell="A1"/>
  </sheetViews>
  <sheetFormatPr defaultRowHeight="12.75"/>
  <cols>
    <col min="1" max="1" width="4.714285714285714" customWidth="1"/>
    <col min="2" max="2" width="22.714285714285715" customWidth="1"/>
    <col min="3" max="6" width="17.857142857142858" customWidth="1"/>
  </cols>
  <sheetData>
    <row r="1" spans="2:3" s="1" customFormat="1" ht="30" customHeight="1">
      <c r="B1" s="1" t="s">
        <v>0</v>
      </c>
      <c r="C1" s="4" t="s">
        <v>2</v>
      </c>
    </row>
    <row r="4" spans="2:2" ht="12.75">
      <c r="B4" s="2" t="s">
        <v>41</v>
      </c>
    </row>
    <row r="6" spans="2:2" ht="12.75"/>
    <row r="7" ht="13" customHeight="1"/>
    <row r="8" ht="13" customHeight="1"/>
    <row r="9" ht="13" customHeight="1"/>
    <row r="10" ht="13" customHeight="1"/>
    <row r="11" ht="13" customHeight="1"/>
    <row r="12" ht="13" customHeight="1"/>
    <row r="13" ht="13" customHeight="1"/>
    <row r="14" ht="13" customHeight="1"/>
    <row r="15" ht="13" customHeight="1"/>
    <row r="16" ht="13" customHeight="1"/>
    <row r="17" ht="13" customHeight="1"/>
    <row r="18" ht="13" customHeight="1"/>
    <row r="19" ht="13" customHeight="1"/>
    <row r="20" ht="13" customHeight="1"/>
    <row r="21" ht="13" customHeight="1"/>
    <row r="22" ht="13" customHeight="1"/>
    <row r="23" ht="13" customHeight="1"/>
    <row r="24" ht="13" customHeight="1"/>
    <row r="25" ht="13" customHeight="1"/>
    <row r="26" ht="13" customHeight="1"/>
    <row r="27" ht="13" customHeight="1"/>
    <row r="28" ht="13" customHeight="1"/>
    <row r="29" spans="2:4" ht="30" customHeight="1">
      <c r="B29" s="6" t="s">
        <v>158</v>
      </c>
      <c r="C29" s="7" t="s">
        <v>7</v>
      </c>
      <c r="D29" s="7" t="s">
        <v>8</v>
      </c>
    </row>
    <row r="30" spans="2:4" ht="15" customHeight="1">
      <c r="B30" s="12" t="s">
        <v>125</v>
      </c>
      <c r="C30" s="10">
        <v>9</v>
      </c>
      <c r="D30" s="10">
        <v>3</v>
      </c>
    </row>
    <row r="31" spans="2:4" ht="15" customHeight="1">
      <c r="B31" s="12" t="s">
        <v>159</v>
      </c>
      <c r="C31" s="10">
        <v>7</v>
      </c>
      <c r="D31" s="10">
        <v>0</v>
      </c>
    </row>
    <row r="32" spans="2:4" ht="15" customHeight="1">
      <c r="B32" s="12" t="s">
        <v>129</v>
      </c>
      <c r="C32" s="10">
        <v>4</v>
      </c>
      <c r="D32" s="10">
        <v>2</v>
      </c>
    </row>
    <row r="33" spans="2:4" ht="15" customHeight="1">
      <c r="B33" s="12" t="s">
        <v>160</v>
      </c>
      <c r="C33" s="10">
        <v>5</v>
      </c>
      <c r="D33" s="10">
        <v>0</v>
      </c>
    </row>
    <row r="34" spans="2:4" ht="15" customHeight="1">
      <c r="B34" s="12" t="s">
        <v>161</v>
      </c>
      <c r="C34" s="10">
        <v>3</v>
      </c>
      <c r="D34" s="10">
        <v>2</v>
      </c>
    </row>
    <row r="35" spans="2:4" ht="15" customHeight="1">
      <c r="B35" s="12" t="s">
        <v>162</v>
      </c>
      <c r="C35" s="10">
        <v>4</v>
      </c>
      <c r="D35" s="10">
        <v>0</v>
      </c>
    </row>
    <row r="36" spans="2:4" ht="15" customHeight="1">
      <c r="B36" s="12" t="s">
        <v>163</v>
      </c>
      <c r="C36" s="10">
        <v>2</v>
      </c>
      <c r="D36" s="10">
        <v>1</v>
      </c>
    </row>
    <row r="37" spans="2:4" ht="15" customHeight="1">
      <c r="B37" s="12" t="s">
        <v>164</v>
      </c>
      <c r="C37" s="10">
        <v>3</v>
      </c>
      <c r="D37" s="10">
        <v>0</v>
      </c>
    </row>
    <row r="38" spans="2:4" ht="15" customHeight="1">
      <c r="B38" s="12" t="s">
        <v>165</v>
      </c>
      <c r="C38" s="10">
        <v>1</v>
      </c>
      <c r="D38" s="10">
        <v>1</v>
      </c>
    </row>
    <row r="39" spans="2:4" ht="15" customHeight="1">
      <c r="B39" s="12" t="s">
        <v>166</v>
      </c>
      <c r="C39" s="10">
        <v>2</v>
      </c>
      <c r="D39" s="10">
        <v>0</v>
      </c>
    </row>
    <row r="40" spans="2:4" ht="15" customHeight="1">
      <c r="B40" s="12" t="s">
        <v>167</v>
      </c>
      <c r="C40" s="10">
        <v>2</v>
      </c>
      <c r="D40" s="10">
        <v>0</v>
      </c>
    </row>
    <row r="41" spans="2:4" ht="15" customHeight="1">
      <c r="B41" s="12" t="s">
        <v>168</v>
      </c>
      <c r="C41" s="10">
        <v>2</v>
      </c>
      <c r="D41" s="10">
        <v>0</v>
      </c>
    </row>
    <row r="42" spans="2:4" ht="15" customHeight="1">
      <c r="B42" s="12" t="s">
        <v>169</v>
      </c>
      <c r="C42" s="10">
        <v>2</v>
      </c>
      <c r="D42" s="10">
        <v>0</v>
      </c>
    </row>
    <row r="43" spans="2:4" ht="15" customHeight="1">
      <c r="B43" s="12" t="s">
        <v>170</v>
      </c>
      <c r="C43" s="10">
        <v>2</v>
      </c>
      <c r="D43" s="10">
        <v>0</v>
      </c>
    </row>
    <row r="44" spans="2:4" ht="15" customHeight="1">
      <c r="B44" s="12" t="s">
        <v>171</v>
      </c>
      <c r="C44" s="10">
        <v>2</v>
      </c>
      <c r="D44" s="10">
        <v>0</v>
      </c>
    </row>
    <row r="45" spans="2:4" ht="15" customHeight="1">
      <c r="B45" s="12" t="s">
        <v>172</v>
      </c>
      <c r="C45" s="10">
        <v>2</v>
      </c>
      <c r="D45" s="10">
        <v>0</v>
      </c>
    </row>
    <row r="46" spans="2:4" ht="15" customHeight="1">
      <c r="B46" s="12" t="s">
        <v>173</v>
      </c>
      <c r="C46" s="10">
        <v>1</v>
      </c>
      <c r="D46" s="10">
        <v>0</v>
      </c>
    </row>
    <row r="47" spans="2:4" ht="15" customHeight="1">
      <c r="B47" s="12" t="s">
        <v>174</v>
      </c>
      <c r="C47" s="10">
        <v>1</v>
      </c>
      <c r="D47" s="10">
        <v>0</v>
      </c>
    </row>
    <row r="48" spans="2:4" ht="15" customHeight="1">
      <c r="B48" s="12" t="s">
        <v>175</v>
      </c>
      <c r="C48" s="10">
        <v>1</v>
      </c>
      <c r="D48" s="10">
        <v>0</v>
      </c>
    </row>
    <row r="49" spans="2:4" ht="15" customHeight="1">
      <c r="B49" s="12" t="s">
        <v>176</v>
      </c>
      <c r="C49" s="10">
        <v>1</v>
      </c>
      <c r="D49" s="10">
        <v>0</v>
      </c>
    </row>
    <row r="50" spans="2:4" ht="15" customHeight="1">
      <c r="B50" s="12" t="s">
        <v>177</v>
      </c>
      <c r="C50" s="10">
        <v>1</v>
      </c>
      <c r="D50" s="10">
        <v>0</v>
      </c>
    </row>
    <row r="51" spans="2:4" ht="15" customHeight="1">
      <c r="B51" s="12" t="s">
        <v>178</v>
      </c>
      <c r="C51" s="10">
        <v>1</v>
      </c>
      <c r="D51" s="10">
        <v>0</v>
      </c>
    </row>
    <row r="52" spans="2:4" ht="15" customHeight="1">
      <c r="B52" s="12" t="s">
        <v>179</v>
      </c>
      <c r="C52" s="10">
        <v>1</v>
      </c>
      <c r="D52" s="10">
        <v>0</v>
      </c>
    </row>
    <row r="53" spans="2:4" ht="15" customHeight="1">
      <c r="B53" s="12" t="s">
        <v>180</v>
      </c>
      <c r="C53" s="10">
        <v>1</v>
      </c>
      <c r="D53" s="10">
        <v>0</v>
      </c>
    </row>
    <row r="54" spans="2:4" ht="15" customHeight="1">
      <c r="B54" s="12" t="s">
        <v>181</v>
      </c>
      <c r="C54" s="10">
        <v>1</v>
      </c>
      <c r="D54" s="10">
        <v>0</v>
      </c>
    </row>
    <row r="55" spans="2:4" ht="15" customHeight="1">
      <c r="B55" s="12" t="s">
        <v>182</v>
      </c>
      <c r="C55" s="10">
        <v>1</v>
      </c>
      <c r="D55" s="10">
        <v>0</v>
      </c>
    </row>
    <row r="56" spans="2:4" ht="15" customHeight="1">
      <c r="B56" s="12" t="s">
        <v>183</v>
      </c>
      <c r="C56" s="10">
        <v>1</v>
      </c>
      <c r="D56" s="10">
        <v>0</v>
      </c>
    </row>
    <row r="57" spans="2:4" ht="15" customHeight="1">
      <c r="B57" s="12" t="s">
        <v>184</v>
      </c>
      <c r="C57" s="10">
        <v>1</v>
      </c>
      <c r="D57" s="10">
        <v>0</v>
      </c>
    </row>
    <row r="58" spans="2:4" ht="15" customHeight="1">
      <c r="B58" s="12" t="s">
        <v>185</v>
      </c>
      <c r="C58" s="10">
        <v>1</v>
      </c>
      <c r="D58" s="10">
        <v>0</v>
      </c>
    </row>
    <row r="59" spans="2:4" ht="15" customHeight="1">
      <c r="B59" s="12" t="s">
        <v>186</v>
      </c>
      <c r="C59" s="10">
        <v>1</v>
      </c>
      <c r="D59" s="10">
        <v>0</v>
      </c>
    </row>
    <row r="60" spans="2:4" ht="15" customHeight="1">
      <c r="B60" s="12" t="s">
        <v>187</v>
      </c>
      <c r="C60" s="10">
        <v>1</v>
      </c>
      <c r="D60" s="10">
        <v>0</v>
      </c>
    </row>
    <row r="61" spans="2:4" ht="15" customHeight="1">
      <c r="B61" s="12" t="s">
        <v>188</v>
      </c>
      <c r="C61" s="10">
        <v>1</v>
      </c>
      <c r="D61" s="10">
        <v>0</v>
      </c>
    </row>
    <row r="62" spans="2:4" ht="15" customHeight="1">
      <c r="B62" s="12" t="s">
        <v>189</v>
      </c>
      <c r="C62" s="10">
        <v>1</v>
      </c>
      <c r="D62" s="10">
        <v>0</v>
      </c>
    </row>
    <row r="63" spans="2:4" ht="15" customHeight="1">
      <c r="B63" s="12" t="s">
        <v>190</v>
      </c>
      <c r="C63" s="10">
        <v>1</v>
      </c>
      <c r="D63" s="10">
        <v>0</v>
      </c>
    </row>
    <row r="64" spans="2:4" ht="15" customHeight="1">
      <c r="B64" s="12" t="s">
        <v>191</v>
      </c>
      <c r="C64" s="10">
        <v>1</v>
      </c>
      <c r="D64" s="10">
        <v>0</v>
      </c>
    </row>
    <row r="65" spans="2:4" ht="15" customHeight="1">
      <c r="B65" s="12" t="s">
        <v>192</v>
      </c>
      <c r="C65" s="10">
        <v>1</v>
      </c>
      <c r="D65" s="10">
        <v>0</v>
      </c>
    </row>
    <row r="66" spans="2:4" ht="15" customHeight="1">
      <c r="B66" s="12" t="s">
        <v>193</v>
      </c>
      <c r="C66" s="10">
        <v>1</v>
      </c>
      <c r="D66" s="10">
        <v>0</v>
      </c>
    </row>
    <row r="67" spans="2:4" ht="15" customHeight="1">
      <c r="B67" s="12" t="s">
        <v>194</v>
      </c>
      <c r="C67" s="10">
        <v>1</v>
      </c>
      <c r="D67" s="10">
        <v>0</v>
      </c>
    </row>
    <row r="68" spans="2:4" ht="15" customHeight="1">
      <c r="B68" s="12" t="s">
        <v>195</v>
      </c>
      <c r="C68" s="10">
        <v>1</v>
      </c>
      <c r="D68" s="10">
        <v>0</v>
      </c>
    </row>
    <row r="69" spans="2:4" ht="15" customHeight="1">
      <c r="B69" s="12" t="s">
        <v>196</v>
      </c>
      <c r="C69" s="10">
        <v>1</v>
      </c>
      <c r="D69" s="10">
        <v>0</v>
      </c>
    </row>
    <row r="70" spans="2:4" ht="15" customHeight="1">
      <c r="B70" s="12" t="s">
        <v>197</v>
      </c>
      <c r="C70" s="10">
        <v>23</v>
      </c>
      <c r="D70" s="10">
        <v>3</v>
      </c>
    </row>
    <row r="72" spans="2:2" ht="15" customHeight="1">
      <c r="B72" s="27" t="s">
        <v>198</v>
      </c>
    </row>
    <row r="76" spans="2:2" ht="12.75">
      <c r="B76" s="5" t="s">
        <v>199</v>
      </c>
    </row>
    <row r="78" spans="2:2" ht="12.75"/>
    <row r="100" spans="2:4" ht="30" customHeight="1">
      <c r="B100" s="6" t="s">
        <v>158</v>
      </c>
      <c r="C100" s="7" t="s">
        <v>7</v>
      </c>
      <c r="D100" s="7" t="s">
        <v>8</v>
      </c>
    </row>
    <row r="101" spans="2:4" ht="15" customHeight="1">
      <c r="B101" s="12" t="s">
        <v>185</v>
      </c>
      <c r="C101" s="10">
        <v>778810</v>
      </c>
      <c r="D101" s="10">
        <v>0</v>
      </c>
    </row>
    <row r="102" spans="2:4" ht="15" customHeight="1">
      <c r="B102" s="12" t="s">
        <v>129</v>
      </c>
      <c r="C102" s="10">
        <v>671057</v>
      </c>
      <c r="D102" s="10">
        <v>104745</v>
      </c>
    </row>
    <row r="103" spans="2:4" ht="15" customHeight="1">
      <c r="B103" s="12" t="s">
        <v>159</v>
      </c>
      <c r="C103" s="10">
        <v>327793</v>
      </c>
      <c r="D103" s="10">
        <v>0</v>
      </c>
    </row>
    <row r="104" spans="2:4" ht="15" customHeight="1">
      <c r="B104" s="12" t="s">
        <v>125</v>
      </c>
      <c r="C104" s="10">
        <v>72694</v>
      </c>
      <c r="D104" s="10">
        <v>97201</v>
      </c>
    </row>
    <row r="105" spans="2:4" ht="15" customHeight="1">
      <c r="B105" s="12" t="s">
        <v>166</v>
      </c>
      <c r="C105" s="10">
        <v>153213</v>
      </c>
      <c r="D105" s="10">
        <v>0</v>
      </c>
    </row>
    <row r="106" spans="2:4" ht="15" customHeight="1">
      <c r="B106" s="12" t="s">
        <v>160</v>
      </c>
      <c r="C106" s="10">
        <v>85332</v>
      </c>
      <c r="D106" s="10">
        <v>0</v>
      </c>
    </row>
    <row r="107" spans="2:4" ht="15" customHeight="1">
      <c r="B107" s="12" t="s">
        <v>192</v>
      </c>
      <c r="C107" s="10">
        <v>66349</v>
      </c>
      <c r="D107" s="10">
        <v>0</v>
      </c>
    </row>
    <row r="108" spans="2:4" ht="15" customHeight="1">
      <c r="B108" s="12" t="s">
        <v>161</v>
      </c>
      <c r="C108" s="10">
        <v>8655</v>
      </c>
      <c r="D108" s="10">
        <v>61835</v>
      </c>
    </row>
    <row r="109" spans="2:4" ht="15" customHeight="1">
      <c r="B109" s="12" t="s">
        <v>179</v>
      </c>
      <c r="C109" s="10">
        <v>61816</v>
      </c>
      <c r="D109" s="10">
        <v>0</v>
      </c>
    </row>
    <row r="110" spans="2:4" ht="15" customHeight="1">
      <c r="B110" s="12" t="s">
        <v>176</v>
      </c>
      <c r="C110" s="10">
        <v>60187</v>
      </c>
      <c r="D110" s="10">
        <v>0</v>
      </c>
    </row>
    <row r="111" spans="2:4" ht="15" customHeight="1">
      <c r="B111" s="12" t="s">
        <v>163</v>
      </c>
      <c r="C111" s="10">
        <v>42011</v>
      </c>
      <c r="D111" s="10">
        <v>17496</v>
      </c>
    </row>
    <row r="112" spans="2:4" ht="15" customHeight="1">
      <c r="B112" s="12" t="s">
        <v>164</v>
      </c>
      <c r="C112" s="10">
        <v>56833</v>
      </c>
      <c r="D112" s="10">
        <v>0</v>
      </c>
    </row>
    <row r="113" spans="2:4" ht="15" customHeight="1">
      <c r="B113" s="12" t="s">
        <v>162</v>
      </c>
      <c r="C113" s="10">
        <v>52466</v>
      </c>
      <c r="D113" s="10">
        <v>0</v>
      </c>
    </row>
    <row r="114" spans="2:4" ht="15" customHeight="1">
      <c r="B114" s="12" t="s">
        <v>180</v>
      </c>
      <c r="C114" s="10">
        <v>50706</v>
      </c>
      <c r="D114" s="10">
        <v>0</v>
      </c>
    </row>
    <row r="115" spans="2:4" ht="15" customHeight="1">
      <c r="B115" s="12" t="s">
        <v>165</v>
      </c>
      <c r="C115" s="10">
        <v>22118</v>
      </c>
      <c r="D115" s="10">
        <v>27256</v>
      </c>
    </row>
    <row r="116" spans="2:4" ht="15" customHeight="1">
      <c r="B116" s="12" t="s">
        <v>175</v>
      </c>
      <c r="C116" s="10">
        <v>26143</v>
      </c>
      <c r="D116" s="10">
        <v>0</v>
      </c>
    </row>
    <row r="117" spans="2:4" ht="15" customHeight="1">
      <c r="B117" s="12" t="s">
        <v>174</v>
      </c>
      <c r="C117" s="10">
        <v>25816</v>
      </c>
      <c r="D117" s="10">
        <v>0</v>
      </c>
    </row>
    <row r="118" spans="2:4" ht="15" customHeight="1">
      <c r="B118" s="12" t="s">
        <v>171</v>
      </c>
      <c r="C118" s="10">
        <v>24903</v>
      </c>
      <c r="D118" s="10">
        <v>0</v>
      </c>
    </row>
    <row r="119" spans="2:4" ht="15" customHeight="1">
      <c r="B119" s="12" t="s">
        <v>186</v>
      </c>
      <c r="C119" s="10">
        <v>23499</v>
      </c>
      <c r="D119" s="10">
        <v>0</v>
      </c>
    </row>
    <row r="120" spans="2:4" ht="15" customHeight="1">
      <c r="B120" s="12" t="s">
        <v>194</v>
      </c>
      <c r="C120" s="10">
        <v>22770</v>
      </c>
      <c r="D120" s="10">
        <v>0</v>
      </c>
    </row>
    <row r="121" spans="2:4" ht="15" customHeight="1">
      <c r="B121" s="12" t="s">
        <v>188</v>
      </c>
      <c r="C121" s="10">
        <v>22662</v>
      </c>
      <c r="D121" s="10">
        <v>0</v>
      </c>
    </row>
    <row r="122" spans="2:4" ht="15" customHeight="1">
      <c r="B122" s="12" t="s">
        <v>195</v>
      </c>
      <c r="C122" s="10">
        <v>22250</v>
      </c>
      <c r="D122" s="10">
        <v>0</v>
      </c>
    </row>
    <row r="123" spans="2:4" ht="15" customHeight="1">
      <c r="B123" s="12" t="s">
        <v>181</v>
      </c>
      <c r="C123" s="10">
        <v>21913</v>
      </c>
      <c r="D123" s="10">
        <v>0</v>
      </c>
    </row>
    <row r="124" spans="2:4" ht="15" customHeight="1">
      <c r="B124" s="12" t="s">
        <v>193</v>
      </c>
      <c r="C124" s="10">
        <v>21668</v>
      </c>
      <c r="D124" s="10">
        <v>0</v>
      </c>
    </row>
    <row r="125" spans="2:4" ht="15" customHeight="1">
      <c r="B125" s="12" t="s">
        <v>178</v>
      </c>
      <c r="C125" s="10">
        <v>20907</v>
      </c>
      <c r="D125" s="10">
        <v>0</v>
      </c>
    </row>
    <row r="126" spans="2:4" ht="15" customHeight="1">
      <c r="B126" s="12" t="s">
        <v>183</v>
      </c>
      <c r="C126" s="10">
        <v>17881</v>
      </c>
      <c r="D126" s="10">
        <v>0</v>
      </c>
    </row>
    <row r="127" spans="2:4" ht="15" customHeight="1">
      <c r="B127" s="12" t="s">
        <v>169</v>
      </c>
      <c r="C127" s="10">
        <v>15658</v>
      </c>
      <c r="D127" s="10">
        <v>0</v>
      </c>
    </row>
    <row r="128" spans="2:4" ht="15" customHeight="1">
      <c r="B128" s="12" t="s">
        <v>167</v>
      </c>
      <c r="C128" s="10">
        <v>13375</v>
      </c>
      <c r="D128" s="10">
        <v>0</v>
      </c>
    </row>
    <row r="129" spans="2:4" ht="15" customHeight="1">
      <c r="B129" s="12" t="s">
        <v>187</v>
      </c>
      <c r="C129" s="10">
        <v>10616</v>
      </c>
      <c r="D129" s="10">
        <v>0</v>
      </c>
    </row>
    <row r="130" spans="2:4" ht="15" customHeight="1">
      <c r="B130" s="12" t="s">
        <v>196</v>
      </c>
      <c r="C130" s="10">
        <v>9410</v>
      </c>
      <c r="D130" s="10">
        <v>0</v>
      </c>
    </row>
    <row r="131" spans="2:4" ht="15" customHeight="1">
      <c r="B131" s="12" t="s">
        <v>168</v>
      </c>
      <c r="C131" s="10">
        <v>6100</v>
      </c>
      <c r="D131" s="10">
        <v>0</v>
      </c>
    </row>
    <row r="132" spans="2:4" ht="15" customHeight="1">
      <c r="B132" s="12" t="s">
        <v>182</v>
      </c>
      <c r="C132" s="10">
        <v>3005</v>
      </c>
      <c r="D132" s="10">
        <v>0</v>
      </c>
    </row>
    <row r="133" spans="2:4" ht="15" customHeight="1">
      <c r="B133" s="12" t="s">
        <v>172</v>
      </c>
      <c r="C133" s="10">
        <v>311</v>
      </c>
      <c r="D133" s="10">
        <v>0</v>
      </c>
    </row>
    <row r="134" spans="2:4" ht="15" customHeight="1">
      <c r="B134" s="12" t="s">
        <v>173</v>
      </c>
      <c r="C134" s="10">
        <v>0</v>
      </c>
      <c r="D134" s="10">
        <v>0</v>
      </c>
    </row>
    <row r="135" spans="2:4" ht="15" customHeight="1">
      <c r="B135" s="12" t="s">
        <v>177</v>
      </c>
      <c r="C135" s="10">
        <v>0</v>
      </c>
      <c r="D135" s="10">
        <v>0</v>
      </c>
    </row>
    <row r="136" spans="2:4" ht="15" customHeight="1">
      <c r="B136" s="12" t="s">
        <v>184</v>
      </c>
      <c r="C136" s="10">
        <v>0</v>
      </c>
      <c r="D136" s="10">
        <v>0</v>
      </c>
    </row>
    <row r="137" spans="2:4" ht="15" customHeight="1">
      <c r="B137" s="12" t="s">
        <v>170</v>
      </c>
      <c r="C137" s="10">
        <v>0</v>
      </c>
      <c r="D137" s="10">
        <v>0</v>
      </c>
    </row>
    <row r="138" spans="2:4" ht="15" customHeight="1">
      <c r="B138" s="12" t="s">
        <v>189</v>
      </c>
      <c r="C138" s="10">
        <v>0</v>
      </c>
      <c r="D138" s="10">
        <v>0</v>
      </c>
    </row>
    <row r="139" spans="2:4" ht="15" customHeight="1">
      <c r="B139" s="12" t="s">
        <v>190</v>
      </c>
      <c r="C139" s="10">
        <v>0</v>
      </c>
      <c r="D139" s="10">
        <v>0</v>
      </c>
    </row>
    <row r="140" spans="2:4" ht="15" customHeight="1">
      <c r="B140" s="12" t="s">
        <v>191</v>
      </c>
      <c r="C140" s="10">
        <v>0</v>
      </c>
      <c r="D140" s="10">
        <v>0</v>
      </c>
    </row>
    <row r="141" spans="2:4" ht="15" customHeight="1">
      <c r="B141" s="12" t="s">
        <v>197</v>
      </c>
      <c r="C141" s="10">
        <v>1850796</v>
      </c>
      <c r="D141" s="10">
        <v>8374</v>
      </c>
    </row>
  </sheetData>
  <hyperlinks>
    <hyperlink ref="C1" location="Содержание!B4" display="К содержанию"/>
  </hyperlink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Содержание</vt:lpstr>
      <vt:lpstr>Показатели</vt:lpstr>
      <vt:lpstr>Динамика</vt:lpstr>
      <vt:lpstr>Тональность</vt:lpstr>
      <vt:lpstr>Мнения</vt:lpstr>
      <vt:lpstr>Оценки</vt:lpstr>
      <vt:lpstr>Типы площадок</vt:lpstr>
      <vt:lpstr>Площадки</vt:lpstr>
      <vt:lpstr>Эмоции</vt:lpstr>
      <vt:lpstr>Страны</vt:lpstr>
      <vt:lpstr>Федеральные округа</vt:lpstr>
      <vt:lpstr>Регионы РФ</vt:lpstr>
      <vt:lpstr>Города РФ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