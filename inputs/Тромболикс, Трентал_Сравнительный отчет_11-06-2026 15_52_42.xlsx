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4.xml" ContentType="application/vnd.openxmlformats-officedocument.drawingml.char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8.xml" ContentType="application/vnd.openxmlformats-officedocument.drawing+xml"/>
  <Override PartName="/xl/worksheets/sheet11.xml" ContentType="application/vnd.openxmlformats-officedocument.spreadsheetml.workshee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drawings/drawing9.xml" ContentType="application/vnd.openxmlformats-officedocument.drawing+xml"/>
  <Override PartName="/xl/worksheets/sheet12.xml" ContentType="application/vnd.openxmlformats-officedocument.spreadsheetml.workshee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drawings/drawing10.xml" ContentType="application/vnd.openxmlformats-officedocument.drawing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Содержание" sheetId="2" r:id="rId3"/>
    <sheet name="Показатели" sheetId="3" r:id="rId4"/>
    <sheet name="Динамика" sheetId="4" r:id="rId5"/>
    <sheet name="Тональность" sheetId="5" r:id="rId6"/>
    <sheet name="Мнения" sheetId="6" r:id="rId7"/>
    <sheet name="Оценки" sheetId="7" r:id="rId8"/>
    <sheet name="Типы площадок" sheetId="8" r:id="rId9"/>
    <sheet name="Площадки" sheetId="9" r:id="rId10"/>
    <sheet name="Эмоции" sheetId="10" r:id="rId11"/>
    <sheet name="Страны" sheetId="11" r:id="rId12"/>
    <sheet name="Федеральные округа" sheetId="12" r:id="rId13"/>
    <sheet name="Регионы РФ" sheetId="13" r:id="rId14"/>
    <sheet name="Города РФ" sheetId="14" r:id="rId15"/>
  </sheets>
  <definedNames/>
  <calcPr fullCalcOnLoad="1"/>
</workbook>
</file>

<file path=xl/calcChain.xml><?xml version="1.0" encoding="utf-8"?>
<calcChain xmlns="http://schemas.openxmlformats.org/spreadsheetml/2006/main">
  <c r="F23" i="5" l="1"/>
</calcChain>
</file>

<file path=xl/sharedStrings.xml><?xml version="1.0" encoding="utf-8"?>
<sst xmlns="http://schemas.openxmlformats.org/spreadsheetml/2006/main" count="1857" uniqueCount="736">
  <si>
    <t>© Медиалогия</t>
  </si>
  <si>
    <t>Содержание</t>
  </si>
  <si>
    <t>К содержанию</t>
  </si>
  <si>
    <t>Показатели</t>
  </si>
  <si>
    <t>Динамика</t>
  </si>
  <si>
    <t>Сообщения</t>
  </si>
  <si>
    <t>Дата</t>
  </si>
  <si>
    <t>Тромбообразование и полинейропатия нижних конечностей</t>
  </si>
  <si>
    <t>Тромболикс</t>
  </si>
  <si>
    <t>Трентал</t>
  </si>
  <si>
    <t>Итого</t>
  </si>
  <si>
    <t>СМ Индекс</t>
  </si>
  <si>
    <t>Аудитория</t>
  </si>
  <si>
    <t>Просмотры</t>
  </si>
  <si>
    <t>Вовлечённость</t>
  </si>
  <si>
    <t>Тональность</t>
  </si>
  <si>
    <t>Объект</t>
  </si>
  <si>
    <t>Позитивные</t>
  </si>
  <si>
    <t>Нейтральные</t>
  </si>
  <si>
    <t>Негативные</t>
  </si>
  <si>
    <t>% позитивных</t>
  </si>
  <si>
    <t>% нейтральных</t>
  </si>
  <si>
    <t>% негативных</t>
  </si>
  <si>
    <t>Мнения</t>
  </si>
  <si>
    <t>Оценки</t>
  </si>
  <si>
    <t>Типы площадок</t>
  </si>
  <si>
    <t>Площадки</t>
  </si>
  <si>
    <t>Эмоции</t>
  </si>
  <si>
    <t>Оценки в отзывах</t>
  </si>
  <si>
    <t>Оценка 5</t>
  </si>
  <si>
    <t>Оценка 4</t>
  </si>
  <si>
    <t>Оценка 3</t>
  </si>
  <si>
    <t>Оценка 2</t>
  </si>
  <si>
    <t>Оценка 1</t>
  </si>
  <si>
    <t>Средняя оценка</t>
  </si>
  <si>
    <t>Страны</t>
  </si>
  <si>
    <t>Федеральные округа</t>
  </si>
  <si>
    <t>Регионы РФ</t>
  </si>
  <si>
    <t>Города РФ</t>
  </si>
  <si>
    <t>Название отчета:</t>
  </si>
  <si>
    <t>Тромболикс, Трентал</t>
  </si>
  <si>
    <t>Период:</t>
  </si>
  <si>
    <t>01 - 31 мая 2026</t>
  </si>
  <si>
    <t>Контекст:</t>
  </si>
  <si>
    <t>Объекты:</t>
  </si>
  <si>
    <t>Тромболикс, Вессел, Трентал, Вазонит, Пентоксифиллин, Тромбообразование и полинейропатия нижних конечностей, Пиаскледин</t>
  </si>
  <si>
    <t>Область поиска:</t>
  </si>
  <si>
    <t>Тексты сообщений, Расшифровки видео Youtube</t>
  </si>
  <si>
    <t>Язык:</t>
  </si>
  <si>
    <t>Неизвестный, Русский</t>
  </si>
  <si>
    <t>Дополнительно:</t>
  </si>
  <si>
    <t>исключены спам и объявления</t>
  </si>
  <si>
    <t>Всего сообщений в отчёте:</t>
  </si>
  <si>
    <t>Дата подготовки:</t>
  </si>
  <si>
    <t>11 июня 2026</t>
  </si>
  <si>
    <t>Соцсети</t>
  </si>
  <si>
    <t>Меcсенджеры (Каналы)</t>
  </si>
  <si>
    <t>Мессенджеры (Чаты)</t>
  </si>
  <si>
    <t>Отзывы</t>
  </si>
  <si>
    <t>Блоги</t>
  </si>
  <si>
    <t>Форумы</t>
  </si>
  <si>
    <t>СМИ</t>
  </si>
  <si>
    <t>Всего</t>
  </si>
  <si>
    <t>ВКонтакте</t>
  </si>
  <si>
    <t>Одноклассники</t>
  </si>
  <si>
    <t>Instagram</t>
  </si>
  <si>
    <t>Wildberries</t>
  </si>
  <si>
    <t>Telegram</t>
  </si>
  <si>
    <t>Дзен</t>
  </si>
  <si>
    <t>Макс</t>
  </si>
  <si>
    <t>YouTube</t>
  </si>
  <si>
    <t>Facebook</t>
  </si>
  <si>
    <t>myseldon.com</t>
  </si>
  <si>
    <t>TikTok</t>
  </si>
  <si>
    <t>Rutube.ru</t>
  </si>
  <si>
    <t>Threads</t>
  </si>
  <si>
    <t>Озон</t>
  </si>
  <si>
    <t>web.lifelines.name</t>
  </si>
  <si>
    <t>Мамлайф</t>
  </si>
  <si>
    <t>Российская ассоциация эндокринологов (endocrincent</t>
  </si>
  <si>
    <t>Дзен.Новости</t>
  </si>
  <si>
    <t>LiveJournal</t>
  </si>
  <si>
    <t>МирТесен</t>
  </si>
  <si>
    <t>Здоровье в Москве</t>
  </si>
  <si>
    <t>БезФормата Нижний Новгород (nnovgorod.bezformata.c</t>
  </si>
  <si>
    <t>Правда.ру (pravda.ru)</t>
  </si>
  <si>
    <t>NewsRoom24 (newsroom24.ru)</t>
  </si>
  <si>
    <t>Новости Mail.ru</t>
  </si>
  <si>
    <t>Рамблер/новости (news.rambler.ru)</t>
  </si>
  <si>
    <t>Подмосковье сегодня (mosregtoday.ru)</t>
  </si>
  <si>
    <t>Рамблер/доктор (doctor.rambler.ru)</t>
  </si>
  <si>
    <t>БезФормата Подмосковье (podmoskovye.bezformata.com</t>
  </si>
  <si>
    <t>News-Life (news-life.pro)</t>
  </si>
  <si>
    <t>Москва</t>
  </si>
  <si>
    <t>vietnam.vn</t>
  </si>
  <si>
    <t>Женский журнал Woman.ru</t>
  </si>
  <si>
    <t>lenta.profinansy.ru</t>
  </si>
  <si>
    <t>X (Twitter)</t>
  </si>
  <si>
    <t>Рыбалка в Новосибирске (fishingsib.ru)</t>
  </si>
  <si>
    <t>Портал органов власти Чувашской Республики (cap.ru</t>
  </si>
  <si>
    <t>Беларусь Сегодня (sb.by)</t>
  </si>
  <si>
    <t>RuNews24 (runews24.ru)</t>
  </si>
  <si>
    <t>Ru.investing.com</t>
  </si>
  <si>
    <t>Новости Нижнего Новгорода</t>
  </si>
  <si>
    <t>REGIONS.Ru/Новости Федерации</t>
  </si>
  <si>
    <t>Здоровая Чувашия (med.cap.ru)</t>
  </si>
  <si>
    <t>Mail.KZ - Национальный портал электронного сервиса</t>
  </si>
  <si>
    <t>БезФормата Вологда (vologda.bezformata.com)</t>
  </si>
  <si>
    <t>БезФормата Ростов-на-Дону (rostovnadonu.bezformata</t>
  </si>
  <si>
    <t>Russia24.pro</t>
  </si>
  <si>
    <t>Russian.city</t>
  </si>
  <si>
    <t>Да-Да Новости сегодня в России, а также со всего м</t>
  </si>
  <si>
    <t>Города России</t>
  </si>
  <si>
    <t>360.ru</t>
  </si>
  <si>
    <t>esse.24newnews.ru</t>
  </si>
  <si>
    <t>msk.plastekcosmetic.ru</t>
  </si>
  <si>
    <t>news.sb.by</t>
  </si>
  <si>
    <t>VC.ru</t>
  </si>
  <si>
    <t>Яндекс.Маркет</t>
  </si>
  <si>
    <t>Sprosivracha.com - форум</t>
  </si>
  <si>
    <t>reddit</t>
  </si>
  <si>
    <t>mt.gazeta.ru</t>
  </si>
  <si>
    <t>pikabu.ru</t>
  </si>
  <si>
    <t>Ответы Mail.ru</t>
  </si>
  <si>
    <t>Женский форум Бэби.ру</t>
  </si>
  <si>
    <t>forum.plastic-surgeon.ru</t>
  </si>
  <si>
    <t>Екатеринбург Он-лайн (e1.ru)</t>
  </si>
  <si>
    <t>76.ru</t>
  </si>
  <si>
    <t>zakon.kz</t>
  </si>
  <si>
    <t>63.ru</t>
  </si>
  <si>
    <t>Тюменская область сегодня (tumentoday.ru)</t>
  </si>
  <si>
    <t>59.ru</t>
  </si>
  <si>
    <t>Газета.Ru</t>
  </si>
  <si>
    <t>56.ru</t>
  </si>
  <si>
    <t>Новое дело</t>
  </si>
  <si>
    <t>72.ru</t>
  </si>
  <si>
    <t>Городские новости</t>
  </si>
  <si>
    <t>ГТРК Алания</t>
  </si>
  <si>
    <t>ngs.ru</t>
  </si>
  <si>
    <t>116.ru</t>
  </si>
  <si>
    <t>43.ru</t>
  </si>
  <si>
    <t>Известия Мордовии (izvmor.ru)</t>
  </si>
  <si>
    <t>71.ru</t>
  </si>
  <si>
    <t>ИА Комиинформ</t>
  </si>
  <si>
    <t>Ufa1.Ru (ufa1.ru)</t>
  </si>
  <si>
    <t>Nn.ru</t>
  </si>
  <si>
    <t>НГС.Красноярск</t>
  </si>
  <si>
    <t>Официальный сайт Правительства Вологодской области</t>
  </si>
  <si>
    <t>RegionSamara.ru</t>
  </si>
  <si>
    <t>Сибкрай.ru (sibkray.ru)</t>
  </si>
  <si>
    <t>45.ru</t>
  </si>
  <si>
    <t>53.ru</t>
  </si>
  <si>
    <t>Монависта (monavista.ru)</t>
  </si>
  <si>
    <t>Medlinks.ru</t>
  </si>
  <si>
    <t>НИА Нижний Новгород</t>
  </si>
  <si>
    <t>ИА Амител (amic.ru)</t>
  </si>
  <si>
    <t>Rosmed.ru</t>
  </si>
  <si>
    <t>TVcenter.ru (tvcenter.ru)</t>
  </si>
  <si>
    <t>Алтайская правда (ap22.ru)</t>
  </si>
  <si>
    <t>26.ru</t>
  </si>
  <si>
    <t>Med2 (med2.ru)</t>
  </si>
  <si>
    <t>НГС.Барнаул</t>
  </si>
  <si>
    <t>Peterburg2.ru</t>
  </si>
  <si>
    <t>Otyrar (otyrar.kz)</t>
  </si>
  <si>
    <t>Mgorsk (mgorsk.ru)</t>
  </si>
  <si>
    <t>93.ru</t>
  </si>
  <si>
    <t>НГС.Томск</t>
  </si>
  <si>
    <t>Life.ru</t>
  </si>
  <si>
    <t>В городе N (vgoroden.ru)</t>
  </si>
  <si>
    <t>74.ru</t>
  </si>
  <si>
    <t>НГС.Омск</t>
  </si>
  <si>
    <t>НГС.Кузбасс</t>
  </si>
  <si>
    <t>Муниципальная новостная лента (nrnews.ru)</t>
  </si>
  <si>
    <t>Tolyatty.ru</t>
  </si>
  <si>
    <t>161.ru</t>
  </si>
  <si>
    <t>29.ru</t>
  </si>
  <si>
    <t>V1.ru</t>
  </si>
  <si>
    <t>Домен не добавлен в панели</t>
  </si>
  <si>
    <t>Вести Армения - HayastanNews (hayastannews.com)</t>
  </si>
  <si>
    <t>Vashesamodelkino.ru ⋆ Ваше Самоделкино</t>
  </si>
  <si>
    <t>164.ru</t>
  </si>
  <si>
    <t>86.ru</t>
  </si>
  <si>
    <t>Санкт-Петербург онлайн (178.ru)</t>
  </si>
  <si>
    <t>48.ru</t>
  </si>
  <si>
    <t>89.ru</t>
  </si>
  <si>
    <t>51.ru</t>
  </si>
  <si>
    <t>68.ru</t>
  </si>
  <si>
    <t>35.ru</t>
  </si>
  <si>
    <t>Sochi1.ru</t>
  </si>
  <si>
    <t>Чита.ру</t>
  </si>
  <si>
    <t>Sterlitamak1.ru</t>
  </si>
  <si>
    <t>Официальный сайт Забайкальского края (75.ru)</t>
  </si>
  <si>
    <t>Change.org</t>
  </si>
  <si>
    <t>Реальное время (realnoevremya.ru)</t>
  </si>
  <si>
    <t>Ya62.ru</t>
  </si>
  <si>
    <t>Вечерка (vecherka-spb.ru)</t>
  </si>
  <si>
    <t>Kuban.INFO</t>
  </si>
  <si>
    <t>Все новости</t>
  </si>
  <si>
    <t>spb.kp.ru</t>
  </si>
  <si>
    <t>Русская семерка (russian7.ru)</t>
  </si>
  <si>
    <t>rossbiz.ru</t>
  </si>
  <si>
    <t>Крестьянская жизнь</t>
  </si>
  <si>
    <t>Московский Комсомолец (ulan.mk.ru)</t>
  </si>
  <si>
    <t>ФГБОУ ВО Первый МГМУ им. И.М. Сеченова Минздрава Р</t>
  </si>
  <si>
    <t>Пронедра (pronedra.ru)</t>
  </si>
  <si>
    <t>Пресс-релизы Vkpress.ru</t>
  </si>
  <si>
    <t>tula.kp.ru</t>
  </si>
  <si>
    <t>alt.kp.ru</t>
  </si>
  <si>
    <t>Областная газета (ogirk.ru)</t>
  </si>
  <si>
    <t>Открытый Нижний (opennov.ru)</t>
  </si>
  <si>
    <t>Новости Барнаула</t>
  </si>
  <si>
    <t>Онлайн Вологда (onlinevologda.ru)</t>
  </si>
  <si>
    <t>Пресс-релизы Press-release.ru</t>
  </si>
  <si>
    <t>Recipe.ru</t>
  </si>
  <si>
    <t>NewsMiass (newsmiass.ru)</t>
  </si>
  <si>
    <t>Наш Красноярский край</t>
  </si>
  <si>
    <t>Ассоциация государственных научных центров Наука (</t>
  </si>
  <si>
    <t>Жәрдем (zhardem.kz)</t>
  </si>
  <si>
    <t>A-bcd.ru</t>
  </si>
  <si>
    <t>ИрСити (ircity.ru)</t>
  </si>
  <si>
    <t>Родная Нiва (rodniva.by)</t>
  </si>
  <si>
    <t>Агрызские вести (agryz-rt.ru)</t>
  </si>
  <si>
    <t>Наша газета</t>
  </si>
  <si>
    <t>Информационно-развлекательный портал SALDA.WS (sal</t>
  </si>
  <si>
    <t>Медицинская газета (mgzt.ru)</t>
  </si>
  <si>
    <t>Ростовский государственный медицинский университет</t>
  </si>
  <si>
    <t>Kuban.INFO # Кубань</t>
  </si>
  <si>
    <t>14.ru</t>
  </si>
  <si>
    <t>Пушкино Live (pushkino-live.ru)</t>
  </si>
  <si>
    <t>Навигатор образования</t>
  </si>
  <si>
    <t>Ямал-Медиа (yamal-media.ru)</t>
  </si>
  <si>
    <t>Московский Комсомолец (vologda.mk.ru)</t>
  </si>
  <si>
    <t>Evercare.ru</t>
  </si>
  <si>
    <t>ProГород (progoroduhta.ru)</t>
  </si>
  <si>
    <t>Дзержинское время (dzer.ru)</t>
  </si>
  <si>
    <t>citycelebrity.ru</t>
  </si>
  <si>
    <t>Новости — Жуковский, Московская область</t>
  </si>
  <si>
    <t>Дзяннiца</t>
  </si>
  <si>
    <t>Spravka11.ru</t>
  </si>
  <si>
    <t>Gorodvo.ru</t>
  </si>
  <si>
    <t>Пресс-релизы Pressfeed.ru</t>
  </si>
  <si>
    <t>Лента новостей Иркутска (irkutsk-news.net)</t>
  </si>
  <si>
    <t>FotkaeW.Ru</t>
  </si>
  <si>
    <t>ТФОМС Санкт-Петербурга (spboms.ru)</t>
  </si>
  <si>
    <t xml:space="preserve">Министерство здравоохранения Чувашской Республики </t>
  </si>
  <si>
    <t>Заполярный вестник+ (zvplus.ru)</t>
  </si>
  <si>
    <t>HOLME SPACE (holme.ru)</t>
  </si>
  <si>
    <t>Ульяновск сегодня (ultoday73.ru)</t>
  </si>
  <si>
    <t>БезФормата Краснодар (krasnodar.bezformata.com)</t>
  </si>
  <si>
    <t>БезФормата Челябинск (chelyabinsk.bezformata.com)</t>
  </si>
  <si>
    <t>БезФормата Казань (kazan.bezformata.com)</t>
  </si>
  <si>
    <t>БезФормата Чита (chita.bezformata.com)</t>
  </si>
  <si>
    <t>БезФормата Чебоксары (cheboksari.bezformata.com)</t>
  </si>
  <si>
    <t>БезФормата Архангельск (arhangelsk.bezformata.com)</t>
  </si>
  <si>
    <t>Новости Ухты и Республики Коми - БезФормата</t>
  </si>
  <si>
    <t>БезФормата Сыктывкар (siktivkar.bezformata.com)</t>
  </si>
  <si>
    <t>БезФормата Кызыл (kizil.bezformata.com)</t>
  </si>
  <si>
    <t>БезФормата Барнаул (barnaul.bezformata.com)</t>
  </si>
  <si>
    <t>БезФормата Ярославль (yaroslavl.bezformata.com)</t>
  </si>
  <si>
    <t>БезФормата Москва (moskva.bezformata.com)</t>
  </si>
  <si>
    <t>БезФормата Самара (samara.bezformata.com)</t>
  </si>
  <si>
    <t>БезФормата Санкт-Петербург (sanktpeterburg.bezform</t>
  </si>
  <si>
    <t>БезФормата Ульяновск (uliyanovsk.bezformata.com)</t>
  </si>
  <si>
    <t>Новости Ядрина и Чувашской Республики - БезФормата</t>
  </si>
  <si>
    <t>БезФормата Тюмень (tumen.bezformata.com)</t>
  </si>
  <si>
    <t>БезФормата Саранск (saransk.bezformata.com)</t>
  </si>
  <si>
    <t>Московский Комсомолец (mk-yamal.ru)</t>
  </si>
  <si>
    <t>Новости Иловли и Волгоградской области - БезФормат</t>
  </si>
  <si>
    <t>Ядринская центральная районная больница им. К.В. В</t>
  </si>
  <si>
    <t>Новости Агрыза и Татарстана - БезФормата</t>
  </si>
  <si>
    <t>Borisoglebsk.net</t>
  </si>
  <si>
    <t>Зов земли (zovzemli.ru)</t>
  </si>
  <si>
    <t>Пчела (pchela.news)</t>
  </si>
  <si>
    <t>Краевая клиническая больница Забайкльского края</t>
  </si>
  <si>
    <t>Chita-news.net</t>
  </si>
  <si>
    <t>Лента новостей Саранска (saransk-news.net)</t>
  </si>
  <si>
    <t>Ассоциация Совет ректоров медицинских и фармацевти</t>
  </si>
  <si>
    <t>RU24.pro</t>
  </si>
  <si>
    <t>Ctnews.ru</t>
  </si>
  <si>
    <t>Официальный сайт Министерства здравоохранения РФ (</t>
  </si>
  <si>
    <t>Сайт г. Бирск — Башкирия каждый день (birsk.org)</t>
  </si>
  <si>
    <t>Fi-hi.ru</t>
  </si>
  <si>
    <t>Милая Я</t>
  </si>
  <si>
    <t>Новости Вологды</t>
  </si>
  <si>
    <t>Национальные проекты России</t>
  </si>
  <si>
    <t>Фарммедпром (pharmmedprom.ru)</t>
  </si>
  <si>
    <t>INFOБайкал (infobaykal.ru)</t>
  </si>
  <si>
    <t>Территория здоровья (takzdorovo-to.ru)</t>
  </si>
  <si>
    <t>Новости Ямала</t>
  </si>
  <si>
    <t>ИнфоЧувашия</t>
  </si>
  <si>
    <t>Канашский межтерриториальный медицинский центр</t>
  </si>
  <si>
    <t>ГБУЗ РТ Ресбольница №1</t>
  </si>
  <si>
    <t>Кабинет здоровья доктора Левицкой</t>
  </si>
  <si>
    <t>Информационно-новостной портал Красноярска</t>
  </si>
  <si>
    <t>Новости Чебоксар</t>
  </si>
  <si>
    <t>Новости Владикавказа</t>
  </si>
  <si>
    <t>Msk1.ru</t>
  </si>
  <si>
    <t>ZOV ЛНР</t>
  </si>
  <si>
    <t>Центр гигиены и эпидемиологии в Челябинской област</t>
  </si>
  <si>
    <t>Запорожье</t>
  </si>
  <si>
    <t>Московская областная больница им. проф. Розанова В</t>
  </si>
  <si>
    <t>politica2.info</t>
  </si>
  <si>
    <t>smart-smi.ru</t>
  </si>
  <si>
    <t>stacionar.press</t>
  </si>
  <si>
    <t>med-college.ru</t>
  </si>
  <si>
    <t>voronezh1.ru</t>
  </si>
  <si>
    <t>radio1.ru</t>
  </si>
  <si>
    <t>kineshma-pravda.ru</t>
  </si>
  <si>
    <t>geotar.ru</t>
  </si>
  <si>
    <t>izh1.ru</t>
  </si>
  <si>
    <t>tub.mz63.ru</t>
  </si>
  <si>
    <t>mogocha-obyvatel.ru</t>
  </si>
  <si>
    <t>samolet-v.ru</t>
  </si>
  <si>
    <t>goroda.media</t>
  </si>
  <si>
    <t>mirny-grad.ru</t>
  </si>
  <si>
    <t>sosnovka-delovaya.ru</t>
  </si>
  <si>
    <t>star-znamya.ru</t>
  </si>
  <si>
    <t>worldinform.ru</t>
  </si>
  <si>
    <t>minzdrav.gov35.ru</t>
  </si>
  <si>
    <t>news.mondiara.com</t>
  </si>
  <si>
    <t>173.ru</t>
  </si>
  <si>
    <t>regerdas.ru</t>
  </si>
  <si>
    <t>science.mail.ru</t>
  </si>
  <si>
    <t>topic-2.com</t>
  </si>
  <si>
    <t>political-pulse.com</t>
  </si>
  <si>
    <t>aptekium.com</t>
  </si>
  <si>
    <t>gb3-gorlovka.gosuslugi.ru</t>
  </si>
  <si>
    <t>news-yamal.ru</t>
  </si>
  <si>
    <t>мхц-кбр.рф</t>
  </si>
  <si>
    <t>minzdrav.75.ru</t>
  </si>
  <si>
    <t>Otzovik.com</t>
  </si>
  <si>
    <t xml:space="preserve">Irecommend.ru </t>
  </si>
  <si>
    <t xml:space="preserve">Otzyv.pro </t>
  </si>
  <si>
    <t xml:space="preserve">Prodoctorov.ru </t>
  </si>
  <si>
    <t>Google Maps</t>
  </si>
  <si>
    <t>ТБанк</t>
  </si>
  <si>
    <t>Площадки по аудитории</t>
  </si>
  <si>
    <t>Площадки по вовлеченности</t>
  </si>
  <si>
    <t>Метрики</t>
  </si>
  <si>
    <t>Комментарии</t>
  </si>
  <si>
    <t>Лайки</t>
  </si>
  <si>
    <t>Репосты</t>
  </si>
  <si>
    <t>Share of voice</t>
  </si>
  <si>
    <t>Типы сообщений</t>
  </si>
  <si>
    <t>Посты</t>
  </si>
  <si>
    <t>Репосты с дополнением</t>
  </si>
  <si>
    <t>Сторис</t>
  </si>
  <si>
    <t>Публикации СМИ</t>
  </si>
  <si>
    <t>Ответы</t>
  </si>
  <si>
    <t>Вопросы</t>
  </si>
  <si>
    <t>Источники сообщений</t>
  </si>
  <si>
    <t>Группы</t>
  </si>
  <si>
    <t>Авторы</t>
  </si>
  <si>
    <t>Страна</t>
  </si>
  <si>
    <t>Россия</t>
  </si>
  <si>
    <t>Казахстан</t>
  </si>
  <si>
    <t>Украина</t>
  </si>
  <si>
    <t>Беларусь</t>
  </si>
  <si>
    <t>Соединенные Штаты</t>
  </si>
  <si>
    <t>Молдова</t>
  </si>
  <si>
    <t>Пакистан</t>
  </si>
  <si>
    <t>Германия</t>
  </si>
  <si>
    <t>Израиль</t>
  </si>
  <si>
    <t>Вьетнам</t>
  </si>
  <si>
    <t>Индия</t>
  </si>
  <si>
    <t>Киргизия</t>
  </si>
  <si>
    <t>Азербайджан</t>
  </si>
  <si>
    <t>Грузия</t>
  </si>
  <si>
    <t>Испания</t>
  </si>
  <si>
    <t>Австралия</t>
  </si>
  <si>
    <t>Австрия</t>
  </si>
  <si>
    <t>Армения</t>
  </si>
  <si>
    <t>Греция</t>
  </si>
  <si>
    <t>Марокко</t>
  </si>
  <si>
    <t>Соединенное Королевство</t>
  </si>
  <si>
    <t>Узбекистан</t>
  </si>
  <si>
    <t>Швеция</t>
  </si>
  <si>
    <t>Япония</t>
  </si>
  <si>
    <t>Без страны</t>
  </si>
  <si>
    <t>25 стран определены у 68,1% (1 459) сообщений</t>
  </si>
  <si>
    <t>Страны по аудитории</t>
  </si>
  <si>
    <t>Федеральный округ</t>
  </si>
  <si>
    <t>ЦФО</t>
  </si>
  <si>
    <t>ПФО</t>
  </si>
  <si>
    <t>СЗФО</t>
  </si>
  <si>
    <t>УФО</t>
  </si>
  <si>
    <t>СФО</t>
  </si>
  <si>
    <t>СКФО</t>
  </si>
  <si>
    <t>ЮФО</t>
  </si>
  <si>
    <t>ДФО</t>
  </si>
  <si>
    <t>Без округа</t>
  </si>
  <si>
    <t>9 округов определены у 78% (1 053) сообщения</t>
  </si>
  <si>
    <t>Федеральные округа по аудитории</t>
  </si>
  <si>
    <t>Регион</t>
  </si>
  <si>
    <t>Санкт-Петербург</t>
  </si>
  <si>
    <t>Нижегородская область</t>
  </si>
  <si>
    <t>Московская область</t>
  </si>
  <si>
    <t>Республика Дагестан</t>
  </si>
  <si>
    <t>Свердловская область</t>
  </si>
  <si>
    <t>Вологодская область</t>
  </si>
  <si>
    <t>Краснодарский край</t>
  </si>
  <si>
    <t>Челябинская область</t>
  </si>
  <si>
    <t>Республика Татарстан</t>
  </si>
  <si>
    <t>Чувашская Республика - Чувашия</t>
  </si>
  <si>
    <t>Красноярский край</t>
  </si>
  <si>
    <t>Пермский край</t>
  </si>
  <si>
    <t>Ростовская область</t>
  </si>
  <si>
    <t>Саратовская область</t>
  </si>
  <si>
    <t>Чеченская Республика</t>
  </si>
  <si>
    <t>Самарская область</t>
  </si>
  <si>
    <t>Забайкальский край</t>
  </si>
  <si>
    <t>Омская область</t>
  </si>
  <si>
    <t>Оренбургская область</t>
  </si>
  <si>
    <t>Тюменская область</t>
  </si>
  <si>
    <t>Волгоградская область</t>
  </si>
  <si>
    <t>Ивановская область</t>
  </si>
  <si>
    <t>Новосибирская область</t>
  </si>
  <si>
    <t>Рязанская область</t>
  </si>
  <si>
    <t>Воронежская область</t>
  </si>
  <si>
    <t>Донецкая Народная Республика</t>
  </si>
  <si>
    <t>Удмуртская Республика</t>
  </si>
  <si>
    <t>Ленинградская область</t>
  </si>
  <si>
    <t>Республика Коми</t>
  </si>
  <si>
    <t>Республика Мордовия</t>
  </si>
  <si>
    <t>Алтайский край</t>
  </si>
  <si>
    <t>Архангельская область</t>
  </si>
  <si>
    <t>Кемеровская область - Кузбасс</t>
  </si>
  <si>
    <t>Курганская область</t>
  </si>
  <si>
    <t>Смоленская область</t>
  </si>
  <si>
    <t>Ярославская область</t>
  </si>
  <si>
    <t>Ханты-Мансийский автономный округ - Югра</t>
  </si>
  <si>
    <t>Иркутская область</t>
  </si>
  <si>
    <t>Ульяновская область</t>
  </si>
  <si>
    <t>Республика Башкортостан</t>
  </si>
  <si>
    <t>Липецкая область</t>
  </si>
  <si>
    <t>Тульская область</t>
  </si>
  <si>
    <t>Ямало-Ненецкий автономный округ</t>
  </si>
  <si>
    <t>Республика Северная Осетия - Алания</t>
  </si>
  <si>
    <t>Приморский край</t>
  </si>
  <si>
    <t>Белгородская область</t>
  </si>
  <si>
    <t>Владимирская область</t>
  </si>
  <si>
    <t>Калининградская область</t>
  </si>
  <si>
    <t>Мурманская область</t>
  </si>
  <si>
    <t>Луганская Народная Республика</t>
  </si>
  <si>
    <t>Кировская область</t>
  </si>
  <si>
    <t>Республика Крым</t>
  </si>
  <si>
    <t>Севастополь</t>
  </si>
  <si>
    <t>Ставропольский край</t>
  </si>
  <si>
    <t>Калужская область</t>
  </si>
  <si>
    <t>Пензенская область</t>
  </si>
  <si>
    <t>Томская область</t>
  </si>
  <si>
    <t>Республика Бурятия</t>
  </si>
  <si>
    <t>Республика Тыва</t>
  </si>
  <si>
    <t>Костромская область</t>
  </si>
  <si>
    <t>Тамбовская область</t>
  </si>
  <si>
    <t>Ненецкий автономный округ</t>
  </si>
  <si>
    <t>Кабардино-Балкарская Республика</t>
  </si>
  <si>
    <t>Республика Саха (Якутия)</t>
  </si>
  <si>
    <t>Республика Хакасия</t>
  </si>
  <si>
    <t>Республика Адыгея</t>
  </si>
  <si>
    <t>Республика Ингушетия</t>
  </si>
  <si>
    <t>Республика Карелия</t>
  </si>
  <si>
    <t>Республика Марий Эл</t>
  </si>
  <si>
    <t>Хабаровский край</t>
  </si>
  <si>
    <t>Брянская область</t>
  </si>
  <si>
    <t>Курская область</t>
  </si>
  <si>
    <t>Новгородская область</t>
  </si>
  <si>
    <t>Псковская область</t>
  </si>
  <si>
    <t>Сахалинская область</t>
  </si>
  <si>
    <t>Тверская область</t>
  </si>
  <si>
    <t>Запорожская область</t>
  </si>
  <si>
    <t>Без региона</t>
  </si>
  <si>
    <t>79 регионов определены у 79,3% (1 071) сообщение</t>
  </si>
  <si>
    <t>Регионы по аудитории</t>
  </si>
  <si>
    <t>Город</t>
  </si>
  <si>
    <t>Нижний Новгород</t>
  </si>
  <si>
    <t>Махачкала</t>
  </si>
  <si>
    <t>Вологда</t>
  </si>
  <si>
    <t>Красноярск</t>
  </si>
  <si>
    <t>Екатеринбург</t>
  </si>
  <si>
    <t>Краснодар</t>
  </si>
  <si>
    <t>Чита</t>
  </si>
  <si>
    <t>Омск</t>
  </si>
  <si>
    <t>Ростов-на-Дону</t>
  </si>
  <si>
    <t>Чебоксары</t>
  </si>
  <si>
    <t>Оренбург</t>
  </si>
  <si>
    <t>Саратов</t>
  </si>
  <si>
    <t>Самара</t>
  </si>
  <si>
    <t>Тюмень</t>
  </si>
  <si>
    <t>Новосибирск</t>
  </si>
  <si>
    <t>Пермь</t>
  </si>
  <si>
    <t>Челябинск</t>
  </si>
  <si>
    <t>Ижевск</t>
  </si>
  <si>
    <t>Воронеж</t>
  </si>
  <si>
    <t>Барнаул</t>
  </si>
  <si>
    <t>Рязань</t>
  </si>
  <si>
    <t>Саранск</t>
  </si>
  <si>
    <t>Казань</t>
  </si>
  <si>
    <t>Сочи</t>
  </si>
  <si>
    <t>Архангельск</t>
  </si>
  <si>
    <t>Иркутск</t>
  </si>
  <si>
    <t>Красногорск</t>
  </si>
  <si>
    <t>Сыктывкар</t>
  </si>
  <si>
    <t>Владивосток</t>
  </si>
  <si>
    <t>Волгоград</t>
  </si>
  <si>
    <t>Иваново</t>
  </si>
  <si>
    <t>Кинешма</t>
  </si>
  <si>
    <t>Киров</t>
  </si>
  <si>
    <t>Курган</t>
  </si>
  <si>
    <t>Лосино-Петровский</t>
  </si>
  <si>
    <t>Дзержинск</t>
  </si>
  <si>
    <t>Кизел</t>
  </si>
  <si>
    <t>Вязьма</t>
  </si>
  <si>
    <t>Тула</t>
  </si>
  <si>
    <t>Миасс</t>
  </si>
  <si>
    <t>Донецк</t>
  </si>
  <si>
    <t>Луганск</t>
  </si>
  <si>
    <t>Владикавказ</t>
  </si>
  <si>
    <t>Новороссийск</t>
  </si>
  <si>
    <t>Кемерово</t>
  </si>
  <si>
    <t>Приозерск</t>
  </si>
  <si>
    <t>Электросталь</t>
  </si>
  <si>
    <t>Пушкино</t>
  </si>
  <si>
    <t>Пенза</t>
  </si>
  <si>
    <t>Энгельс</t>
  </si>
  <si>
    <t>Томск</t>
  </si>
  <si>
    <t>Ульяновск</t>
  </si>
  <si>
    <t>Димитровград</t>
  </si>
  <si>
    <t>Уфа</t>
  </si>
  <si>
    <t>Набережные Челны</t>
  </si>
  <si>
    <t>Бугульма</t>
  </si>
  <si>
    <t>Кызыл</t>
  </si>
  <si>
    <t>Канаш</t>
  </si>
  <si>
    <t>Ядрин</t>
  </si>
  <si>
    <t>Муром</t>
  </si>
  <si>
    <t>Калининград</t>
  </si>
  <si>
    <t>Гусев</t>
  </si>
  <si>
    <t>Липецк</t>
  </si>
  <si>
    <t>Тихвин</t>
  </si>
  <si>
    <t>Химки</t>
  </si>
  <si>
    <t>Мытищи</t>
  </si>
  <si>
    <t>Сергиев Посад</t>
  </si>
  <si>
    <t>Кстово</t>
  </si>
  <si>
    <t>Чайковский</t>
  </si>
  <si>
    <t>Нижний Тагил</t>
  </si>
  <si>
    <t>Каменск-Уральский</t>
  </si>
  <si>
    <t>Десногорск</t>
  </si>
  <si>
    <t>Тамбов</t>
  </si>
  <si>
    <t>Магнитогорск</t>
  </si>
  <si>
    <t>Углич</t>
  </si>
  <si>
    <t>Салехард</t>
  </si>
  <si>
    <t>Сургут</t>
  </si>
  <si>
    <t>Симферополь</t>
  </si>
  <si>
    <t>Долгодеревенское</t>
  </si>
  <si>
    <t>Горловка</t>
  </si>
  <si>
    <t>Салават</t>
  </si>
  <si>
    <t>Ухта</t>
  </si>
  <si>
    <t>Рузаевка</t>
  </si>
  <si>
    <t>Якутск</t>
  </si>
  <si>
    <t>Ардон</t>
  </si>
  <si>
    <t>Новоалтайск</t>
  </si>
  <si>
    <t>Пятигорск</t>
  </si>
  <si>
    <t>Северодвинск</t>
  </si>
  <si>
    <t>Белгород</t>
  </si>
  <si>
    <t>Алексеевка</t>
  </si>
  <si>
    <t>Владимир</t>
  </si>
  <si>
    <t>Новоаннинский</t>
  </si>
  <si>
    <t>Борисоглебск</t>
  </si>
  <si>
    <t>Братск</t>
  </si>
  <si>
    <t>Калуга</t>
  </si>
  <si>
    <t>Новокузнецк</t>
  </si>
  <si>
    <t>Кострома</t>
  </si>
  <si>
    <t>Елец</t>
  </si>
  <si>
    <t>Подольск</t>
  </si>
  <si>
    <t>Реутов</t>
  </si>
  <si>
    <t>Истра</t>
  </si>
  <si>
    <t>Североморск</t>
  </si>
  <si>
    <t>Мурманск</t>
  </si>
  <si>
    <t>Богородск</t>
  </si>
  <si>
    <t>Чулым</t>
  </si>
  <si>
    <t>Сызрань</t>
  </si>
  <si>
    <t>Тольятти</t>
  </si>
  <si>
    <t>Новокуйбышевск</t>
  </si>
  <si>
    <t>Балаково</t>
  </si>
  <si>
    <t>Новомосковск</t>
  </si>
  <si>
    <t>Ишим</t>
  </si>
  <si>
    <t>Краснокаменск</t>
  </si>
  <si>
    <t>Ярославль</t>
  </si>
  <si>
    <t>Мышкин</t>
  </si>
  <si>
    <t>Ханты-Мансийск</t>
  </si>
  <si>
    <t>Лянтор</t>
  </si>
  <si>
    <t>Кочали</t>
  </si>
  <si>
    <t>Альменево</t>
  </si>
  <si>
    <t>Мурино</t>
  </si>
  <si>
    <t>Тербуны</t>
  </si>
  <si>
    <t>Искателей</t>
  </si>
  <si>
    <t>Яр-Сале</t>
  </si>
  <si>
    <t>Макеевка</t>
  </si>
  <si>
    <t>Московская</t>
  </si>
  <si>
    <t/>
  </si>
  <si>
    <t>Майкоп</t>
  </si>
  <si>
    <t>Стерлитамак</t>
  </si>
  <si>
    <t>Бирск</t>
  </si>
  <si>
    <t>Северобайкальск</t>
  </si>
  <si>
    <t>Улан-Удэ</t>
  </si>
  <si>
    <t>Нальчик</t>
  </si>
  <si>
    <t>Малгобек</t>
  </si>
  <si>
    <t>Прохладный</t>
  </si>
  <si>
    <t>Усинск</t>
  </si>
  <si>
    <t>Суоярви</t>
  </si>
  <si>
    <t>Альметьевск</t>
  </si>
  <si>
    <t>Агрыз</t>
  </si>
  <si>
    <t>Азнакаево</t>
  </si>
  <si>
    <t>Бавлы</t>
  </si>
  <si>
    <t>Нижнекамск</t>
  </si>
  <si>
    <t>Елабуга</t>
  </si>
  <si>
    <t>Сарапул</t>
  </si>
  <si>
    <t>Абакан</t>
  </si>
  <si>
    <t>Новочебоксарск</t>
  </si>
  <si>
    <t>Минусинск</t>
  </si>
  <si>
    <t>Ставрополь</t>
  </si>
  <si>
    <t>Благодарный</t>
  </si>
  <si>
    <t>Хабаровск</t>
  </si>
  <si>
    <t>Шебекино</t>
  </si>
  <si>
    <t>Брянск</t>
  </si>
  <si>
    <t>Строитель</t>
  </si>
  <si>
    <t>Александров</t>
  </si>
  <si>
    <t>Михайловка</t>
  </si>
  <si>
    <t>Фролово</t>
  </si>
  <si>
    <t>Череповец</t>
  </si>
  <si>
    <t>Сокол</t>
  </si>
  <si>
    <t>Богучар</t>
  </si>
  <si>
    <t>Обнинск</t>
  </si>
  <si>
    <t>Калтан</t>
  </si>
  <si>
    <t>Осинники</t>
  </si>
  <si>
    <t>Шадринск</t>
  </si>
  <si>
    <t>Шарья</t>
  </si>
  <si>
    <t>Курск</t>
  </si>
  <si>
    <t>Гатчина</t>
  </si>
  <si>
    <t>Дубна</t>
  </si>
  <si>
    <t>Ивантеевка</t>
  </si>
  <si>
    <t>Жуковский</t>
  </si>
  <si>
    <t>Коломна</t>
  </si>
  <si>
    <t>Кашира</t>
  </si>
  <si>
    <t>Саров</t>
  </si>
  <si>
    <t>Гаджиево</t>
  </si>
  <si>
    <t>Мончегорск</t>
  </si>
  <si>
    <t>Шахунья</t>
  </si>
  <si>
    <t>Княгинино</t>
  </si>
  <si>
    <t>Лукоянов</t>
  </si>
  <si>
    <t>Великий Новгород</t>
  </si>
  <si>
    <t>Карасук</t>
  </si>
  <si>
    <t>Орск</t>
  </si>
  <si>
    <t>Лысьва</t>
  </si>
  <si>
    <t>Великие Луки</t>
  </si>
  <si>
    <t>Волгодонск</t>
  </si>
  <si>
    <t>Шахты</t>
  </si>
  <si>
    <t>Таганрог</t>
  </si>
  <si>
    <t>Миллерово</t>
  </si>
  <si>
    <t>Семикаракорск</t>
  </si>
  <si>
    <t>Ряжск</t>
  </si>
  <si>
    <t>Касимов</t>
  </si>
  <si>
    <t>Карпинск</t>
  </si>
  <si>
    <t>Южно-Сахалинск</t>
  </si>
  <si>
    <t>Первоуральск</t>
  </si>
  <si>
    <t>Новоуральск</t>
  </si>
  <si>
    <t>Качканар</t>
  </si>
  <si>
    <t>Березовский</t>
  </si>
  <si>
    <t>Ирбит</t>
  </si>
  <si>
    <t>Верхняя Салда</t>
  </si>
  <si>
    <t>Смоленск</t>
  </si>
  <si>
    <t>Вышний Волочек</t>
  </si>
  <si>
    <t>Заводоуковск</t>
  </si>
  <si>
    <t>Южноуральск</t>
  </si>
  <si>
    <t>Озерск</t>
  </si>
  <si>
    <t>Коркино</t>
  </si>
  <si>
    <t>Могоча</t>
  </si>
  <si>
    <t>Зеленоград</t>
  </si>
  <si>
    <t>Тутаев</t>
  </si>
  <si>
    <t>Нарьян-Мар</t>
  </si>
  <si>
    <t>Пыть-Ях</t>
  </si>
  <si>
    <t>Лангепас</t>
  </si>
  <si>
    <t>Муравленко</t>
  </si>
  <si>
    <t>Керчь</t>
  </si>
  <si>
    <t>Бахчисарай</t>
  </si>
  <si>
    <t>Петропавловка</t>
  </si>
  <si>
    <t>Коркмаскала</t>
  </si>
  <si>
    <t>Троицко-Печорск</t>
  </si>
  <si>
    <t>Морки</t>
  </si>
  <si>
    <t>Билярск</t>
  </si>
  <si>
    <t>Малая Пурга</t>
  </si>
  <si>
    <t>Таштып</t>
  </si>
  <si>
    <t>Янтиково</t>
  </si>
  <si>
    <t>Чугуевка</t>
  </si>
  <si>
    <t>Думиничи</t>
  </si>
  <si>
    <t>Лесное</t>
  </si>
  <si>
    <t>Фокино</t>
  </si>
  <si>
    <t>Красные Баки</t>
  </si>
  <si>
    <t>Бор</t>
  </si>
  <si>
    <t>Шербакуль</t>
  </si>
  <si>
    <t>Ташла</t>
  </si>
  <si>
    <t>Кадом</t>
  </si>
  <si>
    <t>Старожилово</t>
  </si>
  <si>
    <t>Новопаньшино</t>
  </si>
  <si>
    <t>Палкино (Ломовская с/а)</t>
  </si>
  <si>
    <t>Мелитополь</t>
  </si>
  <si>
    <t>Тельманово</t>
  </si>
  <si>
    <t>Без города</t>
  </si>
  <si>
    <t>240 городов определены у 76,7% (1 036) сообщений</t>
  </si>
  <si>
    <t>Города по аудитории</t>
  </si>
  <si>
    <t>Объекты</t>
  </si>
  <si>
    <t>№1</t>
  </si>
  <si>
    <t>№2</t>
  </si>
  <si>
    <t>№3</t>
  </si>
  <si>
    <t>№4</t>
  </si>
  <si>
    <t>№5</t>
  </si>
  <si>
    <t>№6</t>
  </si>
  <si>
    <t>№7</t>
  </si>
  <si>
    <t>№8</t>
  </si>
  <si>
    <t>№9</t>
  </si>
  <si>
    <t>№10</t>
  </si>
  <si>
    <t>✅ 135</t>
  </si>
  <si>
    <t>❗ 109</t>
  </si>
  <si>
    <t>⚠ 87</t>
  </si>
  <si>
    <t>📌 78</t>
  </si>
  <si>
    <t>🦶 71</t>
  </si>
  <si>
    <t>👉 70</t>
  </si>
  <si>
    <t>🔥 60</t>
  </si>
  <si>
    <t>✔ 56</t>
  </si>
  <si>
    <t>❤ 56</t>
  </si>
  <si>
    <t>🔹 50</t>
  </si>
  <si>
    <t>Вессел</t>
  </si>
  <si>
    <t>Вазонит</t>
  </si>
  <si>
    <t>Пентоксифиллин</t>
  </si>
  <si>
    <t>Пиаскледин</t>
  </si>
  <si>
    <t>Внешний вид эмодзи может различаться в зависимости от используемого ПО, операционной системы и модели устройства.</t>
  </si>
</sst>
</file>

<file path=xl/styles.xml><?xml version="1.0" encoding="utf-8"?>
<styleSheet xmlns="http://schemas.openxmlformats.org/spreadsheetml/2006/main">
  <numFmts count="5">
    <numFmt numFmtId="177" formatCode="0.0%"/>
    <numFmt numFmtId="178" formatCode="dd MMMM yyyy"/>
    <numFmt numFmtId="179" formatCode="#,##0.00"/>
    <numFmt numFmtId="180" formatCode="#,#0.0"/>
    <numFmt numFmtId="181" formatCode="dd.MM.yyyy"/>
  </numFmts>
  <fonts count="10">
    <font>
      <sz val="10"/>
      <color theme="1"/>
      <name val="Arial"/>
      <family val="2"/>
    </font>
    <font>
      <sz val="8"/>
      <color rgb="FF585A5D"/>
      <name val="Arial"/>
      <family val="2"/>
    </font>
    <font>
      <sz val="11"/>
      <color rgb="FF585A5D"/>
      <name val="Arial"/>
      <family val="2"/>
    </font>
    <font>
      <b/>
      <sz val="11"/>
      <color rgb="FF585A5D"/>
      <name val="Arial"/>
      <family val="2"/>
    </font>
    <font>
      <u val="single"/>
      <sz val="10"/>
      <color rgb="FF0000FF"/>
      <name val="Arial"/>
      <family val="2"/>
    </font>
    <font>
      <u val="single"/>
      <sz val="10"/>
      <color rgb="FF005061"/>
      <name val="Arial"/>
      <family val="2"/>
    </font>
    <font>
      <b/>
      <sz val="11"/>
      <color rgb="FFFFFFFF"/>
      <name val="Arial"/>
      <family val="2"/>
    </font>
    <font>
      <b/>
      <sz val="12"/>
      <color rgb="FF044654"/>
      <name val="Arial"/>
      <family val="2"/>
    </font>
    <font>
      <b/>
      <sz val="18"/>
      <color rgb="FF585A5D"/>
      <name val="Arial"/>
      <family val="2"/>
    </font>
    <font>
      <sz val="10"/>
      <color rgb="FF447F8B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4EDEE"/>
        <bgColor indexed="64"/>
      </patternFill>
    </fill>
    <fill>
      <patternFill patternType="solid">
        <fgColor rgb="FF005061"/>
        <bgColor indexed="64"/>
      </patternFill>
    </fill>
  </fills>
  <borders count="2">
    <border>
      <left/>
      <right/>
      <top/>
      <bottom/>
      <diagonal/>
    </border>
    <border>
      <left style="thin">
        <color rgb="FFCCD3DB"/>
      </left>
      <right style="thin">
        <color rgb="FFCCD3DB"/>
      </right>
      <top style="thin">
        <color rgb="FFCCD3DB"/>
      </top>
      <bottom style="thin">
        <color rgb="FFCCD3DB"/>
      </bottom>
    </border>
  </borders>
  <cellStyleXfs count="21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4" fillId="0" borderId="0">
      <alignment/>
      <protection/>
    </xf>
  </cellStyleXfs>
  <cellXfs count="30">
    <xf numFmtId="0" fontId="0" fillId="0" borderId="0" xfId="0"/>
    <xf numFmtId="0" fontId="9" fillId="2" borderId="0" xfId="0" applyFill="1" applyAlignment="1">
      <alignment horizontal="left"/>
    </xf>
    <xf numFmtId="0" fontId="8" fillId="0" borderId="0" xfId="0" applyFont="1"/>
    <xf numFmtId="0" fontId="5" fillId="2" borderId="0" xfId="0" applyFont="1" applyFill="1" applyAlignment="1">
      <alignment horizontal="left"/>
    </xf>
    <xf numFmtId="0" fontId="4" fillId="2" borderId="0" xfId="20" applyFont="1" applyFill="1" applyAlignment="1">
      <alignment horizontal="left"/>
      <protection/>
    </xf>
    <xf numFmtId="0" fontId="7" fillId="0" borderId="0" xfId="0" applyFont="1" applyAlignment="1">
      <alignment/>
    </xf>
    <xf numFmtId="0" fontId="6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center" vertical="center" wrapText="1"/>
    </xf>
    <xf numFmtId="181" fontId="2" fillId="0" borderId="1" xfId="0" applyNumberFormat="1" applyFont="1" applyBorder="1" applyAlignment="1">
      <alignment horizontal="left" vertical="center"/>
    </xf>
    <xf numFmtId="181" fontId="3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left" vertical="center"/>
    </xf>
    <xf numFmtId="9" fontId="2" fillId="0" borderId="1" xfId="0" applyNumberFormat="1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left" vertical="center"/>
    </xf>
    <xf numFmtId="180" fontId="3" fillId="0" borderId="1" xfId="0" applyNumberFormat="1" applyFont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left" vertical="center"/>
    </xf>
    <xf numFmtId="178" fontId="2" fillId="0" borderId="0" xfId="0" applyNumberFormat="1" applyFont="1" applyAlignment="1">
      <alignment horizontal="left" vertical="center"/>
    </xf>
    <xf numFmtId="0" fontId="5" fillId="0" borderId="0" xfId="0" applyFont="1"/>
    <xf numFmtId="0" fontId="4" fillId="0" borderId="0" xfId="20" applyFont="1">
      <alignment/>
      <protection/>
    </xf>
    <xf numFmtId="177" fontId="2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Alignment="1">
      <alignment horizontal="left" vertical="center"/>
    </xf>
    <xf numFmtId="0" fontId="2" fillId="0" borderId="1" xfId="0" applyNumberFormat="1" applyFont="1" applyBorder="1" applyAlignment="1">
      <alignment horizontal="center" vertical="center"/>
    </xf>
    <xf numFmtId="0" fontId="1" fillId="0" borderId="0" xfId="0" applyNumberFormat="1" applyFont="1" applyAlignment="1">
      <alignment horizontal="left" vertical="center"/>
    </xf>
  </cellXfs>
  <cellStyles count="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yperlink" xfId="20" builtinId="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4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5" Type="http://schemas.openxmlformats.org/officeDocument/2006/relationships/worksheet" Target="worksheets/sheet3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15" Type="http://schemas.openxmlformats.org/officeDocument/2006/relationships/worksheet" Target="worksheets/sheet13.xml" /><Relationship Id="rId17" Type="http://schemas.openxmlformats.org/officeDocument/2006/relationships/calcChain" Target="calcChain.xml" /><Relationship Id="rId4" Type="http://schemas.openxmlformats.org/officeDocument/2006/relationships/worksheet" Target="worksheets/sheet2.xml" /><Relationship Id="rId7" Type="http://schemas.openxmlformats.org/officeDocument/2006/relationships/worksheet" Target="worksheets/sheet5.xml" /><Relationship Id="rId2" Type="http://schemas.openxmlformats.org/officeDocument/2006/relationships/styles" Target="styles.xml" /><Relationship Id="rId10" Type="http://schemas.openxmlformats.org/officeDocument/2006/relationships/worksheet" Target="worksheets/sheet8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1" Type="http://schemas.openxmlformats.org/officeDocument/2006/relationships/worksheet" Target="worksheets/sheet9.xml" /><Relationship Id="rId14" Type="http://schemas.openxmlformats.org/officeDocument/2006/relationships/worksheet" Target="worksheets/sheet12.xml" /><Relationship Id="rId16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Сообщения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spPr>
              <a:solidFill>
                <a:srgbClr val="EFF48E"/>
              </a:solidFill>
            </c:spPr>
          </c:dPt>
          <c:dPt>
            <c:idx val="1"/>
            <c:invertIfNegative val="0"/>
            <c:spPr>
              <a:solidFill>
                <a:srgbClr val="5589FE"/>
              </a:solidFill>
            </c:spPr>
          </c:dPt>
          <c:dPt>
            <c:idx val="2"/>
            <c:invertIfNegative val="0"/>
            <c:spPr>
              <a:solidFill>
                <a:srgbClr val="C7701E"/>
              </a:solidFill>
            </c:spPr>
          </c:dPt>
          <c:dLbls>
            <c:dLbl>
              <c:idx val="0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</c:dLbl>
            <c:dLbl>
              <c:idx val="1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</c:dLbl>
            <c:dLbl>
              <c:idx val="2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</c:dLbl>
            <c:delete val="1"/>
          </c:dLbls>
          <c:cat>
            <c:strRef>
              <c:f>Показатели!$B$9:$B$11</c:f>
              <c:strCache/>
            </c:strRef>
          </c:cat>
          <c:val>
            <c:numRef>
              <c:f>Показатели!$C$9:$C$11</c:f>
              <c:numCache/>
            </c:numRef>
          </c:val>
        </c:ser>
        <c:axId val="13556830"/>
        <c:axId val="1923767"/>
      </c:barChart>
      <c:catAx>
        <c:axId val="1355683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959"/>
                </a:solidFill>
                <a:latin typeface="Arial"/>
                <a:ea typeface="Arial"/>
              </a:defRPr>
            </a:pPr>
            <a:endParaRPr lang="en-US"/>
          </a:p>
        </c:txPr>
        <c:crossAx val="1923767"/>
        <c:crosses val="autoZero"/>
        <c:lblOffset val="100"/>
        <c:tickLblSkip val="1"/>
        <c:noMultiLvlLbl val="0"/>
      </c:catAx>
      <c:valAx>
        <c:axId val="1923767"/>
        <c:scaling>
          <c:orientation val="minMax"/>
        </c:scaling>
        <c:delete val="1"/>
        <c:axPos val="l"/>
        <c:majorGridlines>
          <c:spPr>
            <a:ln>
              <a:noFill/>
            </a:ln>
          </c:spPr>
        </c:majorGridlines>
        <c:majorTickMark val="out"/>
        <c:minorTickMark val="none"/>
        <c:tickLblPos val="nextTo"/>
        <c:crossAx val="13556830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СМ Индекс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spPr>
              <a:solidFill>
                <a:srgbClr val="EFF48E"/>
              </a:solidFill>
            </c:spPr>
          </c:dPt>
          <c:dPt>
            <c:idx val="1"/>
            <c:invertIfNegative val="0"/>
            <c:spPr>
              <a:solidFill>
                <a:srgbClr val="5589FE"/>
              </a:solidFill>
            </c:spPr>
          </c:dPt>
          <c:dPt>
            <c:idx val="2"/>
            <c:invertIfNegative val="0"/>
            <c:spPr>
              <a:solidFill>
                <a:srgbClr val="C7701E"/>
              </a:solidFill>
            </c:spPr>
          </c:dPt>
          <c:dLbls>
            <c:dLbl>
              <c:idx val="0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</c:dLbl>
            <c:dLbl>
              <c:idx val="1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</c:dLbl>
            <c:dLbl>
              <c:idx val="2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</c:dLbl>
            <c:delete val="1"/>
          </c:dLbls>
          <c:cat>
            <c:strRef>
              <c:f>Показатели!$B$9:$B$11</c:f>
              <c:strCache/>
            </c:strRef>
          </c:cat>
          <c:val>
            <c:numRef>
              <c:f>Показатели!$D$9:$D$11</c:f>
              <c:numCache/>
            </c:numRef>
          </c:val>
        </c:ser>
        <c:axId val="7109360"/>
        <c:axId val="37898688"/>
      </c:barChart>
      <c:catAx>
        <c:axId val="710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959"/>
                </a:solidFill>
                <a:latin typeface="Arial"/>
                <a:ea typeface="Arial"/>
              </a:defRPr>
            </a:pPr>
            <a:endParaRPr lang="en-US"/>
          </a:p>
        </c:txPr>
        <c:crossAx val="37898688"/>
        <c:crosses val="autoZero"/>
        <c:lblOffset val="100"/>
        <c:tickLblSkip val="1"/>
        <c:noMultiLvlLbl val="0"/>
      </c:catAx>
      <c:valAx>
        <c:axId val="37898688"/>
        <c:scaling>
          <c:orientation val="minMax"/>
        </c:scaling>
        <c:delete val="1"/>
        <c:axPos val="l"/>
        <c:majorGridlines>
          <c:spPr>
            <a:ln>
              <a:noFill/>
            </a:ln>
          </c:spPr>
        </c:majorGridlines>
        <c:majorTickMark val="out"/>
        <c:minorTickMark val="none"/>
        <c:tickLblPos val="nextTo"/>
        <c:crossAx val="7109360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Аудитория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spPr>
              <a:solidFill>
                <a:srgbClr val="EFF48E"/>
              </a:solidFill>
            </c:spPr>
          </c:dPt>
          <c:dPt>
            <c:idx val="1"/>
            <c:invertIfNegative val="0"/>
            <c:spPr>
              <a:solidFill>
                <a:srgbClr val="5589FE"/>
              </a:solidFill>
            </c:spPr>
          </c:dPt>
          <c:dPt>
            <c:idx val="2"/>
            <c:invertIfNegative val="0"/>
            <c:spPr>
              <a:solidFill>
                <a:srgbClr val="C7701E"/>
              </a:solidFill>
            </c:spPr>
          </c:dPt>
          <c:dLbls>
            <c:dLbl>
              <c:idx val="0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</c:dLbl>
            <c:dLbl>
              <c:idx val="1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</c:dLbl>
            <c:dLbl>
              <c:idx val="2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</c:dLbl>
            <c:delete val="1"/>
          </c:dLbls>
          <c:cat>
            <c:strRef>
              <c:f>Показатели!$B$9:$B$11</c:f>
              <c:strCache/>
            </c:strRef>
          </c:cat>
          <c:val>
            <c:numRef>
              <c:f>Показатели!$E$9:$E$11</c:f>
              <c:numCache/>
            </c:numRef>
          </c:val>
        </c:ser>
        <c:axId val="19357003"/>
        <c:axId val="29401104"/>
      </c:barChart>
      <c:catAx>
        <c:axId val="193570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959"/>
                </a:solidFill>
                <a:latin typeface="Arial"/>
                <a:ea typeface="Arial"/>
              </a:defRPr>
            </a:pPr>
            <a:endParaRPr lang="en-US"/>
          </a:p>
        </c:txPr>
        <c:crossAx val="29401104"/>
        <c:crosses val="autoZero"/>
        <c:lblOffset val="100"/>
        <c:tickLblSkip val="1"/>
        <c:noMultiLvlLbl val="0"/>
      </c:catAx>
      <c:valAx>
        <c:axId val="29401104"/>
        <c:scaling>
          <c:orientation val="minMax"/>
        </c:scaling>
        <c:delete val="1"/>
        <c:axPos val="l"/>
        <c:majorGridlines>
          <c:spPr>
            <a:ln>
              <a:noFill/>
            </a:ln>
          </c:spPr>
        </c:majorGridlines>
        <c:majorTickMark val="out"/>
        <c:minorTickMark val="none"/>
        <c:tickLblPos val="nextTo"/>
        <c:crossAx val="19357003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Вовлечённость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spPr>
              <a:solidFill>
                <a:srgbClr val="EFF48E"/>
              </a:solidFill>
            </c:spPr>
          </c:dPt>
          <c:dPt>
            <c:idx val="1"/>
            <c:invertIfNegative val="0"/>
            <c:spPr>
              <a:solidFill>
                <a:srgbClr val="5589FE"/>
              </a:solidFill>
            </c:spPr>
          </c:dPt>
          <c:dPt>
            <c:idx val="2"/>
            <c:invertIfNegative val="0"/>
            <c:spPr>
              <a:solidFill>
                <a:srgbClr val="C7701E"/>
              </a:solidFill>
            </c:spPr>
          </c:dPt>
          <c:dLbls>
            <c:dLbl>
              <c:idx val="0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</c:dLbl>
            <c:dLbl>
              <c:idx val="1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</c:dLbl>
            <c:dLbl>
              <c:idx val="2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</c:dLbl>
            <c:delete val="1"/>
          </c:dLbls>
          <c:cat>
            <c:strRef>
              <c:f>Показатели!$B$9:$B$11</c:f>
              <c:strCache/>
            </c:strRef>
          </c:cat>
          <c:val>
            <c:numRef>
              <c:f>Показатели!$G$9:$G$11</c:f>
              <c:numCache/>
            </c:numRef>
          </c:val>
        </c:ser>
        <c:axId val="16513880"/>
        <c:axId val="27795608"/>
      </c:barChart>
      <c:catAx>
        <c:axId val="16513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959"/>
                </a:solidFill>
                <a:latin typeface="Arial"/>
                <a:ea typeface="Arial"/>
              </a:defRPr>
            </a:pPr>
            <a:endParaRPr lang="en-US"/>
          </a:p>
        </c:txPr>
        <c:crossAx val="27795608"/>
        <c:crosses val="autoZero"/>
        <c:lblOffset val="100"/>
        <c:tickLblSkip val="1"/>
        <c:noMultiLvlLbl val="0"/>
      </c:catAx>
      <c:valAx>
        <c:axId val="27795608"/>
        <c:scaling>
          <c:orientation val="minMax"/>
        </c:scaling>
        <c:delete val="1"/>
        <c:axPos val="l"/>
        <c:majorGridlines>
          <c:spPr>
            <a:ln>
              <a:noFill/>
            </a:ln>
          </c:spPr>
        </c:majorGridlines>
        <c:majorTickMark val="out"/>
        <c:minorTickMark val="none"/>
        <c:tickLblPos val="nextTo"/>
        <c:crossAx val="16513880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Просмотры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spPr>
              <a:solidFill>
                <a:srgbClr val="EFF48E"/>
              </a:solidFill>
            </c:spPr>
          </c:dPt>
          <c:dPt>
            <c:idx val="1"/>
            <c:invertIfNegative val="0"/>
            <c:spPr>
              <a:solidFill>
                <a:srgbClr val="5589FE"/>
              </a:solidFill>
            </c:spPr>
          </c:dPt>
          <c:dPt>
            <c:idx val="2"/>
            <c:invertIfNegative val="0"/>
            <c:spPr>
              <a:solidFill>
                <a:srgbClr val="C7701E"/>
              </a:solidFill>
            </c:spPr>
          </c:dPt>
          <c:dLbls>
            <c:dLbl>
              <c:idx val="0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</c:dLbl>
            <c:dLbl>
              <c:idx val="1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</c:dLbl>
            <c:dLbl>
              <c:idx val="2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</c:dLbl>
            <c:delete val="1"/>
          </c:dLbls>
          <c:cat>
            <c:strRef>
              <c:f>Показатели!$B$9:$B$11</c:f>
              <c:strCache/>
            </c:strRef>
          </c:cat>
          <c:val>
            <c:numRef>
              <c:f>Показатели!$F$9:$F$11</c:f>
              <c:numCache/>
            </c:numRef>
          </c:val>
        </c:ser>
        <c:axId val="21310959"/>
        <c:axId val="42940542"/>
      </c:barChart>
      <c:catAx>
        <c:axId val="21310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959"/>
                </a:solidFill>
                <a:latin typeface="Arial"/>
                <a:ea typeface="Arial"/>
              </a:defRPr>
            </a:pPr>
            <a:endParaRPr lang="en-US"/>
          </a:p>
        </c:txPr>
        <c:crossAx val="42940542"/>
        <c:crosses val="autoZero"/>
        <c:lblOffset val="100"/>
        <c:tickLblSkip val="1"/>
        <c:noMultiLvlLbl val="0"/>
      </c:catAx>
      <c:valAx>
        <c:axId val="42940542"/>
        <c:scaling>
          <c:orientation val="minMax"/>
        </c:scaling>
        <c:delete val="1"/>
        <c:axPos val="l"/>
        <c:majorGridlines>
          <c:spPr>
            <a:ln>
              <a:noFill/>
            </a:ln>
          </c:spPr>
        </c:majorGridlines>
        <c:majorTickMark val="out"/>
        <c:minorTickMark val="none"/>
        <c:tickLblPos val="nextTo"/>
        <c:crossAx val="21310959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Share of Voice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pieChart>
        <c:varyColors val="1"/>
        <c:ser>
          <c:idx val="0"/>
          <c:order val="0"/>
          <c:explosion val="0"/>
          <c:dPt>
            <c:idx val="0"/>
            <c:spPr>
              <a:solidFill>
                <a:srgbClr val="EFF48E"/>
              </a:solidFill>
            </c:spPr>
          </c:dPt>
          <c:dPt>
            <c:idx val="1"/>
            <c:spPr>
              <a:solidFill>
                <a:srgbClr val="5589FE"/>
              </a:solidFill>
            </c:spPr>
          </c:dPt>
          <c:dPt>
            <c:idx val="2"/>
            <c:spPr>
              <a:solidFill>
                <a:srgbClr val="C7701E"/>
              </a:solidFill>
            </c:spPr>
          </c:dPt>
          <c:dLbls>
            <c:numFmt formatCode="General" sourceLinked="1"/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Показатели!$B$9:$B$11</c:f>
              <c:strCache/>
            </c:strRef>
          </c:cat>
          <c:val>
            <c:numRef>
              <c:f>Показатели!$K$9:$K$11</c:f>
              <c:numCache/>
            </c:numRef>
          </c:val>
        </c:ser>
      </c:pieChart>
      <c:spPr>
        <a:solidFill>
          <a:srgbClr val="FFFFFF"/>
        </a:solidFill>
        <a:ln w="12700">
          <a:noFill/>
        </a:ln>
      </c:spPr>
    </c:plotArea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Тональность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Показатели!$C$54</c:f>
            </c:strRef>
          </c:tx>
          <c:spPr>
            <a:solidFill>
              <a:srgbClr val="98D497"/>
            </a:solidFill>
          </c:spPr>
          <c:invertIfNegative val="0"/>
          <c:dLbls>
            <c:numFmt formatCode="General" sourceLinked="1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Показатели!$B$55:$B$57</c:f>
              <c:strCache/>
            </c:strRef>
          </c:cat>
          <c:val>
            <c:numRef>
              <c:f>Показатели!$C$55:$C$57</c:f>
              <c:numCache/>
            </c:numRef>
          </c:val>
        </c:ser>
        <c:ser>
          <c:idx val="1"/>
          <c:order val="1"/>
          <c:tx>
            <c:strRef>
              <c:f>Показатели!$D$54</c:f>
            </c:strRef>
          </c:tx>
          <c:spPr>
            <a:solidFill>
              <a:srgbClr val="C6D2D9"/>
            </a:solidFill>
          </c:spPr>
          <c:invertIfNegative val="0"/>
          <c:dLbls>
            <c:numFmt formatCode="General" sourceLinked="1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Показатели!$B$55:$B$57</c:f>
              <c:strCache/>
            </c:strRef>
          </c:cat>
          <c:val>
            <c:numRef>
              <c:f>Показатели!$D$55:$D$57</c:f>
              <c:numCache/>
            </c:numRef>
          </c:val>
        </c:ser>
        <c:ser>
          <c:idx val="2"/>
          <c:order val="2"/>
          <c:tx>
            <c:strRef>
              <c:f>Показатели!$E$54</c:f>
            </c:strRef>
          </c:tx>
          <c:spPr>
            <a:solidFill>
              <a:srgbClr val="FC6C73"/>
            </a:solidFill>
          </c:spPr>
          <c:invertIfNegative val="0"/>
          <c:dLbls>
            <c:numFmt formatCode="General" sourceLinked="1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Показатели!$B$55:$B$57</c:f>
              <c:strCache/>
            </c:strRef>
          </c:cat>
          <c:val>
            <c:numRef>
              <c:f>Показатели!$E$55:$E$57</c:f>
              <c:numCache/>
            </c:numRef>
          </c:val>
        </c:ser>
        <c:overlap val="100"/>
        <c:axId val="14884585"/>
        <c:axId val="16300033"/>
      </c:barChart>
      <c:catAx>
        <c:axId val="1488458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16300033"/>
        <c:crosses val="autoZero"/>
        <c:lblOffset val="100"/>
        <c:noMultiLvlLbl val="0"/>
      </c:catAx>
      <c:valAx>
        <c:axId val="16300033"/>
        <c:scaling>
          <c:orientation val="minMax"/>
        </c:scaling>
        <c:delete val="1"/>
        <c:axPos val="t"/>
        <c:majorGridlines>
          <c:spPr>
            <a:ln>
              <a:noFill/>
            </a:ln>
          </c:spPr>
        </c:majorGridlines>
        <c:majorTickMark val="out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14884585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/>
      <c:overlay val="0"/>
    </c:legend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Тональность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Показатели!$G$54</c:f>
            </c:strRef>
          </c:tx>
          <c:spPr>
            <a:solidFill>
              <a:srgbClr val="98D497"/>
            </a:solidFill>
          </c:spPr>
          <c:invertIfNegative val="0"/>
          <c:dLbls>
            <c:numFmt formatCode="General" sourceLinked="1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Показатели!$B$55:$B$57</c:f>
              <c:strCache/>
            </c:strRef>
          </c:cat>
          <c:val>
            <c:numRef>
              <c:f>Показатели!$G$55:$G$57</c:f>
              <c:numCache/>
            </c:numRef>
          </c:val>
        </c:ser>
        <c:ser>
          <c:idx val="1"/>
          <c:order val="1"/>
          <c:tx>
            <c:strRef>
              <c:f>Показатели!$H$54</c:f>
            </c:strRef>
          </c:tx>
          <c:spPr>
            <a:solidFill>
              <a:srgbClr val="C6D2D9"/>
            </a:solidFill>
          </c:spPr>
          <c:invertIfNegative val="0"/>
          <c:dLbls>
            <c:numFmt formatCode="General" sourceLinked="1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Показатели!$B$55:$B$57</c:f>
              <c:strCache/>
            </c:strRef>
          </c:cat>
          <c:val>
            <c:numRef>
              <c:f>Показатели!$H$55:$H$57</c:f>
              <c:numCache/>
            </c:numRef>
          </c:val>
        </c:ser>
        <c:ser>
          <c:idx val="2"/>
          <c:order val="2"/>
          <c:tx>
            <c:strRef>
              <c:f>Показатели!$I$54</c:f>
            </c:strRef>
          </c:tx>
          <c:spPr>
            <a:solidFill>
              <a:srgbClr val="FC6C73"/>
            </a:solidFill>
          </c:spPr>
          <c:invertIfNegative val="0"/>
          <c:dLbls>
            <c:numFmt formatCode="General" sourceLinked="1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Показатели!$B$55:$B$57</c:f>
              <c:strCache/>
            </c:strRef>
          </c:cat>
          <c:val>
            <c:numRef>
              <c:f>Показатели!$I$55:$I$57</c:f>
              <c:numCache/>
            </c:numRef>
          </c:val>
        </c:ser>
        <c:overlap val="100"/>
        <c:axId val="41393956"/>
        <c:axId val="25651620"/>
      </c:barChart>
      <c:catAx>
        <c:axId val="4139395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25651620"/>
        <c:crosses val="autoZero"/>
        <c:lblOffset val="100"/>
        <c:noMultiLvlLbl val="0"/>
      </c:catAx>
      <c:valAx>
        <c:axId val="25651620"/>
        <c:scaling>
          <c:orientation val="minMax"/>
        </c:scaling>
        <c:delete val="1"/>
        <c:axPos val="t"/>
        <c:majorGridlines>
          <c:spPr>
            <a:ln>
              <a:noFill/>
            </a:ln>
          </c:spPr>
        </c:majorGridlines>
        <c:majorTickMark val="out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41393956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/>
      <c:overlay val="0"/>
    </c:legend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Сообщения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Динамика!$C$8</c:f>
            </c:strRef>
          </c:tx>
          <c:spPr>
            <a:ln cap="rnd" cmpd="sng">
              <a:prstDash val="solid"/>
              <a:round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numRef>
              <c:f>Динамика!$B$9:$B$39</c:f>
              <c:numCache/>
            </c:numRef>
          </c:cat>
          <c:val>
            <c:numRef>
              <c:f>Динамика!$C$9:$C$39</c:f>
              <c:numCache/>
            </c:numRef>
          </c:val>
          <c:smooth val="1"/>
        </c:ser>
        <c:ser>
          <c:idx val="1"/>
          <c:order val="1"/>
          <c:tx>
            <c:strRef>
              <c:f>Динамика!$D$8</c:f>
            </c:strRef>
          </c:tx>
          <c:spPr>
            <a:ln cap="rnd" cmpd="sng">
              <a:prstDash val="solid"/>
              <a:round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numRef>
              <c:f>Динамика!$B$9:$B$39</c:f>
              <c:numCache/>
            </c:numRef>
          </c:cat>
          <c:val>
            <c:numRef>
              <c:f>Динамика!$D$9:$D$39</c:f>
              <c:numCache/>
            </c:numRef>
          </c:val>
          <c:smooth val="1"/>
        </c:ser>
        <c:ser>
          <c:idx val="2"/>
          <c:order val="2"/>
          <c:tx>
            <c:strRef>
              <c:f>Динамика!$E$8</c:f>
            </c:strRef>
          </c:tx>
          <c:spPr>
            <a:ln cap="rnd" cmpd="sng">
              <a:prstDash val="solid"/>
              <a:round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numRef>
              <c:f>Динамика!$B$9:$B$39</c:f>
              <c:numCache/>
            </c:numRef>
          </c:cat>
          <c:val>
            <c:numRef>
              <c:f>Динамика!$E$9:$E$39</c:f>
              <c:numCache/>
            </c:numRef>
          </c:val>
          <c:smooth val="1"/>
        </c:ser>
        <c:marker val="1"/>
        <c:axId val="49355098"/>
        <c:axId val="43653119"/>
      </c:lineChart>
      <c:catAx>
        <c:axId val="4935509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noFill/>
          </a:ln>
        </c:spPr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43653119"/>
        <c:crosses val="autoZero"/>
        <c:lblOffset val="100"/>
        <c:noMultiLvlLbl val="0"/>
      </c:catAx>
      <c:valAx>
        <c:axId val="43653119"/>
        <c:scaling>
          <c:orientation val="minMax"/>
        </c:scaling>
        <c:delete val="0"/>
        <c:axPos val="l"/>
        <c:majorGridlines>
          <c:spPr>
            <a:ln/>
          </c:spPr>
        </c:majorGridlines>
        <c:numFmt formatCode="#,##0" sourceLinked="0"/>
        <c:majorTickMark val="out"/>
        <c:minorTickMark val="none"/>
        <c:tickLblPos val="nextTo"/>
        <c:spPr>
          <a:ln>
            <a:noFill/>
          </a:ln>
        </c:spPr>
        <c:crossAx val="49355098"/>
        <c:crosses val="autoZero"/>
        <c:crossBetween val="between"/>
      </c:valAx>
      <c:spPr>
        <a:solidFill>
          <a:srgbClr val="FFFFFF"/>
        </a:solidFill>
        <a:ln w="12700">
          <a:noFill/>
          <a:round/>
        </a:ln>
      </c:spPr>
    </c:plotArea>
    <c:legend>
      <c:legendPos val="b"/>
      <c:layout/>
      <c:overlay val="0"/>
    </c:legend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СМ Индекс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Динамика!$C$44</c:f>
            </c:strRef>
          </c:tx>
          <c:spPr>
            <a:ln cap="rnd" cmpd="sng">
              <a:prstDash val="solid"/>
              <a:round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numRef>
              <c:f>Динамика!$B$45:$B$75</c:f>
              <c:numCache/>
            </c:numRef>
          </c:cat>
          <c:val>
            <c:numRef>
              <c:f>Динамика!$C$45:$C$75</c:f>
              <c:numCache/>
            </c:numRef>
          </c:val>
          <c:smooth val="1"/>
        </c:ser>
        <c:ser>
          <c:idx val="1"/>
          <c:order val="1"/>
          <c:tx>
            <c:strRef>
              <c:f>Динамика!$D$44</c:f>
            </c:strRef>
          </c:tx>
          <c:spPr>
            <a:ln cap="rnd" cmpd="sng">
              <a:prstDash val="solid"/>
              <a:round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numRef>
              <c:f>Динамика!$B$45:$B$75</c:f>
              <c:numCache/>
            </c:numRef>
          </c:cat>
          <c:val>
            <c:numRef>
              <c:f>Динамика!$D$45:$D$75</c:f>
              <c:numCache/>
            </c:numRef>
          </c:val>
          <c:smooth val="1"/>
        </c:ser>
        <c:ser>
          <c:idx val="2"/>
          <c:order val="2"/>
          <c:tx>
            <c:strRef>
              <c:f>Динамика!$E$44</c:f>
            </c:strRef>
          </c:tx>
          <c:spPr>
            <a:ln cap="rnd" cmpd="sng">
              <a:prstDash val="solid"/>
              <a:round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numRef>
              <c:f>Динамика!$B$45:$B$75</c:f>
              <c:numCache/>
            </c:numRef>
          </c:cat>
          <c:val>
            <c:numRef>
              <c:f>Динамика!$E$45:$E$75</c:f>
              <c:numCache/>
            </c:numRef>
          </c:val>
          <c:smooth val="1"/>
        </c:ser>
        <c:marker val="1"/>
        <c:axId val="22338857"/>
        <c:axId val="60556144"/>
      </c:lineChart>
      <c:catAx>
        <c:axId val="2233885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noFill/>
          </a:ln>
        </c:spPr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60556144"/>
        <c:crosses val="autoZero"/>
        <c:lblOffset val="100"/>
        <c:noMultiLvlLbl val="0"/>
      </c:catAx>
      <c:valAx>
        <c:axId val="60556144"/>
        <c:scaling>
          <c:orientation val="minMax"/>
        </c:scaling>
        <c:delete val="0"/>
        <c:axPos val="l"/>
        <c:majorGridlines>
          <c:spPr>
            <a:ln/>
          </c:spPr>
        </c:majorGridlines>
        <c:numFmt formatCode="#,##0" sourceLinked="0"/>
        <c:majorTickMark val="out"/>
        <c:minorTickMark val="none"/>
        <c:tickLblPos val="nextTo"/>
        <c:spPr>
          <a:ln>
            <a:noFill/>
          </a:ln>
        </c:spPr>
        <c:crossAx val="22338857"/>
        <c:crosses val="autoZero"/>
        <c:crossBetween val="between"/>
      </c:valAx>
      <c:spPr>
        <a:solidFill>
          <a:srgbClr val="FFFFFF"/>
        </a:solidFill>
        <a:ln w="12700">
          <a:noFill/>
          <a:round/>
        </a:ln>
      </c:spPr>
    </c:plotArea>
    <c:legend>
      <c:legendPos val="b"/>
      <c:layout/>
      <c:overlay val="0"/>
    </c:legend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Аудитория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Динамика!$C$80</c:f>
            </c:strRef>
          </c:tx>
          <c:spPr>
            <a:ln cap="rnd" cmpd="sng">
              <a:prstDash val="solid"/>
              <a:round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numRef>
              <c:f>Динамика!$B$81:$B$111</c:f>
              <c:numCache/>
            </c:numRef>
          </c:cat>
          <c:val>
            <c:numRef>
              <c:f>Динамика!$C$81:$C$111</c:f>
              <c:numCache/>
            </c:numRef>
          </c:val>
          <c:smooth val="1"/>
        </c:ser>
        <c:ser>
          <c:idx val="1"/>
          <c:order val="1"/>
          <c:tx>
            <c:strRef>
              <c:f>Динамика!$D$80</c:f>
            </c:strRef>
          </c:tx>
          <c:spPr>
            <a:ln cap="rnd" cmpd="sng">
              <a:prstDash val="solid"/>
              <a:round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numRef>
              <c:f>Динамика!$B$81:$B$111</c:f>
              <c:numCache/>
            </c:numRef>
          </c:cat>
          <c:val>
            <c:numRef>
              <c:f>Динамика!$D$81:$D$111</c:f>
              <c:numCache/>
            </c:numRef>
          </c:val>
          <c:smooth val="1"/>
        </c:ser>
        <c:ser>
          <c:idx val="2"/>
          <c:order val="2"/>
          <c:tx>
            <c:strRef>
              <c:f>Динамика!$E$80</c:f>
            </c:strRef>
          </c:tx>
          <c:spPr>
            <a:ln cap="rnd" cmpd="sng">
              <a:prstDash val="solid"/>
              <a:round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numRef>
              <c:f>Динамика!$B$81:$B$111</c:f>
              <c:numCache/>
            </c:numRef>
          </c:cat>
          <c:val>
            <c:numRef>
              <c:f>Динамика!$E$81:$E$111</c:f>
              <c:numCache/>
            </c:numRef>
          </c:val>
          <c:smooth val="1"/>
        </c:ser>
        <c:marker val="1"/>
        <c:axId val="13492082"/>
        <c:axId val="55241267"/>
      </c:lineChart>
      <c:catAx>
        <c:axId val="1349208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noFill/>
          </a:ln>
        </c:spPr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55241267"/>
        <c:crosses val="autoZero"/>
        <c:lblOffset val="100"/>
        <c:noMultiLvlLbl val="0"/>
      </c:catAx>
      <c:valAx>
        <c:axId val="55241267"/>
        <c:scaling>
          <c:orientation val="minMax"/>
        </c:scaling>
        <c:delete val="0"/>
        <c:axPos val="l"/>
        <c:majorGridlines>
          <c:spPr>
            <a:ln/>
          </c:spPr>
        </c:majorGridlines>
        <c:numFmt formatCode="#,##0" sourceLinked="0"/>
        <c:majorTickMark val="out"/>
        <c:minorTickMark val="none"/>
        <c:tickLblPos val="nextTo"/>
        <c:spPr>
          <a:ln>
            <a:noFill/>
          </a:ln>
        </c:spPr>
        <c:crossAx val="13492082"/>
        <c:crosses val="autoZero"/>
        <c:crossBetween val="between"/>
      </c:valAx>
      <c:spPr>
        <a:solidFill>
          <a:srgbClr val="FFFFFF"/>
        </a:solidFill>
        <a:ln w="12700">
          <a:noFill/>
          <a:round/>
        </a:ln>
      </c:spPr>
    </c:plotArea>
    <c:legend>
      <c:legendPos val="b"/>
      <c:layout/>
      <c:overlay val="0"/>
    </c:legend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Просмотры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Динамика!$C$116</c:f>
            </c:strRef>
          </c:tx>
          <c:spPr>
            <a:ln cap="rnd" cmpd="sng">
              <a:prstDash val="solid"/>
              <a:round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numRef>
              <c:f>Динамика!$B$117:$B$147</c:f>
              <c:numCache/>
            </c:numRef>
          </c:cat>
          <c:val>
            <c:numRef>
              <c:f>Динамика!$C$117:$C$147</c:f>
              <c:numCache/>
            </c:numRef>
          </c:val>
          <c:smooth val="1"/>
        </c:ser>
        <c:ser>
          <c:idx val="1"/>
          <c:order val="1"/>
          <c:tx>
            <c:strRef>
              <c:f>Динамика!$D$116</c:f>
            </c:strRef>
          </c:tx>
          <c:spPr>
            <a:ln cap="rnd" cmpd="sng">
              <a:prstDash val="solid"/>
              <a:round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numRef>
              <c:f>Динамика!$B$117:$B$147</c:f>
              <c:numCache/>
            </c:numRef>
          </c:cat>
          <c:val>
            <c:numRef>
              <c:f>Динамика!$D$117:$D$147</c:f>
              <c:numCache/>
            </c:numRef>
          </c:val>
          <c:smooth val="1"/>
        </c:ser>
        <c:ser>
          <c:idx val="2"/>
          <c:order val="2"/>
          <c:tx>
            <c:strRef>
              <c:f>Динамика!$E$116</c:f>
            </c:strRef>
          </c:tx>
          <c:spPr>
            <a:ln cap="rnd" cmpd="sng">
              <a:prstDash val="solid"/>
              <a:round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numRef>
              <c:f>Динамика!$B$117:$B$147</c:f>
              <c:numCache/>
            </c:numRef>
          </c:cat>
          <c:val>
            <c:numRef>
              <c:f>Динамика!$E$117:$E$147</c:f>
              <c:numCache/>
            </c:numRef>
          </c:val>
          <c:smooth val="1"/>
        </c:ser>
        <c:marker val="1"/>
        <c:axId val="50754905"/>
        <c:axId val="6267684"/>
      </c:lineChart>
      <c:catAx>
        <c:axId val="5075490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noFill/>
          </a:ln>
        </c:spPr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6267684"/>
        <c:crosses val="autoZero"/>
        <c:lblOffset val="100"/>
        <c:noMultiLvlLbl val="0"/>
      </c:catAx>
      <c:valAx>
        <c:axId val="6267684"/>
        <c:scaling>
          <c:orientation val="minMax"/>
        </c:scaling>
        <c:delete val="0"/>
        <c:axPos val="l"/>
        <c:majorGridlines>
          <c:spPr>
            <a:ln/>
          </c:spPr>
        </c:majorGridlines>
        <c:numFmt formatCode="#,##0" sourceLinked="0"/>
        <c:majorTickMark val="out"/>
        <c:minorTickMark val="none"/>
        <c:tickLblPos val="nextTo"/>
        <c:spPr>
          <a:ln>
            <a:noFill/>
          </a:ln>
        </c:spPr>
        <c:crossAx val="50754905"/>
        <c:crosses val="autoZero"/>
        <c:crossBetween val="between"/>
      </c:valAx>
      <c:spPr>
        <a:solidFill>
          <a:srgbClr val="FFFFFF"/>
        </a:solidFill>
        <a:ln w="12700">
          <a:noFill/>
          <a:round/>
        </a:ln>
      </c:spPr>
    </c:plotArea>
    <c:legend>
      <c:legendPos val="b"/>
      <c:layout/>
      <c:overlay val="0"/>
    </c:legend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Вовлечённость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Динамика!$C$152</c:f>
            </c:strRef>
          </c:tx>
          <c:spPr>
            <a:ln cap="rnd" cmpd="sng">
              <a:prstDash val="solid"/>
              <a:round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numRef>
              <c:f>Динамика!$B$153:$B$183</c:f>
              <c:numCache/>
            </c:numRef>
          </c:cat>
          <c:val>
            <c:numRef>
              <c:f>Динамика!$C$153:$C$183</c:f>
              <c:numCache/>
            </c:numRef>
          </c:val>
          <c:smooth val="1"/>
        </c:ser>
        <c:ser>
          <c:idx val="1"/>
          <c:order val="1"/>
          <c:tx>
            <c:strRef>
              <c:f>Динамика!$D$152</c:f>
            </c:strRef>
          </c:tx>
          <c:spPr>
            <a:ln cap="rnd" cmpd="sng">
              <a:prstDash val="solid"/>
              <a:round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numRef>
              <c:f>Динамика!$B$153:$B$183</c:f>
              <c:numCache/>
            </c:numRef>
          </c:cat>
          <c:val>
            <c:numRef>
              <c:f>Динамика!$D$153:$D$183</c:f>
              <c:numCache/>
            </c:numRef>
          </c:val>
          <c:smooth val="1"/>
        </c:ser>
        <c:ser>
          <c:idx val="2"/>
          <c:order val="2"/>
          <c:tx>
            <c:strRef>
              <c:f>Динамика!$E$152</c:f>
            </c:strRef>
          </c:tx>
          <c:spPr>
            <a:ln cap="rnd" cmpd="sng">
              <a:prstDash val="solid"/>
              <a:round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numRef>
              <c:f>Динамика!$B$153:$B$183</c:f>
              <c:numCache/>
            </c:numRef>
          </c:cat>
          <c:val>
            <c:numRef>
              <c:f>Динамика!$E$153:$E$183</c:f>
              <c:numCache/>
            </c:numRef>
          </c:val>
          <c:smooth val="1"/>
        </c:ser>
        <c:marker val="1"/>
        <c:axId val="59948342"/>
        <c:axId val="18312809"/>
      </c:lineChart>
      <c:catAx>
        <c:axId val="5994834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noFill/>
          </a:ln>
        </c:spPr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18312809"/>
        <c:crosses val="autoZero"/>
        <c:lblOffset val="100"/>
        <c:noMultiLvlLbl val="0"/>
      </c:catAx>
      <c:valAx>
        <c:axId val="18312809"/>
        <c:scaling>
          <c:orientation val="minMax"/>
        </c:scaling>
        <c:delete val="0"/>
        <c:axPos val="l"/>
        <c:majorGridlines>
          <c:spPr>
            <a:ln/>
          </c:spPr>
        </c:majorGridlines>
        <c:numFmt formatCode="#,##0" sourceLinked="0"/>
        <c:majorTickMark val="out"/>
        <c:minorTickMark val="none"/>
        <c:tickLblPos val="nextTo"/>
        <c:spPr>
          <a:ln>
            <a:noFill/>
          </a:ln>
        </c:spPr>
        <c:crossAx val="59948342"/>
        <c:crosses val="autoZero"/>
        <c:crossBetween val="between"/>
      </c:valAx>
      <c:spPr>
        <a:solidFill>
          <a:srgbClr val="FFFFFF"/>
        </a:solidFill>
        <a:ln w="12700">
          <a:noFill/>
          <a:round/>
        </a:ln>
      </c:spPr>
    </c:plotArea>
    <c:legend>
      <c:legendPos val="b"/>
      <c:layout/>
      <c:overlay val="0"/>
    </c:legend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Мнения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axId val="8314238"/>
        <c:axId val="26102293"/>
      </c:barChart>
      <c:catAx>
        <c:axId val="831423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6102293"/>
        <c:crosses val="autoZero"/>
        <c:lblOffset val="100"/>
        <c:noMultiLvlLbl val="0"/>
      </c:catAx>
      <c:valAx>
        <c:axId val="26102293"/>
        <c:scaling>
          <c:orientation val="minMax"/>
        </c:scaling>
        <c:delete val="0"/>
        <c:axPos val="l"/>
        <c:majorGridlines>
          <c:spPr>
            <a:ln/>
          </c:spPr>
        </c:majorGridlines>
        <c:numFmt formatCode="General" sourceLinked="1"/>
        <c:majorTickMark val="out"/>
        <c:minorTickMark val="none"/>
        <c:tickLblPos val="nextTo"/>
        <c:crossAx val="8314238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/>
      <c:overlay val="0"/>
    </c:legend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Оценки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Оценки!$C$31</c:f>
            </c:strRef>
          </c:tx>
          <c:spPr>
            <a:solidFill>
              <a:srgbClr val="EFF48E"/>
            </a:solidFill>
          </c:spPr>
          <c:invertIfNegative val="0"/>
          <c:dLbls>
            <c:numFmt formatCode="General" sourceLinked="1"/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Оценки!$B$32:$B$36</c:f>
              <c:strCache/>
            </c:strRef>
          </c:cat>
          <c:val>
            <c:numRef>
              <c:f>Оценки!$C$32:$C$36</c:f>
              <c:numCache/>
            </c:numRef>
          </c:val>
        </c:ser>
        <c:ser>
          <c:idx val="1"/>
          <c:order val="1"/>
          <c:tx>
            <c:strRef>
              <c:f>Оценки!$D$31</c:f>
            </c:strRef>
          </c:tx>
          <c:spPr>
            <a:solidFill>
              <a:srgbClr val="5589FE"/>
            </a:solidFill>
          </c:spPr>
          <c:invertIfNegative val="0"/>
          <c:dLbls>
            <c:numFmt formatCode="General" sourceLinked="1"/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Оценки!$B$32:$B$36</c:f>
              <c:strCache/>
            </c:strRef>
          </c:cat>
          <c:val>
            <c:numRef>
              <c:f>Оценки!$D$32:$D$36</c:f>
              <c:numCache/>
            </c:numRef>
          </c:val>
        </c:ser>
        <c:ser>
          <c:idx val="2"/>
          <c:order val="2"/>
          <c:tx>
            <c:strRef>
              <c:f>Оценки!$E$31</c:f>
            </c:strRef>
          </c:tx>
          <c:spPr>
            <a:solidFill>
              <a:srgbClr val="C7701E"/>
            </a:solidFill>
          </c:spPr>
          <c:invertIfNegative val="0"/>
          <c:dLbls>
            <c:numFmt formatCode="General" sourceLinked="1"/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Оценки!$B$32:$B$36</c:f>
              <c:strCache/>
            </c:strRef>
          </c:cat>
          <c:val>
            <c:numRef>
              <c:f>Оценки!$E$32:$E$36</c:f>
              <c:numCache/>
            </c:numRef>
          </c:val>
        </c:ser>
        <c:axId val="22736596"/>
        <c:axId val="11056843"/>
      </c:barChart>
      <c:catAx>
        <c:axId val="227365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11056843"/>
        <c:crosses val="autoZero"/>
        <c:lblOffset val="100"/>
        <c:tickLblSkip val="1"/>
        <c:noMultiLvlLbl val="0"/>
      </c:catAx>
      <c:valAx>
        <c:axId val="11056843"/>
        <c:scaling>
          <c:orientation val="minMax"/>
        </c:scaling>
        <c:delete val="0"/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22736596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/>
      <c:overlay val="0"/>
    </c:legend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Средняя оценка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Оценки!$C$69</c:f>
            </c:strRef>
          </c:tx>
          <c:spPr>
            <a:ln cap="rnd" cmpd="sng">
              <a:prstDash val="solid"/>
              <a:round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numRef>
              <c:f>Оценки!$B$70:$B$100</c:f>
              <c:numCache/>
            </c:numRef>
          </c:cat>
          <c:val>
            <c:numRef>
              <c:f>Оценки!$C$70:$C$100</c:f>
              <c:numCache/>
            </c:numRef>
          </c:val>
          <c:smooth val="1"/>
        </c:ser>
        <c:ser>
          <c:idx val="1"/>
          <c:order val="1"/>
          <c:tx>
            <c:strRef>
              <c:f>Оценки!$D$69</c:f>
            </c:strRef>
          </c:tx>
          <c:spPr>
            <a:ln cap="rnd" cmpd="sng">
              <a:prstDash val="solid"/>
              <a:round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numRef>
              <c:f>Оценки!$B$70:$B$100</c:f>
              <c:numCache/>
            </c:numRef>
          </c:cat>
          <c:val>
            <c:numRef>
              <c:f>Оценки!$D$70:$D$100</c:f>
              <c:numCache/>
            </c:numRef>
          </c:val>
          <c:smooth val="1"/>
        </c:ser>
        <c:ser>
          <c:idx val="2"/>
          <c:order val="2"/>
          <c:tx>
            <c:strRef>
              <c:f>Оценки!$E$69</c:f>
            </c:strRef>
          </c:tx>
          <c:spPr>
            <a:ln cap="rnd" cmpd="sng">
              <a:prstDash val="solid"/>
              <a:round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numRef>
              <c:f>Оценки!$B$70:$B$100</c:f>
              <c:numCache/>
            </c:numRef>
          </c:cat>
          <c:val>
            <c:numRef>
              <c:f>Оценки!$E$70:$E$100</c:f>
              <c:numCache/>
            </c:numRef>
          </c:val>
          <c:smooth val="1"/>
        </c:ser>
        <c:marker val="1"/>
        <c:axId val="6297358"/>
        <c:axId val="66269041"/>
      </c:lineChart>
      <c:catAx>
        <c:axId val="629735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noFill/>
          </a:ln>
        </c:spPr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66269041"/>
        <c:crosses val="autoZero"/>
        <c:lblOffset val="100"/>
        <c:noMultiLvlLbl val="0"/>
      </c:catAx>
      <c:valAx>
        <c:axId val="66269041"/>
        <c:scaling>
          <c:orientation val="minMax"/>
        </c:scaling>
        <c:delete val="0"/>
        <c:axPos val="l"/>
        <c:majorGridlines>
          <c:spPr>
            <a:ln/>
          </c:spPr>
        </c:majorGridlines>
        <c:numFmt formatCode="#,#0.0" sourceLinked="0"/>
        <c:majorTickMark val="out"/>
        <c:minorTickMark val="none"/>
        <c:tickLblPos val="nextTo"/>
        <c:spPr>
          <a:ln>
            <a:noFill/>
          </a:ln>
        </c:spPr>
        <c:crossAx val="6297358"/>
        <c:crosses val="autoZero"/>
        <c:crossBetween val="between"/>
      </c:valAx>
      <c:spPr>
        <a:solidFill>
          <a:srgbClr val="FFFFFF"/>
        </a:solidFill>
        <a:ln w="12700">
          <a:noFill/>
          <a:round/>
        </a:ln>
      </c:spPr>
    </c:plotArea>
    <c:legend>
      <c:legendPos val="b"/>
      <c:layout/>
      <c:overlay val="0"/>
    </c:legend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Типы площадок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pieChart>
        <c:varyColors val="1"/>
        <c:ser>
          <c:idx val="0"/>
          <c:order val="0"/>
          <c:explosion val="0"/>
          <c:dPt>
            <c:idx val="0"/>
            <c:spPr>
              <a:solidFill>
                <a:srgbClr val="5B9BD5"/>
              </a:solidFill>
            </c:spPr>
          </c:dPt>
          <c:dPt>
            <c:idx val="1"/>
            <c:spPr>
              <a:solidFill>
                <a:srgbClr val="70AD47"/>
              </a:solidFill>
            </c:spPr>
          </c:dPt>
          <c:dPt>
            <c:idx val="2"/>
            <c:spPr>
              <a:solidFill>
                <a:srgbClr val="BC13FE"/>
              </a:solidFill>
            </c:spPr>
          </c:dPt>
          <c:dPt>
            <c:idx val="3"/>
            <c:spPr>
              <a:solidFill>
                <a:srgbClr val="A5A5A5"/>
              </a:solidFill>
            </c:spPr>
          </c:dPt>
          <c:dPt>
            <c:idx val="4"/>
            <c:spPr>
              <a:solidFill>
                <a:srgbClr val="FFC000"/>
              </a:solidFill>
            </c:spPr>
          </c:dPt>
          <c:dPt>
            <c:idx val="5"/>
            <c:spPr>
              <a:solidFill>
                <a:srgbClr val="4472C4"/>
              </a:solidFill>
            </c:spPr>
          </c:dPt>
          <c:dPt>
            <c:idx val="6"/>
            <c:spPr>
              <a:solidFill>
                <a:srgbClr val="ED7D31"/>
              </a:solidFill>
            </c:spPr>
          </c:dPt>
          <c:dLbls>
            <c:numFmt formatCode="General" sourceLinked="1"/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'Типы площадок'!$B$7:$B$13</c:f>
              <c:strCache/>
            </c:strRef>
          </c:cat>
          <c:val>
            <c:numRef>
              <c:f>'Типы площадок'!$F$7:$F$13</c:f>
              <c:numCache/>
            </c:numRef>
          </c:val>
        </c:ser>
      </c:pieChart>
      <c:spPr>
        <a:solidFill>
          <a:srgbClr val="FFFFFF"/>
        </a:solidFill>
        <a:ln w="12700">
          <a:noFill/>
        </a:ln>
      </c:spPr>
    </c:plotArea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Типы площадок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'Типы площадок'!$C$6</c:f>
            </c:strRef>
          </c:tx>
          <c:spPr>
            <a:solidFill>
              <a:srgbClr val="EFF48E"/>
            </a:solidFill>
          </c:spPr>
          <c:invertIfNegative val="0"/>
          <c:dLbls>
            <c:numFmt formatCode="General" sourceLinked="1"/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'Типы площадок'!$B$7:$B$13</c:f>
              <c:strCache/>
            </c:strRef>
          </c:cat>
          <c:val>
            <c:numRef>
              <c:f>'Типы площадок'!$C$7:$C$13</c:f>
              <c:numCache/>
            </c:numRef>
          </c:val>
        </c:ser>
        <c:ser>
          <c:idx val="1"/>
          <c:order val="1"/>
          <c:tx>
            <c:strRef>
              <c:f>'Типы площадок'!$D$6</c:f>
            </c:strRef>
          </c:tx>
          <c:spPr>
            <a:solidFill>
              <a:srgbClr val="5589FE"/>
            </a:solidFill>
          </c:spPr>
          <c:invertIfNegative val="0"/>
          <c:dLbls>
            <c:numFmt formatCode="General" sourceLinked="1"/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'Типы площадок'!$B$7:$B$13</c:f>
              <c:strCache/>
            </c:strRef>
          </c:cat>
          <c:val>
            <c:numRef>
              <c:f>'Типы площадок'!$D$7:$D$13</c:f>
              <c:numCache/>
            </c:numRef>
          </c:val>
        </c:ser>
        <c:ser>
          <c:idx val="2"/>
          <c:order val="2"/>
          <c:tx>
            <c:strRef>
              <c:f>'Типы площадок'!$E$6</c:f>
            </c:strRef>
          </c:tx>
          <c:spPr>
            <a:solidFill>
              <a:srgbClr val="C7701E"/>
            </a:solidFill>
          </c:spPr>
          <c:invertIfNegative val="0"/>
          <c:dLbls>
            <c:numFmt formatCode="General" sourceLinked="1"/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'Типы площадок'!$B$7:$B$13</c:f>
              <c:strCache/>
            </c:strRef>
          </c:cat>
          <c:val>
            <c:numRef>
              <c:f>'Типы площадок'!$E$7:$E$13</c:f>
              <c:numCache/>
            </c:numRef>
          </c:val>
        </c:ser>
        <c:axId val="32638344"/>
        <c:axId val="39754416"/>
      </c:barChart>
      <c:catAx>
        <c:axId val="32638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39754416"/>
        <c:crosses val="autoZero"/>
        <c:lblOffset val="100"/>
        <c:tickLblSkip val="1"/>
        <c:noMultiLvlLbl val="0"/>
      </c:catAx>
      <c:valAx>
        <c:axId val="39754416"/>
        <c:scaling>
          <c:orientation val="minMax"/>
        </c:scaling>
        <c:delete val="0"/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32638344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/>
      <c:overlay val="0"/>
    </c:legend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Топ-10 площадок по сообщениям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Площадки!$C$30</c:f>
            </c:strRef>
          </c:tx>
          <c:spPr>
            <a:solidFill>
              <a:srgbClr val="EFF48E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Площадки!$B$31:$B$40</c:f>
              <c:strCache/>
            </c:strRef>
          </c:cat>
          <c:val>
            <c:numRef>
              <c:f>Площадки!$C$31:$C$40</c:f>
              <c:numCache/>
            </c:numRef>
          </c:val>
        </c:ser>
        <c:ser>
          <c:idx val="1"/>
          <c:order val="1"/>
          <c:tx>
            <c:strRef>
              <c:f>Площадки!$D$30</c:f>
            </c:strRef>
          </c:tx>
          <c:spPr>
            <a:solidFill>
              <a:srgbClr val="5589FE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Площадки!$B$31:$B$40</c:f>
              <c:strCache/>
            </c:strRef>
          </c:cat>
          <c:val>
            <c:numRef>
              <c:f>Площадки!$D$31:$D$40</c:f>
              <c:numCache/>
            </c:numRef>
          </c:val>
        </c:ser>
        <c:ser>
          <c:idx val="2"/>
          <c:order val="2"/>
          <c:tx>
            <c:strRef>
              <c:f>Площадки!$E$30</c:f>
            </c:strRef>
          </c:tx>
          <c:spPr>
            <a:solidFill>
              <a:srgbClr val="C7701E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Площадки!$B$31:$B$40</c:f>
              <c:strCache/>
            </c:strRef>
          </c:cat>
          <c:val>
            <c:numRef>
              <c:f>Площадки!$E$31:$E$40</c:f>
              <c:numCache/>
            </c:numRef>
          </c:val>
        </c:ser>
        <c:axId val="11973843"/>
        <c:axId val="291910"/>
      </c:barChart>
      <c:catAx>
        <c:axId val="1197384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291910"/>
        <c:crosses val="autoZero"/>
        <c:lblOffset val="100"/>
        <c:noMultiLvlLbl val="0"/>
      </c:catAx>
      <c:valAx>
        <c:axId val="291910"/>
        <c:scaling>
          <c:orientation val="minMax"/>
        </c:scaling>
        <c:delete val="0"/>
        <c:axPos val="t"/>
        <c:majorGridlines>
          <c:spPr>
            <a:ln w="9525">
              <a:solidFill>
                <a:srgbClr val="D9D9D9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11973843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/>
      <c:overlay val="0"/>
    </c:legend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Топ-10 площадок по аудитории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Площадки!$C$331</c:f>
            </c:strRef>
          </c:tx>
          <c:spPr>
            <a:solidFill>
              <a:srgbClr val="EFF48E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Площадки!$B$332:$B$341</c:f>
              <c:strCache/>
            </c:strRef>
          </c:cat>
          <c:val>
            <c:numRef>
              <c:f>Площадки!$C$332:$C$341</c:f>
              <c:numCache/>
            </c:numRef>
          </c:val>
        </c:ser>
        <c:ser>
          <c:idx val="1"/>
          <c:order val="1"/>
          <c:tx>
            <c:strRef>
              <c:f>Площадки!$D$331</c:f>
            </c:strRef>
          </c:tx>
          <c:spPr>
            <a:solidFill>
              <a:srgbClr val="5589FE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Площадки!$B$332:$B$341</c:f>
              <c:strCache/>
            </c:strRef>
          </c:cat>
          <c:val>
            <c:numRef>
              <c:f>Площадки!$D$332:$D$341</c:f>
              <c:numCache/>
            </c:numRef>
          </c:val>
        </c:ser>
        <c:ser>
          <c:idx val="2"/>
          <c:order val="2"/>
          <c:tx>
            <c:strRef>
              <c:f>Площадки!$E$331</c:f>
            </c:strRef>
          </c:tx>
          <c:spPr>
            <a:solidFill>
              <a:srgbClr val="C7701E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Площадки!$B$332:$B$341</c:f>
              <c:strCache/>
            </c:strRef>
          </c:cat>
          <c:val>
            <c:numRef>
              <c:f>Площадки!$E$332:$E$341</c:f>
              <c:numCache/>
            </c:numRef>
          </c:val>
        </c:ser>
        <c:axId val="47215581"/>
        <c:axId val="57698027"/>
      </c:barChart>
      <c:catAx>
        <c:axId val="4721558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57698027"/>
        <c:crosses val="autoZero"/>
        <c:lblOffset val="100"/>
        <c:noMultiLvlLbl val="0"/>
      </c:catAx>
      <c:valAx>
        <c:axId val="57698027"/>
        <c:scaling>
          <c:orientation val="minMax"/>
        </c:scaling>
        <c:delete val="0"/>
        <c:axPos val="t"/>
        <c:majorGridlines>
          <c:spPr>
            <a:ln w="9525">
              <a:solidFill>
                <a:srgbClr val="D9D9D9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47215581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/>
      <c:overlay val="0"/>
    </c:legend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Топ-10 площадок по вовлеченности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Площадки!$C$632</c:f>
            </c:strRef>
          </c:tx>
          <c:spPr>
            <a:solidFill>
              <a:srgbClr val="EFF48E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Площадки!$B$633:$B$642</c:f>
              <c:strCache/>
            </c:strRef>
          </c:cat>
          <c:val>
            <c:numRef>
              <c:f>Площадки!$C$633:$C$642</c:f>
              <c:numCache/>
            </c:numRef>
          </c:val>
        </c:ser>
        <c:ser>
          <c:idx val="1"/>
          <c:order val="1"/>
          <c:tx>
            <c:strRef>
              <c:f>Площадки!$D$632</c:f>
            </c:strRef>
          </c:tx>
          <c:spPr>
            <a:solidFill>
              <a:srgbClr val="5589FE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Площадки!$B$633:$B$642</c:f>
              <c:strCache/>
            </c:strRef>
          </c:cat>
          <c:val>
            <c:numRef>
              <c:f>Площадки!$D$633:$D$642</c:f>
              <c:numCache/>
            </c:numRef>
          </c:val>
        </c:ser>
        <c:ser>
          <c:idx val="2"/>
          <c:order val="2"/>
          <c:tx>
            <c:strRef>
              <c:f>Площадки!$E$632</c:f>
            </c:strRef>
          </c:tx>
          <c:spPr>
            <a:solidFill>
              <a:srgbClr val="C7701E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Площадки!$B$633:$B$642</c:f>
              <c:strCache/>
            </c:strRef>
          </c:cat>
          <c:val>
            <c:numRef>
              <c:f>Площадки!$E$633:$E$642</c:f>
              <c:numCache/>
            </c:numRef>
          </c:val>
        </c:ser>
        <c:axId val="8757639"/>
        <c:axId val="53437782"/>
      </c:barChart>
      <c:catAx>
        <c:axId val="875763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53437782"/>
        <c:crosses val="autoZero"/>
        <c:lblOffset val="100"/>
        <c:noMultiLvlLbl val="0"/>
      </c:catAx>
      <c:valAx>
        <c:axId val="53437782"/>
        <c:scaling>
          <c:orientation val="minMax"/>
        </c:scaling>
        <c:delete val="0"/>
        <c:axPos val="t"/>
        <c:majorGridlines>
          <c:spPr>
            <a:ln w="9525">
              <a:solidFill>
                <a:srgbClr val="D9D9D9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8757639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/>
      <c:overlay val="0"/>
    </c:legend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Топ-5 стран по сообщениям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Страны!$C$24</c:f>
            </c:strRef>
          </c:tx>
          <c:spPr>
            <a:solidFill>
              <a:srgbClr val="EFF48E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Страны!$B$25:$B$29</c:f>
              <c:strCache/>
            </c:strRef>
          </c:cat>
          <c:val>
            <c:numRef>
              <c:f>Страны!$C$25:$C$29</c:f>
              <c:numCache/>
            </c:numRef>
          </c:val>
        </c:ser>
        <c:ser>
          <c:idx val="1"/>
          <c:order val="1"/>
          <c:tx>
            <c:strRef>
              <c:f>Страны!$D$24</c:f>
            </c:strRef>
          </c:tx>
          <c:spPr>
            <a:solidFill>
              <a:srgbClr val="5589FE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Страны!$B$25:$B$29</c:f>
              <c:strCache/>
            </c:strRef>
          </c:cat>
          <c:val>
            <c:numRef>
              <c:f>Страны!$D$25:$D$29</c:f>
              <c:numCache/>
            </c:numRef>
          </c:val>
        </c:ser>
        <c:ser>
          <c:idx val="2"/>
          <c:order val="2"/>
          <c:tx>
            <c:strRef>
              <c:f>Страны!$E$24</c:f>
            </c:strRef>
          </c:tx>
          <c:spPr>
            <a:solidFill>
              <a:srgbClr val="C7701E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Страны!$B$25:$B$29</c:f>
              <c:strCache/>
            </c:strRef>
          </c:cat>
          <c:val>
            <c:numRef>
              <c:f>Страны!$E$25:$E$29</c:f>
              <c:numCache/>
            </c:numRef>
          </c:val>
        </c:ser>
        <c:axId val="40849623"/>
        <c:axId val="43926292"/>
      </c:barChart>
      <c:catAx>
        <c:axId val="408496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43926292"/>
        <c:crosses val="autoZero"/>
        <c:lblOffset val="100"/>
        <c:noMultiLvlLbl val="0"/>
      </c:catAx>
      <c:valAx>
        <c:axId val="43926292"/>
        <c:scaling>
          <c:orientation val="minMax"/>
        </c:scaling>
        <c:delete val="0"/>
        <c:axPos val="t"/>
        <c:majorGridlines>
          <c:spPr>
            <a:ln w="9525">
              <a:solidFill>
                <a:srgbClr val="D9D9D9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40849623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/>
      <c:overlay val="0"/>
    </c:legend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Топ-5 стран по сообщениям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Страны!$C$74</c:f>
            </c:strRef>
          </c:tx>
          <c:spPr>
            <a:solidFill>
              <a:srgbClr val="EFF48E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Страны!$B$75:$B$79</c:f>
              <c:strCache/>
            </c:strRef>
          </c:cat>
          <c:val>
            <c:numRef>
              <c:f>Страны!$C$75:$C$79</c:f>
              <c:numCache/>
            </c:numRef>
          </c:val>
        </c:ser>
        <c:ser>
          <c:idx val="1"/>
          <c:order val="1"/>
          <c:tx>
            <c:strRef>
              <c:f>Страны!$D$74</c:f>
            </c:strRef>
          </c:tx>
          <c:spPr>
            <a:solidFill>
              <a:srgbClr val="5589FE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Страны!$B$75:$B$79</c:f>
              <c:strCache/>
            </c:strRef>
          </c:cat>
          <c:val>
            <c:numRef>
              <c:f>Страны!$D$75:$D$79</c:f>
              <c:numCache/>
            </c:numRef>
          </c:val>
        </c:ser>
        <c:ser>
          <c:idx val="2"/>
          <c:order val="2"/>
          <c:tx>
            <c:strRef>
              <c:f>Страны!$E$74</c:f>
            </c:strRef>
          </c:tx>
          <c:spPr>
            <a:solidFill>
              <a:srgbClr val="C7701E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Страны!$B$75:$B$79</c:f>
              <c:strCache/>
            </c:strRef>
          </c:cat>
          <c:val>
            <c:numRef>
              <c:f>Страны!$E$75:$E$79</c:f>
              <c:numCache/>
            </c:numRef>
          </c:val>
        </c:ser>
        <c:axId val="62176843"/>
        <c:axId val="23221420"/>
      </c:barChart>
      <c:catAx>
        <c:axId val="6217684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23221420"/>
        <c:crosses val="autoZero"/>
        <c:lblOffset val="100"/>
        <c:noMultiLvlLbl val="0"/>
      </c:catAx>
      <c:valAx>
        <c:axId val="23221420"/>
        <c:scaling>
          <c:orientation val="minMax"/>
        </c:scaling>
        <c:delete val="0"/>
        <c:axPos val="t"/>
        <c:majorGridlines>
          <c:spPr>
            <a:ln w="9525">
              <a:solidFill>
                <a:srgbClr val="D9D9D9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62176843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/>
      <c:overlay val="0"/>
    </c:legend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Топ федеральных округов по сообщениям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'Федеральные округа'!$C$29</c:f>
            </c:strRef>
          </c:tx>
          <c:spPr>
            <a:solidFill>
              <a:srgbClr val="EFF48E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'Федеральные округа'!$B$30:$B$38</c:f>
              <c:strCache/>
            </c:strRef>
          </c:cat>
          <c:val>
            <c:numRef>
              <c:f>'Федеральные округа'!$C$30:$C$38</c:f>
              <c:numCache/>
            </c:numRef>
          </c:val>
        </c:ser>
        <c:ser>
          <c:idx val="1"/>
          <c:order val="1"/>
          <c:tx>
            <c:strRef>
              <c:f>'Федеральные округа'!$D$29</c:f>
            </c:strRef>
          </c:tx>
          <c:spPr>
            <a:solidFill>
              <a:srgbClr val="5589FE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'Федеральные округа'!$B$30:$B$38</c:f>
              <c:strCache/>
            </c:strRef>
          </c:cat>
          <c:val>
            <c:numRef>
              <c:f>'Федеральные округа'!$D$30:$D$38</c:f>
              <c:numCache/>
            </c:numRef>
          </c:val>
        </c:ser>
        <c:ser>
          <c:idx val="2"/>
          <c:order val="2"/>
          <c:tx>
            <c:strRef>
              <c:f>'Федеральные округа'!$E$29</c:f>
            </c:strRef>
          </c:tx>
          <c:spPr>
            <a:solidFill>
              <a:srgbClr val="C7701E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'Федеральные округа'!$B$30:$B$38</c:f>
              <c:strCache/>
            </c:strRef>
          </c:cat>
          <c:val>
            <c:numRef>
              <c:f>'Федеральные округа'!$E$30:$E$38</c:f>
              <c:numCache/>
            </c:numRef>
          </c:val>
        </c:ser>
        <c:axId val="22444299"/>
        <c:axId val="15906486"/>
      </c:barChart>
      <c:catAx>
        <c:axId val="2244429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15906486"/>
        <c:crosses val="autoZero"/>
        <c:lblOffset val="100"/>
        <c:noMultiLvlLbl val="0"/>
      </c:catAx>
      <c:valAx>
        <c:axId val="15906486"/>
        <c:scaling>
          <c:orientation val="minMax"/>
        </c:scaling>
        <c:delete val="0"/>
        <c:axPos val="t"/>
        <c:majorGridlines>
          <c:spPr>
            <a:ln w="9525">
              <a:solidFill>
                <a:srgbClr val="D9D9D9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22444299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/>
      <c:overlay val="0"/>
    </c:legend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Топ федеральных округов по сообщениям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'Федеральные округа'!$C$68</c:f>
            </c:strRef>
          </c:tx>
          <c:spPr>
            <a:solidFill>
              <a:srgbClr val="EFF48E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'Федеральные округа'!$B$69:$B$77</c:f>
              <c:strCache/>
            </c:strRef>
          </c:cat>
          <c:val>
            <c:numRef>
              <c:f>'Федеральные округа'!$C$69:$C$77</c:f>
              <c:numCache/>
            </c:numRef>
          </c:val>
        </c:ser>
        <c:ser>
          <c:idx val="1"/>
          <c:order val="1"/>
          <c:tx>
            <c:strRef>
              <c:f>'Федеральные округа'!$D$68</c:f>
            </c:strRef>
          </c:tx>
          <c:spPr>
            <a:solidFill>
              <a:srgbClr val="5589FE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'Федеральные округа'!$B$69:$B$77</c:f>
              <c:strCache/>
            </c:strRef>
          </c:cat>
          <c:val>
            <c:numRef>
              <c:f>'Федеральные округа'!$D$69:$D$77</c:f>
              <c:numCache/>
            </c:numRef>
          </c:val>
        </c:ser>
        <c:ser>
          <c:idx val="2"/>
          <c:order val="2"/>
          <c:tx>
            <c:strRef>
              <c:f>'Федеральные округа'!$E$68</c:f>
            </c:strRef>
          </c:tx>
          <c:spPr>
            <a:solidFill>
              <a:srgbClr val="C7701E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'Федеральные округа'!$B$69:$B$77</c:f>
              <c:strCache/>
            </c:strRef>
          </c:cat>
          <c:val>
            <c:numRef>
              <c:f>'Федеральные округа'!$E$69:$E$77</c:f>
              <c:numCache/>
            </c:numRef>
          </c:val>
        </c:ser>
        <c:axId val="56861614"/>
        <c:axId val="31928318"/>
      </c:barChart>
      <c:catAx>
        <c:axId val="5686161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31928318"/>
        <c:crosses val="autoZero"/>
        <c:lblOffset val="100"/>
        <c:noMultiLvlLbl val="0"/>
      </c:catAx>
      <c:valAx>
        <c:axId val="31928318"/>
        <c:scaling>
          <c:orientation val="minMax"/>
        </c:scaling>
        <c:delete val="0"/>
        <c:axPos val="t"/>
        <c:majorGridlines>
          <c:spPr>
            <a:ln w="9525">
              <a:solidFill>
                <a:srgbClr val="D9D9D9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56861614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/>
      <c:overlay val="0"/>
    </c:legend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Топ-10 регионов РФ по сообщениям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'Регионы РФ'!$C$29</c:f>
            </c:strRef>
          </c:tx>
          <c:spPr>
            <a:solidFill>
              <a:srgbClr val="EFF48E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'Регионы РФ'!$B$30:$B$39</c:f>
              <c:strCache/>
            </c:strRef>
          </c:cat>
          <c:val>
            <c:numRef>
              <c:f>'Регионы РФ'!$C$30:$C$39</c:f>
              <c:numCache/>
            </c:numRef>
          </c:val>
        </c:ser>
        <c:ser>
          <c:idx val="1"/>
          <c:order val="1"/>
          <c:tx>
            <c:strRef>
              <c:f>'Регионы РФ'!$D$29</c:f>
            </c:strRef>
          </c:tx>
          <c:spPr>
            <a:solidFill>
              <a:srgbClr val="5589FE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'Регионы РФ'!$B$30:$B$39</c:f>
              <c:strCache/>
            </c:strRef>
          </c:cat>
          <c:val>
            <c:numRef>
              <c:f>'Регионы РФ'!$D$30:$D$39</c:f>
              <c:numCache/>
            </c:numRef>
          </c:val>
        </c:ser>
        <c:ser>
          <c:idx val="2"/>
          <c:order val="2"/>
          <c:tx>
            <c:strRef>
              <c:f>'Регионы РФ'!$E$29</c:f>
            </c:strRef>
          </c:tx>
          <c:spPr>
            <a:solidFill>
              <a:srgbClr val="C7701E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'Регионы РФ'!$B$30:$B$39</c:f>
              <c:strCache/>
            </c:strRef>
          </c:cat>
          <c:val>
            <c:numRef>
              <c:f>'Регионы РФ'!$E$30:$E$39</c:f>
              <c:numCache/>
            </c:numRef>
          </c:val>
        </c:ser>
        <c:axId val="9250423"/>
        <c:axId val="24183232"/>
      </c:barChart>
      <c:catAx>
        <c:axId val="92504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24183232"/>
        <c:crosses val="autoZero"/>
        <c:lblOffset val="100"/>
        <c:noMultiLvlLbl val="0"/>
      </c:catAx>
      <c:valAx>
        <c:axId val="24183232"/>
        <c:scaling>
          <c:orientation val="minMax"/>
        </c:scaling>
        <c:delete val="0"/>
        <c:axPos val="t"/>
        <c:majorGridlines>
          <c:spPr>
            <a:ln w="9525">
              <a:solidFill>
                <a:srgbClr val="D9D9D9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9250423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/>
      <c:overlay val="0"/>
    </c:legend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Топ-10 регионов РФ по сообщениям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'Регионы РФ'!$C$138</c:f>
            </c:strRef>
          </c:tx>
          <c:spPr>
            <a:solidFill>
              <a:srgbClr val="EFF48E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'Регионы РФ'!$B$139:$B$148</c:f>
              <c:strCache/>
            </c:strRef>
          </c:cat>
          <c:val>
            <c:numRef>
              <c:f>'Регионы РФ'!$C$139:$C$148</c:f>
              <c:numCache/>
            </c:numRef>
          </c:val>
        </c:ser>
        <c:ser>
          <c:idx val="1"/>
          <c:order val="1"/>
          <c:tx>
            <c:strRef>
              <c:f>'Регионы РФ'!$D$138</c:f>
            </c:strRef>
          </c:tx>
          <c:spPr>
            <a:solidFill>
              <a:srgbClr val="5589FE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'Регионы РФ'!$B$139:$B$148</c:f>
              <c:strCache/>
            </c:strRef>
          </c:cat>
          <c:val>
            <c:numRef>
              <c:f>'Регионы РФ'!$D$139:$D$148</c:f>
              <c:numCache/>
            </c:numRef>
          </c:val>
        </c:ser>
        <c:ser>
          <c:idx val="2"/>
          <c:order val="2"/>
          <c:tx>
            <c:strRef>
              <c:f>'Регионы РФ'!$E$138</c:f>
            </c:strRef>
          </c:tx>
          <c:spPr>
            <a:solidFill>
              <a:srgbClr val="C7701E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'Регионы РФ'!$B$139:$B$148</c:f>
              <c:strCache/>
            </c:strRef>
          </c:cat>
          <c:val>
            <c:numRef>
              <c:f>'Регионы РФ'!$E$139:$E$148</c:f>
              <c:numCache/>
            </c:numRef>
          </c:val>
        </c:ser>
        <c:axId val="28168299"/>
        <c:axId val="27158940"/>
      </c:barChart>
      <c:catAx>
        <c:axId val="2816829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27158940"/>
        <c:crosses val="autoZero"/>
        <c:lblOffset val="100"/>
        <c:noMultiLvlLbl val="0"/>
      </c:catAx>
      <c:valAx>
        <c:axId val="27158940"/>
        <c:scaling>
          <c:orientation val="minMax"/>
        </c:scaling>
        <c:delete val="0"/>
        <c:axPos val="t"/>
        <c:majorGridlines>
          <c:spPr>
            <a:ln w="9525">
              <a:solidFill>
                <a:srgbClr val="D9D9D9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28168299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/>
      <c:overlay val="0"/>
    </c:legend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Топ-10 городов РФ по сообщениям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'Города РФ'!$C$29</c:f>
            </c:strRef>
          </c:tx>
          <c:spPr>
            <a:solidFill>
              <a:srgbClr val="EFF48E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'Города РФ'!$B$30:$B$39</c:f>
              <c:strCache/>
            </c:strRef>
          </c:cat>
          <c:val>
            <c:numRef>
              <c:f>'Города РФ'!$C$30:$C$39</c:f>
              <c:numCache/>
            </c:numRef>
          </c:val>
        </c:ser>
        <c:ser>
          <c:idx val="1"/>
          <c:order val="1"/>
          <c:tx>
            <c:strRef>
              <c:f>'Города РФ'!$D$29</c:f>
            </c:strRef>
          </c:tx>
          <c:spPr>
            <a:solidFill>
              <a:srgbClr val="5589FE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'Города РФ'!$B$30:$B$39</c:f>
              <c:strCache/>
            </c:strRef>
          </c:cat>
          <c:val>
            <c:numRef>
              <c:f>'Города РФ'!$D$30:$D$39</c:f>
              <c:numCache/>
            </c:numRef>
          </c:val>
        </c:ser>
        <c:ser>
          <c:idx val="2"/>
          <c:order val="2"/>
          <c:tx>
            <c:strRef>
              <c:f>'Города РФ'!$E$29</c:f>
            </c:strRef>
          </c:tx>
          <c:spPr>
            <a:solidFill>
              <a:srgbClr val="C7701E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'Города РФ'!$B$30:$B$39</c:f>
              <c:strCache/>
            </c:strRef>
          </c:cat>
          <c:val>
            <c:numRef>
              <c:f>'Города РФ'!$E$30:$E$39</c:f>
              <c:numCache/>
            </c:numRef>
          </c:val>
        </c:ser>
        <c:axId val="37091321"/>
        <c:axId val="48714361"/>
      </c:barChart>
      <c:catAx>
        <c:axId val="3709132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48714361"/>
        <c:crosses val="autoZero"/>
        <c:lblOffset val="100"/>
        <c:noMultiLvlLbl val="0"/>
      </c:catAx>
      <c:valAx>
        <c:axId val="48714361"/>
        <c:scaling>
          <c:orientation val="minMax"/>
        </c:scaling>
        <c:delete val="0"/>
        <c:axPos val="t"/>
        <c:majorGridlines>
          <c:spPr>
            <a:ln w="9525">
              <a:solidFill>
                <a:srgbClr val="D9D9D9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37091321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/>
      <c:overlay val="0"/>
    </c:legend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Топ-10 городов РФ по сообщениям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'Города РФ'!$C$299</c:f>
            </c:strRef>
          </c:tx>
          <c:spPr>
            <a:solidFill>
              <a:srgbClr val="EFF48E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'Города РФ'!$B$300:$B$309</c:f>
              <c:strCache/>
            </c:strRef>
          </c:cat>
          <c:val>
            <c:numRef>
              <c:f>'Города РФ'!$C$300:$C$309</c:f>
              <c:numCache/>
            </c:numRef>
          </c:val>
        </c:ser>
        <c:ser>
          <c:idx val="1"/>
          <c:order val="1"/>
          <c:tx>
            <c:strRef>
              <c:f>'Города РФ'!$D$299</c:f>
            </c:strRef>
          </c:tx>
          <c:spPr>
            <a:solidFill>
              <a:srgbClr val="5589FE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'Города РФ'!$B$300:$B$309</c:f>
              <c:strCache/>
            </c:strRef>
          </c:cat>
          <c:val>
            <c:numRef>
              <c:f>'Города РФ'!$D$300:$D$309</c:f>
              <c:numCache/>
            </c:numRef>
          </c:val>
        </c:ser>
        <c:ser>
          <c:idx val="2"/>
          <c:order val="2"/>
          <c:tx>
            <c:strRef>
              <c:f>'Города РФ'!$E$299</c:f>
            </c:strRef>
          </c:tx>
          <c:spPr>
            <a:solidFill>
              <a:srgbClr val="C7701E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'Города РФ'!$B$300:$B$309</c:f>
              <c:strCache/>
            </c:strRef>
          </c:cat>
          <c:val>
            <c:numRef>
              <c:f>'Города РФ'!$E$300:$E$309</c:f>
              <c:numCache/>
            </c:numRef>
          </c:val>
        </c:ser>
        <c:axId val="19529961"/>
        <c:axId val="66241198"/>
      </c:barChart>
      <c:catAx>
        <c:axId val="1952996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66241198"/>
        <c:crosses val="autoZero"/>
        <c:lblOffset val="100"/>
        <c:noMultiLvlLbl val="0"/>
      </c:catAx>
      <c:valAx>
        <c:axId val="66241198"/>
        <c:scaling>
          <c:orientation val="minMax"/>
        </c:scaling>
        <c:delete val="0"/>
        <c:axPos val="t"/>
        <c:majorGridlines>
          <c:spPr>
            <a:ln w="9525">
              <a:solidFill>
                <a:srgbClr val="D9D9D9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19529961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/>
      <c:overlay val="0"/>
    </c:legend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drawings/_rels/drawing1.xml.rels><?xml version="1.0" encoding="UTF-8" standalone="yes"?><Relationships xmlns="http://schemas.openxmlformats.org/package/2006/relationships"><Relationship Id="rId3" Type="http://schemas.openxmlformats.org/officeDocument/2006/relationships/chart" Target="../charts/chart3.xml" /><Relationship Id="rId4" Type="http://schemas.openxmlformats.org/officeDocument/2006/relationships/chart" Target="../charts/chart4.xml" /><Relationship Id="rId8" Type="http://schemas.openxmlformats.org/officeDocument/2006/relationships/chart" Target="../charts/chart8.xml" /><Relationship Id="rId5" Type="http://schemas.openxmlformats.org/officeDocument/2006/relationships/chart" Target="../charts/chart5.xml" /><Relationship Id="rId7" Type="http://schemas.openxmlformats.org/officeDocument/2006/relationships/chart" Target="../charts/chart7.xml" /><Relationship Id="rId1" Type="http://schemas.openxmlformats.org/officeDocument/2006/relationships/chart" Target="../charts/chart1.xml" /><Relationship Id="rId2" Type="http://schemas.openxmlformats.org/officeDocument/2006/relationships/chart" Target="../charts/chart2.xml" /><Relationship Id="rId6" Type="http://schemas.openxmlformats.org/officeDocument/2006/relationships/chart" Target="../charts/chart6.xml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9.xml" /><Relationship Id="rId5" Type="http://schemas.openxmlformats.org/officeDocument/2006/relationships/chart" Target="../charts/chart13.xml" /><Relationship Id="rId4" Type="http://schemas.openxmlformats.org/officeDocument/2006/relationships/chart" Target="../charts/chart12.xml" /><Relationship Id="rId3" Type="http://schemas.openxmlformats.org/officeDocument/2006/relationships/chart" Target="../charts/chart11.xml" /><Relationship Id="rId2" Type="http://schemas.openxmlformats.org/officeDocument/2006/relationships/chart" Target="../charts/chart10.xml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chart" Target="../charts/chart14.xml" 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chart" Target="../charts/chart15.xml" /><Relationship Id="rId2" Type="http://schemas.openxmlformats.org/officeDocument/2006/relationships/chart" Target="../charts/chart16.xml" 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chart" Target="../charts/chart17.xml" /><Relationship Id="rId2" Type="http://schemas.openxmlformats.org/officeDocument/2006/relationships/chart" Target="../charts/chart18.xml" 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chart" Target="../charts/chart19.xml" /><Relationship Id="rId3" Type="http://schemas.openxmlformats.org/officeDocument/2006/relationships/chart" Target="../charts/chart21.xml" /><Relationship Id="rId2" Type="http://schemas.openxmlformats.org/officeDocument/2006/relationships/chart" Target="../charts/chart20.xml" 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chart" Target="../charts/chart22.xml" /><Relationship Id="rId2" Type="http://schemas.openxmlformats.org/officeDocument/2006/relationships/chart" Target="../charts/chart23.xml" 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chart" Target="../charts/chart24.xml" /><Relationship Id="rId2" Type="http://schemas.openxmlformats.org/officeDocument/2006/relationships/chart" Target="../charts/chart25.xml" 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chart" Target="../charts/chart26.xml" /><Relationship Id="rId2" Type="http://schemas.openxmlformats.org/officeDocument/2006/relationships/chart" Target="../charts/chart27.xml" 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chart" Target="../charts/chart28.xml" /><Relationship Id="rId2" Type="http://schemas.openxmlformats.org/officeDocument/2006/relationships/chart" Target="../charts/chart29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304800</xdr:colOff>
      <xdr:row>13</xdr:row>
      <xdr:rowOff>0</xdr:rowOff>
    </xdr:from>
    <xdr:to>
      <xdr:col>4</xdr:col>
      <xdr:colOff>161925</xdr:colOff>
      <xdr:row>30</xdr:row>
      <xdr:rowOff>0</xdr:rowOff>
    </xdr:to>
    <xdr:graphicFrame>
      <xdr:nvGraphicFramePr>
        <xdr:cNvPr id="1" name="Chart 1">
          <a:extLst>
            <a:ext uri="{FF2B5EF4-FFF2-40B4-BE49-F238E27FC236}">
              <a16:creationId xmlns:a16="http://schemas.microsoft.com/office/drawing/2014/main" id="{125fb590-203b-4574-817d-9c528042e455}"/>
            </a:ext>
          </a:extLst>
        </xdr:cNvPr>
        <xdr:cNvGraphicFramePr/>
      </xdr:nvGraphicFramePr>
      <xdr:xfrm>
        <a:off x="304800" y="2657475"/>
        <a:ext cx="4105275" cy="2752725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4</xdr:col>
      <xdr:colOff>219075</xdr:colOff>
      <xdr:row>13</xdr:row>
      <xdr:rowOff>0</xdr:rowOff>
    </xdr:from>
    <xdr:to>
      <xdr:col>7</xdr:col>
      <xdr:colOff>695325</xdr:colOff>
      <xdr:row>30</xdr:row>
      <xdr:rowOff>0</xdr:rowOff>
    </xdr:to>
    <xdr:graphicFrame>
      <xdr:nvGraphicFramePr>
        <xdr:cNvPr id="2" name="Chart 2">
          <a:extLst>
            <a:ext uri="{FF2B5EF4-FFF2-40B4-BE49-F238E27FC236}">
              <a16:creationId xmlns:a16="http://schemas.microsoft.com/office/drawing/2014/main" id="{e6d44e9a-6b58-4205-ad9e-54a595fce1f7}"/>
            </a:ext>
          </a:extLst>
        </xdr:cNvPr>
        <xdr:cNvGraphicFramePr/>
      </xdr:nvGraphicFramePr>
      <xdr:xfrm>
        <a:off x="4467225" y="2657475"/>
        <a:ext cx="4105275" cy="2752725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  <xdr:twoCellAnchor>
    <xdr:from>
      <xdr:col>7</xdr:col>
      <xdr:colOff>752475</xdr:colOff>
      <xdr:row>13</xdr:row>
      <xdr:rowOff>0</xdr:rowOff>
    </xdr:from>
    <xdr:to>
      <xdr:col>11</xdr:col>
      <xdr:colOff>19050</xdr:colOff>
      <xdr:row>30</xdr:row>
      <xdr:rowOff>0</xdr:rowOff>
    </xdr:to>
    <xdr:graphicFrame>
      <xdr:nvGraphicFramePr>
        <xdr:cNvPr id="3" name="Chart 3">
          <a:extLst>
            <a:ext uri="{FF2B5EF4-FFF2-40B4-BE49-F238E27FC236}">
              <a16:creationId xmlns:a16="http://schemas.microsoft.com/office/drawing/2014/main" id="{e772fb57-a547-45d7-9036-c9bf22d5d1f0}"/>
            </a:ext>
          </a:extLst>
        </xdr:cNvPr>
        <xdr:cNvGraphicFramePr/>
      </xdr:nvGraphicFramePr>
      <xdr:xfrm>
        <a:off x="8629650" y="2657475"/>
        <a:ext cx="4105275" cy="2752725"/>
      </xdr:xfrm>
      <a:graphic>
        <a:graphicData uri="http://schemas.openxmlformats.org/drawingml/2006/chart">
          <c:chart xmlns:c="http://schemas.openxmlformats.org/drawingml/2006/chart" r:id="rId3"/>
        </a:graphicData>
      </a:graphic>
    </xdr:graphicFrame>
    <xdr:clientData/>
  </xdr:twoCellAnchor>
  <xdr:twoCellAnchor>
    <xdr:from>
      <xdr:col>4</xdr:col>
      <xdr:colOff>219075</xdr:colOff>
      <xdr:row>32</xdr:row>
      <xdr:rowOff>0</xdr:rowOff>
    </xdr:from>
    <xdr:to>
      <xdr:col>7</xdr:col>
      <xdr:colOff>695325</xdr:colOff>
      <xdr:row>49</xdr:row>
      <xdr:rowOff>0</xdr:rowOff>
    </xdr:to>
    <xdr:graphicFrame>
      <xdr:nvGraphicFramePr>
        <xdr:cNvPr id="4" name="Chart 4">
          <a:extLst>
            <a:ext uri="{FF2B5EF4-FFF2-40B4-BE49-F238E27FC236}">
              <a16:creationId xmlns:a16="http://schemas.microsoft.com/office/drawing/2014/main" id="{ecf65042-30d7-4a7f-bf14-f2d1f15ba08b}"/>
            </a:ext>
          </a:extLst>
        </xdr:cNvPr>
        <xdr:cNvGraphicFramePr/>
      </xdr:nvGraphicFramePr>
      <xdr:xfrm>
        <a:off x="4467225" y="5734050"/>
        <a:ext cx="4105275" cy="2752725"/>
      </xdr:xfrm>
      <a:graphic>
        <a:graphicData uri="http://schemas.openxmlformats.org/drawingml/2006/chart">
          <c:chart xmlns:c="http://schemas.openxmlformats.org/drawingml/2006/chart" r:id="rId4"/>
        </a:graphicData>
      </a:graphic>
    </xdr:graphicFrame>
    <xdr:clientData/>
  </xdr:twoCellAnchor>
  <xdr:twoCellAnchor>
    <xdr:from>
      <xdr:col>7</xdr:col>
      <xdr:colOff>752475</xdr:colOff>
      <xdr:row>32</xdr:row>
      <xdr:rowOff>0</xdr:rowOff>
    </xdr:from>
    <xdr:to>
      <xdr:col>11</xdr:col>
      <xdr:colOff>19050</xdr:colOff>
      <xdr:row>49</xdr:row>
      <xdr:rowOff>0</xdr:rowOff>
    </xdr:to>
    <xdr:graphicFrame>
      <xdr:nvGraphicFramePr>
        <xdr:cNvPr id="5" name="Chart 5">
          <a:extLst>
            <a:ext uri="{FF2B5EF4-FFF2-40B4-BE49-F238E27FC236}">
              <a16:creationId xmlns:a16="http://schemas.microsoft.com/office/drawing/2014/main" id="{571380ff-2ad3-4cba-bcd5-aa8f6a4785bd}"/>
            </a:ext>
          </a:extLst>
        </xdr:cNvPr>
        <xdr:cNvGraphicFramePr/>
      </xdr:nvGraphicFramePr>
      <xdr:xfrm>
        <a:off x="8629650" y="5734050"/>
        <a:ext cx="4105275" cy="2752725"/>
      </xdr:xfrm>
      <a:graphic>
        <a:graphicData uri="http://schemas.openxmlformats.org/drawingml/2006/chart">
          <c:chart xmlns:c="http://schemas.openxmlformats.org/drawingml/2006/chart" r:id="rId5"/>
        </a:graphicData>
      </a:graphic>
    </xdr:graphicFrame>
    <xdr:clientData/>
  </xdr:twoCellAnchor>
  <xdr:twoCellAnchor>
    <xdr:from>
      <xdr:col>0</xdr:col>
      <xdr:colOff>304800</xdr:colOff>
      <xdr:row>32</xdr:row>
      <xdr:rowOff>0</xdr:rowOff>
    </xdr:from>
    <xdr:to>
      <xdr:col>4</xdr:col>
      <xdr:colOff>161925</xdr:colOff>
      <xdr:row>49</xdr:row>
      <xdr:rowOff>0</xdr:rowOff>
    </xdr:to>
    <xdr:graphicFrame>
      <xdr:nvGraphicFramePr>
        <xdr:cNvPr id="6" name="Chart 6">
          <a:extLst>
            <a:ext uri="{FF2B5EF4-FFF2-40B4-BE49-F238E27FC236}">
              <a16:creationId xmlns:a16="http://schemas.microsoft.com/office/drawing/2014/main" id="{34435ef3-b7f7-41db-ad83-fa5de922ed64}"/>
            </a:ext>
          </a:extLst>
        </xdr:cNvPr>
        <xdr:cNvGraphicFramePr/>
      </xdr:nvGraphicFramePr>
      <xdr:xfrm>
        <a:off x="304800" y="5734050"/>
        <a:ext cx="4105275" cy="2752725"/>
      </xdr:xfrm>
      <a:graphic>
        <a:graphicData uri="http://schemas.openxmlformats.org/drawingml/2006/chart">
          <c:chart xmlns:c="http://schemas.openxmlformats.org/drawingml/2006/chart" r:id="rId6"/>
        </a:graphicData>
      </a:graphic>
    </xdr:graphicFrame>
    <xdr:clientData/>
  </xdr:twoCellAnchor>
  <xdr:twoCellAnchor>
    <xdr:from>
      <xdr:col>0</xdr:col>
      <xdr:colOff>304800</xdr:colOff>
      <xdr:row>60</xdr:row>
      <xdr:rowOff>0</xdr:rowOff>
    </xdr:from>
    <xdr:to>
      <xdr:col>4</xdr:col>
      <xdr:colOff>990600</xdr:colOff>
      <xdr:row>77</xdr:row>
      <xdr:rowOff>0</xdr:rowOff>
    </xdr:to>
    <xdr:graphicFrame>
      <xdr:nvGraphicFramePr>
        <xdr:cNvPr id="7" name="Chart 7">
          <a:extLst>
            <a:ext uri="{FF2B5EF4-FFF2-40B4-BE49-F238E27FC236}">
              <a16:creationId xmlns:a16="http://schemas.microsoft.com/office/drawing/2014/main" id="{04ba90ff-8c37-414c-8bd4-40d99434bb2a}"/>
            </a:ext>
          </a:extLst>
        </xdr:cNvPr>
        <xdr:cNvGraphicFramePr/>
      </xdr:nvGraphicFramePr>
      <xdr:xfrm>
        <a:off x="304800" y="10601325"/>
        <a:ext cx="4933950" cy="2752725"/>
      </xdr:xfrm>
      <a:graphic>
        <a:graphicData uri="http://schemas.openxmlformats.org/drawingml/2006/chart">
          <c:chart xmlns:c="http://schemas.openxmlformats.org/drawingml/2006/chart" r:id="rId7"/>
        </a:graphicData>
      </a:graphic>
    </xdr:graphicFrame>
    <xdr:clientData/>
  </xdr:twoCellAnchor>
  <xdr:twoCellAnchor>
    <xdr:from>
      <xdr:col>4</xdr:col>
      <xdr:colOff>1104900</xdr:colOff>
      <xdr:row>60</xdr:row>
      <xdr:rowOff>0</xdr:rowOff>
    </xdr:from>
    <xdr:to>
      <xdr:col>8</xdr:col>
      <xdr:colOff>1200150</xdr:colOff>
      <xdr:row>77</xdr:row>
      <xdr:rowOff>0</xdr:rowOff>
    </xdr:to>
    <xdr:graphicFrame>
      <xdr:nvGraphicFramePr>
        <xdr:cNvPr id="8" name="Chart 8">
          <a:extLst>
            <a:ext uri="{FF2B5EF4-FFF2-40B4-BE49-F238E27FC236}">
              <a16:creationId xmlns:a16="http://schemas.microsoft.com/office/drawing/2014/main" id="{d4d6f957-1022-4469-9071-95b8dc7ea6bd}"/>
            </a:ext>
          </a:extLst>
        </xdr:cNvPr>
        <xdr:cNvGraphicFramePr/>
      </xdr:nvGraphicFramePr>
      <xdr:xfrm>
        <a:off x="5353050" y="10601325"/>
        <a:ext cx="4933950" cy="2752725"/>
      </xdr:xfrm>
      <a:graphic>
        <a:graphicData uri="http://schemas.openxmlformats.org/drawingml/2006/chart">
          <c:chart xmlns:c="http://schemas.openxmlformats.org/drawingml/2006/chart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6</xdr:col>
      <xdr:colOff>0</xdr:colOff>
      <xdr:row>7</xdr:row>
      <xdr:rowOff>0</xdr:rowOff>
    </xdr:from>
    <xdr:to>
      <xdr:col>11</xdr:col>
      <xdr:colOff>0</xdr:colOff>
      <xdr:row>21</xdr:row>
      <xdr:rowOff>0</xdr:rowOff>
    </xdr:to>
    <xdr:graphicFrame>
      <xdr:nvGraphicFramePr>
        <xdr:cNvPr id="1" name="Chart 1">
          <a:extLst>
            <a:ext uri="{FF2B5EF4-FFF2-40B4-BE49-F238E27FC236}">
              <a16:creationId xmlns:a16="http://schemas.microsoft.com/office/drawing/2014/main" id="{2d275fd1-ca5d-4f87-a0e8-98a7acd09bdb}"/>
            </a:ext>
          </a:extLst>
        </xdr:cNvPr>
        <xdr:cNvGraphicFramePr/>
      </xdr:nvGraphicFramePr>
      <xdr:xfrm>
        <a:off x="7820025" y="1352550"/>
        <a:ext cx="5238750" cy="285750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11</xdr:col>
      <xdr:colOff>0</xdr:colOff>
      <xdr:row>57</xdr:row>
      <xdr:rowOff>0</xdr:rowOff>
    </xdr:to>
    <xdr:graphicFrame>
      <xdr:nvGraphicFramePr>
        <xdr:cNvPr id="2" name="Chart 2">
          <a:extLst>
            <a:ext uri="{FF2B5EF4-FFF2-40B4-BE49-F238E27FC236}">
              <a16:creationId xmlns:a16="http://schemas.microsoft.com/office/drawing/2014/main" id="{05eefa27-e826-4a00-a213-d0fe01597178}"/>
            </a:ext>
          </a:extLst>
        </xdr:cNvPr>
        <xdr:cNvGraphicFramePr/>
      </xdr:nvGraphicFramePr>
      <xdr:xfrm>
        <a:off x="7820025" y="8315325"/>
        <a:ext cx="5238750" cy="2857500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  <xdr:twoCellAnchor>
    <xdr:from>
      <xdr:col>6</xdr:col>
      <xdr:colOff>0</xdr:colOff>
      <xdr:row>79</xdr:row>
      <xdr:rowOff>0</xdr:rowOff>
    </xdr:from>
    <xdr:to>
      <xdr:col>11</xdr:col>
      <xdr:colOff>0</xdr:colOff>
      <xdr:row>93</xdr:row>
      <xdr:rowOff>0</xdr:rowOff>
    </xdr:to>
    <xdr:graphicFrame>
      <xdr:nvGraphicFramePr>
        <xdr:cNvPr id="3" name="Chart 3">
          <a:extLst>
            <a:ext uri="{FF2B5EF4-FFF2-40B4-BE49-F238E27FC236}">
              <a16:creationId xmlns:a16="http://schemas.microsoft.com/office/drawing/2014/main" id="{b74157cb-ec68-484f-aa1c-381049eb5288}"/>
            </a:ext>
          </a:extLst>
        </xdr:cNvPr>
        <xdr:cNvGraphicFramePr/>
      </xdr:nvGraphicFramePr>
      <xdr:xfrm>
        <a:off x="7820025" y="15278100"/>
        <a:ext cx="5238750" cy="2857500"/>
      </xdr:xfrm>
      <a:graphic>
        <a:graphicData uri="http://schemas.openxmlformats.org/drawingml/2006/chart">
          <c:chart xmlns:c="http://schemas.openxmlformats.org/drawingml/2006/chart" r:id="rId3"/>
        </a:graphicData>
      </a:graphic>
    </xdr:graphicFrame>
    <xdr:clientData/>
  </xdr:twoCellAnchor>
  <xdr:twoCellAnchor>
    <xdr:from>
      <xdr:col>6</xdr:col>
      <xdr:colOff>0</xdr:colOff>
      <xdr:row>115</xdr:row>
      <xdr:rowOff>0</xdr:rowOff>
    </xdr:from>
    <xdr:to>
      <xdr:col>11</xdr:col>
      <xdr:colOff>0</xdr:colOff>
      <xdr:row>129</xdr:row>
      <xdr:rowOff>0</xdr:rowOff>
    </xdr:to>
    <xdr:graphicFrame>
      <xdr:nvGraphicFramePr>
        <xdr:cNvPr id="4" name="Chart 4">
          <a:extLst>
            <a:ext uri="{FF2B5EF4-FFF2-40B4-BE49-F238E27FC236}">
              <a16:creationId xmlns:a16="http://schemas.microsoft.com/office/drawing/2014/main" id="{58dabcca-0477-418e-8c69-dc681c096e23}"/>
            </a:ext>
          </a:extLst>
        </xdr:cNvPr>
        <xdr:cNvGraphicFramePr/>
      </xdr:nvGraphicFramePr>
      <xdr:xfrm>
        <a:off x="7820025" y="22240875"/>
        <a:ext cx="5238750" cy="2857500"/>
      </xdr:xfrm>
      <a:graphic>
        <a:graphicData uri="http://schemas.openxmlformats.org/drawingml/2006/chart">
          <c:chart xmlns:c="http://schemas.openxmlformats.org/drawingml/2006/chart" r:id="rId4"/>
        </a:graphicData>
      </a:graphic>
    </xdr:graphicFrame>
    <xdr:clientData/>
  </xdr:twoCellAnchor>
  <xdr:twoCellAnchor>
    <xdr:from>
      <xdr:col>6</xdr:col>
      <xdr:colOff>0</xdr:colOff>
      <xdr:row>151</xdr:row>
      <xdr:rowOff>0</xdr:rowOff>
    </xdr:from>
    <xdr:to>
      <xdr:col>11</xdr:col>
      <xdr:colOff>0</xdr:colOff>
      <xdr:row>165</xdr:row>
      <xdr:rowOff>0</xdr:rowOff>
    </xdr:to>
    <xdr:graphicFrame>
      <xdr:nvGraphicFramePr>
        <xdr:cNvPr id="5" name="Chart 5">
          <a:extLst>
            <a:ext uri="{FF2B5EF4-FFF2-40B4-BE49-F238E27FC236}">
              <a16:creationId xmlns:a16="http://schemas.microsoft.com/office/drawing/2014/main" id="{b292223b-8bae-42a6-aa27-14d2bb504725}"/>
            </a:ext>
          </a:extLst>
        </xdr:cNvPr>
        <xdr:cNvGraphicFramePr/>
      </xdr:nvGraphicFramePr>
      <xdr:xfrm>
        <a:off x="7820025" y="29203650"/>
        <a:ext cx="5238750" cy="2857500"/>
      </xdr:xfrm>
      <a:graphic>
        <a:graphicData uri="http://schemas.openxmlformats.org/drawingml/2006/chart">
          <c:chart xmlns:c="http://schemas.openxmlformats.org/drawingml/2006/chart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5</xdr:row>
      <xdr:rowOff>0</xdr:rowOff>
    </xdr:from>
    <xdr:to>
      <xdr:col>7</xdr:col>
      <xdr:colOff>0</xdr:colOff>
      <xdr:row>28</xdr:row>
      <xdr:rowOff>0</xdr:rowOff>
    </xdr:to>
    <xdr:graphicFrame>
      <xdr:nvGraphicFramePr>
        <xdr:cNvPr id="1" name="Chart 1">
          <a:extLst>
            <a:ext uri="{FF2B5EF4-FFF2-40B4-BE49-F238E27FC236}">
              <a16:creationId xmlns:a16="http://schemas.microsoft.com/office/drawing/2014/main" id="{fb4626b3-fa32-4457-ba81-94a78691dded}"/>
            </a:ext>
          </a:extLst>
        </xdr:cNvPr>
        <xdr:cNvGraphicFramePr/>
      </xdr:nvGraphicFramePr>
      <xdr:xfrm>
        <a:off x="314325" y="1028700"/>
        <a:ext cx="7467600" cy="3724275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5</xdr:row>
      <xdr:rowOff>0</xdr:rowOff>
    </xdr:from>
    <xdr:to>
      <xdr:col>7</xdr:col>
      <xdr:colOff>0</xdr:colOff>
      <xdr:row>28</xdr:row>
      <xdr:rowOff>0</xdr:rowOff>
    </xdr:to>
    <xdr:graphicFrame>
      <xdr:nvGraphicFramePr>
        <xdr:cNvPr id="1" name="Chart 1">
          <a:extLst>
            <a:ext uri="{FF2B5EF4-FFF2-40B4-BE49-F238E27FC236}">
              <a16:creationId xmlns:a16="http://schemas.microsoft.com/office/drawing/2014/main" id="{d7523739-8025-478e-bf30-ccce65db3fee}"/>
            </a:ext>
          </a:extLst>
        </xdr:cNvPr>
        <xdr:cNvGraphicFramePr/>
      </xdr:nvGraphicFramePr>
      <xdr:xfrm>
        <a:off x="314325" y="1028700"/>
        <a:ext cx="7467600" cy="3724275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1</xdr:col>
      <xdr:colOff>0</xdr:colOff>
      <xdr:row>41</xdr:row>
      <xdr:rowOff>0</xdr:rowOff>
    </xdr:from>
    <xdr:to>
      <xdr:col>7</xdr:col>
      <xdr:colOff>0</xdr:colOff>
      <xdr:row>64</xdr:row>
      <xdr:rowOff>0</xdr:rowOff>
    </xdr:to>
    <xdr:graphicFrame>
      <xdr:nvGraphicFramePr>
        <xdr:cNvPr id="2" name="Chart 2">
          <a:extLst>
            <a:ext uri="{FF2B5EF4-FFF2-40B4-BE49-F238E27FC236}">
              <a16:creationId xmlns:a16="http://schemas.microsoft.com/office/drawing/2014/main" id="{df26de26-051d-4322-b29e-6aef4e385c50}"/>
            </a:ext>
          </a:extLst>
        </xdr:cNvPr>
        <xdr:cNvGraphicFramePr/>
      </xdr:nvGraphicFramePr>
      <xdr:xfrm>
        <a:off x="314325" y="7077075"/>
        <a:ext cx="7467600" cy="3724275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16</xdr:row>
      <xdr:rowOff>0</xdr:rowOff>
    </xdr:from>
    <xdr:to>
      <xdr:col>7</xdr:col>
      <xdr:colOff>0</xdr:colOff>
      <xdr:row>40</xdr:row>
      <xdr:rowOff>0</xdr:rowOff>
    </xdr:to>
    <xdr:graphicFrame>
      <xdr:nvGraphicFramePr>
        <xdr:cNvPr id="1" name="Chart 1">
          <a:extLst>
            <a:ext uri="{FF2B5EF4-FFF2-40B4-BE49-F238E27FC236}">
              <a16:creationId xmlns:a16="http://schemas.microsoft.com/office/drawing/2014/main" id="{2d6d6d82-38e3-4a1e-9ec3-fe1fef53c3e1}"/>
            </a:ext>
          </a:extLst>
        </xdr:cNvPr>
        <xdr:cNvGraphicFramePr/>
      </xdr:nvGraphicFramePr>
      <xdr:xfrm>
        <a:off x="314325" y="3257550"/>
        <a:ext cx="7467600" cy="388620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1</xdr:col>
      <xdr:colOff>0</xdr:colOff>
      <xdr:row>42</xdr:row>
      <xdr:rowOff>0</xdr:rowOff>
    </xdr:from>
    <xdr:to>
      <xdr:col>7</xdr:col>
      <xdr:colOff>0</xdr:colOff>
      <xdr:row>66</xdr:row>
      <xdr:rowOff>0</xdr:rowOff>
    </xdr:to>
    <xdr:graphicFrame>
      <xdr:nvGraphicFramePr>
        <xdr:cNvPr id="2" name="Chart 2">
          <a:extLst>
            <a:ext uri="{FF2B5EF4-FFF2-40B4-BE49-F238E27FC236}">
              <a16:creationId xmlns:a16="http://schemas.microsoft.com/office/drawing/2014/main" id="{daf4c703-9142-4272-a331-50d471943df6}"/>
            </a:ext>
          </a:extLst>
        </xdr:cNvPr>
        <xdr:cNvGraphicFramePr/>
      </xdr:nvGraphicFramePr>
      <xdr:xfrm>
        <a:off x="314325" y="7467600"/>
        <a:ext cx="7467600" cy="3886200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5</xdr:row>
      <xdr:rowOff>0</xdr:rowOff>
    </xdr:from>
    <xdr:to>
      <xdr:col>6</xdr:col>
      <xdr:colOff>0</xdr:colOff>
      <xdr:row>27</xdr:row>
      <xdr:rowOff>0</xdr:rowOff>
    </xdr:to>
    <xdr:graphicFrame>
      <xdr:nvGraphicFramePr>
        <xdr:cNvPr id="1" name="Chart 1">
          <a:extLst>
            <a:ext uri="{FF2B5EF4-FFF2-40B4-BE49-F238E27FC236}">
              <a16:creationId xmlns:a16="http://schemas.microsoft.com/office/drawing/2014/main" id="{bb616207-8ad3-4245-af13-7950e91c53ef}"/>
            </a:ext>
          </a:extLst>
        </xdr:cNvPr>
        <xdr:cNvGraphicFramePr/>
      </xdr:nvGraphicFramePr>
      <xdr:xfrm>
        <a:off x="314325" y="1028700"/>
        <a:ext cx="6276975" cy="356235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1</xdr:col>
      <xdr:colOff>0</xdr:colOff>
      <xdr:row>307</xdr:row>
      <xdr:rowOff>0</xdr:rowOff>
    </xdr:from>
    <xdr:to>
      <xdr:col>6</xdr:col>
      <xdr:colOff>0</xdr:colOff>
      <xdr:row>329</xdr:row>
      <xdr:rowOff>0</xdr:rowOff>
    </xdr:to>
    <xdr:graphicFrame>
      <xdr:nvGraphicFramePr>
        <xdr:cNvPr id="2" name="Chart 2">
          <a:extLst>
            <a:ext uri="{FF2B5EF4-FFF2-40B4-BE49-F238E27FC236}">
              <a16:creationId xmlns:a16="http://schemas.microsoft.com/office/drawing/2014/main" id="{2232367b-44d9-4faa-adbc-478beec76fbf}"/>
            </a:ext>
          </a:extLst>
        </xdr:cNvPr>
        <xdr:cNvGraphicFramePr/>
      </xdr:nvGraphicFramePr>
      <xdr:xfrm>
        <a:off x="314325" y="57950100"/>
        <a:ext cx="6276975" cy="3562350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  <xdr:twoCellAnchor>
    <xdr:from>
      <xdr:col>1</xdr:col>
      <xdr:colOff>0</xdr:colOff>
      <xdr:row>608</xdr:row>
      <xdr:rowOff>0</xdr:rowOff>
    </xdr:from>
    <xdr:to>
      <xdr:col>6</xdr:col>
      <xdr:colOff>0</xdr:colOff>
      <xdr:row>630</xdr:row>
      <xdr:rowOff>0</xdr:rowOff>
    </xdr:to>
    <xdr:graphicFrame>
      <xdr:nvGraphicFramePr>
        <xdr:cNvPr id="3" name="Chart 3">
          <a:extLst>
            <a:ext uri="{FF2B5EF4-FFF2-40B4-BE49-F238E27FC236}">
              <a16:creationId xmlns:a16="http://schemas.microsoft.com/office/drawing/2014/main" id="{d42cc477-c393-44c0-aca9-3ed953416b80}"/>
            </a:ext>
          </a:extLst>
        </xdr:cNvPr>
        <xdr:cNvGraphicFramePr/>
      </xdr:nvGraphicFramePr>
      <xdr:xfrm>
        <a:off x="314325" y="114709575"/>
        <a:ext cx="6276975" cy="3562350"/>
      </xdr:xfrm>
      <a:graphic>
        <a:graphicData uri="http://schemas.openxmlformats.org/drawingml/2006/chart">
          <c:chart xmlns:c="http://schemas.openxmlformats.org/drawingml/2006/chart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5</xdr:row>
      <xdr:rowOff>0</xdr:rowOff>
    </xdr:from>
    <xdr:to>
      <xdr:col>6</xdr:col>
      <xdr:colOff>0</xdr:colOff>
      <xdr:row>21</xdr:row>
      <xdr:rowOff>0</xdr:rowOff>
    </xdr:to>
    <xdr:graphicFrame>
      <xdr:nvGraphicFramePr>
        <xdr:cNvPr id="1" name="Chart 1">
          <a:extLst>
            <a:ext uri="{FF2B5EF4-FFF2-40B4-BE49-F238E27FC236}">
              <a16:creationId xmlns:a16="http://schemas.microsoft.com/office/drawing/2014/main" id="{196f6b50-e060-4b13-be85-81a8a71db9e5}"/>
            </a:ext>
          </a:extLst>
        </xdr:cNvPr>
        <xdr:cNvGraphicFramePr/>
      </xdr:nvGraphicFramePr>
      <xdr:xfrm>
        <a:off x="314325" y="1028700"/>
        <a:ext cx="6276975" cy="259080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1</xdr:col>
      <xdr:colOff>0</xdr:colOff>
      <xdr:row>56</xdr:row>
      <xdr:rowOff>0</xdr:rowOff>
    </xdr:from>
    <xdr:to>
      <xdr:col>6</xdr:col>
      <xdr:colOff>0</xdr:colOff>
      <xdr:row>72</xdr:row>
      <xdr:rowOff>0</xdr:rowOff>
    </xdr:to>
    <xdr:graphicFrame>
      <xdr:nvGraphicFramePr>
        <xdr:cNvPr id="2" name="Chart 2">
          <a:extLst>
            <a:ext uri="{FF2B5EF4-FFF2-40B4-BE49-F238E27FC236}">
              <a16:creationId xmlns:a16="http://schemas.microsoft.com/office/drawing/2014/main" id="{cb739565-c9a2-4948-a6aa-4e18796017f1}"/>
            </a:ext>
          </a:extLst>
        </xdr:cNvPr>
        <xdr:cNvGraphicFramePr/>
      </xdr:nvGraphicFramePr>
      <xdr:xfrm>
        <a:off x="314325" y="10248900"/>
        <a:ext cx="6276975" cy="2590800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5</xdr:row>
      <xdr:rowOff>0</xdr:rowOff>
    </xdr:from>
    <xdr:to>
      <xdr:col>6</xdr:col>
      <xdr:colOff>0</xdr:colOff>
      <xdr:row>26</xdr:row>
      <xdr:rowOff>0</xdr:rowOff>
    </xdr:to>
    <xdr:graphicFrame>
      <xdr:nvGraphicFramePr>
        <xdr:cNvPr id="1" name="Chart 1">
          <a:extLst>
            <a:ext uri="{FF2B5EF4-FFF2-40B4-BE49-F238E27FC236}">
              <a16:creationId xmlns:a16="http://schemas.microsoft.com/office/drawing/2014/main" id="{7916e972-b87e-41fb-89e4-df76e947dcfc}"/>
            </a:ext>
          </a:extLst>
        </xdr:cNvPr>
        <xdr:cNvGraphicFramePr/>
      </xdr:nvGraphicFramePr>
      <xdr:xfrm>
        <a:off x="314325" y="1028700"/>
        <a:ext cx="6276975" cy="3400425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1</xdr:col>
      <xdr:colOff>0</xdr:colOff>
      <xdr:row>45</xdr:row>
      <xdr:rowOff>0</xdr:rowOff>
    </xdr:from>
    <xdr:to>
      <xdr:col>6</xdr:col>
      <xdr:colOff>0</xdr:colOff>
      <xdr:row>66</xdr:row>
      <xdr:rowOff>0</xdr:rowOff>
    </xdr:to>
    <xdr:graphicFrame>
      <xdr:nvGraphicFramePr>
        <xdr:cNvPr id="2" name="Chart 2">
          <a:extLst>
            <a:ext uri="{FF2B5EF4-FFF2-40B4-BE49-F238E27FC236}">
              <a16:creationId xmlns:a16="http://schemas.microsoft.com/office/drawing/2014/main" id="{8f3d2cfd-5f05-4f25-80ca-244934ce69b0}"/>
            </a:ext>
          </a:extLst>
        </xdr:cNvPr>
        <xdr:cNvGraphicFramePr/>
      </xdr:nvGraphicFramePr>
      <xdr:xfrm>
        <a:off x="314325" y="8010525"/>
        <a:ext cx="6276975" cy="3400425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5</xdr:row>
      <xdr:rowOff>0</xdr:rowOff>
    </xdr:from>
    <xdr:to>
      <xdr:col>6</xdr:col>
      <xdr:colOff>0</xdr:colOff>
      <xdr:row>26</xdr:row>
      <xdr:rowOff>0</xdr:rowOff>
    </xdr:to>
    <xdr:graphicFrame>
      <xdr:nvGraphicFramePr>
        <xdr:cNvPr id="1" name="Chart 1">
          <a:extLst>
            <a:ext uri="{FF2B5EF4-FFF2-40B4-BE49-F238E27FC236}">
              <a16:creationId xmlns:a16="http://schemas.microsoft.com/office/drawing/2014/main" id="{c4fd74dd-8144-450c-960b-0afa5825cc30}"/>
            </a:ext>
          </a:extLst>
        </xdr:cNvPr>
        <xdr:cNvGraphicFramePr/>
      </xdr:nvGraphicFramePr>
      <xdr:xfrm>
        <a:off x="314325" y="1028700"/>
        <a:ext cx="6276975" cy="3400425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1</xdr:col>
      <xdr:colOff>0</xdr:colOff>
      <xdr:row>115</xdr:row>
      <xdr:rowOff>0</xdr:rowOff>
    </xdr:from>
    <xdr:to>
      <xdr:col>6</xdr:col>
      <xdr:colOff>0</xdr:colOff>
      <xdr:row>136</xdr:row>
      <xdr:rowOff>0</xdr:rowOff>
    </xdr:to>
    <xdr:graphicFrame>
      <xdr:nvGraphicFramePr>
        <xdr:cNvPr id="2" name="Chart 2">
          <a:extLst>
            <a:ext uri="{FF2B5EF4-FFF2-40B4-BE49-F238E27FC236}">
              <a16:creationId xmlns:a16="http://schemas.microsoft.com/office/drawing/2014/main" id="{abb973c1-72af-4264-952e-17a75e9f096d}"/>
            </a:ext>
          </a:extLst>
        </xdr:cNvPr>
        <xdr:cNvGraphicFramePr/>
      </xdr:nvGraphicFramePr>
      <xdr:xfrm>
        <a:off x="314325" y="21345525"/>
        <a:ext cx="6276975" cy="3400425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5</xdr:row>
      <xdr:rowOff>0</xdr:rowOff>
    </xdr:from>
    <xdr:to>
      <xdr:col>6</xdr:col>
      <xdr:colOff>0</xdr:colOff>
      <xdr:row>26</xdr:row>
      <xdr:rowOff>0</xdr:rowOff>
    </xdr:to>
    <xdr:graphicFrame>
      <xdr:nvGraphicFramePr>
        <xdr:cNvPr id="1" name="Chart 1">
          <a:extLst>
            <a:ext uri="{FF2B5EF4-FFF2-40B4-BE49-F238E27FC236}">
              <a16:creationId xmlns:a16="http://schemas.microsoft.com/office/drawing/2014/main" id="{7e36b9c6-1107-4789-8c65-269dc59851ef}"/>
            </a:ext>
          </a:extLst>
        </xdr:cNvPr>
        <xdr:cNvGraphicFramePr/>
      </xdr:nvGraphicFramePr>
      <xdr:xfrm>
        <a:off x="314325" y="1028700"/>
        <a:ext cx="6276975" cy="3400425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1</xdr:col>
      <xdr:colOff>0</xdr:colOff>
      <xdr:row>276</xdr:row>
      <xdr:rowOff>0</xdr:rowOff>
    </xdr:from>
    <xdr:to>
      <xdr:col>6</xdr:col>
      <xdr:colOff>0</xdr:colOff>
      <xdr:row>297</xdr:row>
      <xdr:rowOff>0</xdr:rowOff>
    </xdr:to>
    <xdr:graphicFrame>
      <xdr:nvGraphicFramePr>
        <xdr:cNvPr id="2" name="Chart 2">
          <a:extLst>
            <a:ext uri="{FF2B5EF4-FFF2-40B4-BE49-F238E27FC236}">
              <a16:creationId xmlns:a16="http://schemas.microsoft.com/office/drawing/2014/main" id="{2b8849ba-d236-4624-a90a-6610616130c4}"/>
            </a:ext>
          </a:extLst>
        </xdr:cNvPr>
        <xdr:cNvGraphicFramePr/>
      </xdr:nvGraphicFramePr>
      <xdr:xfrm>
        <a:off x="314325" y="52016025"/>
        <a:ext cx="6276975" cy="3400425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8f9cfab-fcf1-49f0-93f8-6357cc03e663}">
  <dimension ref="B1:C28"/>
  <sheetViews>
    <sheetView showGridLines="0" workbookViewId="0" topLeftCell="A1"/>
  </sheetViews>
  <sheetFormatPr defaultRowHeight="12.75"/>
  <cols>
    <col min="1" max="1" width="4.714285714285714" customWidth="1"/>
    <col min="2" max="2" width="30.714285714285715" customWidth="1"/>
  </cols>
  <sheetData>
    <row r="1" spans="2:2" s="1" customFormat="1" ht="30" customHeight="1">
      <c r="B1" s="1" t="s">
        <v>0</v>
      </c>
    </row>
    <row r="4" spans="2:2" ht="12.75">
      <c r="B4" s="2" t="s">
        <v>1</v>
      </c>
    </row>
    <row r="6" spans="2:3" ht="12.75">
      <c r="B6" s="18" t="s">
        <v>39</v>
      </c>
      <c r="C6" s="19" t="s">
        <v>40</v>
      </c>
    </row>
    <row r="7" spans="2:3" ht="15" customHeight="1">
      <c r="B7" s="18" t="s">
        <v>41</v>
      </c>
      <c r="C7" s="19" t="s">
        <v>42</v>
      </c>
    </row>
    <row r="8" spans="2:3" ht="15" customHeight="1">
      <c r="B8" s="18" t="s">
        <v>43</v>
      </c>
      <c r="C8" s="19"/>
    </row>
    <row r="9" spans="2:3" ht="15" customHeight="1">
      <c r="B9" s="18" t="s">
        <v>44</v>
      </c>
      <c r="C9" s="19" t="s">
        <v>45</v>
      </c>
    </row>
    <row r="10" spans="2:3" ht="15" customHeight="1">
      <c r="B10" s="18" t="s">
        <v>46</v>
      </c>
      <c r="C10" s="19" t="s">
        <v>47</v>
      </c>
    </row>
    <row r="11" spans="2:3" ht="15" customHeight="1">
      <c r="B11" s="18" t="s">
        <v>48</v>
      </c>
      <c r="C11" s="19" t="s">
        <v>49</v>
      </c>
    </row>
    <row r="12" spans="2:3" ht="15" customHeight="1">
      <c r="B12" s="18" t="s">
        <v>50</v>
      </c>
      <c r="C12" s="19" t="s">
        <v>51</v>
      </c>
    </row>
    <row r="13" spans="2:3" ht="15" customHeight="1">
      <c r="B13" s="18" t="s">
        <v>52</v>
      </c>
      <c r="C13" s="20">
        <v>3006</v>
      </c>
    </row>
    <row r="14" spans="2:3" ht="15" customHeight="1">
      <c r="B14" s="18" t="s">
        <v>53</v>
      </c>
      <c r="C14" s="21" t="s">
        <v>54</v>
      </c>
    </row>
    <row r="15" ht="15" customHeight="1"/>
    <row r="16" spans="2:2" ht="15" customHeight="1">
      <c r="B16" s="23" t="s">
        <v>3</v>
      </c>
    </row>
    <row r="17" spans="2:2" ht="15" customHeight="1">
      <c r="B17" s="23" t="s">
        <v>4</v>
      </c>
    </row>
    <row r="18" spans="2:2" ht="15" customHeight="1">
      <c r="B18" s="23" t="s">
        <v>15</v>
      </c>
    </row>
    <row r="19" spans="2:2" ht="15" customHeight="1">
      <c r="B19" s="23" t="s">
        <v>23</v>
      </c>
    </row>
    <row r="20" spans="2:2" ht="15" customHeight="1">
      <c r="B20" s="23" t="s">
        <v>24</v>
      </c>
    </row>
    <row r="21" spans="2:2" ht="15" customHeight="1">
      <c r="B21" s="23" t="s">
        <v>25</v>
      </c>
    </row>
    <row r="22" spans="2:2" ht="15" customHeight="1">
      <c r="B22" s="23" t="s">
        <v>26</v>
      </c>
    </row>
    <row r="23" spans="2:2" ht="15" customHeight="1">
      <c r="B23" s="23" t="s">
        <v>27</v>
      </c>
    </row>
    <row r="24" spans="2:2" ht="15" customHeight="1">
      <c r="B24" s="23" t="s">
        <v>35</v>
      </c>
    </row>
    <row r="25" spans="2:2" ht="15" customHeight="1">
      <c r="B25" s="23" t="s">
        <v>36</v>
      </c>
    </row>
    <row r="26" spans="2:2" ht="15" customHeight="1">
      <c r="B26" s="23" t="s">
        <v>37</v>
      </c>
    </row>
    <row r="27" spans="2:2" ht="15" customHeight="1">
      <c r="B27" s="23" t="s">
        <v>38</v>
      </c>
    </row>
    <row r="28" spans="2:2" ht="15" customHeight="1"/>
  </sheetData>
  <hyperlinks>
    <hyperlink ref="B16" location="'Показатели'!B4" display="Показатели"/>
    <hyperlink ref="B17" location="'Динамика'!B4" display="Динамика"/>
    <hyperlink ref="B18" location="'Тональность'!B4" display="Тональность"/>
    <hyperlink ref="B19" location="'Мнения'!B4" display="Мнения"/>
    <hyperlink ref="B20" location="'Оценки'!B4" display="Оценки"/>
    <hyperlink ref="B21" location="'Типы площадок'!B4" display="Типы площадок"/>
    <hyperlink ref="B22" location="'Площадки'!B4" display="Площадки"/>
    <hyperlink ref="B23" location="'Эмоции'!B4" display="Эмоции"/>
    <hyperlink ref="B24" location="'Страны'!B4" display="Страны"/>
    <hyperlink ref="B25" location="'Федеральные округа'!B4" display="Федеральные округа"/>
    <hyperlink ref="B26" location="'Регионы РФ'!B4" display="Регионы РФ"/>
    <hyperlink ref="B27" location="'Города РФ'!B4" display="Города РФ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60bfa72-74f2-4fd8-b5dc-900dcb69d7fe}">
  <dimension ref="B1:K94"/>
  <sheetViews>
    <sheetView showGridLines="0" workbookViewId="0" topLeftCell="A1"/>
  </sheetViews>
  <sheetFormatPr defaultRowHeight="12.75"/>
  <cols>
    <col min="1" max="1" width="4.714285714285714" customWidth="1"/>
    <col min="2" max="2" width="22.714285714285715" customWidth="1"/>
    <col min="3" max="11" width="18.142857142857142" customWidth="1"/>
  </cols>
  <sheetData>
    <row r="1" spans="2:3" s="1" customFormat="1" ht="30" customHeight="1">
      <c r="B1" s="1" t="s">
        <v>0</v>
      </c>
      <c r="C1" s="4" t="s">
        <v>2</v>
      </c>
    </row>
    <row r="4" spans="2:2" ht="12.75">
      <c r="B4" s="2" t="s">
        <v>3</v>
      </c>
    </row>
    <row r="6" spans="2:2" ht="12.75">
      <c r="B6" s="5" t="s">
        <v>338</v>
      </c>
    </row>
    <row r="8" spans="2:11" ht="30" customHeight="1">
      <c r="B8" s="6" t="s">
        <v>16</v>
      </c>
      <c r="C8" s="7" t="s">
        <v>5</v>
      </c>
      <c r="D8" s="7" t="s">
        <v>11</v>
      </c>
      <c r="E8" s="7" t="s">
        <v>12</v>
      </c>
      <c r="F8" s="7" t="s">
        <v>13</v>
      </c>
      <c r="G8" s="7" t="s">
        <v>14</v>
      </c>
      <c r="H8" s="7" t="s">
        <v>339</v>
      </c>
      <c r="I8" s="7" t="s">
        <v>340</v>
      </c>
      <c r="J8" s="7" t="s">
        <v>341</v>
      </c>
      <c r="K8" s="7" t="s">
        <v>342</v>
      </c>
    </row>
    <row r="9" spans="2:11" ht="15" customHeight="1">
      <c r="B9" s="12" t="s">
        <v>7</v>
      </c>
      <c r="C9" s="10">
        <v>2141</v>
      </c>
      <c r="D9" s="10">
        <v>45484</v>
      </c>
      <c r="E9" s="10">
        <v>107074183</v>
      </c>
      <c r="F9" s="10">
        <v>4745700</v>
      </c>
      <c r="G9" s="10">
        <v>57234</v>
      </c>
      <c r="H9" s="10">
        <v>5480</v>
      </c>
      <c r="I9" s="10">
        <v>50029</v>
      </c>
      <c r="J9" s="10">
        <v>1725</v>
      </c>
      <c r="K9" s="24">
        <f>IF(SUM(C9:C11)=0,0,C9/SUM(C9:C11))</f>
      </c>
    </row>
    <row r="10" spans="2:11" ht="15" customHeight="1">
      <c r="B10" s="12" t="s">
        <v>8</v>
      </c>
      <c r="C10" s="10">
        <v>9</v>
      </c>
      <c r="D10" s="10">
        <v>18</v>
      </c>
      <c r="E10" s="10">
        <v>1827000</v>
      </c>
      <c r="F10" s="10">
        <v>0</v>
      </c>
      <c r="G10" s="10">
        <v>1</v>
      </c>
      <c r="H10" s="10">
        <v>0</v>
      </c>
      <c r="I10" s="10">
        <v>1</v>
      </c>
      <c r="J10" s="10">
        <v>0</v>
      </c>
      <c r="K10" s="24">
        <f>IF(SUM(C9:C11)=0,0,C10/SUM(C9:C11))</f>
      </c>
    </row>
    <row r="11" spans="2:11" ht="15" customHeight="1">
      <c r="B11" s="12" t="s">
        <v>9</v>
      </c>
      <c r="C11" s="10">
        <v>3</v>
      </c>
      <c r="D11" s="10">
        <v>10</v>
      </c>
      <c r="E11" s="10">
        <v>217619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24">
        <f>IF(SUM(C9:C11)=0,0,C11/SUM(C9:C11))</f>
      </c>
    </row>
    <row r="12" spans="2:11" ht="15" customHeight="1">
      <c r="B12" s="14" t="s">
        <v>10</v>
      </c>
      <c r="C12" s="11">
        <v>2141</v>
      </c>
      <c r="D12" s="11">
        <v>45484</v>
      </c>
      <c r="E12" s="11">
        <v>107074183</v>
      </c>
      <c r="F12" s="11">
        <v>4745700</v>
      </c>
      <c r="G12" s="11">
        <v>57234</v>
      </c>
      <c r="H12" s="11">
        <v>5480</v>
      </c>
      <c r="I12" s="11">
        <v>50029</v>
      </c>
      <c r="J12" s="11">
        <v>1725</v>
      </c>
      <c r="K12" s="25">
        <f>SUM(K9:K11)</f>
      </c>
    </row>
    <row r="13" ht="13" customHeight="1"/>
    <row r="14" spans="2:8" ht="13" customHeight="1"/>
    <row r="15" ht="13" customHeight="1"/>
    <row r="16" ht="13" customHeight="1"/>
    <row r="17" ht="13" customHeight="1"/>
    <row r="18" ht="13" customHeight="1"/>
    <row r="19" ht="13" customHeight="1"/>
    <row r="20" ht="13" customHeight="1"/>
    <row r="21" ht="13" customHeight="1"/>
    <row r="22" ht="13" customHeight="1"/>
    <row r="23" ht="13" customHeight="1"/>
    <row r="24" ht="13" customHeight="1"/>
    <row r="25" ht="13" customHeight="1"/>
    <row r="26" ht="13" customHeight="1"/>
    <row r="27" ht="13" customHeight="1"/>
    <row r="28" ht="13" customHeight="1"/>
    <row r="29" ht="13" customHeight="1"/>
    <row r="30" ht="13" customHeight="1"/>
    <row r="31" ht="13" customHeight="1"/>
    <row r="32" ht="13" customHeight="1"/>
    <row r="33" spans="2:5" ht="13" customHeight="1"/>
    <row r="34" ht="13" customHeight="1"/>
    <row r="35" ht="13" customHeight="1"/>
    <row r="36" ht="13" customHeight="1"/>
    <row r="37" ht="13" customHeight="1"/>
    <row r="38" ht="13" customHeight="1"/>
    <row r="39" ht="13" customHeight="1"/>
    <row r="40" ht="13" customHeight="1"/>
    <row r="41" ht="13" customHeight="1"/>
    <row r="42" ht="13" customHeight="1"/>
    <row r="43" ht="13" customHeight="1"/>
    <row r="44" ht="13" customHeight="1"/>
    <row r="45" ht="13" customHeight="1"/>
    <row r="46" ht="13" customHeight="1"/>
    <row r="47" ht="13" customHeight="1"/>
    <row r="48" ht="13" customHeight="1"/>
    <row r="49" ht="13" customHeight="1"/>
    <row r="50" ht="13" customHeight="1"/>
    <row r="51" ht="13" customHeight="1"/>
    <row r="52" spans="2:2" ht="12.75">
      <c r="B52" s="5" t="s">
        <v>15</v>
      </c>
    </row>
    <row r="54" spans="2:9" ht="30" customHeight="1">
      <c r="B54" s="6" t="s">
        <v>16</v>
      </c>
      <c r="C54" s="7" t="s">
        <v>17</v>
      </c>
      <c r="D54" s="7" t="s">
        <v>18</v>
      </c>
      <c r="E54" s="7" t="s">
        <v>19</v>
      </c>
      <c r="F54" s="7" t="s">
        <v>62</v>
      </c>
      <c r="G54" s="7" t="s">
        <v>20</v>
      </c>
      <c r="H54" s="7" t="s">
        <v>21</v>
      </c>
      <c r="I54" s="7" t="s">
        <v>22</v>
      </c>
    </row>
    <row r="55" spans="2:9" ht="15" customHeight="1">
      <c r="B55" s="12" t="s">
        <v>7</v>
      </c>
      <c r="C55" s="10">
        <v>111</v>
      </c>
      <c r="D55" s="10">
        <v>2019</v>
      </c>
      <c r="E55" s="10">
        <v>11</v>
      </c>
      <c r="F55" s="10">
        <f>SUM(C55,D55,E55)</f>
      </c>
      <c r="G55" s="13">
        <f>IF(F55=0,0,C55/F55)</f>
      </c>
      <c r="H55" s="13">
        <f>IF(F55=0,0,D55/F55)</f>
      </c>
      <c r="I55" s="13">
        <f>IF(F55=0,0,E55/F55)</f>
      </c>
    </row>
    <row r="56" spans="2:9" ht="15" customHeight="1">
      <c r="B56" s="12" t="s">
        <v>8</v>
      </c>
      <c r="C56" s="10">
        <v>4</v>
      </c>
      <c r="D56" s="10">
        <v>5</v>
      </c>
      <c r="E56" s="10">
        <v>0</v>
      </c>
      <c r="F56" s="10">
        <f>SUM(C56,D56,E56)</f>
      </c>
      <c r="G56" s="13">
        <f>IF(F56=0,0,C56/F56)</f>
      </c>
      <c r="H56" s="13">
        <f>IF(F56=0,0,D56/F56)</f>
      </c>
      <c r="I56" s="13">
        <f>IF(F56=0,0,E56/F56)</f>
      </c>
    </row>
    <row r="57" spans="2:9" ht="15" customHeight="1">
      <c r="B57" s="12" t="s">
        <v>9</v>
      </c>
      <c r="C57" s="10">
        <v>1</v>
      </c>
      <c r="D57" s="10">
        <v>2</v>
      </c>
      <c r="E57" s="10">
        <v>0</v>
      </c>
      <c r="F57" s="10">
        <f>SUM(C57,D57,E57)</f>
      </c>
      <c r="G57" s="13">
        <f>IF(F57=0,0,C57/F57)</f>
      </c>
      <c r="H57" s="13">
        <f>IF(F57=0,0,D57/F57)</f>
      </c>
      <c r="I57" s="13">
        <f>IF(F57=0,0,E57/F57)</f>
      </c>
    </row>
    <row r="58" spans="2:9" ht="15" customHeight="1">
      <c r="B58" s="14" t="s">
        <v>10</v>
      </c>
      <c r="C58" s="11">
        <v>114</v>
      </c>
      <c r="D58" s="11">
        <v>2016</v>
      </c>
      <c r="E58" s="11">
        <v>11</v>
      </c>
      <c r="F58" s="11">
        <f>SUM(F55:F57)</f>
      </c>
      <c r="G58" s="26">
        <f>SUM(G55:G57)</f>
      </c>
      <c r="H58" s="26">
        <f>SUM(H55:H57)</f>
      </c>
      <c r="I58" s="26">
        <f>SUM(I55:I57)</f>
      </c>
    </row>
    <row r="61" spans="2:5" ht="12.75"/>
    <row r="80" spans="2:2" ht="12.75">
      <c r="B80" s="5" t="s">
        <v>343</v>
      </c>
    </row>
    <row r="82" spans="2:11" ht="30" customHeight="1">
      <c r="B82" s="6" t="s">
        <v>16</v>
      </c>
      <c r="C82" s="7" t="s">
        <v>344</v>
      </c>
      <c r="D82" s="7" t="s">
        <v>58</v>
      </c>
      <c r="E82" s="7" t="s">
        <v>339</v>
      </c>
      <c r="F82" s="7" t="s">
        <v>341</v>
      </c>
      <c r="G82" s="7" t="s">
        <v>345</v>
      </c>
      <c r="H82" s="7" t="s">
        <v>346</v>
      </c>
      <c r="I82" s="7" t="s">
        <v>347</v>
      </c>
      <c r="J82" s="7" t="s">
        <v>348</v>
      </c>
      <c r="K82" s="7" t="s">
        <v>349</v>
      </c>
    </row>
    <row r="83" spans="2:11" ht="15" customHeight="1">
      <c r="B83" s="12" t="s">
        <v>7</v>
      </c>
      <c r="C83" s="10">
        <v>1208</v>
      </c>
      <c r="D83" s="10">
        <v>121</v>
      </c>
      <c r="E83" s="10">
        <v>221</v>
      </c>
      <c r="F83" s="10">
        <v>153</v>
      </c>
      <c r="G83" s="10">
        <v>16</v>
      </c>
      <c r="H83" s="10">
        <v>0</v>
      </c>
      <c r="I83" s="10">
        <v>334</v>
      </c>
      <c r="J83" s="10">
        <v>86</v>
      </c>
      <c r="K83" s="10">
        <v>2</v>
      </c>
    </row>
    <row r="84" spans="2:11" ht="15" customHeight="1">
      <c r="B84" s="12" t="s">
        <v>9</v>
      </c>
      <c r="C84" s="10">
        <v>0</v>
      </c>
      <c r="D84" s="10">
        <v>0</v>
      </c>
      <c r="E84" s="10">
        <v>3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</row>
    <row r="85" spans="2:11" ht="15" customHeight="1">
      <c r="B85" s="12" t="s">
        <v>8</v>
      </c>
      <c r="C85" s="10">
        <v>0</v>
      </c>
      <c r="D85" s="10">
        <v>2</v>
      </c>
      <c r="E85" s="10">
        <v>7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</row>
    <row r="86" spans="2:11" ht="15" customHeight="1">
      <c r="B86" s="14" t="s">
        <v>10</v>
      </c>
      <c r="C86" s="11">
        <v>1208</v>
      </c>
      <c r="D86" s="11">
        <v>121</v>
      </c>
      <c r="E86" s="11">
        <v>221</v>
      </c>
      <c r="F86" s="11">
        <v>153</v>
      </c>
      <c r="G86" s="11">
        <v>16</v>
      </c>
      <c r="H86" s="11">
        <v>0</v>
      </c>
      <c r="I86" s="11">
        <v>334</v>
      </c>
      <c r="J86" s="11">
        <v>86</v>
      </c>
      <c r="K86" s="11">
        <v>2</v>
      </c>
    </row>
    <row r="88" spans="2:2" ht="12.75">
      <c r="B88" s="5" t="s">
        <v>350</v>
      </c>
    </row>
    <row r="90" spans="2:5" ht="30" customHeight="1">
      <c r="B90" s="6" t="s">
        <v>16</v>
      </c>
      <c r="C90" s="7" t="s">
        <v>26</v>
      </c>
      <c r="D90" s="7" t="s">
        <v>351</v>
      </c>
      <c r="E90" s="7" t="s">
        <v>352</v>
      </c>
    </row>
    <row r="91" spans="2:5" ht="15" customHeight="1">
      <c r="B91" s="12" t="s">
        <v>7</v>
      </c>
      <c r="C91" s="10">
        <v>273</v>
      </c>
      <c r="D91" s="10">
        <v>1573</v>
      </c>
      <c r="E91" s="10">
        <v>1685</v>
      </c>
    </row>
    <row r="92" spans="2:5" ht="15" customHeight="1">
      <c r="B92" s="12" t="s">
        <v>8</v>
      </c>
      <c r="C92" s="10">
        <v>4</v>
      </c>
      <c r="D92" s="10">
        <v>9</v>
      </c>
      <c r="E92" s="10">
        <v>9</v>
      </c>
    </row>
    <row r="93" spans="2:5" ht="15" customHeight="1">
      <c r="B93" s="12" t="s">
        <v>9</v>
      </c>
      <c r="C93" s="10">
        <v>2</v>
      </c>
      <c r="D93" s="10">
        <v>3</v>
      </c>
      <c r="E93" s="10">
        <v>2</v>
      </c>
    </row>
    <row r="94" spans="2:5" ht="15" customHeight="1">
      <c r="B94" s="14" t="s">
        <v>10</v>
      </c>
      <c r="C94" s="11">
        <v>273</v>
      </c>
      <c r="D94" s="11">
        <v>1573</v>
      </c>
      <c r="E94" s="11">
        <v>1685</v>
      </c>
    </row>
  </sheetData>
  <hyperlinks>
    <hyperlink ref="C1" location="Содержание!B4" display="К содержанию"/>
  </hyperlink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5e5d282-90da-47fe-a7c4-9d4cc0a9c80c}">
  <dimension ref="B1:G184"/>
  <sheetViews>
    <sheetView showGridLines="0" workbookViewId="0" topLeftCell="A1"/>
  </sheetViews>
  <sheetFormatPr defaultRowHeight="12.75"/>
  <cols>
    <col min="1" max="1" width="4.714285714285714" customWidth="1"/>
    <col min="2" max="2" width="22.714285714285715" customWidth="1"/>
    <col min="3" max="5" width="24.714285714285715" customWidth="1"/>
    <col min="6" max="11" width="15.714285714285714" customWidth="1"/>
  </cols>
  <sheetData>
    <row r="1" spans="2:3" s="1" customFormat="1" ht="30" customHeight="1">
      <c r="B1" s="1" t="s">
        <v>0</v>
      </c>
      <c r="C1" s="4" t="s">
        <v>2</v>
      </c>
    </row>
    <row r="4" spans="2:2" ht="12.75">
      <c r="B4" s="2" t="s">
        <v>4</v>
      </c>
    </row>
    <row r="6" spans="2:2" ht="12.75">
      <c r="B6" s="5" t="s">
        <v>5</v>
      </c>
    </row>
    <row r="8" spans="2:7" ht="30" customHeight="1">
      <c r="B8" s="6" t="s">
        <v>6</v>
      </c>
      <c r="C8" s="7" t="s">
        <v>7</v>
      </c>
      <c r="D8" s="7" t="s">
        <v>8</v>
      </c>
      <c r="E8" s="7" t="s">
        <v>9</v>
      </c>
    </row>
    <row r="9" spans="2:5" ht="15" customHeight="1">
      <c r="B9" s="8">
        <v>46143</v>
      </c>
      <c r="C9" s="10">
        <v>62</v>
      </c>
      <c r="D9" s="10">
        <v>0</v>
      </c>
      <c r="E9" s="10">
        <v>0</v>
      </c>
    </row>
    <row r="10" spans="2:5" ht="15" customHeight="1">
      <c r="B10" s="8">
        <v>46144</v>
      </c>
      <c r="C10" s="10">
        <v>47</v>
      </c>
      <c r="D10" s="10">
        <v>0</v>
      </c>
      <c r="E10" s="10">
        <v>0</v>
      </c>
    </row>
    <row r="11" spans="2:5" ht="15" customHeight="1">
      <c r="B11" s="8">
        <v>46145</v>
      </c>
      <c r="C11" s="10">
        <v>28</v>
      </c>
      <c r="D11" s="10">
        <v>0</v>
      </c>
      <c r="E11" s="10">
        <v>0</v>
      </c>
    </row>
    <row r="12" spans="2:5" ht="15" customHeight="1">
      <c r="B12" s="8">
        <v>46146</v>
      </c>
      <c r="C12" s="10">
        <v>106</v>
      </c>
      <c r="D12" s="10">
        <v>1</v>
      </c>
      <c r="E12" s="10">
        <v>0</v>
      </c>
    </row>
    <row r="13" spans="2:5" ht="15" customHeight="1">
      <c r="B13" s="8">
        <v>46147</v>
      </c>
      <c r="C13" s="10">
        <v>63</v>
      </c>
      <c r="D13" s="10">
        <v>1</v>
      </c>
      <c r="E13" s="10">
        <v>1</v>
      </c>
    </row>
    <row r="14" spans="2:5" ht="15" customHeight="1">
      <c r="B14" s="8">
        <v>46148</v>
      </c>
      <c r="C14" s="10">
        <v>54</v>
      </c>
      <c r="D14" s="10">
        <v>2</v>
      </c>
      <c r="E14" s="10">
        <v>1</v>
      </c>
    </row>
    <row r="15" spans="2:5" ht="15" customHeight="1">
      <c r="B15" s="8">
        <v>46149</v>
      </c>
      <c r="C15" s="10">
        <v>65</v>
      </c>
      <c r="D15" s="10">
        <v>1</v>
      </c>
      <c r="E15" s="10">
        <v>1</v>
      </c>
    </row>
    <row r="16" spans="2:5" ht="15" customHeight="1">
      <c r="B16" s="8">
        <v>46150</v>
      </c>
      <c r="C16" s="10">
        <v>58</v>
      </c>
      <c r="D16" s="10">
        <v>0</v>
      </c>
      <c r="E16" s="10">
        <v>0</v>
      </c>
    </row>
    <row r="17" spans="2:5" ht="15" customHeight="1">
      <c r="B17" s="8">
        <v>46151</v>
      </c>
      <c r="C17" s="10">
        <v>41</v>
      </c>
      <c r="D17" s="10">
        <v>0</v>
      </c>
      <c r="E17" s="10">
        <v>0</v>
      </c>
    </row>
    <row r="18" spans="2:5" ht="15" customHeight="1">
      <c r="B18" s="8">
        <v>46152</v>
      </c>
      <c r="C18" s="10">
        <v>37</v>
      </c>
      <c r="D18" s="10">
        <v>0</v>
      </c>
      <c r="E18" s="10">
        <v>0</v>
      </c>
    </row>
    <row r="19" spans="2:5" ht="15" customHeight="1">
      <c r="B19" s="8">
        <v>46153</v>
      </c>
      <c r="C19" s="10">
        <v>57</v>
      </c>
      <c r="D19" s="10">
        <v>0</v>
      </c>
      <c r="E19" s="10">
        <v>0</v>
      </c>
    </row>
    <row r="20" spans="2:5" ht="15" customHeight="1">
      <c r="B20" s="8">
        <v>46154</v>
      </c>
      <c r="C20" s="10">
        <v>57</v>
      </c>
      <c r="D20" s="10">
        <v>0</v>
      </c>
      <c r="E20" s="10">
        <v>0</v>
      </c>
    </row>
    <row r="21" spans="2:5" ht="15" customHeight="1">
      <c r="B21" s="8">
        <v>46155</v>
      </c>
      <c r="C21" s="10">
        <v>77</v>
      </c>
      <c r="D21" s="10">
        <v>1</v>
      </c>
      <c r="E21" s="10">
        <v>0</v>
      </c>
    </row>
    <row r="22" spans="2:5" ht="15" customHeight="1">
      <c r="B22" s="8">
        <v>46156</v>
      </c>
      <c r="C22" s="10">
        <v>68</v>
      </c>
      <c r="D22" s="10">
        <v>0</v>
      </c>
      <c r="E22" s="10">
        <v>0</v>
      </c>
    </row>
    <row r="23" spans="2:5" ht="15" customHeight="1">
      <c r="B23" s="8">
        <v>46157</v>
      </c>
      <c r="C23" s="10">
        <v>83</v>
      </c>
      <c r="D23" s="10">
        <v>0</v>
      </c>
      <c r="E23" s="10">
        <v>0</v>
      </c>
    </row>
    <row r="24" spans="2:5" ht="15" customHeight="1">
      <c r="B24" s="8">
        <v>46158</v>
      </c>
      <c r="C24" s="10">
        <v>52</v>
      </c>
      <c r="D24" s="10">
        <v>0</v>
      </c>
      <c r="E24" s="10">
        <v>0</v>
      </c>
    </row>
    <row r="25" spans="2:5" ht="15" customHeight="1">
      <c r="B25" s="8">
        <v>46159</v>
      </c>
      <c r="C25" s="10">
        <v>34</v>
      </c>
      <c r="D25" s="10">
        <v>0</v>
      </c>
      <c r="E25" s="10">
        <v>0</v>
      </c>
    </row>
    <row r="26" spans="2:5" ht="15" customHeight="1">
      <c r="B26" s="8">
        <v>46160</v>
      </c>
      <c r="C26" s="10">
        <v>68</v>
      </c>
      <c r="D26" s="10">
        <v>0</v>
      </c>
      <c r="E26" s="10">
        <v>0</v>
      </c>
    </row>
    <row r="27" spans="2:5" ht="15" customHeight="1">
      <c r="B27" s="8">
        <v>46161</v>
      </c>
      <c r="C27" s="10">
        <v>99</v>
      </c>
      <c r="D27" s="10">
        <v>0</v>
      </c>
      <c r="E27" s="10">
        <v>0</v>
      </c>
    </row>
    <row r="28" spans="2:5" ht="15" customHeight="1">
      <c r="B28" s="8">
        <v>46162</v>
      </c>
      <c r="C28" s="10">
        <v>116</v>
      </c>
      <c r="D28" s="10">
        <v>1</v>
      </c>
      <c r="E28" s="10">
        <v>0</v>
      </c>
    </row>
    <row r="29" spans="2:5" ht="15" customHeight="1">
      <c r="B29" s="8">
        <v>46163</v>
      </c>
      <c r="C29" s="10">
        <v>77</v>
      </c>
      <c r="D29" s="10">
        <v>0</v>
      </c>
      <c r="E29" s="10">
        <v>0</v>
      </c>
    </row>
    <row r="30" spans="2:5" ht="15" customHeight="1">
      <c r="B30" s="8">
        <v>46164</v>
      </c>
      <c r="C30" s="10">
        <v>75</v>
      </c>
      <c r="D30" s="10">
        <v>0</v>
      </c>
      <c r="E30" s="10">
        <v>0</v>
      </c>
    </row>
    <row r="31" spans="2:5" ht="15" customHeight="1">
      <c r="B31" s="8">
        <v>46165</v>
      </c>
      <c r="C31" s="10">
        <v>47</v>
      </c>
      <c r="D31" s="10">
        <v>0</v>
      </c>
      <c r="E31" s="10">
        <v>0</v>
      </c>
    </row>
    <row r="32" spans="2:5" ht="15" customHeight="1">
      <c r="B32" s="8">
        <v>46166</v>
      </c>
      <c r="C32" s="10">
        <v>38</v>
      </c>
      <c r="D32" s="10">
        <v>0</v>
      </c>
      <c r="E32" s="10">
        <v>0</v>
      </c>
    </row>
    <row r="33" spans="2:5" ht="15" customHeight="1">
      <c r="B33" s="8">
        <v>46167</v>
      </c>
      <c r="C33" s="10">
        <v>80</v>
      </c>
      <c r="D33" s="10">
        <v>1</v>
      </c>
      <c r="E33" s="10">
        <v>0</v>
      </c>
    </row>
    <row r="34" spans="2:5" ht="15" customHeight="1">
      <c r="B34" s="8">
        <v>46168</v>
      </c>
      <c r="C34" s="10">
        <v>118</v>
      </c>
      <c r="D34" s="10">
        <v>0</v>
      </c>
      <c r="E34" s="10">
        <v>0</v>
      </c>
    </row>
    <row r="35" spans="2:5" ht="15" customHeight="1">
      <c r="B35" s="8">
        <v>46169</v>
      </c>
      <c r="C35" s="10">
        <v>121</v>
      </c>
      <c r="D35" s="10">
        <v>1</v>
      </c>
      <c r="E35" s="10">
        <v>0</v>
      </c>
    </row>
    <row r="36" spans="2:5" ht="15" customHeight="1">
      <c r="B36" s="8">
        <v>46170</v>
      </c>
      <c r="C36" s="10">
        <v>88</v>
      </c>
      <c r="D36" s="10">
        <v>0</v>
      </c>
      <c r="E36" s="10">
        <v>0</v>
      </c>
    </row>
    <row r="37" spans="2:5" ht="15" customHeight="1">
      <c r="B37" s="8">
        <v>46171</v>
      </c>
      <c r="C37" s="10">
        <v>91</v>
      </c>
      <c r="D37" s="10">
        <v>0</v>
      </c>
      <c r="E37" s="10">
        <v>0</v>
      </c>
    </row>
    <row r="38" spans="2:5" ht="15" customHeight="1">
      <c r="B38" s="8">
        <v>46172</v>
      </c>
      <c r="C38" s="10">
        <v>69</v>
      </c>
      <c r="D38" s="10">
        <v>0</v>
      </c>
      <c r="E38" s="10">
        <v>0</v>
      </c>
    </row>
    <row r="39" spans="2:5" ht="15" customHeight="1">
      <c r="B39" s="8">
        <v>46173</v>
      </c>
      <c r="C39" s="10">
        <v>65</v>
      </c>
      <c r="D39" s="10">
        <v>0</v>
      </c>
      <c r="E39" s="10">
        <v>0</v>
      </c>
    </row>
    <row r="40" spans="2:5" ht="15" customHeight="1">
      <c r="B40" s="9" t="s">
        <v>10</v>
      </c>
      <c r="C40" s="11">
        <v>2141</v>
      </c>
      <c r="D40" s="11">
        <v>9</v>
      </c>
      <c r="E40" s="11">
        <v>3</v>
      </c>
    </row>
    <row r="42" spans="2:2" ht="12.75">
      <c r="B42" s="5" t="s">
        <v>11</v>
      </c>
    </row>
    <row r="44" spans="2:7" ht="30" customHeight="1">
      <c r="B44" s="6" t="s">
        <v>6</v>
      </c>
      <c r="C44" s="7" t="s">
        <v>7</v>
      </c>
      <c r="D44" s="7" t="s">
        <v>8</v>
      </c>
      <c r="E44" s="7" t="s">
        <v>9</v>
      </c>
    </row>
    <row r="45" spans="2:5" ht="15" customHeight="1">
      <c r="B45" s="8">
        <v>46143</v>
      </c>
      <c r="C45" s="10">
        <v>1590</v>
      </c>
      <c r="D45" s="10">
        <v>0</v>
      </c>
      <c r="E45" s="10">
        <v>0</v>
      </c>
    </row>
    <row r="46" spans="2:5" ht="15" customHeight="1">
      <c r="B46" s="8">
        <v>46144</v>
      </c>
      <c r="C46" s="10">
        <v>1458</v>
      </c>
      <c r="D46" s="10">
        <v>0</v>
      </c>
      <c r="E46" s="10">
        <v>0</v>
      </c>
    </row>
    <row r="47" spans="2:5" ht="15" customHeight="1">
      <c r="B47" s="8">
        <v>46145</v>
      </c>
      <c r="C47" s="10">
        <v>665</v>
      </c>
      <c r="D47" s="10">
        <v>0</v>
      </c>
      <c r="E47" s="10">
        <v>0</v>
      </c>
    </row>
    <row r="48" spans="2:5" ht="15" customHeight="1">
      <c r="B48" s="8">
        <v>46146</v>
      </c>
      <c r="C48" s="10">
        <v>1086</v>
      </c>
      <c r="D48" s="10">
        <v>5</v>
      </c>
      <c r="E48" s="10">
        <v>0</v>
      </c>
    </row>
    <row r="49" spans="2:5" ht="15" customHeight="1">
      <c r="B49" s="8">
        <v>46147</v>
      </c>
      <c r="C49" s="10">
        <v>2075</v>
      </c>
      <c r="D49" s="10">
        <v>2</v>
      </c>
      <c r="E49" s="10">
        <v>5</v>
      </c>
    </row>
    <row r="50" spans="2:5" ht="15" customHeight="1">
      <c r="B50" s="8">
        <v>46148</v>
      </c>
      <c r="C50" s="10">
        <v>573</v>
      </c>
      <c r="D50" s="10">
        <v>3</v>
      </c>
      <c r="E50" s="10">
        <v>3</v>
      </c>
    </row>
    <row r="51" spans="2:5" ht="15" customHeight="1">
      <c r="B51" s="8">
        <v>46149</v>
      </c>
      <c r="C51" s="10">
        <v>1080</v>
      </c>
      <c r="D51" s="10">
        <v>0</v>
      </c>
      <c r="E51" s="10">
        <v>2</v>
      </c>
    </row>
    <row r="52" spans="2:5" ht="15" customHeight="1">
      <c r="B52" s="8">
        <v>46150</v>
      </c>
      <c r="C52" s="10">
        <v>1355</v>
      </c>
      <c r="D52" s="10">
        <v>0</v>
      </c>
      <c r="E52" s="10">
        <v>0</v>
      </c>
    </row>
    <row r="53" spans="2:5" ht="15" customHeight="1">
      <c r="B53" s="8">
        <v>46151</v>
      </c>
      <c r="C53" s="10">
        <v>734</v>
      </c>
      <c r="D53" s="10">
        <v>0</v>
      </c>
      <c r="E53" s="10">
        <v>0</v>
      </c>
    </row>
    <row r="54" spans="2:5" ht="15" customHeight="1">
      <c r="B54" s="8">
        <v>46152</v>
      </c>
      <c r="C54" s="10">
        <v>1474</v>
      </c>
      <c r="D54" s="10">
        <v>0</v>
      </c>
      <c r="E54" s="10">
        <v>0</v>
      </c>
    </row>
    <row r="55" spans="2:5" ht="15" customHeight="1">
      <c r="B55" s="8">
        <v>46153</v>
      </c>
      <c r="C55" s="10">
        <v>1080</v>
      </c>
      <c r="D55" s="10">
        <v>0</v>
      </c>
      <c r="E55" s="10">
        <v>0</v>
      </c>
    </row>
    <row r="56" spans="2:5" ht="15" customHeight="1">
      <c r="B56" s="8">
        <v>46154</v>
      </c>
      <c r="C56" s="10">
        <v>758</v>
      </c>
      <c r="D56" s="10">
        <v>0</v>
      </c>
      <c r="E56" s="10">
        <v>0</v>
      </c>
    </row>
    <row r="57" spans="2:5" ht="15" customHeight="1">
      <c r="B57" s="8">
        <v>46155</v>
      </c>
      <c r="C57" s="10">
        <v>1258</v>
      </c>
      <c r="D57" s="10">
        <v>0</v>
      </c>
      <c r="E57" s="10">
        <v>0</v>
      </c>
    </row>
    <row r="58" spans="2:5" ht="15" customHeight="1">
      <c r="B58" s="8">
        <v>46156</v>
      </c>
      <c r="C58" s="10">
        <v>832</v>
      </c>
      <c r="D58" s="10">
        <v>0</v>
      </c>
      <c r="E58" s="10">
        <v>0</v>
      </c>
    </row>
    <row r="59" spans="2:5" ht="15" customHeight="1">
      <c r="B59" s="8">
        <v>46157</v>
      </c>
      <c r="C59" s="10">
        <v>982</v>
      </c>
      <c r="D59" s="10">
        <v>0</v>
      </c>
      <c r="E59" s="10">
        <v>0</v>
      </c>
    </row>
    <row r="60" spans="2:5" ht="15" customHeight="1">
      <c r="B60" s="8">
        <v>46158</v>
      </c>
      <c r="C60" s="10">
        <v>2084</v>
      </c>
      <c r="D60" s="10">
        <v>0</v>
      </c>
      <c r="E60" s="10">
        <v>0</v>
      </c>
    </row>
    <row r="61" spans="2:5" ht="15" customHeight="1">
      <c r="B61" s="8">
        <v>46159</v>
      </c>
      <c r="C61" s="10">
        <v>672</v>
      </c>
      <c r="D61" s="10">
        <v>0</v>
      </c>
      <c r="E61" s="10">
        <v>0</v>
      </c>
    </row>
    <row r="62" spans="2:5" ht="15" customHeight="1">
      <c r="B62" s="8">
        <v>46160</v>
      </c>
      <c r="C62" s="10">
        <v>1054</v>
      </c>
      <c r="D62" s="10">
        <v>0</v>
      </c>
      <c r="E62" s="10">
        <v>0</v>
      </c>
    </row>
    <row r="63" spans="2:5" ht="15" customHeight="1">
      <c r="B63" s="8">
        <v>46161</v>
      </c>
      <c r="C63" s="10">
        <v>2292</v>
      </c>
      <c r="D63" s="10">
        <v>0</v>
      </c>
      <c r="E63" s="10">
        <v>0</v>
      </c>
    </row>
    <row r="64" spans="2:5" ht="15" customHeight="1">
      <c r="B64" s="8">
        <v>46162</v>
      </c>
      <c r="C64" s="10">
        <v>1743</v>
      </c>
      <c r="D64" s="10">
        <v>3</v>
      </c>
      <c r="E64" s="10">
        <v>0</v>
      </c>
    </row>
    <row r="65" spans="2:5" ht="15" customHeight="1">
      <c r="B65" s="8">
        <v>46163</v>
      </c>
      <c r="C65" s="10">
        <v>1118</v>
      </c>
      <c r="D65" s="10">
        <v>0</v>
      </c>
      <c r="E65" s="10">
        <v>0</v>
      </c>
    </row>
    <row r="66" spans="2:5" ht="15" customHeight="1">
      <c r="B66" s="8">
        <v>46164</v>
      </c>
      <c r="C66" s="10">
        <v>687</v>
      </c>
      <c r="D66" s="10">
        <v>0</v>
      </c>
      <c r="E66" s="10">
        <v>0</v>
      </c>
    </row>
    <row r="67" spans="2:5" ht="15" customHeight="1">
      <c r="B67" s="8">
        <v>46165</v>
      </c>
      <c r="C67" s="10">
        <v>1407</v>
      </c>
      <c r="D67" s="10">
        <v>0</v>
      </c>
      <c r="E67" s="10">
        <v>0</v>
      </c>
    </row>
    <row r="68" spans="2:5" ht="15" customHeight="1">
      <c r="B68" s="8">
        <v>46166</v>
      </c>
      <c r="C68" s="10">
        <v>927</v>
      </c>
      <c r="D68" s="10">
        <v>0</v>
      </c>
      <c r="E68" s="10">
        <v>0</v>
      </c>
    </row>
    <row r="69" spans="2:5" ht="15" customHeight="1">
      <c r="B69" s="8">
        <v>46167</v>
      </c>
      <c r="C69" s="10">
        <v>1970</v>
      </c>
      <c r="D69" s="10">
        <v>3</v>
      </c>
      <c r="E69" s="10">
        <v>0</v>
      </c>
    </row>
    <row r="70" spans="2:5" ht="15" customHeight="1">
      <c r="B70" s="8">
        <v>46168</v>
      </c>
      <c r="C70" s="10">
        <v>2424</v>
      </c>
      <c r="D70" s="10">
        <v>0</v>
      </c>
      <c r="E70" s="10">
        <v>0</v>
      </c>
    </row>
    <row r="71" spans="2:5" ht="15" customHeight="1">
      <c r="B71" s="8">
        <v>46169</v>
      </c>
      <c r="C71" s="10">
        <v>2413</v>
      </c>
      <c r="D71" s="10">
        <v>2</v>
      </c>
      <c r="E71" s="10">
        <v>0</v>
      </c>
    </row>
    <row r="72" spans="2:5" ht="15" customHeight="1">
      <c r="B72" s="8">
        <v>46170</v>
      </c>
      <c r="C72" s="10">
        <v>3042</v>
      </c>
      <c r="D72" s="10">
        <v>0</v>
      </c>
      <c r="E72" s="10">
        <v>0</v>
      </c>
    </row>
    <row r="73" spans="2:5" ht="15" customHeight="1">
      <c r="B73" s="8">
        <v>46171</v>
      </c>
      <c r="C73" s="10">
        <v>2728</v>
      </c>
      <c r="D73" s="10">
        <v>0</v>
      </c>
      <c r="E73" s="10">
        <v>0</v>
      </c>
    </row>
    <row r="74" spans="2:5" ht="15" customHeight="1">
      <c r="B74" s="8">
        <v>46172</v>
      </c>
      <c r="C74" s="10">
        <v>2187</v>
      </c>
      <c r="D74" s="10">
        <v>0</v>
      </c>
      <c r="E74" s="10">
        <v>0</v>
      </c>
    </row>
    <row r="75" spans="2:5" ht="15" customHeight="1">
      <c r="B75" s="8">
        <v>46173</v>
      </c>
      <c r="C75" s="10">
        <v>1736</v>
      </c>
      <c r="D75" s="10">
        <v>0</v>
      </c>
      <c r="E75" s="10">
        <v>0</v>
      </c>
    </row>
    <row r="76" spans="2:5" ht="15" customHeight="1">
      <c r="B76" s="9" t="s">
        <v>10</v>
      </c>
      <c r="C76" s="11">
        <v>45484</v>
      </c>
      <c r="D76" s="11">
        <v>18</v>
      </c>
      <c r="E76" s="11">
        <v>10</v>
      </c>
    </row>
    <row r="78" spans="2:2" ht="12.75">
      <c r="B78" s="5" t="s">
        <v>12</v>
      </c>
    </row>
    <row r="80" spans="2:7" ht="30" customHeight="1">
      <c r="B80" s="6" t="s">
        <v>6</v>
      </c>
      <c r="C80" s="7" t="s">
        <v>7</v>
      </c>
      <c r="D80" s="7" t="s">
        <v>8</v>
      </c>
      <c r="E80" s="7" t="s">
        <v>9</v>
      </c>
    </row>
    <row r="81" spans="2:5" ht="15" customHeight="1">
      <c r="B81" s="8">
        <v>46143</v>
      </c>
      <c r="C81" s="10">
        <v>7465008</v>
      </c>
      <c r="D81" s="10">
        <v>0</v>
      </c>
      <c r="E81" s="10">
        <v>0</v>
      </c>
    </row>
    <row r="82" spans="2:5" ht="15" customHeight="1">
      <c r="B82" s="8">
        <v>46144</v>
      </c>
      <c r="C82" s="10">
        <v>4423145</v>
      </c>
      <c r="D82" s="10">
        <v>0</v>
      </c>
      <c r="E82" s="10">
        <v>0</v>
      </c>
    </row>
    <row r="83" spans="2:5" ht="15" customHeight="1">
      <c r="B83" s="8">
        <v>46145</v>
      </c>
      <c r="C83" s="10">
        <v>3987127</v>
      </c>
      <c r="D83" s="10">
        <v>0</v>
      </c>
      <c r="E83" s="10">
        <v>0</v>
      </c>
    </row>
    <row r="84" spans="2:5" ht="15" customHeight="1">
      <c r="B84" s="8">
        <v>46146</v>
      </c>
      <c r="C84" s="10">
        <v>3395443</v>
      </c>
      <c r="D84" s="10">
        <v>1280300</v>
      </c>
      <c r="E84" s="10">
        <v>0</v>
      </c>
    </row>
    <row r="85" spans="2:5" ht="15" customHeight="1">
      <c r="B85" s="8">
        <v>46147</v>
      </c>
      <c r="C85" s="10">
        <v>15666169</v>
      </c>
      <c r="D85" s="10">
        <v>3437</v>
      </c>
      <c r="E85" s="10">
        <v>5845</v>
      </c>
    </row>
    <row r="86" spans="2:5" ht="15" customHeight="1">
      <c r="B86" s="8">
        <v>46148</v>
      </c>
      <c r="C86" s="10">
        <v>4243265</v>
      </c>
      <c r="D86" s="10">
        <v>22770</v>
      </c>
      <c r="E86" s="10">
        <v>66229</v>
      </c>
    </row>
    <row r="87" spans="2:5" ht="15" customHeight="1">
      <c r="B87" s="8">
        <v>46149</v>
      </c>
      <c r="C87" s="10">
        <v>2714232</v>
      </c>
      <c r="D87" s="10">
        <v>0</v>
      </c>
      <c r="E87" s="10">
        <v>145545</v>
      </c>
    </row>
    <row r="88" spans="2:5" ht="15" customHeight="1">
      <c r="B88" s="8">
        <v>46150</v>
      </c>
      <c r="C88" s="10">
        <v>2857732</v>
      </c>
      <c r="D88" s="10">
        <v>0</v>
      </c>
      <c r="E88" s="10">
        <v>0</v>
      </c>
    </row>
    <row r="89" spans="2:5" ht="15" customHeight="1">
      <c r="B89" s="8">
        <v>46151</v>
      </c>
      <c r="C89" s="10">
        <v>2583028</v>
      </c>
      <c r="D89" s="10">
        <v>0</v>
      </c>
      <c r="E89" s="10">
        <v>0</v>
      </c>
    </row>
    <row r="90" spans="2:5" ht="15" customHeight="1">
      <c r="B90" s="8">
        <v>46152</v>
      </c>
      <c r="C90" s="10">
        <v>761718</v>
      </c>
      <c r="D90" s="10">
        <v>0</v>
      </c>
      <c r="E90" s="10">
        <v>0</v>
      </c>
    </row>
    <row r="91" spans="2:5" ht="15" customHeight="1">
      <c r="B91" s="8">
        <v>46153</v>
      </c>
      <c r="C91" s="10">
        <v>16605426</v>
      </c>
      <c r="D91" s="10">
        <v>0</v>
      </c>
      <c r="E91" s="10">
        <v>0</v>
      </c>
    </row>
    <row r="92" spans="2:5" ht="15" customHeight="1">
      <c r="B92" s="8">
        <v>46154</v>
      </c>
      <c r="C92" s="10">
        <v>1978632</v>
      </c>
      <c r="D92" s="10">
        <v>0</v>
      </c>
      <c r="E92" s="10">
        <v>0</v>
      </c>
    </row>
    <row r="93" spans="2:5" ht="15" customHeight="1">
      <c r="B93" s="8">
        <v>46155</v>
      </c>
      <c r="C93" s="10">
        <v>16204703</v>
      </c>
      <c r="D93" s="10">
        <v>280517</v>
      </c>
      <c r="E93" s="10">
        <v>0</v>
      </c>
    </row>
    <row r="94" spans="2:5" ht="15" customHeight="1">
      <c r="B94" s="8">
        <v>46156</v>
      </c>
      <c r="C94" s="10">
        <v>2782966</v>
      </c>
      <c r="D94" s="10">
        <v>0</v>
      </c>
      <c r="E94" s="10">
        <v>0</v>
      </c>
    </row>
    <row r="95" spans="2:5" ht="15" customHeight="1">
      <c r="B95" s="8">
        <v>46157</v>
      </c>
      <c r="C95" s="10">
        <v>1944870</v>
      </c>
      <c r="D95" s="10">
        <v>0</v>
      </c>
      <c r="E95" s="10">
        <v>0</v>
      </c>
    </row>
    <row r="96" spans="2:5" ht="15" customHeight="1">
      <c r="B96" s="8">
        <v>46158</v>
      </c>
      <c r="C96" s="10">
        <v>7062641</v>
      </c>
      <c r="D96" s="10">
        <v>0</v>
      </c>
      <c r="E96" s="10">
        <v>0</v>
      </c>
    </row>
    <row r="97" spans="2:5" ht="15" customHeight="1">
      <c r="B97" s="8">
        <v>46159</v>
      </c>
      <c r="C97" s="10">
        <v>684378</v>
      </c>
      <c r="D97" s="10">
        <v>0</v>
      </c>
      <c r="E97" s="10">
        <v>0</v>
      </c>
    </row>
    <row r="98" spans="2:5" ht="15" customHeight="1">
      <c r="B98" s="8">
        <v>46160</v>
      </c>
      <c r="C98" s="10">
        <v>1725410</v>
      </c>
      <c r="D98" s="10">
        <v>0</v>
      </c>
      <c r="E98" s="10">
        <v>0</v>
      </c>
    </row>
    <row r="99" spans="2:5" ht="15" customHeight="1">
      <c r="B99" s="8">
        <v>46161</v>
      </c>
      <c r="C99" s="10">
        <v>10185631</v>
      </c>
      <c r="D99" s="10">
        <v>0</v>
      </c>
      <c r="E99" s="10">
        <v>0</v>
      </c>
    </row>
    <row r="100" spans="2:5" ht="15" customHeight="1">
      <c r="B100" s="8">
        <v>46162</v>
      </c>
      <c r="C100" s="10">
        <v>5648209</v>
      </c>
      <c r="D100" s="10">
        <v>173962</v>
      </c>
      <c r="E100" s="10">
        <v>0</v>
      </c>
    </row>
    <row r="101" spans="2:5" ht="15" customHeight="1">
      <c r="B101" s="8">
        <v>46163</v>
      </c>
      <c r="C101" s="10">
        <v>1595293</v>
      </c>
      <c r="D101" s="10">
        <v>0</v>
      </c>
      <c r="E101" s="10">
        <v>0</v>
      </c>
    </row>
    <row r="102" spans="2:5" ht="15" customHeight="1">
      <c r="B102" s="8">
        <v>46164</v>
      </c>
      <c r="C102" s="10">
        <v>738175</v>
      </c>
      <c r="D102" s="10">
        <v>0</v>
      </c>
      <c r="E102" s="10">
        <v>0</v>
      </c>
    </row>
    <row r="103" spans="2:5" ht="15" customHeight="1">
      <c r="B103" s="8">
        <v>46165</v>
      </c>
      <c r="C103" s="10">
        <v>4562214</v>
      </c>
      <c r="D103" s="10">
        <v>0</v>
      </c>
      <c r="E103" s="10">
        <v>0</v>
      </c>
    </row>
    <row r="104" spans="2:5" ht="15" customHeight="1">
      <c r="B104" s="8">
        <v>46166</v>
      </c>
      <c r="C104" s="10">
        <v>379802</v>
      </c>
      <c r="D104" s="10">
        <v>0</v>
      </c>
      <c r="E104" s="10">
        <v>0</v>
      </c>
    </row>
    <row r="105" spans="2:5" ht="15" customHeight="1">
      <c r="B105" s="8">
        <v>46167</v>
      </c>
      <c r="C105" s="10">
        <v>6303769</v>
      </c>
      <c r="D105" s="10">
        <v>42011</v>
      </c>
      <c r="E105" s="10">
        <v>0</v>
      </c>
    </row>
    <row r="106" spans="2:5" ht="15" customHeight="1">
      <c r="B106" s="8">
        <v>46168</v>
      </c>
      <c r="C106" s="10">
        <v>20715539</v>
      </c>
      <c r="D106" s="10">
        <v>0</v>
      </c>
      <c r="E106" s="10">
        <v>0</v>
      </c>
    </row>
    <row r="107" spans="2:5" ht="15" customHeight="1">
      <c r="B107" s="8">
        <v>46169</v>
      </c>
      <c r="C107" s="10">
        <v>10225017</v>
      </c>
      <c r="D107" s="10">
        <v>24003</v>
      </c>
      <c r="E107" s="10">
        <v>0</v>
      </c>
    </row>
    <row r="108" spans="2:5" ht="15" customHeight="1">
      <c r="B108" s="8">
        <v>46170</v>
      </c>
      <c r="C108" s="10">
        <v>2044838</v>
      </c>
      <c r="D108" s="10">
        <v>0</v>
      </c>
      <c r="E108" s="10">
        <v>0</v>
      </c>
    </row>
    <row r="109" spans="2:5" ht="15" customHeight="1">
      <c r="B109" s="8">
        <v>46171</v>
      </c>
      <c r="C109" s="10">
        <v>8606090</v>
      </c>
      <c r="D109" s="10">
        <v>0</v>
      </c>
      <c r="E109" s="10">
        <v>0</v>
      </c>
    </row>
    <row r="110" spans="2:5" ht="15" customHeight="1">
      <c r="B110" s="8">
        <v>46172</v>
      </c>
      <c r="C110" s="10">
        <v>5819205</v>
      </c>
      <c r="D110" s="10">
        <v>0</v>
      </c>
      <c r="E110" s="10">
        <v>0</v>
      </c>
    </row>
    <row r="111" spans="2:5" ht="15" customHeight="1">
      <c r="B111" s="8">
        <v>46173</v>
      </c>
      <c r="C111" s="10">
        <v>2992851</v>
      </c>
      <c r="D111" s="10">
        <v>0</v>
      </c>
      <c r="E111" s="10">
        <v>0</v>
      </c>
    </row>
    <row r="112" spans="2:5" ht="15" customHeight="1">
      <c r="B112" s="9" t="s">
        <v>10</v>
      </c>
      <c r="C112" s="11">
        <v>107074183</v>
      </c>
      <c r="D112" s="11">
        <v>1827000</v>
      </c>
      <c r="E112" s="11">
        <v>217619</v>
      </c>
    </row>
    <row r="114" spans="2:2" ht="12.75">
      <c r="B114" s="5" t="s">
        <v>13</v>
      </c>
    </row>
    <row r="116" spans="2:7" ht="30" customHeight="1">
      <c r="B116" s="6" t="s">
        <v>6</v>
      </c>
      <c r="C116" s="7" t="s">
        <v>7</v>
      </c>
      <c r="D116" s="7" t="s">
        <v>8</v>
      </c>
      <c r="E116" s="7" t="s">
        <v>9</v>
      </c>
    </row>
    <row r="117" spans="2:5" ht="15" customHeight="1">
      <c r="B117" s="8">
        <v>46143</v>
      </c>
      <c r="C117" s="10">
        <v>57232</v>
      </c>
      <c r="D117" s="10">
        <v>0</v>
      </c>
      <c r="E117" s="10">
        <v>0</v>
      </c>
    </row>
    <row r="118" spans="2:5" ht="15" customHeight="1">
      <c r="B118" s="8">
        <v>46144</v>
      </c>
      <c r="C118" s="10">
        <v>43589</v>
      </c>
      <c r="D118" s="10">
        <v>0</v>
      </c>
      <c r="E118" s="10">
        <v>0</v>
      </c>
    </row>
    <row r="119" spans="2:5" ht="15" customHeight="1">
      <c r="B119" s="8">
        <v>46145</v>
      </c>
      <c r="C119" s="10">
        <v>13410</v>
      </c>
      <c r="D119" s="10">
        <v>0</v>
      </c>
      <c r="E119" s="10">
        <v>0</v>
      </c>
    </row>
    <row r="120" spans="2:5" ht="15" customHeight="1">
      <c r="B120" s="8">
        <v>46146</v>
      </c>
      <c r="C120" s="10">
        <v>68224</v>
      </c>
      <c r="D120" s="10">
        <v>0</v>
      </c>
      <c r="E120" s="10">
        <v>0</v>
      </c>
    </row>
    <row r="121" spans="2:5" ht="15" customHeight="1">
      <c r="B121" s="8">
        <v>46147</v>
      </c>
      <c r="C121" s="10">
        <v>219645</v>
      </c>
      <c r="D121" s="10">
        <v>0</v>
      </c>
      <c r="E121" s="10">
        <v>0</v>
      </c>
    </row>
    <row r="122" spans="2:5" ht="15" customHeight="1">
      <c r="B122" s="8">
        <v>46148</v>
      </c>
      <c r="C122" s="10">
        <v>17165</v>
      </c>
      <c r="D122" s="10">
        <v>0</v>
      </c>
      <c r="E122" s="10">
        <v>0</v>
      </c>
    </row>
    <row r="123" spans="2:5" ht="15" customHeight="1">
      <c r="B123" s="8">
        <v>46149</v>
      </c>
      <c r="C123" s="10">
        <v>85437</v>
      </c>
      <c r="D123" s="10">
        <v>0</v>
      </c>
      <c r="E123" s="10">
        <v>0</v>
      </c>
    </row>
    <row r="124" spans="2:5" ht="15" customHeight="1">
      <c r="B124" s="8">
        <v>46150</v>
      </c>
      <c r="C124" s="10">
        <v>23998</v>
      </c>
      <c r="D124" s="10">
        <v>0</v>
      </c>
      <c r="E124" s="10">
        <v>0</v>
      </c>
    </row>
    <row r="125" spans="2:5" ht="15" customHeight="1">
      <c r="B125" s="8">
        <v>46151</v>
      </c>
      <c r="C125" s="10">
        <v>143154</v>
      </c>
      <c r="D125" s="10">
        <v>0</v>
      </c>
      <c r="E125" s="10">
        <v>0</v>
      </c>
    </row>
    <row r="126" spans="2:5" ht="15" customHeight="1">
      <c r="B126" s="8">
        <v>46152</v>
      </c>
      <c r="C126" s="10">
        <v>178191</v>
      </c>
      <c r="D126" s="10">
        <v>0</v>
      </c>
      <c r="E126" s="10">
        <v>0</v>
      </c>
    </row>
    <row r="127" spans="2:5" ht="15" customHeight="1">
      <c r="B127" s="8">
        <v>46153</v>
      </c>
      <c r="C127" s="10">
        <v>83472</v>
      </c>
      <c r="D127" s="10">
        <v>0</v>
      </c>
      <c r="E127" s="10">
        <v>0</v>
      </c>
    </row>
    <row r="128" spans="2:5" ht="15" customHeight="1">
      <c r="B128" s="8">
        <v>46154</v>
      </c>
      <c r="C128" s="10">
        <v>47520</v>
      </c>
      <c r="D128" s="10">
        <v>0</v>
      </c>
      <c r="E128" s="10">
        <v>0</v>
      </c>
    </row>
    <row r="129" spans="2:5" ht="15" customHeight="1">
      <c r="B129" s="8">
        <v>46155</v>
      </c>
      <c r="C129" s="10">
        <v>21304</v>
      </c>
      <c r="D129" s="10">
        <v>0</v>
      </c>
      <c r="E129" s="10">
        <v>0</v>
      </c>
    </row>
    <row r="130" spans="2:5" ht="15" customHeight="1">
      <c r="B130" s="8">
        <v>46156</v>
      </c>
      <c r="C130" s="10">
        <v>28506</v>
      </c>
      <c r="D130" s="10">
        <v>0</v>
      </c>
      <c r="E130" s="10">
        <v>0</v>
      </c>
    </row>
    <row r="131" spans="2:5" ht="15" customHeight="1">
      <c r="B131" s="8">
        <v>46157</v>
      </c>
      <c r="C131" s="10">
        <v>51042</v>
      </c>
      <c r="D131" s="10">
        <v>0</v>
      </c>
      <c r="E131" s="10">
        <v>0</v>
      </c>
    </row>
    <row r="132" spans="2:5" ht="15" customHeight="1">
      <c r="B132" s="8">
        <v>46158</v>
      </c>
      <c r="C132" s="10">
        <v>549959</v>
      </c>
      <c r="D132" s="10">
        <v>0</v>
      </c>
      <c r="E132" s="10">
        <v>0</v>
      </c>
    </row>
    <row r="133" spans="2:5" ht="15" customHeight="1">
      <c r="B133" s="8">
        <v>46159</v>
      </c>
      <c r="C133" s="10">
        <v>5410</v>
      </c>
      <c r="D133" s="10">
        <v>0</v>
      </c>
      <c r="E133" s="10">
        <v>0</v>
      </c>
    </row>
    <row r="134" spans="2:5" ht="15" customHeight="1">
      <c r="B134" s="8">
        <v>46160</v>
      </c>
      <c r="C134" s="10">
        <v>14642</v>
      </c>
      <c r="D134" s="10">
        <v>0</v>
      </c>
      <c r="E134" s="10">
        <v>0</v>
      </c>
    </row>
    <row r="135" spans="2:5" ht="15" customHeight="1">
      <c r="B135" s="8">
        <v>46161</v>
      </c>
      <c r="C135" s="10">
        <v>80707</v>
      </c>
      <c r="D135" s="10">
        <v>0</v>
      </c>
      <c r="E135" s="10">
        <v>0</v>
      </c>
    </row>
    <row r="136" spans="2:5" ht="15" customHeight="1">
      <c r="B136" s="8">
        <v>46162</v>
      </c>
      <c r="C136" s="10">
        <v>184367</v>
      </c>
      <c r="D136" s="10">
        <v>0</v>
      </c>
      <c r="E136" s="10">
        <v>0</v>
      </c>
    </row>
    <row r="137" spans="2:5" ht="15" customHeight="1">
      <c r="B137" s="8">
        <v>46163</v>
      </c>
      <c r="C137" s="10">
        <v>27533</v>
      </c>
      <c r="D137" s="10">
        <v>0</v>
      </c>
      <c r="E137" s="10">
        <v>0</v>
      </c>
    </row>
    <row r="138" spans="2:5" ht="15" customHeight="1">
      <c r="B138" s="8">
        <v>46164</v>
      </c>
      <c r="C138" s="10">
        <v>11888</v>
      </c>
      <c r="D138" s="10">
        <v>0</v>
      </c>
      <c r="E138" s="10">
        <v>0</v>
      </c>
    </row>
    <row r="139" spans="2:5" ht="15" customHeight="1">
      <c r="B139" s="8">
        <v>46165</v>
      </c>
      <c r="C139" s="10">
        <v>898683</v>
      </c>
      <c r="D139" s="10">
        <v>0</v>
      </c>
      <c r="E139" s="10">
        <v>0</v>
      </c>
    </row>
    <row r="140" spans="2:5" ht="15" customHeight="1">
      <c r="B140" s="8">
        <v>46166</v>
      </c>
      <c r="C140" s="10">
        <v>112675</v>
      </c>
      <c r="D140" s="10">
        <v>0</v>
      </c>
      <c r="E140" s="10">
        <v>0</v>
      </c>
    </row>
    <row r="141" spans="2:5" ht="15" customHeight="1">
      <c r="B141" s="8">
        <v>46167</v>
      </c>
      <c r="C141" s="10">
        <v>128266</v>
      </c>
      <c r="D141" s="10">
        <v>0</v>
      </c>
      <c r="E141" s="10">
        <v>0</v>
      </c>
    </row>
    <row r="142" spans="2:5" ht="15" customHeight="1">
      <c r="B142" s="8">
        <v>46168</v>
      </c>
      <c r="C142" s="10">
        <v>586439</v>
      </c>
      <c r="D142" s="10">
        <v>0</v>
      </c>
      <c r="E142" s="10">
        <v>0</v>
      </c>
    </row>
    <row r="143" spans="2:5" ht="15" customHeight="1">
      <c r="B143" s="8">
        <v>46169</v>
      </c>
      <c r="C143" s="10">
        <v>126924</v>
      </c>
      <c r="D143" s="10">
        <v>0</v>
      </c>
      <c r="E143" s="10">
        <v>0</v>
      </c>
    </row>
    <row r="144" spans="2:5" ht="15" customHeight="1">
      <c r="B144" s="8">
        <v>46170</v>
      </c>
      <c r="C144" s="10">
        <v>393003</v>
      </c>
      <c r="D144" s="10">
        <v>0</v>
      </c>
      <c r="E144" s="10">
        <v>0</v>
      </c>
    </row>
    <row r="145" spans="2:5" ht="15" customHeight="1">
      <c r="B145" s="8">
        <v>46171</v>
      </c>
      <c r="C145" s="10">
        <v>321569</v>
      </c>
      <c r="D145" s="10">
        <v>0</v>
      </c>
      <c r="E145" s="10">
        <v>0</v>
      </c>
    </row>
    <row r="146" spans="2:5" ht="15" customHeight="1">
      <c r="B146" s="8">
        <v>46172</v>
      </c>
      <c r="C146" s="10">
        <v>107961</v>
      </c>
      <c r="D146" s="10">
        <v>0</v>
      </c>
      <c r="E146" s="10">
        <v>0</v>
      </c>
    </row>
    <row r="147" spans="2:5" ht="15" customHeight="1">
      <c r="B147" s="8">
        <v>46173</v>
      </c>
      <c r="C147" s="10">
        <v>113785</v>
      </c>
      <c r="D147" s="10">
        <v>0</v>
      </c>
      <c r="E147" s="10">
        <v>0</v>
      </c>
    </row>
    <row r="148" spans="2:5" ht="15" customHeight="1">
      <c r="B148" s="9" t="s">
        <v>10</v>
      </c>
      <c r="C148" s="11">
        <v>4745700</v>
      </c>
      <c r="D148" s="11">
        <v>0</v>
      </c>
      <c r="E148" s="11">
        <v>0</v>
      </c>
    </row>
    <row r="150" spans="2:2" ht="12.75">
      <c r="B150" s="5" t="s">
        <v>14</v>
      </c>
    </row>
    <row r="152" spans="2:7" ht="30" customHeight="1">
      <c r="B152" s="6" t="s">
        <v>6</v>
      </c>
      <c r="C152" s="7" t="s">
        <v>7</v>
      </c>
      <c r="D152" s="7" t="s">
        <v>8</v>
      </c>
      <c r="E152" s="7" t="s">
        <v>9</v>
      </c>
    </row>
    <row r="153" spans="2:5" ht="15" customHeight="1">
      <c r="B153" s="8">
        <v>46143</v>
      </c>
      <c r="C153" s="10">
        <v>628</v>
      </c>
      <c r="D153" s="10">
        <v>0</v>
      </c>
      <c r="E153" s="10">
        <v>0</v>
      </c>
    </row>
    <row r="154" spans="2:5" ht="15" customHeight="1">
      <c r="B154" s="8">
        <v>46144</v>
      </c>
      <c r="C154" s="10">
        <v>1142</v>
      </c>
      <c r="D154" s="10">
        <v>0</v>
      </c>
      <c r="E154" s="10">
        <v>0</v>
      </c>
    </row>
    <row r="155" spans="2:5" ht="15" customHeight="1">
      <c r="B155" s="8">
        <v>46145</v>
      </c>
      <c r="C155" s="10">
        <v>203</v>
      </c>
      <c r="D155" s="10">
        <v>0</v>
      </c>
      <c r="E155" s="10">
        <v>0</v>
      </c>
    </row>
    <row r="156" spans="2:5" ht="15" customHeight="1">
      <c r="B156" s="8">
        <v>46146</v>
      </c>
      <c r="C156" s="10">
        <v>546</v>
      </c>
      <c r="D156" s="10">
        <v>0</v>
      </c>
      <c r="E156" s="10">
        <v>0</v>
      </c>
    </row>
    <row r="157" spans="2:5" ht="15" customHeight="1">
      <c r="B157" s="8">
        <v>46147</v>
      </c>
      <c r="C157" s="10">
        <v>3217</v>
      </c>
      <c r="D157" s="10">
        <v>0</v>
      </c>
      <c r="E157" s="10">
        <v>0</v>
      </c>
    </row>
    <row r="158" spans="2:5" ht="15" customHeight="1">
      <c r="B158" s="8">
        <v>46148</v>
      </c>
      <c r="C158" s="10">
        <v>326</v>
      </c>
      <c r="D158" s="10">
        <v>0</v>
      </c>
      <c r="E158" s="10">
        <v>0</v>
      </c>
    </row>
    <row r="159" spans="2:5" ht="15" customHeight="1">
      <c r="B159" s="8">
        <v>46149</v>
      </c>
      <c r="C159" s="10">
        <v>1136</v>
      </c>
      <c r="D159" s="10">
        <v>0</v>
      </c>
      <c r="E159" s="10">
        <v>0</v>
      </c>
    </row>
    <row r="160" spans="2:5" ht="15" customHeight="1">
      <c r="B160" s="8">
        <v>46150</v>
      </c>
      <c r="C160" s="10">
        <v>382</v>
      </c>
      <c r="D160" s="10">
        <v>0</v>
      </c>
      <c r="E160" s="10">
        <v>0</v>
      </c>
    </row>
    <row r="161" spans="2:5" ht="15" customHeight="1">
      <c r="B161" s="8">
        <v>46151</v>
      </c>
      <c r="C161" s="10">
        <v>675</v>
      </c>
      <c r="D161" s="10">
        <v>0</v>
      </c>
      <c r="E161" s="10">
        <v>0</v>
      </c>
    </row>
    <row r="162" spans="2:5" ht="15" customHeight="1">
      <c r="B162" s="8">
        <v>46152</v>
      </c>
      <c r="C162" s="10">
        <v>2582</v>
      </c>
      <c r="D162" s="10">
        <v>0</v>
      </c>
      <c r="E162" s="10">
        <v>0</v>
      </c>
    </row>
    <row r="163" spans="2:5" ht="15" customHeight="1">
      <c r="B163" s="8">
        <v>46153</v>
      </c>
      <c r="C163" s="10">
        <v>1969</v>
      </c>
      <c r="D163" s="10">
        <v>0</v>
      </c>
      <c r="E163" s="10">
        <v>0</v>
      </c>
    </row>
    <row r="164" spans="2:5" ht="15" customHeight="1">
      <c r="B164" s="8">
        <v>46154</v>
      </c>
      <c r="C164" s="10">
        <v>744</v>
      </c>
      <c r="D164" s="10">
        <v>0</v>
      </c>
      <c r="E164" s="10">
        <v>0</v>
      </c>
    </row>
    <row r="165" spans="2:5" ht="15" customHeight="1">
      <c r="B165" s="8">
        <v>46155</v>
      </c>
      <c r="C165" s="10">
        <v>912</v>
      </c>
      <c r="D165" s="10">
        <v>0</v>
      </c>
      <c r="E165" s="10">
        <v>0</v>
      </c>
    </row>
    <row r="166" spans="2:5" ht="15" customHeight="1">
      <c r="B166" s="8">
        <v>46156</v>
      </c>
      <c r="C166" s="10">
        <v>670</v>
      </c>
      <c r="D166" s="10">
        <v>0</v>
      </c>
      <c r="E166" s="10">
        <v>0</v>
      </c>
    </row>
    <row r="167" spans="2:5" ht="15" customHeight="1">
      <c r="B167" s="8">
        <v>46157</v>
      </c>
      <c r="C167" s="10">
        <v>976</v>
      </c>
      <c r="D167" s="10">
        <v>0</v>
      </c>
      <c r="E167" s="10">
        <v>0</v>
      </c>
    </row>
    <row r="168" spans="2:5" ht="15" customHeight="1">
      <c r="B168" s="8">
        <v>46158</v>
      </c>
      <c r="C168" s="10">
        <v>7507</v>
      </c>
      <c r="D168" s="10">
        <v>0</v>
      </c>
      <c r="E168" s="10">
        <v>0</v>
      </c>
    </row>
    <row r="169" spans="2:5" ht="15" customHeight="1">
      <c r="B169" s="8">
        <v>46159</v>
      </c>
      <c r="C169" s="10">
        <v>204</v>
      </c>
      <c r="D169" s="10">
        <v>0</v>
      </c>
      <c r="E169" s="10">
        <v>0</v>
      </c>
    </row>
    <row r="170" spans="2:5" ht="15" customHeight="1">
      <c r="B170" s="8">
        <v>46160</v>
      </c>
      <c r="C170" s="10">
        <v>460</v>
      </c>
      <c r="D170" s="10">
        <v>0</v>
      </c>
      <c r="E170" s="10">
        <v>0</v>
      </c>
    </row>
    <row r="171" spans="2:5" ht="15" customHeight="1">
      <c r="B171" s="8">
        <v>46161</v>
      </c>
      <c r="C171" s="10">
        <v>1137</v>
      </c>
      <c r="D171" s="10">
        <v>0</v>
      </c>
      <c r="E171" s="10">
        <v>0</v>
      </c>
    </row>
    <row r="172" spans="2:5" ht="15" customHeight="1">
      <c r="B172" s="8">
        <v>46162</v>
      </c>
      <c r="C172" s="10">
        <v>4762</v>
      </c>
      <c r="D172" s="10">
        <v>1</v>
      </c>
      <c r="E172" s="10">
        <v>0</v>
      </c>
    </row>
    <row r="173" spans="2:5" ht="15" customHeight="1">
      <c r="B173" s="8">
        <v>46163</v>
      </c>
      <c r="C173" s="10">
        <v>1002</v>
      </c>
      <c r="D173" s="10">
        <v>0</v>
      </c>
      <c r="E173" s="10">
        <v>0</v>
      </c>
    </row>
    <row r="174" spans="2:5" ht="15" customHeight="1">
      <c r="B174" s="8">
        <v>46164</v>
      </c>
      <c r="C174" s="10">
        <v>464</v>
      </c>
      <c r="D174" s="10">
        <v>0</v>
      </c>
      <c r="E174" s="10">
        <v>0</v>
      </c>
    </row>
    <row r="175" spans="2:5" ht="15" customHeight="1">
      <c r="B175" s="8">
        <v>46165</v>
      </c>
      <c r="C175" s="10">
        <v>6469</v>
      </c>
      <c r="D175" s="10">
        <v>0</v>
      </c>
      <c r="E175" s="10">
        <v>0</v>
      </c>
    </row>
    <row r="176" spans="2:5" ht="15" customHeight="1">
      <c r="B176" s="8">
        <v>46166</v>
      </c>
      <c r="C176" s="10">
        <v>794</v>
      </c>
      <c r="D176" s="10">
        <v>0</v>
      </c>
      <c r="E176" s="10">
        <v>0</v>
      </c>
    </row>
    <row r="177" spans="2:5" ht="15" customHeight="1">
      <c r="B177" s="8">
        <v>46167</v>
      </c>
      <c r="C177" s="10">
        <v>1127</v>
      </c>
      <c r="D177" s="10">
        <v>0</v>
      </c>
      <c r="E177" s="10">
        <v>0</v>
      </c>
    </row>
    <row r="178" spans="2:5" ht="15" customHeight="1">
      <c r="B178" s="8">
        <v>46168</v>
      </c>
      <c r="C178" s="10">
        <v>4964</v>
      </c>
      <c r="D178" s="10">
        <v>0</v>
      </c>
      <c r="E178" s="10">
        <v>0</v>
      </c>
    </row>
    <row r="179" spans="2:5" ht="15" customHeight="1">
      <c r="B179" s="8">
        <v>46169</v>
      </c>
      <c r="C179" s="10">
        <v>2777</v>
      </c>
      <c r="D179" s="10">
        <v>0</v>
      </c>
      <c r="E179" s="10">
        <v>0</v>
      </c>
    </row>
    <row r="180" spans="2:5" ht="15" customHeight="1">
      <c r="B180" s="8">
        <v>46170</v>
      </c>
      <c r="C180" s="10">
        <v>3070</v>
      </c>
      <c r="D180" s="10">
        <v>0</v>
      </c>
      <c r="E180" s="10">
        <v>0</v>
      </c>
    </row>
    <row r="181" spans="2:5" ht="15" customHeight="1">
      <c r="B181" s="8">
        <v>46171</v>
      </c>
      <c r="C181" s="10">
        <v>4043</v>
      </c>
      <c r="D181" s="10">
        <v>0</v>
      </c>
      <c r="E181" s="10">
        <v>0</v>
      </c>
    </row>
    <row r="182" spans="2:5" ht="15" customHeight="1">
      <c r="B182" s="8">
        <v>46172</v>
      </c>
      <c r="C182" s="10">
        <v>1212</v>
      </c>
      <c r="D182" s="10">
        <v>0</v>
      </c>
      <c r="E182" s="10">
        <v>0</v>
      </c>
    </row>
    <row r="183" spans="2:5" ht="15" customHeight="1">
      <c r="B183" s="8">
        <v>46173</v>
      </c>
      <c r="C183" s="10">
        <v>1134</v>
      </c>
      <c r="D183" s="10">
        <v>0</v>
      </c>
      <c r="E183" s="10">
        <v>0</v>
      </c>
    </row>
    <row r="184" spans="2:5" ht="15" customHeight="1">
      <c r="B184" s="9" t="s">
        <v>10</v>
      </c>
      <c r="C184" s="11">
        <v>57234</v>
      </c>
      <c r="D184" s="11">
        <v>1</v>
      </c>
      <c r="E184" s="11">
        <v>0</v>
      </c>
    </row>
  </sheetData>
  <hyperlinks>
    <hyperlink ref="C1" location="Содержание!B4" display="К содержанию"/>
  </hyperlink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6e45cf4-7b07-46f2-a313-39c34434c513}">
  <dimension ref="B1:H25"/>
  <sheetViews>
    <sheetView showGridLines="0" workbookViewId="0" topLeftCell="A1"/>
  </sheetViews>
  <sheetFormatPr defaultRowHeight="12.75"/>
  <cols>
    <col min="1" max="1" width="4.714285714285714" customWidth="1"/>
    <col min="2" max="2" width="22.714285714285715" customWidth="1"/>
    <col min="3" max="10" width="17.857142857142858" customWidth="1"/>
  </cols>
  <sheetData>
    <row r="1" spans="2:3" s="1" customFormat="1" ht="30" customHeight="1">
      <c r="B1" s="1" t="s">
        <v>0</v>
      </c>
      <c r="C1" s="4" t="s">
        <v>2</v>
      </c>
    </row>
    <row r="4" spans="2:2" ht="12.75">
      <c r="B4" s="2" t="s">
        <v>15</v>
      </c>
    </row>
    <row r="6" spans="2:6" ht="13" customHeight="1"/>
    <row r="7" ht="13" customHeight="1"/>
    <row r="8" ht="13" customHeight="1"/>
    <row r="9" ht="13" customHeight="1"/>
    <row r="10" ht="13" customHeight="1"/>
    <row r="11" ht="13" customHeight="1"/>
    <row r="12" ht="13" customHeight="1"/>
    <row r="13" ht="13" customHeight="1"/>
    <row r="14" ht="13" customHeight="1"/>
    <row r="15" ht="13" customHeight="1"/>
    <row r="16" ht="13" customHeight="1"/>
    <row r="17" ht="13" customHeight="1"/>
    <row r="18" ht="13" customHeight="1"/>
    <row r="19" ht="13" customHeight="1"/>
    <row r="20" ht="13" customHeight="1"/>
    <row r="21" ht="13" customHeight="1"/>
    <row r="22" spans="2:8" ht="30" customHeight="1">
      <c r="B22" s="6" t="s">
        <v>16</v>
      </c>
      <c r="C22" s="7" t="s">
        <v>17</v>
      </c>
      <c r="D22" s="7" t="s">
        <v>18</v>
      </c>
      <c r="E22" s="7" t="s">
        <v>19</v>
      </c>
      <c r="F22" s="7" t="s">
        <v>20</v>
      </c>
      <c r="G22" s="7" t="s">
        <v>21</v>
      </c>
      <c r="H22" s="7" t="s">
        <v>22</v>
      </c>
    </row>
    <row r="23" spans="2:8" ht="15" customHeight="1">
      <c r="B23" s="12" t="s">
        <v>7</v>
      </c>
      <c r="C23" s="10">
        <v>111</v>
      </c>
      <c r="D23" s="10">
        <v>2019</v>
      </c>
      <c r="E23" s="10">
        <v>11</v>
      </c>
      <c r="F23" s="13">
        <f>IF(SUM(C23,D23,E23)=0,0,C23/SUM(C23,D23,E23))</f>
      </c>
      <c r="G23" s="13">
        <f>IF(SUM(C23,D23,E23)=0,0,D23/SUM(C23,D23,E23))</f>
      </c>
      <c r="H23" s="13">
        <f>IF(SUM(C23,D23,E23)=0,0,E23/SUM(C23,D23,E23))</f>
      </c>
    </row>
    <row r="24" spans="2:8" ht="15" customHeight="1">
      <c r="B24" s="12" t="s">
        <v>8</v>
      </c>
      <c r="C24" s="10">
        <v>4</v>
      </c>
      <c r="D24" s="10">
        <v>5</v>
      </c>
      <c r="E24" s="10">
        <v>0</v>
      </c>
      <c r="F24" s="13">
        <f>IF(SUM(C24,D24,E24)=0,0,C24/SUM(C24,D24,E24))</f>
      </c>
      <c r="G24" s="13">
        <f>IF(SUM(C24,D24,E24)=0,0,D24/SUM(C24,D24,E24))</f>
      </c>
      <c r="H24" s="13">
        <f>IF(SUM(C24,D24,E24)=0,0,E24/SUM(C24,D24,E24))</f>
      </c>
    </row>
    <row r="25" spans="2:8" ht="15" customHeight="1">
      <c r="B25" s="12" t="s">
        <v>9</v>
      </c>
      <c r="C25" s="10">
        <v>1</v>
      </c>
      <c r="D25" s="10">
        <v>2</v>
      </c>
      <c r="E25" s="10">
        <v>0</v>
      </c>
      <c r="F25" s="13">
        <f>IF(SUM(C25,D25,E25)=0,0,C25/SUM(C25,D25,E25))</f>
      </c>
      <c r="G25" s="13">
        <f>IF(SUM(C25,D25,E25)=0,0,D25/SUM(C25,D25,E25))</f>
      </c>
      <c r="H25" s="13">
        <f>IF(SUM(C25,D25,E25)=0,0,E25/SUM(C25,D25,E25))</f>
      </c>
    </row>
  </sheetData>
  <hyperlinks>
    <hyperlink ref="C1" location="Содержание!B4" display="К содержанию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89f7451-0787-4677-b9f6-fe64d89911d9}">
  <dimension ref="B1:C31"/>
  <sheetViews>
    <sheetView showGridLines="0" workbookViewId="0" topLeftCell="A1"/>
  </sheetViews>
  <sheetFormatPr defaultRowHeight="12.75"/>
  <cols>
    <col min="1" max="1" width="4.714285714285714" customWidth="1"/>
    <col min="2" max="2" width="22.714285714285715" customWidth="1"/>
    <col min="3" max="7" width="17.857142857142858" customWidth="1"/>
  </cols>
  <sheetData>
    <row r="1" spans="2:3" s="1" customFormat="1" ht="30" customHeight="1">
      <c r="B1" s="1" t="s">
        <v>0</v>
      </c>
      <c r="C1" s="4" t="s">
        <v>2</v>
      </c>
    </row>
    <row r="4" spans="2:2" ht="12.75">
      <c r="B4" s="2" t="s">
        <v>23</v>
      </c>
    </row>
    <row r="6" spans="2:2" ht="13" customHeight="1"/>
    <row r="7" ht="13" customHeight="1"/>
    <row r="8" ht="13" customHeight="1"/>
    <row r="9" ht="13" customHeight="1"/>
    <row r="10" ht="13" customHeight="1"/>
    <row r="11" ht="13" customHeight="1"/>
    <row r="12" ht="13" customHeight="1"/>
    <row r="13" ht="13" customHeight="1"/>
    <row r="14" ht="13" customHeight="1"/>
    <row r="15" ht="13" customHeight="1"/>
    <row r="16" ht="13" customHeight="1"/>
    <row r="17" ht="13" customHeight="1"/>
    <row r="18" ht="13" customHeight="1"/>
    <row r="19" ht="13" customHeight="1"/>
    <row r="20" ht="13" customHeight="1"/>
    <row r="21" ht="13" customHeight="1"/>
    <row r="22" ht="13" customHeight="1"/>
    <row r="23" ht="13" customHeight="1"/>
    <row r="24" ht="13" customHeight="1"/>
    <row r="25" ht="13" customHeight="1"/>
    <row r="26" ht="13" customHeight="1"/>
    <row r="27" ht="13" customHeight="1"/>
    <row r="28" ht="13" customHeight="1"/>
    <row r="29" ht="13" customHeight="1"/>
    <row r="30" ht="13" customHeight="1"/>
    <row r="31" spans="2:2" ht="30" customHeight="1">
      <c r="B31" s="6" t="s">
        <v>23</v>
      </c>
    </row>
  </sheetData>
  <hyperlinks>
    <hyperlink ref="C1" location="Содержание!B4" display="К содержанию"/>
  </hyperlink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439930f-0a67-4b61-b061-265b7a46a54c}">
  <dimension ref="B1:E101"/>
  <sheetViews>
    <sheetView showGridLines="0" workbookViewId="0" topLeftCell="A1"/>
  </sheetViews>
  <sheetFormatPr defaultRowHeight="12.75"/>
  <cols>
    <col min="1" max="1" width="4.714285714285714" customWidth="1"/>
    <col min="2" max="2" width="22.714285714285715" customWidth="1"/>
    <col min="3" max="7" width="17.857142857142858" customWidth="1"/>
  </cols>
  <sheetData>
    <row r="1" spans="2:3" s="1" customFormat="1" ht="30" customHeight="1">
      <c r="B1" s="1" t="s">
        <v>0</v>
      </c>
      <c r="C1" s="4" t="s">
        <v>2</v>
      </c>
    </row>
    <row r="4" spans="2:2" ht="12.75">
      <c r="B4" s="2" t="s">
        <v>24</v>
      </c>
    </row>
    <row r="6" spans="2:2" ht="13" customHeight="1"/>
    <row r="7" ht="13" customHeight="1"/>
    <row r="8" ht="13" customHeight="1"/>
    <row r="9" ht="13" customHeight="1"/>
    <row r="10" ht="13" customHeight="1"/>
    <row r="11" ht="13" customHeight="1"/>
    <row r="12" ht="13" customHeight="1"/>
    <row r="13" ht="13" customHeight="1"/>
    <row r="14" ht="13" customHeight="1"/>
    <row r="15" ht="13" customHeight="1"/>
    <row r="16" ht="13" customHeight="1"/>
    <row r="17" ht="13" customHeight="1"/>
    <row r="18" ht="13" customHeight="1"/>
    <row r="19" ht="13" customHeight="1"/>
    <row r="20" ht="13" customHeight="1"/>
    <row r="21" ht="13" customHeight="1"/>
    <row r="22" ht="13" customHeight="1"/>
    <row r="23" ht="13" customHeight="1"/>
    <row r="24" ht="13" customHeight="1"/>
    <row r="25" ht="13" customHeight="1"/>
    <row r="26" ht="13" customHeight="1"/>
    <row r="27" ht="13" customHeight="1"/>
    <row r="28" ht="13" customHeight="1"/>
    <row r="29" ht="13" customHeight="1"/>
    <row r="30" ht="13" customHeight="1"/>
    <row r="31" spans="2:5" ht="30" customHeight="1">
      <c r="B31" s="6" t="s">
        <v>28</v>
      </c>
      <c r="C31" s="7" t="s">
        <v>7</v>
      </c>
      <c r="D31" s="7" t="s">
        <v>8</v>
      </c>
      <c r="E31" s="7" t="s">
        <v>9</v>
      </c>
    </row>
    <row r="32" spans="2:5" ht="12.75">
      <c r="B32" s="12" t="s">
        <v>29</v>
      </c>
      <c r="C32" s="10">
        <v>103</v>
      </c>
      <c r="D32" s="10">
        <v>2</v>
      </c>
      <c r="E32" s="10">
        <v>0</v>
      </c>
    </row>
    <row r="33" spans="2:5" ht="12.75">
      <c r="B33" s="12" t="s">
        <v>30</v>
      </c>
      <c r="C33" s="10">
        <v>7</v>
      </c>
      <c r="D33" s="10">
        <v>0</v>
      </c>
      <c r="E33" s="10">
        <v>0</v>
      </c>
    </row>
    <row r="34" spans="2:5" ht="12.75">
      <c r="B34" s="12" t="s">
        <v>31</v>
      </c>
      <c r="C34" s="10">
        <v>6</v>
      </c>
      <c r="D34" s="10">
        <v>0</v>
      </c>
      <c r="E34" s="10">
        <v>0</v>
      </c>
    </row>
    <row r="35" spans="2:5" ht="12.75">
      <c r="B35" s="12" t="s">
        <v>32</v>
      </c>
      <c r="C35" s="10">
        <v>1</v>
      </c>
      <c r="D35" s="10">
        <v>0</v>
      </c>
      <c r="E35" s="10">
        <v>0</v>
      </c>
    </row>
    <row r="36" spans="2:5" ht="12.75">
      <c r="B36" s="12" t="s">
        <v>33</v>
      </c>
      <c r="C36" s="10">
        <v>4</v>
      </c>
      <c r="D36" s="10">
        <v>0</v>
      </c>
      <c r="E36" s="10">
        <v>0</v>
      </c>
    </row>
    <row r="37" spans="2:5" ht="12.75">
      <c r="B37" s="14" t="s">
        <v>10</v>
      </c>
      <c r="C37" s="11">
        <f>SUM(C32:C36)</f>
      </c>
      <c r="D37" s="11">
        <f>SUM(D32:D36)</f>
      </c>
      <c r="E37" s="11">
        <f>SUM(E32:E36)</f>
      </c>
    </row>
    <row r="38" spans="2:5" ht="13" customHeight="1">
      <c r="B38" s="14" t="s">
        <v>34</v>
      </c>
      <c r="C38" s="15">
        <f>IF(C37=0,0,SUM(C32*5,C33*4,C34*3,C35*2,C36*1)/C37)</f>
      </c>
      <c r="D38" s="15">
        <f>IF(D37=0,0,SUM(D32*5,D33*4,D34*3,D35*2,D36*1)/D37)</f>
      </c>
      <c r="E38" s="15">
        <f>IF(E37=0,0,SUM(E32*5,E33*4,E34*3,E35*2,E36*1)/E37)</f>
      </c>
    </row>
    <row r="39" ht="13" customHeight="1"/>
    <row r="40" ht="13" customHeight="1"/>
    <row r="41" ht="13" customHeight="1"/>
    <row r="42" spans="2:2" ht="13" customHeight="1"/>
    <row r="43" ht="13" customHeight="1"/>
    <row r="44" ht="13" customHeight="1"/>
    <row r="45" ht="13" customHeight="1"/>
    <row r="46" ht="13" customHeight="1"/>
    <row r="47" ht="13" customHeight="1"/>
    <row r="48" ht="13" customHeight="1"/>
    <row r="49" ht="13" customHeight="1"/>
    <row r="50" ht="13" customHeight="1"/>
    <row r="51" ht="13" customHeight="1"/>
    <row r="52" ht="13" customHeight="1"/>
    <row r="53" ht="13" customHeight="1"/>
    <row r="54" ht="13" customHeight="1"/>
    <row r="55" ht="13" customHeight="1"/>
    <row r="56" ht="13" customHeight="1"/>
    <row r="57" ht="13" customHeight="1"/>
    <row r="58" ht="13" customHeight="1"/>
    <row r="59" ht="13" customHeight="1"/>
    <row r="60" ht="13" customHeight="1"/>
    <row r="61" ht="13" customHeight="1"/>
    <row r="62" ht="13" customHeight="1"/>
    <row r="63" ht="13" customHeight="1"/>
    <row r="64" ht="13" customHeight="1"/>
    <row r="65" ht="13" customHeight="1"/>
    <row r="66" ht="13" customHeight="1"/>
    <row r="67" spans="2:2" ht="13" customHeight="1">
      <c r="B67" s="5" t="s">
        <v>34</v>
      </c>
    </row>
    <row r="68" ht="13" customHeight="1"/>
    <row r="69" spans="2:5" ht="30" customHeight="1">
      <c r="B69" s="6" t="s">
        <v>6</v>
      </c>
      <c r="C69" s="7" t="s">
        <v>7</v>
      </c>
      <c r="D69" s="7" t="s">
        <v>8</v>
      </c>
      <c r="E69" s="7" t="s">
        <v>9</v>
      </c>
    </row>
    <row r="70" spans="2:5" ht="15" customHeight="1">
      <c r="B70" s="8">
        <v>46143</v>
      </c>
      <c r="C70" s="16">
        <v>5</v>
      </c>
      <c r="D70" s="16">
        <v>0</v>
      </c>
      <c r="E70" s="16">
        <v>0</v>
      </c>
    </row>
    <row r="71" spans="2:5" ht="15" customHeight="1">
      <c r="B71" s="8">
        <v>46144</v>
      </c>
      <c r="C71" s="16">
        <v>4.4000000000000004</v>
      </c>
      <c r="D71" s="16">
        <v>0</v>
      </c>
      <c r="E71" s="16">
        <v>0</v>
      </c>
    </row>
    <row r="72" spans="2:5" ht="15" customHeight="1">
      <c r="B72" s="8">
        <v>46145</v>
      </c>
      <c r="C72" s="16">
        <v>0</v>
      </c>
      <c r="D72" s="16">
        <v>0</v>
      </c>
      <c r="E72" s="16">
        <v>0</v>
      </c>
    </row>
    <row r="73" spans="2:5" ht="15" customHeight="1">
      <c r="B73" s="8">
        <v>46146</v>
      </c>
      <c r="C73" s="16">
        <v>4.666666666666667</v>
      </c>
      <c r="D73" s="16">
        <v>0</v>
      </c>
      <c r="E73" s="16">
        <v>0</v>
      </c>
    </row>
    <row r="74" spans="2:5" ht="15" customHeight="1">
      <c r="B74" s="8">
        <v>46147</v>
      </c>
      <c r="C74" s="16">
        <v>3</v>
      </c>
      <c r="D74" s="16">
        <v>0</v>
      </c>
      <c r="E74" s="16">
        <v>0</v>
      </c>
    </row>
    <row r="75" spans="2:5" ht="15" customHeight="1">
      <c r="B75" s="8">
        <v>46148</v>
      </c>
      <c r="C75" s="16">
        <v>5</v>
      </c>
      <c r="D75" s="16">
        <v>5</v>
      </c>
      <c r="E75" s="16">
        <v>0</v>
      </c>
    </row>
    <row r="76" spans="2:5" ht="15" customHeight="1">
      <c r="B76" s="8">
        <v>46149</v>
      </c>
      <c r="C76" s="16">
        <v>4.75</v>
      </c>
      <c r="D76" s="16">
        <v>5</v>
      </c>
      <c r="E76" s="16">
        <v>0</v>
      </c>
    </row>
    <row r="77" spans="2:5" ht="15" customHeight="1">
      <c r="B77" s="8">
        <v>46150</v>
      </c>
      <c r="C77" s="16">
        <v>5</v>
      </c>
      <c r="D77" s="16">
        <v>0</v>
      </c>
      <c r="E77" s="16">
        <v>0</v>
      </c>
    </row>
    <row r="78" spans="2:5" ht="15" customHeight="1">
      <c r="B78" s="8">
        <v>46151</v>
      </c>
      <c r="C78" s="16">
        <v>5</v>
      </c>
      <c r="D78" s="16">
        <v>0</v>
      </c>
      <c r="E78" s="16">
        <v>0</v>
      </c>
    </row>
    <row r="79" spans="2:5" ht="15" customHeight="1">
      <c r="B79" s="8">
        <v>46152</v>
      </c>
      <c r="C79" s="16">
        <v>5</v>
      </c>
      <c r="D79" s="16">
        <v>0</v>
      </c>
      <c r="E79" s="16">
        <v>0</v>
      </c>
    </row>
    <row r="80" spans="2:5" ht="15" customHeight="1">
      <c r="B80" s="8">
        <v>46153</v>
      </c>
      <c r="C80" s="16">
        <v>4.5999999999999996</v>
      </c>
      <c r="D80" s="16">
        <v>0</v>
      </c>
      <c r="E80" s="16">
        <v>0</v>
      </c>
    </row>
    <row r="81" spans="2:5" ht="15" customHeight="1">
      <c r="B81" s="8">
        <v>46154</v>
      </c>
      <c r="C81" s="16">
        <v>5</v>
      </c>
      <c r="D81" s="16">
        <v>0</v>
      </c>
      <c r="E81" s="16">
        <v>0</v>
      </c>
    </row>
    <row r="82" spans="2:5" ht="15" customHeight="1">
      <c r="B82" s="8">
        <v>46155</v>
      </c>
      <c r="C82" s="16">
        <v>5</v>
      </c>
      <c r="D82" s="16">
        <v>0</v>
      </c>
      <c r="E82" s="16">
        <v>0</v>
      </c>
    </row>
    <row r="83" spans="2:5" ht="15" customHeight="1">
      <c r="B83" s="8">
        <v>46156</v>
      </c>
      <c r="C83" s="16">
        <v>3.3333333333333335</v>
      </c>
      <c r="D83" s="16">
        <v>0</v>
      </c>
      <c r="E83" s="16">
        <v>0</v>
      </c>
    </row>
    <row r="84" spans="2:5" ht="15" customHeight="1">
      <c r="B84" s="8">
        <v>46157</v>
      </c>
      <c r="C84" s="16">
        <v>4.5714285714285712</v>
      </c>
      <c r="D84" s="16">
        <v>0</v>
      </c>
      <c r="E84" s="16">
        <v>0</v>
      </c>
    </row>
    <row r="85" spans="2:5" ht="15" customHeight="1">
      <c r="B85" s="8">
        <v>46158</v>
      </c>
      <c r="C85" s="16">
        <v>4.833333333333333</v>
      </c>
      <c r="D85" s="16">
        <v>0</v>
      </c>
      <c r="E85" s="16">
        <v>0</v>
      </c>
    </row>
    <row r="86" spans="2:5" ht="15" customHeight="1">
      <c r="B86" s="8">
        <v>46159</v>
      </c>
      <c r="C86" s="16">
        <v>4.5999999999999996</v>
      </c>
      <c r="D86" s="16">
        <v>0</v>
      </c>
      <c r="E86" s="16">
        <v>0</v>
      </c>
    </row>
    <row r="87" spans="2:5" ht="15" customHeight="1">
      <c r="B87" s="8">
        <v>46160</v>
      </c>
      <c r="C87" s="16">
        <v>5</v>
      </c>
      <c r="D87" s="16">
        <v>0</v>
      </c>
      <c r="E87" s="16">
        <v>0</v>
      </c>
    </row>
    <row r="88" spans="2:5" ht="15" customHeight="1">
      <c r="B88" s="8">
        <v>46161</v>
      </c>
      <c r="C88" s="16">
        <v>5</v>
      </c>
      <c r="D88" s="16">
        <v>0</v>
      </c>
      <c r="E88" s="16">
        <v>0</v>
      </c>
    </row>
    <row r="89" spans="2:5" ht="15" customHeight="1">
      <c r="B89" s="8">
        <v>46162</v>
      </c>
      <c r="C89" s="16">
        <v>5</v>
      </c>
      <c r="D89" s="16">
        <v>0</v>
      </c>
      <c r="E89" s="16">
        <v>0</v>
      </c>
    </row>
    <row r="90" spans="2:5" ht="15" customHeight="1">
      <c r="B90" s="8">
        <v>46163</v>
      </c>
      <c r="C90" s="16">
        <v>5</v>
      </c>
      <c r="D90" s="16">
        <v>0</v>
      </c>
      <c r="E90" s="16">
        <v>0</v>
      </c>
    </row>
    <row r="91" spans="2:5" ht="15" customHeight="1">
      <c r="B91" s="8">
        <v>46164</v>
      </c>
      <c r="C91" s="16">
        <v>3</v>
      </c>
      <c r="D91" s="16">
        <v>0</v>
      </c>
      <c r="E91" s="16">
        <v>0</v>
      </c>
    </row>
    <row r="92" spans="2:5" ht="15" customHeight="1">
      <c r="B92" s="8">
        <v>46165</v>
      </c>
      <c r="C92" s="16">
        <v>5</v>
      </c>
      <c r="D92" s="16">
        <v>0</v>
      </c>
      <c r="E92" s="16">
        <v>0</v>
      </c>
    </row>
    <row r="93" spans="2:5" ht="15" customHeight="1">
      <c r="B93" s="8">
        <v>46166</v>
      </c>
      <c r="C93" s="16">
        <v>5</v>
      </c>
      <c r="D93" s="16">
        <v>0</v>
      </c>
      <c r="E93" s="16">
        <v>0</v>
      </c>
    </row>
    <row r="94" spans="2:5" ht="15" customHeight="1">
      <c r="B94" s="8">
        <v>46167</v>
      </c>
      <c r="C94" s="16">
        <v>5</v>
      </c>
      <c r="D94" s="16">
        <v>0</v>
      </c>
      <c r="E94" s="16">
        <v>0</v>
      </c>
    </row>
    <row r="95" spans="2:5" ht="15" customHeight="1">
      <c r="B95" s="8">
        <v>46168</v>
      </c>
      <c r="C95" s="16">
        <v>3.7999999999999998</v>
      </c>
      <c r="D95" s="16">
        <v>0</v>
      </c>
      <c r="E95" s="16">
        <v>0</v>
      </c>
    </row>
    <row r="96" spans="2:5" ht="15" customHeight="1">
      <c r="B96" s="8">
        <v>46169</v>
      </c>
      <c r="C96" s="16">
        <v>4.75</v>
      </c>
      <c r="D96" s="16">
        <v>0</v>
      </c>
      <c r="E96" s="16">
        <v>0</v>
      </c>
    </row>
    <row r="97" spans="2:5" ht="15" customHeight="1">
      <c r="B97" s="8">
        <v>46170</v>
      </c>
      <c r="C97" s="16">
        <v>5</v>
      </c>
      <c r="D97" s="16">
        <v>0</v>
      </c>
      <c r="E97" s="16">
        <v>0</v>
      </c>
    </row>
    <row r="98" spans="2:5" ht="15" customHeight="1">
      <c r="B98" s="8">
        <v>46171</v>
      </c>
      <c r="C98" s="16">
        <v>4.333333333333333</v>
      </c>
      <c r="D98" s="16">
        <v>0</v>
      </c>
      <c r="E98" s="16">
        <v>0</v>
      </c>
    </row>
    <row r="99" spans="2:5" ht="15" customHeight="1">
      <c r="B99" s="8">
        <v>46172</v>
      </c>
      <c r="C99" s="16">
        <v>5</v>
      </c>
      <c r="D99" s="16">
        <v>0</v>
      </c>
      <c r="E99" s="16">
        <v>0</v>
      </c>
    </row>
    <row r="100" spans="2:5" ht="15" customHeight="1">
      <c r="B100" s="8">
        <v>46173</v>
      </c>
      <c r="C100" s="16">
        <v>4.75</v>
      </c>
      <c r="D100" s="16">
        <v>0</v>
      </c>
      <c r="E100" s="16">
        <v>0</v>
      </c>
    </row>
    <row r="101" spans="2:5" ht="15" customHeight="1">
      <c r="B101" s="9" t="s">
        <v>34</v>
      </c>
      <c r="C101" s="17">
        <f>SUM(C70:C100)/31</f>
      </c>
      <c r="D101" s="17">
        <f>SUM(D70:D100)/31</f>
      </c>
      <c r="E101" s="17">
        <f>SUM(E70:E100)/31</f>
      </c>
    </row>
  </sheetData>
  <hyperlinks>
    <hyperlink ref="C1" location="Содержание!B4" display="К содержанию"/>
  </hyperlink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9792283-accf-4f62-a34a-23dc0dc067c5}">
  <dimension ref="B1:F43"/>
  <sheetViews>
    <sheetView showGridLines="0" workbookViewId="0" topLeftCell="A1"/>
  </sheetViews>
  <sheetFormatPr defaultRowHeight="12.75"/>
  <cols>
    <col min="1" max="1" width="4.714285714285714" customWidth="1"/>
    <col min="2" max="2" width="22.714285714285715" customWidth="1"/>
    <col min="3" max="7" width="17.857142857142858" customWidth="1"/>
  </cols>
  <sheetData>
    <row r="1" spans="2:3" s="1" customFormat="1" ht="30" customHeight="1">
      <c r="B1" s="1" t="s">
        <v>0</v>
      </c>
      <c r="C1" s="4" t="s">
        <v>2</v>
      </c>
    </row>
    <row r="4" spans="2:2" ht="12.75">
      <c r="B4" s="2" t="s">
        <v>25</v>
      </c>
    </row>
    <row r="6" spans="2:6" ht="30" customHeight="1">
      <c r="B6" s="6" t="s">
        <v>16</v>
      </c>
      <c r="C6" s="7" t="s">
        <v>7</v>
      </c>
      <c r="D6" s="7" t="s">
        <v>8</v>
      </c>
      <c r="E6" s="7" t="s">
        <v>9</v>
      </c>
      <c r="F6" s="7" t="s">
        <v>10</v>
      </c>
    </row>
    <row r="7" spans="2:6" ht="15" customHeight="1">
      <c r="B7" s="12" t="s">
        <v>55</v>
      </c>
      <c r="C7" s="10">
        <v>1177</v>
      </c>
      <c r="D7" s="10">
        <v>6</v>
      </c>
      <c r="E7" s="10">
        <v>2</v>
      </c>
      <c r="F7" s="10">
        <f>SUM(C7:E7)</f>
      </c>
    </row>
    <row r="8" spans="2:6" ht="15" customHeight="1">
      <c r="B8" s="12" t="s">
        <v>56</v>
      </c>
      <c r="C8" s="10">
        <v>181</v>
      </c>
      <c r="D8" s="10">
        <v>0</v>
      </c>
      <c r="E8" s="10">
        <v>1</v>
      </c>
      <c r="F8" s="10">
        <f>SUM(C8:E8)</f>
      </c>
    </row>
    <row r="9" spans="2:6" ht="15" customHeight="1">
      <c r="B9" s="12" t="s">
        <v>57</v>
      </c>
      <c r="C9" s="10">
        <v>27</v>
      </c>
      <c r="D9" s="10">
        <v>0</v>
      </c>
      <c r="E9" s="10">
        <v>0</v>
      </c>
      <c r="F9" s="10">
        <f>SUM(C9:E9)</f>
      </c>
    </row>
    <row r="10" spans="2:6" ht="15" customHeight="1">
      <c r="B10" s="12" t="s">
        <v>58</v>
      </c>
      <c r="C10" s="10">
        <v>207</v>
      </c>
      <c r="D10" s="10">
        <v>2</v>
      </c>
      <c r="E10" s="10">
        <v>0</v>
      </c>
      <c r="F10" s="10">
        <f>SUM(C10:E10)</f>
      </c>
    </row>
    <row r="11" spans="2:6" ht="15" customHeight="1">
      <c r="B11" s="12" t="s">
        <v>59</v>
      </c>
      <c r="C11" s="10">
        <v>201</v>
      </c>
      <c r="D11" s="10">
        <v>1</v>
      </c>
      <c r="E11" s="10">
        <v>0</v>
      </c>
      <c r="F11" s="10">
        <f>SUM(C11:E11)</f>
      </c>
    </row>
    <row r="12" spans="2:6" ht="15" customHeight="1">
      <c r="B12" s="12" t="s">
        <v>60</v>
      </c>
      <c r="C12" s="10">
        <v>23</v>
      </c>
      <c r="D12" s="10">
        <v>0</v>
      </c>
      <c r="E12" s="10">
        <v>0</v>
      </c>
      <c r="F12" s="10">
        <f>SUM(C12:E12)</f>
      </c>
    </row>
    <row r="13" spans="2:6" ht="15" customHeight="1">
      <c r="B13" s="12" t="s">
        <v>61</v>
      </c>
      <c r="C13" s="10">
        <v>325</v>
      </c>
      <c r="D13" s="10">
        <v>0</v>
      </c>
      <c r="E13" s="10">
        <v>0</v>
      </c>
      <c r="F13" s="10">
        <f>SUM(C13:E13)</f>
      </c>
    </row>
    <row r="14" spans="2:6" ht="15" customHeight="1">
      <c r="B14" s="14" t="s">
        <v>62</v>
      </c>
      <c r="C14" s="11">
        <f>SUM(C7:C13)</f>
      </c>
      <c r="D14" s="11">
        <f>SUM(D7:D13)</f>
      </c>
      <c r="E14" s="11">
        <f>SUM(E7:E13)</f>
      </c>
      <c r="F14" s="11">
        <f>SUM(F7:F13)</f>
      </c>
    </row>
    <row r="15" ht="13" customHeight="1"/>
    <row r="16" ht="13" customHeight="1"/>
    <row r="17" spans="2:2" ht="13" customHeight="1"/>
    <row r="18" ht="13" customHeight="1"/>
    <row r="19" ht="13" customHeight="1"/>
    <row r="20" ht="13" customHeight="1"/>
    <row r="21" ht="13" customHeight="1"/>
    <row r="22" ht="13" customHeight="1"/>
    <row r="23" ht="13" customHeight="1"/>
    <row r="24" ht="13" customHeight="1"/>
    <row r="25" ht="13" customHeight="1"/>
    <row r="26" ht="13" customHeight="1"/>
    <row r="27" ht="13" customHeight="1"/>
    <row r="28" ht="13" customHeight="1"/>
    <row r="29" ht="13" customHeight="1"/>
    <row r="30" ht="13" customHeight="1"/>
    <row r="31" ht="13" customHeight="1"/>
    <row r="32" ht="13" customHeight="1"/>
    <row r="33" ht="13" customHeight="1"/>
    <row r="34" ht="13" customHeight="1"/>
    <row r="35" ht="13" customHeight="1"/>
    <row r="36" ht="13" customHeight="1"/>
    <row r="37" ht="13" customHeight="1"/>
    <row r="38" ht="13" customHeight="1"/>
    <row r="39" ht="13" customHeight="1"/>
    <row r="40" ht="13" customHeight="1"/>
    <row r="41" ht="13" customHeight="1"/>
    <row r="42" ht="13" customHeight="1"/>
    <row r="43" spans="2:2" ht="13" customHeight="1"/>
    <row r="44" ht="13" customHeight="1"/>
    <row r="45" ht="13" customHeight="1"/>
    <row r="46" ht="13" customHeight="1"/>
    <row r="47" ht="13" customHeight="1"/>
    <row r="48" ht="13" customHeight="1"/>
    <row r="49" ht="13" customHeight="1"/>
    <row r="50" ht="13" customHeight="1"/>
    <row r="51" ht="13" customHeight="1"/>
    <row r="52" ht="13" customHeight="1"/>
    <row r="53" ht="13" customHeight="1"/>
    <row r="54" ht="13" customHeight="1"/>
    <row r="55" ht="13" customHeight="1"/>
    <row r="56" ht="13" customHeight="1"/>
    <row r="57" ht="13" customHeight="1"/>
    <row r="58" ht="13" customHeight="1"/>
    <row r="59" ht="13" customHeight="1"/>
    <row r="60" ht="13" customHeight="1"/>
    <row r="61" ht="13" customHeight="1"/>
    <row r="62" ht="13" customHeight="1"/>
    <row r="63" ht="13" customHeight="1"/>
    <row r="64" ht="13" customHeight="1"/>
    <row r="65" ht="13" customHeight="1"/>
  </sheetData>
  <hyperlinks>
    <hyperlink ref="C1" location="Содержание!B4" display="К содержанию"/>
  </hyperlink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efda979-26d6-482c-b1d0-44171feb8627}">
  <dimension ref="B1:E905"/>
  <sheetViews>
    <sheetView showGridLines="0" workbookViewId="0" topLeftCell="A1"/>
  </sheetViews>
  <sheetFormatPr defaultRowHeight="12.75"/>
  <cols>
    <col min="1" max="1" width="4.714285714285714" customWidth="1"/>
    <col min="2" max="2" width="22.714285714285715" customWidth="1"/>
    <col min="3" max="6" width="17.857142857142858" customWidth="1"/>
  </cols>
  <sheetData>
    <row r="1" spans="2:3" s="1" customFormat="1" ht="30" customHeight="1">
      <c r="B1" s="1" t="s">
        <v>0</v>
      </c>
      <c r="C1" s="4" t="s">
        <v>2</v>
      </c>
    </row>
    <row r="4" spans="2:2" ht="12.75">
      <c r="B4" s="2" t="s">
        <v>26</v>
      </c>
    </row>
    <row r="6" spans="2:2" ht="12.75"/>
    <row r="7" ht="13" customHeight="1"/>
    <row r="8" ht="13" customHeight="1"/>
    <row r="9" ht="13" customHeight="1"/>
    <row r="10" ht="13" customHeight="1"/>
    <row r="11" ht="13" customHeight="1"/>
    <row r="12" ht="13" customHeight="1"/>
    <row r="13" ht="13" customHeight="1"/>
    <row r="14" ht="13" customHeight="1"/>
    <row r="15" ht="13" customHeight="1"/>
    <row r="16" ht="13" customHeight="1"/>
    <row r="17" ht="13" customHeight="1"/>
    <row r="18" ht="13" customHeight="1"/>
    <row r="19" ht="13" customHeight="1"/>
    <row r="20" ht="13" customHeight="1"/>
    <row r="21" ht="13" customHeight="1"/>
    <row r="22" ht="13" customHeight="1"/>
    <row r="23" ht="13" customHeight="1"/>
    <row r="24" ht="13" customHeight="1"/>
    <row r="25" ht="13" customHeight="1"/>
    <row r="26" ht="13" customHeight="1"/>
    <row r="27" ht="13" customHeight="1"/>
    <row r="28" ht="13" customHeight="1"/>
    <row r="29" ht="13" customHeight="1"/>
    <row r="30" spans="2:5" ht="30" customHeight="1">
      <c r="B30" s="6" t="s">
        <v>26</v>
      </c>
      <c r="C30" s="7" t="s">
        <v>7</v>
      </c>
      <c r="D30" s="7" t="s">
        <v>8</v>
      </c>
      <c r="E30" s="7" t="s">
        <v>9</v>
      </c>
    </row>
    <row r="31" spans="2:5" ht="15" customHeight="1">
      <c r="B31" s="12" t="s">
        <v>63</v>
      </c>
      <c r="C31" s="10">
        <v>664</v>
      </c>
      <c r="D31" s="10">
        <v>6</v>
      </c>
      <c r="E31" s="10">
        <v>2</v>
      </c>
    </row>
    <row r="32" spans="2:5" ht="15" customHeight="1">
      <c r="B32" s="12" t="s">
        <v>64</v>
      </c>
      <c r="C32" s="10">
        <v>216</v>
      </c>
      <c r="D32" s="10">
        <v>0</v>
      </c>
      <c r="E32" s="10">
        <v>0</v>
      </c>
    </row>
    <row r="33" spans="2:5" ht="15" customHeight="1">
      <c r="B33" s="12" t="s">
        <v>65</v>
      </c>
      <c r="C33" s="10">
        <v>216</v>
      </c>
      <c r="D33" s="10">
        <v>0</v>
      </c>
      <c r="E33" s="10">
        <v>0</v>
      </c>
    </row>
    <row r="34" spans="2:5" ht="15" customHeight="1">
      <c r="B34" s="12" t="s">
        <v>66</v>
      </c>
      <c r="C34" s="10">
        <v>189</v>
      </c>
      <c r="D34" s="10">
        <v>0</v>
      </c>
      <c r="E34" s="10">
        <v>0</v>
      </c>
    </row>
    <row r="35" spans="2:5" ht="15" customHeight="1">
      <c r="B35" s="12" t="s">
        <v>67</v>
      </c>
      <c r="C35" s="10">
        <v>131</v>
      </c>
      <c r="D35" s="10">
        <v>0</v>
      </c>
      <c r="E35" s="10">
        <v>1</v>
      </c>
    </row>
    <row r="36" spans="2:5" ht="15" customHeight="1">
      <c r="B36" s="12" t="s">
        <v>68</v>
      </c>
      <c r="C36" s="10">
        <v>110</v>
      </c>
      <c r="D36" s="10">
        <v>1</v>
      </c>
      <c r="E36" s="10">
        <v>0</v>
      </c>
    </row>
    <row r="37" spans="2:5" ht="15" customHeight="1">
      <c r="B37" s="12" t="s">
        <v>69</v>
      </c>
      <c r="C37" s="10">
        <v>77</v>
      </c>
      <c r="D37" s="10">
        <v>0</v>
      </c>
      <c r="E37" s="10">
        <v>0</v>
      </c>
    </row>
    <row r="38" spans="2:5" ht="15" customHeight="1">
      <c r="B38" s="12" t="s">
        <v>70</v>
      </c>
      <c r="C38" s="10">
        <v>60</v>
      </c>
      <c r="D38" s="10">
        <v>0</v>
      </c>
      <c r="E38" s="10">
        <v>0</v>
      </c>
    </row>
    <row r="39" spans="2:5" ht="15" customHeight="1">
      <c r="B39" s="12" t="s">
        <v>71</v>
      </c>
      <c r="C39" s="10">
        <v>39</v>
      </c>
      <c r="D39" s="10">
        <v>0</v>
      </c>
      <c r="E39" s="10">
        <v>0</v>
      </c>
    </row>
    <row r="40" spans="2:5" ht="15" customHeight="1">
      <c r="B40" s="12" t="s">
        <v>72</v>
      </c>
      <c r="C40" s="10">
        <v>35</v>
      </c>
      <c r="D40" s="10">
        <v>0</v>
      </c>
      <c r="E40" s="10">
        <v>0</v>
      </c>
    </row>
    <row r="41" spans="2:5" ht="15" customHeight="1">
      <c r="B41" s="12" t="s">
        <v>73</v>
      </c>
      <c r="C41" s="10">
        <v>29</v>
      </c>
      <c r="D41" s="10">
        <v>0</v>
      </c>
      <c r="E41" s="10">
        <v>0</v>
      </c>
    </row>
    <row r="42" spans="2:5" ht="15" customHeight="1">
      <c r="B42" s="12" t="s">
        <v>74</v>
      </c>
      <c r="C42" s="10">
        <v>12</v>
      </c>
      <c r="D42" s="10">
        <v>0</v>
      </c>
      <c r="E42" s="10">
        <v>0</v>
      </c>
    </row>
    <row r="43" spans="2:5" ht="15" customHeight="1">
      <c r="B43" s="12" t="s">
        <v>75</v>
      </c>
      <c r="C43" s="10">
        <v>11</v>
      </c>
      <c r="D43" s="10">
        <v>0</v>
      </c>
      <c r="E43" s="10">
        <v>0</v>
      </c>
    </row>
    <row r="44" spans="2:5" ht="15" customHeight="1">
      <c r="B44" s="12" t="s">
        <v>76</v>
      </c>
      <c r="C44" s="10">
        <v>10</v>
      </c>
      <c r="D44" s="10">
        <v>0</v>
      </c>
      <c r="E44" s="10">
        <v>0</v>
      </c>
    </row>
    <row r="45" spans="2:5" ht="15" customHeight="1">
      <c r="B45" s="12" t="s">
        <v>77</v>
      </c>
      <c r="C45" s="10">
        <v>8</v>
      </c>
      <c r="D45" s="10">
        <v>0</v>
      </c>
      <c r="E45" s="10">
        <v>0</v>
      </c>
    </row>
    <row r="46" spans="2:5" ht="15" customHeight="1">
      <c r="B46" s="12" t="s">
        <v>78</v>
      </c>
      <c r="C46" s="10">
        <v>6</v>
      </c>
      <c r="D46" s="10">
        <v>0</v>
      </c>
      <c r="E46" s="10">
        <v>0</v>
      </c>
    </row>
    <row r="47" spans="2:5" ht="15" customHeight="1">
      <c r="B47" s="12" t="s">
        <v>79</v>
      </c>
      <c r="C47" s="10">
        <v>6</v>
      </c>
      <c r="D47" s="10">
        <v>0</v>
      </c>
      <c r="E47" s="10">
        <v>0</v>
      </c>
    </row>
    <row r="48" spans="2:5" ht="15" customHeight="1">
      <c r="B48" s="12" t="s">
        <v>80</v>
      </c>
      <c r="C48" s="10">
        <v>6</v>
      </c>
      <c r="D48" s="10">
        <v>0</v>
      </c>
      <c r="E48" s="10">
        <v>0</v>
      </c>
    </row>
    <row r="49" spans="2:5" ht="15" customHeight="1">
      <c r="B49" s="12" t="s">
        <v>81</v>
      </c>
      <c r="C49" s="10">
        <v>5</v>
      </c>
      <c r="D49" s="10">
        <v>0</v>
      </c>
      <c r="E49" s="10">
        <v>0</v>
      </c>
    </row>
    <row r="50" spans="2:5" ht="15" customHeight="1">
      <c r="B50" s="12" t="s">
        <v>82</v>
      </c>
      <c r="C50" s="10">
        <v>5</v>
      </c>
      <c r="D50" s="10">
        <v>0</v>
      </c>
      <c r="E50" s="10">
        <v>0</v>
      </c>
    </row>
    <row r="51" spans="2:5" ht="15" customHeight="1">
      <c r="B51" s="12" t="s">
        <v>83</v>
      </c>
      <c r="C51" s="10">
        <v>5</v>
      </c>
      <c r="D51" s="10">
        <v>0</v>
      </c>
      <c r="E51" s="10">
        <v>0</v>
      </c>
    </row>
    <row r="52" spans="2:5" ht="15" customHeight="1">
      <c r="B52" s="12" t="s">
        <v>84</v>
      </c>
      <c r="C52" s="10">
        <v>4</v>
      </c>
      <c r="D52" s="10">
        <v>0</v>
      </c>
      <c r="E52" s="10">
        <v>0</v>
      </c>
    </row>
    <row r="53" spans="2:5" ht="15" customHeight="1">
      <c r="B53" s="12" t="s">
        <v>85</v>
      </c>
      <c r="C53" s="10">
        <v>3</v>
      </c>
      <c r="D53" s="10">
        <v>0</v>
      </c>
      <c r="E53" s="10">
        <v>0</v>
      </c>
    </row>
    <row r="54" spans="2:5" ht="15" customHeight="1">
      <c r="B54" s="12" t="s">
        <v>86</v>
      </c>
      <c r="C54" s="10">
        <v>3</v>
      </c>
      <c r="D54" s="10">
        <v>0</v>
      </c>
      <c r="E54" s="10">
        <v>0</v>
      </c>
    </row>
    <row r="55" spans="2:5" ht="15" customHeight="1">
      <c r="B55" s="12" t="s">
        <v>87</v>
      </c>
      <c r="C55" s="10">
        <v>3</v>
      </c>
      <c r="D55" s="10">
        <v>0</v>
      </c>
      <c r="E55" s="10">
        <v>0</v>
      </c>
    </row>
    <row r="56" spans="2:5" ht="15" customHeight="1">
      <c r="B56" s="12" t="s">
        <v>88</v>
      </c>
      <c r="C56" s="10">
        <v>3</v>
      </c>
      <c r="D56" s="10">
        <v>0</v>
      </c>
      <c r="E56" s="10">
        <v>0</v>
      </c>
    </row>
    <row r="57" spans="2:5" ht="15" customHeight="1">
      <c r="B57" s="12" t="s">
        <v>89</v>
      </c>
      <c r="C57" s="10">
        <v>3</v>
      </c>
      <c r="D57" s="10">
        <v>0</v>
      </c>
      <c r="E57" s="10">
        <v>0</v>
      </c>
    </row>
    <row r="58" spans="2:5" ht="15" customHeight="1">
      <c r="B58" s="12" t="s">
        <v>90</v>
      </c>
      <c r="C58" s="10">
        <v>3</v>
      </c>
      <c r="D58" s="10">
        <v>0</v>
      </c>
      <c r="E58" s="10">
        <v>0</v>
      </c>
    </row>
    <row r="59" spans="2:5" ht="15" customHeight="1">
      <c r="B59" s="12" t="s">
        <v>91</v>
      </c>
      <c r="C59" s="10">
        <v>3</v>
      </c>
      <c r="D59" s="10">
        <v>0</v>
      </c>
      <c r="E59" s="10">
        <v>0</v>
      </c>
    </row>
    <row r="60" spans="2:5" ht="15" customHeight="1">
      <c r="B60" s="12" t="s">
        <v>92</v>
      </c>
      <c r="C60" s="10">
        <v>3</v>
      </c>
      <c r="D60" s="10">
        <v>0</v>
      </c>
      <c r="E60" s="10">
        <v>0</v>
      </c>
    </row>
    <row r="61" spans="2:5" ht="15" customHeight="1">
      <c r="B61" s="12" t="s">
        <v>93</v>
      </c>
      <c r="C61" s="10">
        <v>3</v>
      </c>
      <c r="D61" s="10">
        <v>0</v>
      </c>
      <c r="E61" s="10">
        <v>0</v>
      </c>
    </row>
    <row r="62" spans="2:5" ht="15" customHeight="1">
      <c r="B62" s="12" t="s">
        <v>94</v>
      </c>
      <c r="C62" s="10">
        <v>3</v>
      </c>
      <c r="D62" s="10">
        <v>0</v>
      </c>
      <c r="E62" s="10">
        <v>0</v>
      </c>
    </row>
    <row r="63" spans="2:5" ht="15" customHeight="1">
      <c r="B63" s="12" t="s">
        <v>95</v>
      </c>
      <c r="C63" s="10">
        <v>3</v>
      </c>
      <c r="D63" s="10">
        <v>0</v>
      </c>
      <c r="E63" s="10">
        <v>0</v>
      </c>
    </row>
    <row r="64" spans="2:5" ht="15" customHeight="1">
      <c r="B64" s="12" t="s">
        <v>96</v>
      </c>
      <c r="C64" s="10">
        <v>2</v>
      </c>
      <c r="D64" s="10">
        <v>0</v>
      </c>
      <c r="E64" s="10">
        <v>0</v>
      </c>
    </row>
    <row r="65" spans="2:5" ht="15" customHeight="1">
      <c r="B65" s="12" t="s">
        <v>97</v>
      </c>
      <c r="C65" s="10">
        <v>2</v>
      </c>
      <c r="D65" s="10">
        <v>0</v>
      </c>
      <c r="E65" s="10">
        <v>0</v>
      </c>
    </row>
    <row r="66" spans="2:5" ht="15" customHeight="1">
      <c r="B66" s="12" t="s">
        <v>98</v>
      </c>
      <c r="C66" s="10">
        <v>2</v>
      </c>
      <c r="D66" s="10">
        <v>0</v>
      </c>
      <c r="E66" s="10">
        <v>0</v>
      </c>
    </row>
    <row r="67" spans="2:5" ht="15" customHeight="1">
      <c r="B67" s="12" t="s">
        <v>99</v>
      </c>
      <c r="C67" s="10">
        <v>2</v>
      </c>
      <c r="D67" s="10">
        <v>0</v>
      </c>
      <c r="E67" s="10">
        <v>0</v>
      </c>
    </row>
    <row r="68" spans="2:5" ht="15" customHeight="1">
      <c r="B68" s="12" t="s">
        <v>100</v>
      </c>
      <c r="C68" s="10">
        <v>2</v>
      </c>
      <c r="D68" s="10">
        <v>0</v>
      </c>
      <c r="E68" s="10">
        <v>0</v>
      </c>
    </row>
    <row r="69" spans="2:5" ht="15" customHeight="1">
      <c r="B69" s="12" t="s">
        <v>101</v>
      </c>
      <c r="C69" s="10">
        <v>2</v>
      </c>
      <c r="D69" s="10">
        <v>0</v>
      </c>
      <c r="E69" s="10">
        <v>0</v>
      </c>
    </row>
    <row r="70" spans="2:5" ht="15" customHeight="1">
      <c r="B70" s="12" t="s">
        <v>102</v>
      </c>
      <c r="C70" s="10">
        <v>2</v>
      </c>
      <c r="D70" s="10">
        <v>0</v>
      </c>
      <c r="E70" s="10">
        <v>0</v>
      </c>
    </row>
    <row r="71" spans="2:5" ht="15" customHeight="1">
      <c r="B71" s="12" t="s">
        <v>103</v>
      </c>
      <c r="C71" s="10">
        <v>2</v>
      </c>
      <c r="D71" s="10">
        <v>0</v>
      </c>
      <c r="E71" s="10">
        <v>0</v>
      </c>
    </row>
    <row r="72" spans="2:5" ht="15" customHeight="1">
      <c r="B72" s="12" t="s">
        <v>104</v>
      </c>
      <c r="C72" s="10">
        <v>2</v>
      </c>
      <c r="D72" s="10">
        <v>0</v>
      </c>
      <c r="E72" s="10">
        <v>0</v>
      </c>
    </row>
    <row r="73" spans="2:5" ht="15" customHeight="1">
      <c r="B73" s="12" t="s">
        <v>105</v>
      </c>
      <c r="C73" s="10">
        <v>2</v>
      </c>
      <c r="D73" s="10">
        <v>0</v>
      </c>
      <c r="E73" s="10">
        <v>0</v>
      </c>
    </row>
    <row r="74" spans="2:5" ht="15" customHeight="1">
      <c r="B74" s="12" t="s">
        <v>106</v>
      </c>
      <c r="C74" s="10">
        <v>2</v>
      </c>
      <c r="D74" s="10">
        <v>0</v>
      </c>
      <c r="E74" s="10">
        <v>0</v>
      </c>
    </row>
    <row r="75" spans="2:5" ht="15" customHeight="1">
      <c r="B75" s="12" t="s">
        <v>107</v>
      </c>
      <c r="C75" s="10">
        <v>2</v>
      </c>
      <c r="D75" s="10">
        <v>0</v>
      </c>
      <c r="E75" s="10">
        <v>0</v>
      </c>
    </row>
    <row r="76" spans="2:5" ht="15" customHeight="1">
      <c r="B76" s="12" t="s">
        <v>108</v>
      </c>
      <c r="C76" s="10">
        <v>2</v>
      </c>
      <c r="D76" s="10">
        <v>0</v>
      </c>
      <c r="E76" s="10">
        <v>0</v>
      </c>
    </row>
    <row r="77" spans="2:5" ht="15" customHeight="1">
      <c r="B77" s="12" t="s">
        <v>109</v>
      </c>
      <c r="C77" s="10">
        <v>2</v>
      </c>
      <c r="D77" s="10">
        <v>0</v>
      </c>
      <c r="E77" s="10">
        <v>0</v>
      </c>
    </row>
    <row r="78" spans="2:5" ht="15" customHeight="1">
      <c r="B78" s="12" t="s">
        <v>110</v>
      </c>
      <c r="C78" s="10">
        <v>2</v>
      </c>
      <c r="D78" s="10">
        <v>0</v>
      </c>
      <c r="E78" s="10">
        <v>0</v>
      </c>
    </row>
    <row r="79" spans="2:5" ht="15" customHeight="1">
      <c r="B79" s="12" t="s">
        <v>111</v>
      </c>
      <c r="C79" s="10">
        <v>2</v>
      </c>
      <c r="D79" s="10">
        <v>0</v>
      </c>
      <c r="E79" s="10">
        <v>0</v>
      </c>
    </row>
    <row r="80" spans="2:5" ht="15" customHeight="1">
      <c r="B80" s="12" t="s">
        <v>112</v>
      </c>
      <c r="C80" s="10">
        <v>2</v>
      </c>
      <c r="D80" s="10">
        <v>0</v>
      </c>
      <c r="E80" s="10">
        <v>0</v>
      </c>
    </row>
    <row r="81" spans="2:5" ht="15" customHeight="1">
      <c r="B81" s="12" t="s">
        <v>113</v>
      </c>
      <c r="C81" s="10">
        <v>2</v>
      </c>
      <c r="D81" s="10">
        <v>0</v>
      </c>
      <c r="E81" s="10">
        <v>0</v>
      </c>
    </row>
    <row r="82" spans="2:5" ht="15" customHeight="1">
      <c r="B82" s="12" t="s">
        <v>114</v>
      </c>
      <c r="C82" s="10">
        <v>2</v>
      </c>
      <c r="D82" s="10">
        <v>0</v>
      </c>
      <c r="E82" s="10">
        <v>0</v>
      </c>
    </row>
    <row r="83" spans="2:5" ht="15" customHeight="1">
      <c r="B83" s="12" t="s">
        <v>115</v>
      </c>
      <c r="C83" s="10">
        <v>2</v>
      </c>
      <c r="D83" s="10">
        <v>0</v>
      </c>
      <c r="E83" s="10">
        <v>0</v>
      </c>
    </row>
    <row r="84" spans="2:5" ht="15" customHeight="1">
      <c r="B84" s="12" t="s">
        <v>116</v>
      </c>
      <c r="C84" s="10">
        <v>2</v>
      </c>
      <c r="D84" s="10">
        <v>0</v>
      </c>
      <c r="E84" s="10">
        <v>0</v>
      </c>
    </row>
    <row r="85" spans="2:5" ht="15" customHeight="1">
      <c r="B85" s="12" t="s">
        <v>117</v>
      </c>
      <c r="C85" s="10">
        <v>2</v>
      </c>
      <c r="D85" s="10">
        <v>0</v>
      </c>
      <c r="E85" s="10">
        <v>0</v>
      </c>
    </row>
    <row r="86" spans="2:5" ht="15" customHeight="1">
      <c r="B86" s="12" t="s">
        <v>118</v>
      </c>
      <c r="C86" s="10">
        <v>2</v>
      </c>
      <c r="D86" s="10">
        <v>0</v>
      </c>
      <c r="E86" s="10">
        <v>0</v>
      </c>
    </row>
    <row r="87" spans="2:5" ht="15" customHeight="1">
      <c r="B87" s="12" t="s">
        <v>119</v>
      </c>
      <c r="C87" s="10">
        <v>2</v>
      </c>
      <c r="D87" s="10">
        <v>0</v>
      </c>
      <c r="E87" s="10">
        <v>0</v>
      </c>
    </row>
    <row r="88" spans="2:5" ht="15" customHeight="1">
      <c r="B88" s="12" t="s">
        <v>120</v>
      </c>
      <c r="C88" s="10">
        <v>1</v>
      </c>
      <c r="D88" s="10">
        <v>0</v>
      </c>
      <c r="E88" s="10">
        <v>0</v>
      </c>
    </row>
    <row r="89" spans="2:5" ht="15" customHeight="1">
      <c r="B89" s="12" t="s">
        <v>121</v>
      </c>
      <c r="C89" s="10">
        <v>1</v>
      </c>
      <c r="D89" s="10">
        <v>0</v>
      </c>
      <c r="E89" s="10">
        <v>0</v>
      </c>
    </row>
    <row r="90" spans="2:5" ht="15" customHeight="1">
      <c r="B90" s="12" t="s">
        <v>122</v>
      </c>
      <c r="C90" s="10">
        <v>1</v>
      </c>
      <c r="D90" s="10">
        <v>0</v>
      </c>
      <c r="E90" s="10">
        <v>0</v>
      </c>
    </row>
    <row r="91" spans="2:5" ht="15" customHeight="1">
      <c r="B91" s="12" t="s">
        <v>123</v>
      </c>
      <c r="C91" s="10">
        <v>1</v>
      </c>
      <c r="D91" s="10">
        <v>0</v>
      </c>
      <c r="E91" s="10">
        <v>0</v>
      </c>
    </row>
    <row r="92" spans="2:5" ht="15" customHeight="1">
      <c r="B92" s="12" t="s">
        <v>124</v>
      </c>
      <c r="C92" s="10">
        <v>1</v>
      </c>
      <c r="D92" s="10">
        <v>0</v>
      </c>
      <c r="E92" s="10">
        <v>0</v>
      </c>
    </row>
    <row r="93" spans="2:5" ht="15" customHeight="1">
      <c r="B93" s="12" t="s">
        <v>125</v>
      </c>
      <c r="C93" s="10">
        <v>1</v>
      </c>
      <c r="D93" s="10">
        <v>0</v>
      </c>
      <c r="E93" s="10">
        <v>0</v>
      </c>
    </row>
    <row r="94" spans="2:5" ht="15" customHeight="1">
      <c r="B94" s="12" t="s">
        <v>126</v>
      </c>
      <c r="C94" s="10">
        <v>1</v>
      </c>
      <c r="D94" s="10">
        <v>0</v>
      </c>
      <c r="E94" s="10">
        <v>0</v>
      </c>
    </row>
    <row r="95" spans="2:5" ht="15" customHeight="1">
      <c r="B95" s="12" t="s">
        <v>127</v>
      </c>
      <c r="C95" s="10">
        <v>1</v>
      </c>
      <c r="D95" s="10">
        <v>0</v>
      </c>
      <c r="E95" s="10">
        <v>0</v>
      </c>
    </row>
    <row r="96" spans="2:5" ht="15" customHeight="1">
      <c r="B96" s="12" t="s">
        <v>128</v>
      </c>
      <c r="C96" s="10">
        <v>1</v>
      </c>
      <c r="D96" s="10">
        <v>0</v>
      </c>
      <c r="E96" s="10">
        <v>0</v>
      </c>
    </row>
    <row r="97" spans="2:5" ht="15" customHeight="1">
      <c r="B97" s="12" t="s">
        <v>129</v>
      </c>
      <c r="C97" s="10">
        <v>1</v>
      </c>
      <c r="D97" s="10">
        <v>0</v>
      </c>
      <c r="E97" s="10">
        <v>0</v>
      </c>
    </row>
    <row r="98" spans="2:5" ht="15" customHeight="1">
      <c r="B98" s="12" t="s">
        <v>130</v>
      </c>
      <c r="C98" s="10">
        <v>1</v>
      </c>
      <c r="D98" s="10">
        <v>0</v>
      </c>
      <c r="E98" s="10">
        <v>0</v>
      </c>
    </row>
    <row r="99" spans="2:5" ht="15" customHeight="1">
      <c r="B99" s="12" t="s">
        <v>131</v>
      </c>
      <c r="C99" s="10">
        <v>1</v>
      </c>
      <c r="D99" s="10">
        <v>0</v>
      </c>
      <c r="E99" s="10">
        <v>0</v>
      </c>
    </row>
    <row r="100" spans="2:5" ht="15" customHeight="1">
      <c r="B100" s="12" t="s">
        <v>132</v>
      </c>
      <c r="C100" s="10">
        <v>1</v>
      </c>
      <c r="D100" s="10">
        <v>0</v>
      </c>
      <c r="E100" s="10">
        <v>0</v>
      </c>
    </row>
    <row r="101" spans="2:5" ht="15" customHeight="1">
      <c r="B101" s="12" t="s">
        <v>133</v>
      </c>
      <c r="C101" s="10">
        <v>1</v>
      </c>
      <c r="D101" s="10">
        <v>0</v>
      </c>
      <c r="E101" s="10">
        <v>0</v>
      </c>
    </row>
    <row r="102" spans="2:5" ht="15" customHeight="1">
      <c r="B102" s="12" t="s">
        <v>134</v>
      </c>
      <c r="C102" s="10">
        <v>1</v>
      </c>
      <c r="D102" s="10">
        <v>0</v>
      </c>
      <c r="E102" s="10">
        <v>0</v>
      </c>
    </row>
    <row r="103" spans="2:5" ht="15" customHeight="1">
      <c r="B103" s="12" t="s">
        <v>135</v>
      </c>
      <c r="C103" s="10">
        <v>1</v>
      </c>
      <c r="D103" s="10">
        <v>0</v>
      </c>
      <c r="E103" s="10">
        <v>0</v>
      </c>
    </row>
    <row r="104" spans="2:5" ht="15" customHeight="1">
      <c r="B104" s="12" t="s">
        <v>136</v>
      </c>
      <c r="C104" s="10">
        <v>1</v>
      </c>
      <c r="D104" s="10">
        <v>0</v>
      </c>
      <c r="E104" s="10">
        <v>0</v>
      </c>
    </row>
    <row r="105" spans="2:5" ht="15" customHeight="1">
      <c r="B105" s="12" t="s">
        <v>137</v>
      </c>
      <c r="C105" s="10">
        <v>1</v>
      </c>
      <c r="D105" s="10">
        <v>0</v>
      </c>
      <c r="E105" s="10">
        <v>0</v>
      </c>
    </row>
    <row r="106" spans="2:5" ht="15" customHeight="1">
      <c r="B106" s="12" t="s">
        <v>138</v>
      </c>
      <c r="C106" s="10">
        <v>1</v>
      </c>
      <c r="D106" s="10">
        <v>0</v>
      </c>
      <c r="E106" s="10">
        <v>0</v>
      </c>
    </row>
    <row r="107" spans="2:5" ht="15" customHeight="1">
      <c r="B107" s="12" t="s">
        <v>139</v>
      </c>
      <c r="C107" s="10">
        <v>1</v>
      </c>
      <c r="D107" s="10">
        <v>0</v>
      </c>
      <c r="E107" s="10">
        <v>0</v>
      </c>
    </row>
    <row r="108" spans="2:5" ht="15" customHeight="1">
      <c r="B108" s="12" t="s">
        <v>140</v>
      </c>
      <c r="C108" s="10">
        <v>1</v>
      </c>
      <c r="D108" s="10">
        <v>0</v>
      </c>
      <c r="E108" s="10">
        <v>0</v>
      </c>
    </row>
    <row r="109" spans="2:5" ht="15" customHeight="1">
      <c r="B109" s="12" t="s">
        <v>141</v>
      </c>
      <c r="C109" s="10">
        <v>1</v>
      </c>
      <c r="D109" s="10">
        <v>0</v>
      </c>
      <c r="E109" s="10">
        <v>0</v>
      </c>
    </row>
    <row r="110" spans="2:5" ht="15" customHeight="1">
      <c r="B110" s="12" t="s">
        <v>142</v>
      </c>
      <c r="C110" s="10">
        <v>1</v>
      </c>
      <c r="D110" s="10">
        <v>0</v>
      </c>
      <c r="E110" s="10">
        <v>0</v>
      </c>
    </row>
    <row r="111" spans="2:5" ht="15" customHeight="1">
      <c r="B111" s="12" t="s">
        <v>143</v>
      </c>
      <c r="C111" s="10">
        <v>1</v>
      </c>
      <c r="D111" s="10">
        <v>0</v>
      </c>
      <c r="E111" s="10">
        <v>0</v>
      </c>
    </row>
    <row r="112" spans="2:5" ht="15" customHeight="1">
      <c r="B112" s="12" t="s">
        <v>144</v>
      </c>
      <c r="C112" s="10">
        <v>1</v>
      </c>
      <c r="D112" s="10">
        <v>0</v>
      </c>
      <c r="E112" s="10">
        <v>0</v>
      </c>
    </row>
    <row r="113" spans="2:5" ht="15" customHeight="1">
      <c r="B113" s="12" t="s">
        <v>145</v>
      </c>
      <c r="C113" s="10">
        <v>1</v>
      </c>
      <c r="D113" s="10">
        <v>0</v>
      </c>
      <c r="E113" s="10">
        <v>0</v>
      </c>
    </row>
    <row r="114" spans="2:5" ht="15" customHeight="1">
      <c r="B114" s="12" t="s">
        <v>146</v>
      </c>
      <c r="C114" s="10">
        <v>1</v>
      </c>
      <c r="D114" s="10">
        <v>0</v>
      </c>
      <c r="E114" s="10">
        <v>0</v>
      </c>
    </row>
    <row r="115" spans="2:5" ht="15" customHeight="1">
      <c r="B115" s="12" t="s">
        <v>147</v>
      </c>
      <c r="C115" s="10">
        <v>1</v>
      </c>
      <c r="D115" s="10">
        <v>0</v>
      </c>
      <c r="E115" s="10">
        <v>0</v>
      </c>
    </row>
    <row r="116" spans="2:5" ht="15" customHeight="1">
      <c r="B116" s="12" t="s">
        <v>148</v>
      </c>
      <c r="C116" s="10">
        <v>1</v>
      </c>
      <c r="D116" s="10">
        <v>0</v>
      </c>
      <c r="E116" s="10">
        <v>0</v>
      </c>
    </row>
    <row r="117" spans="2:5" ht="15" customHeight="1">
      <c r="B117" s="12" t="s">
        <v>149</v>
      </c>
      <c r="C117" s="10">
        <v>1</v>
      </c>
      <c r="D117" s="10">
        <v>0</v>
      </c>
      <c r="E117" s="10">
        <v>0</v>
      </c>
    </row>
    <row r="118" spans="2:5" ht="15" customHeight="1">
      <c r="B118" s="12" t="s">
        <v>150</v>
      </c>
      <c r="C118" s="10">
        <v>1</v>
      </c>
      <c r="D118" s="10">
        <v>0</v>
      </c>
      <c r="E118" s="10">
        <v>0</v>
      </c>
    </row>
    <row r="119" spans="2:5" ht="15" customHeight="1">
      <c r="B119" s="12" t="s">
        <v>151</v>
      </c>
      <c r="C119" s="10">
        <v>1</v>
      </c>
      <c r="D119" s="10">
        <v>0</v>
      </c>
      <c r="E119" s="10">
        <v>0</v>
      </c>
    </row>
    <row r="120" spans="2:5" ht="15" customHeight="1">
      <c r="B120" s="12" t="s">
        <v>152</v>
      </c>
      <c r="C120" s="10">
        <v>1</v>
      </c>
      <c r="D120" s="10">
        <v>0</v>
      </c>
      <c r="E120" s="10">
        <v>0</v>
      </c>
    </row>
    <row r="121" spans="2:5" ht="15" customHeight="1">
      <c r="B121" s="12" t="s">
        <v>153</v>
      </c>
      <c r="C121" s="10">
        <v>1</v>
      </c>
      <c r="D121" s="10">
        <v>0</v>
      </c>
      <c r="E121" s="10">
        <v>0</v>
      </c>
    </row>
    <row r="122" spans="2:5" ht="15" customHeight="1">
      <c r="B122" s="12" t="s">
        <v>154</v>
      </c>
      <c r="C122" s="10">
        <v>1</v>
      </c>
      <c r="D122" s="10">
        <v>0</v>
      </c>
      <c r="E122" s="10">
        <v>0</v>
      </c>
    </row>
    <row r="123" spans="2:5" ht="15" customHeight="1">
      <c r="B123" s="12" t="s">
        <v>155</v>
      </c>
      <c r="C123" s="10">
        <v>1</v>
      </c>
      <c r="D123" s="10">
        <v>0</v>
      </c>
      <c r="E123" s="10">
        <v>0</v>
      </c>
    </row>
    <row r="124" spans="2:5" ht="15" customHeight="1">
      <c r="B124" s="12" t="s">
        <v>156</v>
      </c>
      <c r="C124" s="10">
        <v>1</v>
      </c>
      <c r="D124" s="10">
        <v>0</v>
      </c>
      <c r="E124" s="10">
        <v>0</v>
      </c>
    </row>
    <row r="125" spans="2:5" ht="15" customHeight="1">
      <c r="B125" s="12" t="s">
        <v>157</v>
      </c>
      <c r="C125" s="10">
        <v>1</v>
      </c>
      <c r="D125" s="10">
        <v>0</v>
      </c>
      <c r="E125" s="10">
        <v>0</v>
      </c>
    </row>
    <row r="126" spans="2:5" ht="15" customHeight="1">
      <c r="B126" s="12" t="s">
        <v>158</v>
      </c>
      <c r="C126" s="10">
        <v>1</v>
      </c>
      <c r="D126" s="10">
        <v>0</v>
      </c>
      <c r="E126" s="10">
        <v>0</v>
      </c>
    </row>
    <row r="127" spans="2:5" ht="15" customHeight="1">
      <c r="B127" s="12" t="s">
        <v>159</v>
      </c>
      <c r="C127" s="10">
        <v>1</v>
      </c>
      <c r="D127" s="10">
        <v>0</v>
      </c>
      <c r="E127" s="10">
        <v>0</v>
      </c>
    </row>
    <row r="128" spans="2:5" ht="15" customHeight="1">
      <c r="B128" s="12" t="s">
        <v>160</v>
      </c>
      <c r="C128" s="10">
        <v>1</v>
      </c>
      <c r="D128" s="10">
        <v>0</v>
      </c>
      <c r="E128" s="10">
        <v>0</v>
      </c>
    </row>
    <row r="129" spans="2:5" ht="15" customHeight="1">
      <c r="B129" s="12" t="s">
        <v>161</v>
      </c>
      <c r="C129" s="10">
        <v>1</v>
      </c>
      <c r="D129" s="10">
        <v>0</v>
      </c>
      <c r="E129" s="10">
        <v>0</v>
      </c>
    </row>
    <row r="130" spans="2:5" ht="15" customHeight="1">
      <c r="B130" s="12" t="s">
        <v>162</v>
      </c>
      <c r="C130" s="10">
        <v>1</v>
      </c>
      <c r="D130" s="10">
        <v>0</v>
      </c>
      <c r="E130" s="10">
        <v>0</v>
      </c>
    </row>
    <row r="131" spans="2:5" ht="15" customHeight="1">
      <c r="B131" s="12" t="s">
        <v>163</v>
      </c>
      <c r="C131" s="10">
        <v>1</v>
      </c>
      <c r="D131" s="10">
        <v>0</v>
      </c>
      <c r="E131" s="10">
        <v>0</v>
      </c>
    </row>
    <row r="132" spans="2:5" ht="15" customHeight="1">
      <c r="B132" s="12" t="s">
        <v>164</v>
      </c>
      <c r="C132" s="10">
        <v>1</v>
      </c>
      <c r="D132" s="10">
        <v>0</v>
      </c>
      <c r="E132" s="10">
        <v>0</v>
      </c>
    </row>
    <row r="133" spans="2:5" ht="15" customHeight="1">
      <c r="B133" s="12" t="s">
        <v>165</v>
      </c>
      <c r="C133" s="10">
        <v>1</v>
      </c>
      <c r="D133" s="10">
        <v>0</v>
      </c>
      <c r="E133" s="10">
        <v>0</v>
      </c>
    </row>
    <row r="134" spans="2:5" ht="15" customHeight="1">
      <c r="B134" s="12" t="s">
        <v>166</v>
      </c>
      <c r="C134" s="10">
        <v>1</v>
      </c>
      <c r="D134" s="10">
        <v>0</v>
      </c>
      <c r="E134" s="10">
        <v>0</v>
      </c>
    </row>
    <row r="135" spans="2:5" ht="15" customHeight="1">
      <c r="B135" s="12" t="s">
        <v>167</v>
      </c>
      <c r="C135" s="10">
        <v>1</v>
      </c>
      <c r="D135" s="10">
        <v>0</v>
      </c>
      <c r="E135" s="10">
        <v>0</v>
      </c>
    </row>
    <row r="136" spans="2:5" ht="15" customHeight="1">
      <c r="B136" s="12" t="s">
        <v>168</v>
      </c>
      <c r="C136" s="10">
        <v>1</v>
      </c>
      <c r="D136" s="10">
        <v>0</v>
      </c>
      <c r="E136" s="10">
        <v>0</v>
      </c>
    </row>
    <row r="137" spans="2:5" ht="15" customHeight="1">
      <c r="B137" s="12" t="s">
        <v>169</v>
      </c>
      <c r="C137" s="10">
        <v>1</v>
      </c>
      <c r="D137" s="10">
        <v>0</v>
      </c>
      <c r="E137" s="10">
        <v>0</v>
      </c>
    </row>
    <row r="138" spans="2:5" ht="15" customHeight="1">
      <c r="B138" s="12" t="s">
        <v>170</v>
      </c>
      <c r="C138" s="10">
        <v>1</v>
      </c>
      <c r="D138" s="10">
        <v>0</v>
      </c>
      <c r="E138" s="10">
        <v>0</v>
      </c>
    </row>
    <row r="139" spans="2:5" ht="15" customHeight="1">
      <c r="B139" s="12" t="s">
        <v>171</v>
      </c>
      <c r="C139" s="10">
        <v>1</v>
      </c>
      <c r="D139" s="10">
        <v>0</v>
      </c>
      <c r="E139" s="10">
        <v>0</v>
      </c>
    </row>
    <row r="140" spans="2:5" ht="15" customHeight="1">
      <c r="B140" s="12" t="s">
        <v>172</v>
      </c>
      <c r="C140" s="10">
        <v>1</v>
      </c>
      <c r="D140" s="10">
        <v>0</v>
      </c>
      <c r="E140" s="10">
        <v>0</v>
      </c>
    </row>
    <row r="141" spans="2:5" ht="15" customHeight="1">
      <c r="B141" s="12" t="s">
        <v>173</v>
      </c>
      <c r="C141" s="10">
        <v>1</v>
      </c>
      <c r="D141" s="10">
        <v>0</v>
      </c>
      <c r="E141" s="10">
        <v>0</v>
      </c>
    </row>
    <row r="142" spans="2:5" ht="15" customHeight="1">
      <c r="B142" s="12" t="s">
        <v>174</v>
      </c>
      <c r="C142" s="10">
        <v>1</v>
      </c>
      <c r="D142" s="10">
        <v>0</v>
      </c>
      <c r="E142" s="10">
        <v>0</v>
      </c>
    </row>
    <row r="143" spans="2:5" ht="15" customHeight="1">
      <c r="B143" s="12" t="s">
        <v>175</v>
      </c>
      <c r="C143" s="10">
        <v>1</v>
      </c>
      <c r="D143" s="10">
        <v>0</v>
      </c>
      <c r="E143" s="10">
        <v>0</v>
      </c>
    </row>
    <row r="144" spans="2:5" ht="15" customHeight="1">
      <c r="B144" s="12" t="s">
        <v>176</v>
      </c>
      <c r="C144" s="10">
        <v>1</v>
      </c>
      <c r="D144" s="10">
        <v>0</v>
      </c>
      <c r="E144" s="10">
        <v>0</v>
      </c>
    </row>
    <row r="145" spans="2:5" ht="15" customHeight="1">
      <c r="B145" s="12" t="s">
        <v>177</v>
      </c>
      <c r="C145" s="10">
        <v>1</v>
      </c>
      <c r="D145" s="10">
        <v>0</v>
      </c>
      <c r="E145" s="10">
        <v>0</v>
      </c>
    </row>
    <row r="146" spans="2:5" ht="15" customHeight="1">
      <c r="B146" s="12" t="s">
        <v>178</v>
      </c>
      <c r="C146" s="10">
        <v>1</v>
      </c>
      <c r="D146" s="10">
        <v>0</v>
      </c>
      <c r="E146" s="10">
        <v>0</v>
      </c>
    </row>
    <row r="147" spans="2:5" ht="15" customHeight="1">
      <c r="B147" s="12" t="s">
        <v>179</v>
      </c>
      <c r="C147" s="10">
        <v>1</v>
      </c>
      <c r="D147" s="10">
        <v>0</v>
      </c>
      <c r="E147" s="10">
        <v>0</v>
      </c>
    </row>
    <row r="148" spans="2:5" ht="15" customHeight="1">
      <c r="B148" s="12" t="s">
        <v>180</v>
      </c>
      <c r="C148" s="10">
        <v>1</v>
      </c>
      <c r="D148" s="10">
        <v>0</v>
      </c>
      <c r="E148" s="10">
        <v>0</v>
      </c>
    </row>
    <row r="149" spans="2:5" ht="15" customHeight="1">
      <c r="B149" s="12" t="s">
        <v>181</v>
      </c>
      <c r="C149" s="10">
        <v>1</v>
      </c>
      <c r="D149" s="10">
        <v>0</v>
      </c>
      <c r="E149" s="10">
        <v>0</v>
      </c>
    </row>
    <row r="150" spans="2:5" ht="15" customHeight="1">
      <c r="B150" s="12" t="s">
        <v>182</v>
      </c>
      <c r="C150" s="10">
        <v>1</v>
      </c>
      <c r="D150" s="10">
        <v>0</v>
      </c>
      <c r="E150" s="10">
        <v>0</v>
      </c>
    </row>
    <row r="151" spans="2:5" ht="15" customHeight="1">
      <c r="B151" s="12" t="s">
        <v>183</v>
      </c>
      <c r="C151" s="10">
        <v>1</v>
      </c>
      <c r="D151" s="10">
        <v>0</v>
      </c>
      <c r="E151" s="10">
        <v>0</v>
      </c>
    </row>
    <row r="152" spans="2:5" ht="15" customHeight="1">
      <c r="B152" s="12" t="s">
        <v>184</v>
      </c>
      <c r="C152" s="10">
        <v>1</v>
      </c>
      <c r="D152" s="10">
        <v>0</v>
      </c>
      <c r="E152" s="10">
        <v>0</v>
      </c>
    </row>
    <row r="153" spans="2:5" ht="15" customHeight="1">
      <c r="B153" s="12" t="s">
        <v>185</v>
      </c>
      <c r="C153" s="10">
        <v>1</v>
      </c>
      <c r="D153" s="10">
        <v>0</v>
      </c>
      <c r="E153" s="10">
        <v>0</v>
      </c>
    </row>
    <row r="154" spans="2:5" ht="15" customHeight="1">
      <c r="B154" s="12" t="s">
        <v>186</v>
      </c>
      <c r="C154" s="10">
        <v>1</v>
      </c>
      <c r="D154" s="10">
        <v>0</v>
      </c>
      <c r="E154" s="10">
        <v>0</v>
      </c>
    </row>
    <row r="155" spans="2:5" ht="15" customHeight="1">
      <c r="B155" s="12" t="s">
        <v>187</v>
      </c>
      <c r="C155" s="10">
        <v>1</v>
      </c>
      <c r="D155" s="10">
        <v>0</v>
      </c>
      <c r="E155" s="10">
        <v>0</v>
      </c>
    </row>
    <row r="156" spans="2:5" ht="15" customHeight="1">
      <c r="B156" s="12" t="s">
        <v>188</v>
      </c>
      <c r="C156" s="10">
        <v>1</v>
      </c>
      <c r="D156" s="10">
        <v>0</v>
      </c>
      <c r="E156" s="10">
        <v>0</v>
      </c>
    </row>
    <row r="157" spans="2:5" ht="15" customHeight="1">
      <c r="B157" s="12" t="s">
        <v>189</v>
      </c>
      <c r="C157" s="10">
        <v>1</v>
      </c>
      <c r="D157" s="10">
        <v>0</v>
      </c>
      <c r="E157" s="10">
        <v>0</v>
      </c>
    </row>
    <row r="158" spans="2:5" ht="15" customHeight="1">
      <c r="B158" s="12" t="s">
        <v>190</v>
      </c>
      <c r="C158" s="10">
        <v>1</v>
      </c>
      <c r="D158" s="10">
        <v>0</v>
      </c>
      <c r="E158" s="10">
        <v>0</v>
      </c>
    </row>
    <row r="159" spans="2:5" ht="15" customHeight="1">
      <c r="B159" s="12" t="s">
        <v>191</v>
      </c>
      <c r="C159" s="10">
        <v>1</v>
      </c>
      <c r="D159" s="10">
        <v>0</v>
      </c>
      <c r="E159" s="10">
        <v>0</v>
      </c>
    </row>
    <row r="160" spans="2:5" ht="15" customHeight="1">
      <c r="B160" s="12" t="s">
        <v>192</v>
      </c>
      <c r="C160" s="10">
        <v>1</v>
      </c>
      <c r="D160" s="10">
        <v>0</v>
      </c>
      <c r="E160" s="10">
        <v>0</v>
      </c>
    </row>
    <row r="161" spans="2:5" ht="15" customHeight="1">
      <c r="B161" s="12" t="s">
        <v>193</v>
      </c>
      <c r="C161" s="10">
        <v>1</v>
      </c>
      <c r="D161" s="10">
        <v>0</v>
      </c>
      <c r="E161" s="10">
        <v>0</v>
      </c>
    </row>
    <row r="162" spans="2:5" ht="15" customHeight="1">
      <c r="B162" s="12" t="s">
        <v>194</v>
      </c>
      <c r="C162" s="10">
        <v>1</v>
      </c>
      <c r="D162" s="10">
        <v>0</v>
      </c>
      <c r="E162" s="10">
        <v>0</v>
      </c>
    </row>
    <row r="163" spans="2:5" ht="15" customHeight="1">
      <c r="B163" s="12" t="s">
        <v>195</v>
      </c>
      <c r="C163" s="10">
        <v>1</v>
      </c>
      <c r="D163" s="10">
        <v>0</v>
      </c>
      <c r="E163" s="10">
        <v>0</v>
      </c>
    </row>
    <row r="164" spans="2:5" ht="15" customHeight="1">
      <c r="B164" s="12" t="s">
        <v>196</v>
      </c>
      <c r="C164" s="10">
        <v>1</v>
      </c>
      <c r="D164" s="10">
        <v>0</v>
      </c>
      <c r="E164" s="10">
        <v>0</v>
      </c>
    </row>
    <row r="165" spans="2:5" ht="15" customHeight="1">
      <c r="B165" s="12" t="s">
        <v>197</v>
      </c>
      <c r="C165" s="10">
        <v>1</v>
      </c>
      <c r="D165" s="10">
        <v>0</v>
      </c>
      <c r="E165" s="10">
        <v>0</v>
      </c>
    </row>
    <row r="166" spans="2:5" ht="15" customHeight="1">
      <c r="B166" s="12" t="s">
        <v>198</v>
      </c>
      <c r="C166" s="10">
        <v>1</v>
      </c>
      <c r="D166" s="10">
        <v>0</v>
      </c>
      <c r="E166" s="10">
        <v>0</v>
      </c>
    </row>
    <row r="167" spans="2:5" ht="15" customHeight="1">
      <c r="B167" s="12" t="s">
        <v>199</v>
      </c>
      <c r="C167" s="10">
        <v>1</v>
      </c>
      <c r="D167" s="10">
        <v>0</v>
      </c>
      <c r="E167" s="10">
        <v>0</v>
      </c>
    </row>
    <row r="168" spans="2:5" ht="15" customHeight="1">
      <c r="B168" s="12" t="s">
        <v>200</v>
      </c>
      <c r="C168" s="10">
        <v>1</v>
      </c>
      <c r="D168" s="10">
        <v>0</v>
      </c>
      <c r="E168" s="10">
        <v>0</v>
      </c>
    </row>
    <row r="169" spans="2:5" ht="15" customHeight="1">
      <c r="B169" s="12" t="s">
        <v>201</v>
      </c>
      <c r="C169" s="10">
        <v>1</v>
      </c>
      <c r="D169" s="10">
        <v>0</v>
      </c>
      <c r="E169" s="10">
        <v>0</v>
      </c>
    </row>
    <row r="170" spans="2:5" ht="15" customHeight="1">
      <c r="B170" s="12" t="s">
        <v>202</v>
      </c>
      <c r="C170" s="10">
        <v>1</v>
      </c>
      <c r="D170" s="10">
        <v>0</v>
      </c>
      <c r="E170" s="10">
        <v>0</v>
      </c>
    </row>
    <row r="171" spans="2:5" ht="15" customHeight="1">
      <c r="B171" s="12" t="s">
        <v>203</v>
      </c>
      <c r="C171" s="10">
        <v>1</v>
      </c>
      <c r="D171" s="10">
        <v>0</v>
      </c>
      <c r="E171" s="10">
        <v>0</v>
      </c>
    </row>
    <row r="172" spans="2:5" ht="15" customHeight="1">
      <c r="B172" s="12" t="s">
        <v>204</v>
      </c>
      <c r="C172" s="10">
        <v>1</v>
      </c>
      <c r="D172" s="10">
        <v>0</v>
      </c>
      <c r="E172" s="10">
        <v>0</v>
      </c>
    </row>
    <row r="173" spans="2:5" ht="15" customHeight="1">
      <c r="B173" s="12" t="s">
        <v>205</v>
      </c>
      <c r="C173" s="10">
        <v>1</v>
      </c>
      <c r="D173" s="10">
        <v>0</v>
      </c>
      <c r="E173" s="10">
        <v>0</v>
      </c>
    </row>
    <row r="174" spans="2:5" ht="15" customHeight="1">
      <c r="B174" s="12" t="s">
        <v>206</v>
      </c>
      <c r="C174" s="10">
        <v>1</v>
      </c>
      <c r="D174" s="10">
        <v>0</v>
      </c>
      <c r="E174" s="10">
        <v>0</v>
      </c>
    </row>
    <row r="175" spans="2:5" ht="15" customHeight="1">
      <c r="B175" s="12" t="s">
        <v>207</v>
      </c>
      <c r="C175" s="10">
        <v>1</v>
      </c>
      <c r="D175" s="10">
        <v>0</v>
      </c>
      <c r="E175" s="10">
        <v>0</v>
      </c>
    </row>
    <row r="176" spans="2:5" ht="15" customHeight="1">
      <c r="B176" s="12" t="s">
        <v>208</v>
      </c>
      <c r="C176" s="10">
        <v>1</v>
      </c>
      <c r="D176" s="10">
        <v>0</v>
      </c>
      <c r="E176" s="10">
        <v>0</v>
      </c>
    </row>
    <row r="177" spans="2:5" ht="15" customHeight="1">
      <c r="B177" s="12" t="s">
        <v>209</v>
      </c>
      <c r="C177" s="10">
        <v>1</v>
      </c>
      <c r="D177" s="10">
        <v>0</v>
      </c>
      <c r="E177" s="10">
        <v>0</v>
      </c>
    </row>
    <row r="178" spans="2:5" ht="15" customHeight="1">
      <c r="B178" s="12" t="s">
        <v>210</v>
      </c>
      <c r="C178" s="10">
        <v>1</v>
      </c>
      <c r="D178" s="10">
        <v>0</v>
      </c>
      <c r="E178" s="10">
        <v>0</v>
      </c>
    </row>
    <row r="179" spans="2:5" ht="15" customHeight="1">
      <c r="B179" s="12" t="s">
        <v>211</v>
      </c>
      <c r="C179" s="10">
        <v>1</v>
      </c>
      <c r="D179" s="10">
        <v>0</v>
      </c>
      <c r="E179" s="10">
        <v>0</v>
      </c>
    </row>
    <row r="180" spans="2:5" ht="15" customHeight="1">
      <c r="B180" s="12" t="s">
        <v>212</v>
      </c>
      <c r="C180" s="10">
        <v>1</v>
      </c>
      <c r="D180" s="10">
        <v>0</v>
      </c>
      <c r="E180" s="10">
        <v>0</v>
      </c>
    </row>
    <row r="181" spans="2:5" ht="15" customHeight="1">
      <c r="B181" s="12" t="s">
        <v>213</v>
      </c>
      <c r="C181" s="10">
        <v>1</v>
      </c>
      <c r="D181" s="10">
        <v>0</v>
      </c>
      <c r="E181" s="10">
        <v>0</v>
      </c>
    </row>
    <row r="182" spans="2:5" ht="15" customHeight="1">
      <c r="B182" s="12" t="s">
        <v>214</v>
      </c>
      <c r="C182" s="10">
        <v>1</v>
      </c>
      <c r="D182" s="10">
        <v>0</v>
      </c>
      <c r="E182" s="10">
        <v>0</v>
      </c>
    </row>
    <row r="183" spans="2:5" ht="15" customHeight="1">
      <c r="B183" s="12" t="s">
        <v>215</v>
      </c>
      <c r="C183" s="10">
        <v>1</v>
      </c>
      <c r="D183" s="10">
        <v>0</v>
      </c>
      <c r="E183" s="10">
        <v>0</v>
      </c>
    </row>
    <row r="184" spans="2:5" ht="15" customHeight="1">
      <c r="B184" s="12" t="s">
        <v>216</v>
      </c>
      <c r="C184" s="10">
        <v>1</v>
      </c>
      <c r="D184" s="10">
        <v>0</v>
      </c>
      <c r="E184" s="10">
        <v>0</v>
      </c>
    </row>
    <row r="185" spans="2:5" ht="15" customHeight="1">
      <c r="B185" s="12" t="s">
        <v>217</v>
      </c>
      <c r="C185" s="10">
        <v>1</v>
      </c>
      <c r="D185" s="10">
        <v>0</v>
      </c>
      <c r="E185" s="10">
        <v>0</v>
      </c>
    </row>
    <row r="186" spans="2:5" ht="15" customHeight="1">
      <c r="B186" s="12" t="s">
        <v>218</v>
      </c>
      <c r="C186" s="10">
        <v>1</v>
      </c>
      <c r="D186" s="10">
        <v>0</v>
      </c>
      <c r="E186" s="10">
        <v>0</v>
      </c>
    </row>
    <row r="187" spans="2:5" ht="15" customHeight="1">
      <c r="B187" s="12" t="s">
        <v>219</v>
      </c>
      <c r="C187" s="10">
        <v>1</v>
      </c>
      <c r="D187" s="10">
        <v>0</v>
      </c>
      <c r="E187" s="10">
        <v>0</v>
      </c>
    </row>
    <row r="188" spans="2:5" ht="15" customHeight="1">
      <c r="B188" s="12" t="s">
        <v>220</v>
      </c>
      <c r="C188" s="10">
        <v>1</v>
      </c>
      <c r="D188" s="10">
        <v>0</v>
      </c>
      <c r="E188" s="10">
        <v>0</v>
      </c>
    </row>
    <row r="189" spans="2:5" ht="15" customHeight="1">
      <c r="B189" s="12" t="s">
        <v>221</v>
      </c>
      <c r="C189" s="10">
        <v>1</v>
      </c>
      <c r="D189" s="10">
        <v>0</v>
      </c>
      <c r="E189" s="10">
        <v>0</v>
      </c>
    </row>
    <row r="190" spans="2:5" ht="15" customHeight="1">
      <c r="B190" s="12" t="s">
        <v>222</v>
      </c>
      <c r="C190" s="10">
        <v>1</v>
      </c>
      <c r="D190" s="10">
        <v>0</v>
      </c>
      <c r="E190" s="10">
        <v>0</v>
      </c>
    </row>
    <row r="191" spans="2:5" ht="15" customHeight="1">
      <c r="B191" s="12" t="s">
        <v>223</v>
      </c>
      <c r="C191" s="10">
        <v>1</v>
      </c>
      <c r="D191" s="10">
        <v>0</v>
      </c>
      <c r="E191" s="10">
        <v>0</v>
      </c>
    </row>
    <row r="192" spans="2:5" ht="15" customHeight="1">
      <c r="B192" s="12" t="s">
        <v>224</v>
      </c>
      <c r="C192" s="10">
        <v>1</v>
      </c>
      <c r="D192" s="10">
        <v>0</v>
      </c>
      <c r="E192" s="10">
        <v>0</v>
      </c>
    </row>
    <row r="193" spans="2:5" ht="15" customHeight="1">
      <c r="B193" s="12" t="s">
        <v>225</v>
      </c>
      <c r="C193" s="10">
        <v>1</v>
      </c>
      <c r="D193" s="10">
        <v>0</v>
      </c>
      <c r="E193" s="10">
        <v>0</v>
      </c>
    </row>
    <row r="194" spans="2:5" ht="15" customHeight="1">
      <c r="B194" s="12" t="s">
        <v>226</v>
      </c>
      <c r="C194" s="10">
        <v>1</v>
      </c>
      <c r="D194" s="10">
        <v>0</v>
      </c>
      <c r="E194" s="10">
        <v>0</v>
      </c>
    </row>
    <row r="195" spans="2:5" ht="15" customHeight="1">
      <c r="B195" s="12" t="s">
        <v>227</v>
      </c>
      <c r="C195" s="10">
        <v>1</v>
      </c>
      <c r="D195" s="10">
        <v>0</v>
      </c>
      <c r="E195" s="10">
        <v>0</v>
      </c>
    </row>
    <row r="196" spans="2:5" ht="15" customHeight="1">
      <c r="B196" s="12" t="s">
        <v>228</v>
      </c>
      <c r="C196" s="10">
        <v>1</v>
      </c>
      <c r="D196" s="10">
        <v>0</v>
      </c>
      <c r="E196" s="10">
        <v>0</v>
      </c>
    </row>
    <row r="197" spans="2:5" ht="15" customHeight="1">
      <c r="B197" s="12" t="s">
        <v>229</v>
      </c>
      <c r="C197" s="10">
        <v>1</v>
      </c>
      <c r="D197" s="10">
        <v>0</v>
      </c>
      <c r="E197" s="10">
        <v>0</v>
      </c>
    </row>
    <row r="198" spans="2:5" ht="15" customHeight="1">
      <c r="B198" s="12" t="s">
        <v>230</v>
      </c>
      <c r="C198" s="10">
        <v>1</v>
      </c>
      <c r="D198" s="10">
        <v>0</v>
      </c>
      <c r="E198" s="10">
        <v>0</v>
      </c>
    </row>
    <row r="199" spans="2:5" ht="15" customHeight="1">
      <c r="B199" s="12" t="s">
        <v>231</v>
      </c>
      <c r="C199" s="10">
        <v>1</v>
      </c>
      <c r="D199" s="10">
        <v>0</v>
      </c>
      <c r="E199" s="10">
        <v>0</v>
      </c>
    </row>
    <row r="200" spans="2:5" ht="15" customHeight="1">
      <c r="B200" s="12" t="s">
        <v>232</v>
      </c>
      <c r="C200" s="10">
        <v>1</v>
      </c>
      <c r="D200" s="10">
        <v>0</v>
      </c>
      <c r="E200" s="10">
        <v>0</v>
      </c>
    </row>
    <row r="201" spans="2:5" ht="15" customHeight="1">
      <c r="B201" s="12" t="s">
        <v>233</v>
      </c>
      <c r="C201" s="10">
        <v>1</v>
      </c>
      <c r="D201" s="10">
        <v>0</v>
      </c>
      <c r="E201" s="10">
        <v>0</v>
      </c>
    </row>
    <row r="202" spans="2:5" ht="15" customHeight="1">
      <c r="B202" s="12" t="s">
        <v>234</v>
      </c>
      <c r="C202" s="10">
        <v>1</v>
      </c>
      <c r="D202" s="10">
        <v>0</v>
      </c>
      <c r="E202" s="10">
        <v>0</v>
      </c>
    </row>
    <row r="203" spans="2:5" ht="15" customHeight="1">
      <c r="B203" s="12" t="s">
        <v>235</v>
      </c>
      <c r="C203" s="10">
        <v>1</v>
      </c>
      <c r="D203" s="10">
        <v>0</v>
      </c>
      <c r="E203" s="10">
        <v>0</v>
      </c>
    </row>
    <row r="204" spans="2:5" ht="15" customHeight="1">
      <c r="B204" s="12" t="s">
        <v>236</v>
      </c>
      <c r="C204" s="10">
        <v>1</v>
      </c>
      <c r="D204" s="10">
        <v>0</v>
      </c>
      <c r="E204" s="10">
        <v>0</v>
      </c>
    </row>
    <row r="205" spans="2:5" ht="15" customHeight="1">
      <c r="B205" s="12" t="s">
        <v>237</v>
      </c>
      <c r="C205" s="10">
        <v>1</v>
      </c>
      <c r="D205" s="10">
        <v>0</v>
      </c>
      <c r="E205" s="10">
        <v>0</v>
      </c>
    </row>
    <row r="206" spans="2:5" ht="15" customHeight="1">
      <c r="B206" s="12" t="s">
        <v>238</v>
      </c>
      <c r="C206" s="10">
        <v>1</v>
      </c>
      <c r="D206" s="10">
        <v>0</v>
      </c>
      <c r="E206" s="10">
        <v>0</v>
      </c>
    </row>
    <row r="207" spans="2:5" ht="15" customHeight="1">
      <c r="B207" s="12" t="s">
        <v>239</v>
      </c>
      <c r="C207" s="10">
        <v>1</v>
      </c>
      <c r="D207" s="10">
        <v>0</v>
      </c>
      <c r="E207" s="10">
        <v>0</v>
      </c>
    </row>
    <row r="208" spans="2:5" ht="15" customHeight="1">
      <c r="B208" s="12" t="s">
        <v>240</v>
      </c>
      <c r="C208" s="10">
        <v>1</v>
      </c>
      <c r="D208" s="10">
        <v>0</v>
      </c>
      <c r="E208" s="10">
        <v>0</v>
      </c>
    </row>
    <row r="209" spans="2:5" ht="15" customHeight="1">
      <c r="B209" s="12" t="s">
        <v>241</v>
      </c>
      <c r="C209" s="10">
        <v>1</v>
      </c>
      <c r="D209" s="10">
        <v>0</v>
      </c>
      <c r="E209" s="10">
        <v>0</v>
      </c>
    </row>
    <row r="210" spans="2:5" ht="15" customHeight="1">
      <c r="B210" s="12" t="s">
        <v>242</v>
      </c>
      <c r="C210" s="10">
        <v>1</v>
      </c>
      <c r="D210" s="10">
        <v>0</v>
      </c>
      <c r="E210" s="10">
        <v>0</v>
      </c>
    </row>
    <row r="211" spans="2:5" ht="15" customHeight="1">
      <c r="B211" s="12" t="s">
        <v>243</v>
      </c>
      <c r="C211" s="10">
        <v>1</v>
      </c>
      <c r="D211" s="10">
        <v>0</v>
      </c>
      <c r="E211" s="10">
        <v>0</v>
      </c>
    </row>
    <row r="212" spans="2:5" ht="15" customHeight="1">
      <c r="B212" s="12" t="s">
        <v>244</v>
      </c>
      <c r="C212" s="10">
        <v>1</v>
      </c>
      <c r="D212" s="10">
        <v>0</v>
      </c>
      <c r="E212" s="10">
        <v>0</v>
      </c>
    </row>
    <row r="213" spans="2:5" ht="15" customHeight="1">
      <c r="B213" s="12" t="s">
        <v>245</v>
      </c>
      <c r="C213" s="10">
        <v>1</v>
      </c>
      <c r="D213" s="10">
        <v>0</v>
      </c>
      <c r="E213" s="10">
        <v>0</v>
      </c>
    </row>
    <row r="214" spans="2:5" ht="15" customHeight="1">
      <c r="B214" s="12" t="s">
        <v>246</v>
      </c>
      <c r="C214" s="10">
        <v>1</v>
      </c>
      <c r="D214" s="10">
        <v>0</v>
      </c>
      <c r="E214" s="10">
        <v>0</v>
      </c>
    </row>
    <row r="215" spans="2:5" ht="15" customHeight="1">
      <c r="B215" s="12" t="s">
        <v>247</v>
      </c>
      <c r="C215" s="10">
        <v>1</v>
      </c>
      <c r="D215" s="10">
        <v>0</v>
      </c>
      <c r="E215" s="10">
        <v>0</v>
      </c>
    </row>
    <row r="216" spans="2:5" ht="15" customHeight="1">
      <c r="B216" s="12" t="s">
        <v>248</v>
      </c>
      <c r="C216" s="10">
        <v>1</v>
      </c>
      <c r="D216" s="10">
        <v>0</v>
      </c>
      <c r="E216" s="10">
        <v>0</v>
      </c>
    </row>
    <row r="217" spans="2:5" ht="15" customHeight="1">
      <c r="B217" s="12" t="s">
        <v>249</v>
      </c>
      <c r="C217" s="10">
        <v>1</v>
      </c>
      <c r="D217" s="10">
        <v>0</v>
      </c>
      <c r="E217" s="10">
        <v>0</v>
      </c>
    </row>
    <row r="218" spans="2:5" ht="15" customHeight="1">
      <c r="B218" s="12" t="s">
        <v>250</v>
      </c>
      <c r="C218" s="10">
        <v>1</v>
      </c>
      <c r="D218" s="10">
        <v>0</v>
      </c>
      <c r="E218" s="10">
        <v>0</v>
      </c>
    </row>
    <row r="219" spans="2:5" ht="15" customHeight="1">
      <c r="B219" s="12" t="s">
        <v>251</v>
      </c>
      <c r="C219" s="10">
        <v>1</v>
      </c>
      <c r="D219" s="10">
        <v>0</v>
      </c>
      <c r="E219" s="10">
        <v>0</v>
      </c>
    </row>
    <row r="220" spans="2:5" ht="15" customHeight="1">
      <c r="B220" s="12" t="s">
        <v>252</v>
      </c>
      <c r="C220" s="10">
        <v>1</v>
      </c>
      <c r="D220" s="10">
        <v>0</v>
      </c>
      <c r="E220" s="10">
        <v>0</v>
      </c>
    </row>
    <row r="221" spans="2:5" ht="15" customHeight="1">
      <c r="B221" s="12" t="s">
        <v>253</v>
      </c>
      <c r="C221" s="10">
        <v>1</v>
      </c>
      <c r="D221" s="10">
        <v>0</v>
      </c>
      <c r="E221" s="10">
        <v>0</v>
      </c>
    </row>
    <row r="222" spans="2:5" ht="15" customHeight="1">
      <c r="B222" s="12" t="s">
        <v>254</v>
      </c>
      <c r="C222" s="10">
        <v>1</v>
      </c>
      <c r="D222" s="10">
        <v>0</v>
      </c>
      <c r="E222" s="10">
        <v>0</v>
      </c>
    </row>
    <row r="223" spans="2:5" ht="15" customHeight="1">
      <c r="B223" s="12" t="s">
        <v>255</v>
      </c>
      <c r="C223" s="10">
        <v>1</v>
      </c>
      <c r="D223" s="10">
        <v>0</v>
      </c>
      <c r="E223" s="10">
        <v>0</v>
      </c>
    </row>
    <row r="224" spans="2:5" ht="15" customHeight="1">
      <c r="B224" s="12" t="s">
        <v>256</v>
      </c>
      <c r="C224" s="10">
        <v>1</v>
      </c>
      <c r="D224" s="10">
        <v>0</v>
      </c>
      <c r="E224" s="10">
        <v>0</v>
      </c>
    </row>
    <row r="225" spans="2:5" ht="15" customHeight="1">
      <c r="B225" s="12" t="s">
        <v>257</v>
      </c>
      <c r="C225" s="10">
        <v>1</v>
      </c>
      <c r="D225" s="10">
        <v>0</v>
      </c>
      <c r="E225" s="10">
        <v>0</v>
      </c>
    </row>
    <row r="226" spans="2:5" ht="15" customHeight="1">
      <c r="B226" s="12" t="s">
        <v>258</v>
      </c>
      <c r="C226" s="10">
        <v>1</v>
      </c>
      <c r="D226" s="10">
        <v>0</v>
      </c>
      <c r="E226" s="10">
        <v>0</v>
      </c>
    </row>
    <row r="227" spans="2:5" ht="15" customHeight="1">
      <c r="B227" s="12" t="s">
        <v>259</v>
      </c>
      <c r="C227" s="10">
        <v>1</v>
      </c>
      <c r="D227" s="10">
        <v>0</v>
      </c>
      <c r="E227" s="10">
        <v>0</v>
      </c>
    </row>
    <row r="228" spans="2:5" ht="15" customHeight="1">
      <c r="B228" s="12" t="s">
        <v>260</v>
      </c>
      <c r="C228" s="10">
        <v>1</v>
      </c>
      <c r="D228" s="10">
        <v>0</v>
      </c>
      <c r="E228" s="10">
        <v>0</v>
      </c>
    </row>
    <row r="229" spans="2:5" ht="15" customHeight="1">
      <c r="B229" s="12" t="s">
        <v>261</v>
      </c>
      <c r="C229" s="10">
        <v>1</v>
      </c>
      <c r="D229" s="10">
        <v>0</v>
      </c>
      <c r="E229" s="10">
        <v>0</v>
      </c>
    </row>
    <row r="230" spans="2:5" ht="15" customHeight="1">
      <c r="B230" s="12" t="s">
        <v>262</v>
      </c>
      <c r="C230" s="10">
        <v>1</v>
      </c>
      <c r="D230" s="10">
        <v>0</v>
      </c>
      <c r="E230" s="10">
        <v>0</v>
      </c>
    </row>
    <row r="231" spans="2:5" ht="15" customHeight="1">
      <c r="B231" s="12" t="s">
        <v>263</v>
      </c>
      <c r="C231" s="10">
        <v>1</v>
      </c>
      <c r="D231" s="10">
        <v>0</v>
      </c>
      <c r="E231" s="10">
        <v>0</v>
      </c>
    </row>
    <row r="232" spans="2:5" ht="15" customHeight="1">
      <c r="B232" s="12" t="s">
        <v>264</v>
      </c>
      <c r="C232" s="10">
        <v>1</v>
      </c>
      <c r="D232" s="10">
        <v>0</v>
      </c>
      <c r="E232" s="10">
        <v>0</v>
      </c>
    </row>
    <row r="233" spans="2:5" ht="15" customHeight="1">
      <c r="B233" s="12" t="s">
        <v>265</v>
      </c>
      <c r="C233" s="10">
        <v>1</v>
      </c>
      <c r="D233" s="10">
        <v>0</v>
      </c>
      <c r="E233" s="10">
        <v>0</v>
      </c>
    </row>
    <row r="234" spans="2:5" ht="15" customHeight="1">
      <c r="B234" s="12" t="s">
        <v>266</v>
      </c>
      <c r="C234" s="10">
        <v>1</v>
      </c>
      <c r="D234" s="10">
        <v>0</v>
      </c>
      <c r="E234" s="10">
        <v>0</v>
      </c>
    </row>
    <row r="235" spans="2:5" ht="15" customHeight="1">
      <c r="B235" s="12" t="s">
        <v>267</v>
      </c>
      <c r="C235" s="10">
        <v>1</v>
      </c>
      <c r="D235" s="10">
        <v>0</v>
      </c>
      <c r="E235" s="10">
        <v>0</v>
      </c>
    </row>
    <row r="236" spans="2:5" ht="15" customHeight="1">
      <c r="B236" s="12" t="s">
        <v>268</v>
      </c>
      <c r="C236" s="10">
        <v>1</v>
      </c>
      <c r="D236" s="10">
        <v>0</v>
      </c>
      <c r="E236" s="10">
        <v>0</v>
      </c>
    </row>
    <row r="237" spans="2:5" ht="15" customHeight="1">
      <c r="B237" s="12" t="s">
        <v>269</v>
      </c>
      <c r="C237" s="10">
        <v>1</v>
      </c>
      <c r="D237" s="10">
        <v>0</v>
      </c>
      <c r="E237" s="10">
        <v>0</v>
      </c>
    </row>
    <row r="238" spans="2:5" ht="15" customHeight="1">
      <c r="B238" s="12" t="s">
        <v>270</v>
      </c>
      <c r="C238" s="10">
        <v>1</v>
      </c>
      <c r="D238" s="10">
        <v>0</v>
      </c>
      <c r="E238" s="10">
        <v>0</v>
      </c>
    </row>
    <row r="239" spans="2:5" ht="15" customHeight="1">
      <c r="B239" s="12" t="s">
        <v>271</v>
      </c>
      <c r="C239" s="10">
        <v>1</v>
      </c>
      <c r="D239" s="10">
        <v>0</v>
      </c>
      <c r="E239" s="10">
        <v>0</v>
      </c>
    </row>
    <row r="240" spans="2:5" ht="15" customHeight="1">
      <c r="B240" s="12" t="s">
        <v>272</v>
      </c>
      <c r="C240" s="10">
        <v>1</v>
      </c>
      <c r="D240" s="10">
        <v>0</v>
      </c>
      <c r="E240" s="10">
        <v>0</v>
      </c>
    </row>
    <row r="241" spans="2:5" ht="15" customHeight="1">
      <c r="B241" s="12" t="s">
        <v>273</v>
      </c>
      <c r="C241" s="10">
        <v>1</v>
      </c>
      <c r="D241" s="10">
        <v>0</v>
      </c>
      <c r="E241" s="10">
        <v>0</v>
      </c>
    </row>
    <row r="242" spans="2:5" ht="15" customHeight="1">
      <c r="B242" s="12" t="s">
        <v>274</v>
      </c>
      <c r="C242" s="10">
        <v>1</v>
      </c>
      <c r="D242" s="10">
        <v>0</v>
      </c>
      <c r="E242" s="10">
        <v>0</v>
      </c>
    </row>
    <row r="243" spans="2:5" ht="15" customHeight="1">
      <c r="B243" s="12" t="s">
        <v>275</v>
      </c>
      <c r="C243" s="10">
        <v>1</v>
      </c>
      <c r="D243" s="10">
        <v>0</v>
      </c>
      <c r="E243" s="10">
        <v>0</v>
      </c>
    </row>
    <row r="244" spans="2:5" ht="15" customHeight="1">
      <c r="B244" s="12" t="s">
        <v>276</v>
      </c>
      <c r="C244" s="10">
        <v>1</v>
      </c>
      <c r="D244" s="10">
        <v>0</v>
      </c>
      <c r="E244" s="10">
        <v>0</v>
      </c>
    </row>
    <row r="245" spans="2:5" ht="15" customHeight="1">
      <c r="B245" s="12" t="s">
        <v>277</v>
      </c>
      <c r="C245" s="10">
        <v>1</v>
      </c>
      <c r="D245" s="10">
        <v>0</v>
      </c>
      <c r="E245" s="10">
        <v>0</v>
      </c>
    </row>
    <row r="246" spans="2:5" ht="15" customHeight="1">
      <c r="B246" s="12" t="s">
        <v>278</v>
      </c>
      <c r="C246" s="10">
        <v>1</v>
      </c>
      <c r="D246" s="10">
        <v>0</v>
      </c>
      <c r="E246" s="10">
        <v>0</v>
      </c>
    </row>
    <row r="247" spans="2:5" ht="15" customHeight="1">
      <c r="B247" s="12" t="s">
        <v>279</v>
      </c>
      <c r="C247" s="10">
        <v>1</v>
      </c>
      <c r="D247" s="10">
        <v>0</v>
      </c>
      <c r="E247" s="10">
        <v>0</v>
      </c>
    </row>
    <row r="248" spans="2:5" ht="15" customHeight="1">
      <c r="B248" s="12" t="s">
        <v>280</v>
      </c>
      <c r="C248" s="10">
        <v>1</v>
      </c>
      <c r="D248" s="10">
        <v>0</v>
      </c>
      <c r="E248" s="10">
        <v>0</v>
      </c>
    </row>
    <row r="249" spans="2:5" ht="15" customHeight="1">
      <c r="B249" s="12" t="s">
        <v>281</v>
      </c>
      <c r="C249" s="10">
        <v>1</v>
      </c>
      <c r="D249" s="10">
        <v>0</v>
      </c>
      <c r="E249" s="10">
        <v>0</v>
      </c>
    </row>
    <row r="250" spans="2:5" ht="15" customHeight="1">
      <c r="B250" s="12" t="s">
        <v>282</v>
      </c>
      <c r="C250" s="10">
        <v>1</v>
      </c>
      <c r="D250" s="10">
        <v>0</v>
      </c>
      <c r="E250" s="10">
        <v>0</v>
      </c>
    </row>
    <row r="251" spans="2:5" ht="15" customHeight="1">
      <c r="B251" s="12" t="s">
        <v>283</v>
      </c>
      <c r="C251" s="10">
        <v>1</v>
      </c>
      <c r="D251" s="10">
        <v>0</v>
      </c>
      <c r="E251" s="10">
        <v>0</v>
      </c>
    </row>
    <row r="252" spans="2:5" ht="15" customHeight="1">
      <c r="B252" s="12" t="s">
        <v>284</v>
      </c>
      <c r="C252" s="10">
        <v>1</v>
      </c>
      <c r="D252" s="10">
        <v>0</v>
      </c>
      <c r="E252" s="10">
        <v>0</v>
      </c>
    </row>
    <row r="253" spans="2:5" ht="15" customHeight="1">
      <c r="B253" s="12" t="s">
        <v>285</v>
      </c>
      <c r="C253" s="10">
        <v>1</v>
      </c>
      <c r="D253" s="10">
        <v>0</v>
      </c>
      <c r="E253" s="10">
        <v>0</v>
      </c>
    </row>
    <row r="254" spans="2:5" ht="15" customHeight="1">
      <c r="B254" s="12" t="s">
        <v>286</v>
      </c>
      <c r="C254" s="10">
        <v>1</v>
      </c>
      <c r="D254" s="10">
        <v>0</v>
      </c>
      <c r="E254" s="10">
        <v>0</v>
      </c>
    </row>
    <row r="255" spans="2:5" ht="15" customHeight="1">
      <c r="B255" s="12" t="s">
        <v>287</v>
      </c>
      <c r="C255" s="10">
        <v>1</v>
      </c>
      <c r="D255" s="10">
        <v>0</v>
      </c>
      <c r="E255" s="10">
        <v>0</v>
      </c>
    </row>
    <row r="256" spans="2:5" ht="15" customHeight="1">
      <c r="B256" s="12" t="s">
        <v>288</v>
      </c>
      <c r="C256" s="10">
        <v>1</v>
      </c>
      <c r="D256" s="10">
        <v>0</v>
      </c>
      <c r="E256" s="10">
        <v>0</v>
      </c>
    </row>
    <row r="257" spans="2:5" ht="15" customHeight="1">
      <c r="B257" s="12" t="s">
        <v>289</v>
      </c>
      <c r="C257" s="10">
        <v>1</v>
      </c>
      <c r="D257" s="10">
        <v>0</v>
      </c>
      <c r="E257" s="10">
        <v>0</v>
      </c>
    </row>
    <row r="258" spans="2:5" ht="15" customHeight="1">
      <c r="B258" s="12" t="s">
        <v>290</v>
      </c>
      <c r="C258" s="10">
        <v>1</v>
      </c>
      <c r="D258" s="10">
        <v>0</v>
      </c>
      <c r="E258" s="10">
        <v>0</v>
      </c>
    </row>
    <row r="259" spans="2:5" ht="15" customHeight="1">
      <c r="B259" s="12" t="s">
        <v>291</v>
      </c>
      <c r="C259" s="10">
        <v>1</v>
      </c>
      <c r="D259" s="10">
        <v>0</v>
      </c>
      <c r="E259" s="10">
        <v>0</v>
      </c>
    </row>
    <row r="260" spans="2:5" ht="15" customHeight="1">
      <c r="B260" s="12" t="s">
        <v>292</v>
      </c>
      <c r="C260" s="10">
        <v>1</v>
      </c>
      <c r="D260" s="10">
        <v>0</v>
      </c>
      <c r="E260" s="10">
        <v>0</v>
      </c>
    </row>
    <row r="261" spans="2:5" ht="15" customHeight="1">
      <c r="B261" s="12" t="s">
        <v>293</v>
      </c>
      <c r="C261" s="10">
        <v>1</v>
      </c>
      <c r="D261" s="10">
        <v>0</v>
      </c>
      <c r="E261" s="10">
        <v>0</v>
      </c>
    </row>
    <row r="262" spans="2:5" ht="15" customHeight="1">
      <c r="B262" s="12" t="s">
        <v>294</v>
      </c>
      <c r="C262" s="10">
        <v>1</v>
      </c>
      <c r="D262" s="10">
        <v>0</v>
      </c>
      <c r="E262" s="10">
        <v>0</v>
      </c>
    </row>
    <row r="263" spans="2:5" ht="15" customHeight="1">
      <c r="B263" s="12" t="s">
        <v>295</v>
      </c>
      <c r="C263" s="10">
        <v>1</v>
      </c>
      <c r="D263" s="10">
        <v>0</v>
      </c>
      <c r="E263" s="10">
        <v>0</v>
      </c>
    </row>
    <row r="264" spans="2:5" ht="15" customHeight="1">
      <c r="B264" s="12" t="s">
        <v>296</v>
      </c>
      <c r="C264" s="10">
        <v>1</v>
      </c>
      <c r="D264" s="10">
        <v>0</v>
      </c>
      <c r="E264" s="10">
        <v>0</v>
      </c>
    </row>
    <row r="265" spans="2:5" ht="15" customHeight="1">
      <c r="B265" s="12" t="s">
        <v>297</v>
      </c>
      <c r="C265" s="10">
        <v>1</v>
      </c>
      <c r="D265" s="10">
        <v>0</v>
      </c>
      <c r="E265" s="10">
        <v>0</v>
      </c>
    </row>
    <row r="266" spans="2:5" ht="15" customHeight="1">
      <c r="B266" s="12" t="s">
        <v>298</v>
      </c>
      <c r="C266" s="10">
        <v>1</v>
      </c>
      <c r="D266" s="10">
        <v>0</v>
      </c>
      <c r="E266" s="10">
        <v>0</v>
      </c>
    </row>
    <row r="267" spans="2:5" ht="15" customHeight="1">
      <c r="B267" s="12" t="s">
        <v>299</v>
      </c>
      <c r="C267" s="10">
        <v>1</v>
      </c>
      <c r="D267" s="10">
        <v>0</v>
      </c>
      <c r="E267" s="10">
        <v>0</v>
      </c>
    </row>
    <row r="268" spans="2:5" ht="15" customHeight="1">
      <c r="B268" s="12" t="s">
        <v>300</v>
      </c>
      <c r="C268" s="10">
        <v>1</v>
      </c>
      <c r="D268" s="10">
        <v>0</v>
      </c>
      <c r="E268" s="10">
        <v>0</v>
      </c>
    </row>
    <row r="269" spans="2:5" ht="15" customHeight="1">
      <c r="B269" s="12" t="s">
        <v>301</v>
      </c>
      <c r="C269" s="10">
        <v>1</v>
      </c>
      <c r="D269" s="10">
        <v>0</v>
      </c>
      <c r="E269" s="10">
        <v>0</v>
      </c>
    </row>
    <row r="270" spans="2:5" ht="15" customHeight="1">
      <c r="B270" s="12" t="s">
        <v>302</v>
      </c>
      <c r="C270" s="10">
        <v>1</v>
      </c>
      <c r="D270" s="10">
        <v>0</v>
      </c>
      <c r="E270" s="10">
        <v>0</v>
      </c>
    </row>
    <row r="271" spans="2:5" ht="15" customHeight="1">
      <c r="B271" s="12" t="s">
        <v>303</v>
      </c>
      <c r="C271" s="10">
        <v>1</v>
      </c>
      <c r="D271" s="10">
        <v>0</v>
      </c>
      <c r="E271" s="10">
        <v>0</v>
      </c>
    </row>
    <row r="272" spans="2:5" ht="15" customHeight="1">
      <c r="B272" s="12" t="s">
        <v>304</v>
      </c>
      <c r="C272" s="10">
        <v>1</v>
      </c>
      <c r="D272" s="10">
        <v>0</v>
      </c>
      <c r="E272" s="10">
        <v>0</v>
      </c>
    </row>
    <row r="273" spans="2:5" ht="15" customHeight="1">
      <c r="B273" s="12" t="s">
        <v>305</v>
      </c>
      <c r="C273" s="10">
        <v>1</v>
      </c>
      <c r="D273" s="10">
        <v>0</v>
      </c>
      <c r="E273" s="10">
        <v>0</v>
      </c>
    </row>
    <row r="274" spans="2:5" ht="15" customHeight="1">
      <c r="B274" s="12" t="s">
        <v>306</v>
      </c>
      <c r="C274" s="10">
        <v>1</v>
      </c>
      <c r="D274" s="10">
        <v>0</v>
      </c>
      <c r="E274" s="10">
        <v>0</v>
      </c>
    </row>
    <row r="275" spans="2:5" ht="15" customHeight="1">
      <c r="B275" s="12" t="s">
        <v>307</v>
      </c>
      <c r="C275" s="10">
        <v>1</v>
      </c>
      <c r="D275" s="10">
        <v>0</v>
      </c>
      <c r="E275" s="10">
        <v>0</v>
      </c>
    </row>
    <row r="276" spans="2:5" ht="15" customHeight="1">
      <c r="B276" s="12" t="s">
        <v>308</v>
      </c>
      <c r="C276" s="10">
        <v>1</v>
      </c>
      <c r="D276" s="10">
        <v>0</v>
      </c>
      <c r="E276" s="10">
        <v>0</v>
      </c>
    </row>
    <row r="277" spans="2:5" ht="15" customHeight="1">
      <c r="B277" s="12" t="s">
        <v>309</v>
      </c>
      <c r="C277" s="10">
        <v>1</v>
      </c>
      <c r="D277" s="10">
        <v>0</v>
      </c>
      <c r="E277" s="10">
        <v>0</v>
      </c>
    </row>
    <row r="278" spans="2:5" ht="15" customHeight="1">
      <c r="B278" s="12" t="s">
        <v>310</v>
      </c>
      <c r="C278" s="10">
        <v>1</v>
      </c>
      <c r="D278" s="10">
        <v>0</v>
      </c>
      <c r="E278" s="10">
        <v>0</v>
      </c>
    </row>
    <row r="279" spans="2:5" ht="15" customHeight="1">
      <c r="B279" s="12" t="s">
        <v>311</v>
      </c>
      <c r="C279" s="10">
        <v>1</v>
      </c>
      <c r="D279" s="10">
        <v>0</v>
      </c>
      <c r="E279" s="10">
        <v>0</v>
      </c>
    </row>
    <row r="280" spans="2:5" ht="15" customHeight="1">
      <c r="B280" s="12" t="s">
        <v>312</v>
      </c>
      <c r="C280" s="10">
        <v>1</v>
      </c>
      <c r="D280" s="10">
        <v>0</v>
      </c>
      <c r="E280" s="10">
        <v>0</v>
      </c>
    </row>
    <row r="281" spans="2:5" ht="15" customHeight="1">
      <c r="B281" s="12" t="s">
        <v>313</v>
      </c>
      <c r="C281" s="10">
        <v>1</v>
      </c>
      <c r="D281" s="10">
        <v>0</v>
      </c>
      <c r="E281" s="10">
        <v>0</v>
      </c>
    </row>
    <row r="282" spans="2:5" ht="15" customHeight="1">
      <c r="B282" s="12" t="s">
        <v>314</v>
      </c>
      <c r="C282" s="10">
        <v>1</v>
      </c>
      <c r="D282" s="10">
        <v>0</v>
      </c>
      <c r="E282" s="10">
        <v>0</v>
      </c>
    </row>
    <row r="283" spans="2:5" ht="15" customHeight="1">
      <c r="B283" s="12" t="s">
        <v>315</v>
      </c>
      <c r="C283" s="10">
        <v>1</v>
      </c>
      <c r="D283" s="10">
        <v>0</v>
      </c>
      <c r="E283" s="10">
        <v>0</v>
      </c>
    </row>
    <row r="284" spans="2:5" ht="15" customHeight="1">
      <c r="B284" s="12" t="s">
        <v>316</v>
      </c>
      <c r="C284" s="10">
        <v>1</v>
      </c>
      <c r="D284" s="10">
        <v>0</v>
      </c>
      <c r="E284" s="10">
        <v>0</v>
      </c>
    </row>
    <row r="285" spans="2:5" ht="15" customHeight="1">
      <c r="B285" s="12" t="s">
        <v>317</v>
      </c>
      <c r="C285" s="10">
        <v>1</v>
      </c>
      <c r="D285" s="10">
        <v>0</v>
      </c>
      <c r="E285" s="10">
        <v>0</v>
      </c>
    </row>
    <row r="286" spans="2:5" ht="15" customHeight="1">
      <c r="B286" s="12" t="s">
        <v>318</v>
      </c>
      <c r="C286" s="10">
        <v>1</v>
      </c>
      <c r="D286" s="10">
        <v>0</v>
      </c>
      <c r="E286" s="10">
        <v>0</v>
      </c>
    </row>
    <row r="287" spans="2:5" ht="15" customHeight="1">
      <c r="B287" s="12" t="s">
        <v>319</v>
      </c>
      <c r="C287" s="10">
        <v>1</v>
      </c>
      <c r="D287" s="10">
        <v>0</v>
      </c>
      <c r="E287" s="10">
        <v>0</v>
      </c>
    </row>
    <row r="288" spans="2:5" ht="15" customHeight="1">
      <c r="B288" s="12" t="s">
        <v>320</v>
      </c>
      <c r="C288" s="10">
        <v>1</v>
      </c>
      <c r="D288" s="10">
        <v>0</v>
      </c>
      <c r="E288" s="10">
        <v>0</v>
      </c>
    </row>
    <row r="289" spans="2:5" ht="15" customHeight="1">
      <c r="B289" s="12" t="s">
        <v>321</v>
      </c>
      <c r="C289" s="10">
        <v>1</v>
      </c>
      <c r="D289" s="10">
        <v>0</v>
      </c>
      <c r="E289" s="10">
        <v>0</v>
      </c>
    </row>
    <row r="290" spans="2:5" ht="15" customHeight="1">
      <c r="B290" s="12" t="s">
        <v>322</v>
      </c>
      <c r="C290" s="10">
        <v>1</v>
      </c>
      <c r="D290" s="10">
        <v>0</v>
      </c>
      <c r="E290" s="10">
        <v>0</v>
      </c>
    </row>
    <row r="291" spans="2:5" ht="15" customHeight="1">
      <c r="B291" s="12" t="s">
        <v>323</v>
      </c>
      <c r="C291" s="10">
        <v>1</v>
      </c>
      <c r="D291" s="10">
        <v>0</v>
      </c>
      <c r="E291" s="10">
        <v>0</v>
      </c>
    </row>
    <row r="292" spans="2:5" ht="15" customHeight="1">
      <c r="B292" s="12" t="s">
        <v>324</v>
      </c>
      <c r="C292" s="10">
        <v>1</v>
      </c>
      <c r="D292" s="10">
        <v>0</v>
      </c>
      <c r="E292" s="10">
        <v>0</v>
      </c>
    </row>
    <row r="293" spans="2:5" ht="15" customHeight="1">
      <c r="B293" s="12" t="s">
        <v>325</v>
      </c>
      <c r="C293" s="10">
        <v>1</v>
      </c>
      <c r="D293" s="10">
        <v>0</v>
      </c>
      <c r="E293" s="10">
        <v>0</v>
      </c>
    </row>
    <row r="294" spans="2:5" ht="15" customHeight="1">
      <c r="B294" s="12" t="s">
        <v>326</v>
      </c>
      <c r="C294" s="10">
        <v>1</v>
      </c>
      <c r="D294" s="10">
        <v>0</v>
      </c>
      <c r="E294" s="10">
        <v>0</v>
      </c>
    </row>
    <row r="295" spans="2:5" ht="15" customHeight="1">
      <c r="B295" s="12" t="s">
        <v>327</v>
      </c>
      <c r="C295" s="10">
        <v>1</v>
      </c>
      <c r="D295" s="10">
        <v>0</v>
      </c>
      <c r="E295" s="10">
        <v>0</v>
      </c>
    </row>
    <row r="296" spans="2:5" ht="15" customHeight="1">
      <c r="B296" s="12" t="s">
        <v>328</v>
      </c>
      <c r="C296" s="10">
        <v>1</v>
      </c>
      <c r="D296" s="10">
        <v>0</v>
      </c>
      <c r="E296" s="10">
        <v>0</v>
      </c>
    </row>
    <row r="297" spans="2:5" ht="15" customHeight="1">
      <c r="B297" s="12" t="s">
        <v>329</v>
      </c>
      <c r="C297" s="10">
        <v>1</v>
      </c>
      <c r="D297" s="10">
        <v>0</v>
      </c>
      <c r="E297" s="10">
        <v>0</v>
      </c>
    </row>
    <row r="298" spans="2:5" ht="15" customHeight="1">
      <c r="B298" s="12" t="s">
        <v>330</v>
      </c>
      <c r="C298" s="10">
        <v>1</v>
      </c>
      <c r="D298" s="10">
        <v>1</v>
      </c>
      <c r="E298" s="10">
        <v>0</v>
      </c>
    </row>
    <row r="299" spans="2:5" ht="15" customHeight="1">
      <c r="B299" s="12" t="s">
        <v>331</v>
      </c>
      <c r="C299" s="10">
        <v>1</v>
      </c>
      <c r="D299" s="10">
        <v>0</v>
      </c>
      <c r="E299" s="10">
        <v>0</v>
      </c>
    </row>
    <row r="300" spans="2:5" ht="15" customHeight="1">
      <c r="B300" s="12" t="s">
        <v>332</v>
      </c>
      <c r="C300" s="10">
        <v>1</v>
      </c>
      <c r="D300" s="10">
        <v>1</v>
      </c>
      <c r="E300" s="10">
        <v>0</v>
      </c>
    </row>
    <row r="301" spans="2:5" ht="15" customHeight="1">
      <c r="B301" s="12" t="s">
        <v>333</v>
      </c>
      <c r="C301" s="10">
        <v>1</v>
      </c>
      <c r="D301" s="10">
        <v>0</v>
      </c>
      <c r="E301" s="10">
        <v>0</v>
      </c>
    </row>
    <row r="302" spans="2:5" ht="15" customHeight="1">
      <c r="B302" s="12" t="s">
        <v>334</v>
      </c>
      <c r="C302" s="10">
        <v>1</v>
      </c>
      <c r="D302" s="10">
        <v>0</v>
      </c>
      <c r="E302" s="10">
        <v>0</v>
      </c>
    </row>
    <row r="303" spans="2:5" ht="15" customHeight="1">
      <c r="B303" s="12" t="s">
        <v>335</v>
      </c>
      <c r="C303" s="10">
        <v>1</v>
      </c>
      <c r="D303" s="10">
        <v>0</v>
      </c>
      <c r="E303" s="10">
        <v>0</v>
      </c>
    </row>
    <row r="306" spans="2:2" ht="12.75">
      <c r="B306" s="5" t="s">
        <v>336</v>
      </c>
    </row>
    <row r="307" ht="13" customHeight="1"/>
    <row r="308" spans="2:2" ht="13" customHeight="1"/>
    <row r="309" ht="13" customHeight="1"/>
    <row r="310" ht="13" customHeight="1"/>
    <row r="311" ht="13" customHeight="1"/>
    <row r="312" ht="13" customHeight="1"/>
    <row r="313" ht="13" customHeight="1"/>
    <row r="314" ht="13" customHeight="1"/>
    <row r="315" ht="13" customHeight="1"/>
    <row r="316" ht="13" customHeight="1"/>
    <row r="317" ht="13" customHeight="1"/>
    <row r="318" ht="13" customHeight="1"/>
    <row r="319" ht="13" customHeight="1"/>
    <row r="320" ht="13" customHeight="1"/>
    <row r="321" ht="13" customHeight="1"/>
    <row r="322" ht="13" customHeight="1"/>
    <row r="323" ht="13" customHeight="1"/>
    <row r="324" ht="13" customHeight="1"/>
    <row r="325" ht="13" customHeight="1"/>
    <row r="326" ht="13" customHeight="1"/>
    <row r="327" ht="13" customHeight="1"/>
    <row r="328" ht="13" customHeight="1"/>
    <row r="329" ht="13" customHeight="1"/>
    <row r="330" ht="13" customHeight="1"/>
    <row r="331" spans="2:5" ht="30" customHeight="1">
      <c r="B331" s="6" t="s">
        <v>26</v>
      </c>
      <c r="C331" s="7" t="s">
        <v>7</v>
      </c>
      <c r="D331" s="7" t="s">
        <v>8</v>
      </c>
      <c r="E331" s="7" t="s">
        <v>9</v>
      </c>
    </row>
    <row r="332" spans="2:5" ht="15" customHeight="1">
      <c r="B332" s="12" t="s">
        <v>63</v>
      </c>
      <c r="C332" s="10">
        <v>38808850</v>
      </c>
      <c r="D332" s="10">
        <v>1546483</v>
      </c>
      <c r="E332" s="10">
        <v>211774</v>
      </c>
    </row>
    <row r="333" spans="2:5" ht="15" customHeight="1">
      <c r="B333" s="12" t="s">
        <v>70</v>
      </c>
      <c r="C333" s="10">
        <v>16550424</v>
      </c>
      <c r="D333" s="10">
        <v>0</v>
      </c>
      <c r="E333" s="10">
        <v>0</v>
      </c>
    </row>
    <row r="334" spans="2:5" ht="15" customHeight="1">
      <c r="B334" s="12" t="s">
        <v>80</v>
      </c>
      <c r="C334" s="10">
        <v>14000000</v>
      </c>
      <c r="D334" s="10">
        <v>0</v>
      </c>
      <c r="E334" s="10">
        <v>0</v>
      </c>
    </row>
    <row r="335" spans="2:5" ht="15" customHeight="1">
      <c r="B335" s="12" t="s">
        <v>68</v>
      </c>
      <c r="C335" s="10">
        <v>11560193</v>
      </c>
      <c r="D335" s="10">
        <v>280517</v>
      </c>
      <c r="E335" s="10">
        <v>0</v>
      </c>
    </row>
    <row r="336" spans="2:5" ht="15" customHeight="1">
      <c r="B336" s="12" t="s">
        <v>64</v>
      </c>
      <c r="C336" s="10">
        <v>2225398</v>
      </c>
      <c r="D336" s="10">
        <v>0</v>
      </c>
      <c r="E336" s="10">
        <v>0</v>
      </c>
    </row>
    <row r="337" spans="2:5" ht="15" customHeight="1">
      <c r="B337" s="12" t="s">
        <v>87</v>
      </c>
      <c r="C337" s="10">
        <v>2150000</v>
      </c>
      <c r="D337" s="10">
        <v>0</v>
      </c>
      <c r="E337" s="10">
        <v>0</v>
      </c>
    </row>
    <row r="338" spans="2:5" ht="15" customHeight="1">
      <c r="B338" s="12" t="s">
        <v>67</v>
      </c>
      <c r="C338" s="10">
        <v>2022563</v>
      </c>
      <c r="D338" s="10">
        <v>0</v>
      </c>
      <c r="E338" s="10">
        <v>5845</v>
      </c>
    </row>
    <row r="339" spans="2:5" ht="15" customHeight="1">
      <c r="B339" s="12" t="s">
        <v>94</v>
      </c>
      <c r="C339" s="10">
        <v>1900000</v>
      </c>
      <c r="D339" s="10">
        <v>0</v>
      </c>
      <c r="E339" s="10">
        <v>0</v>
      </c>
    </row>
    <row r="340" spans="2:5" ht="15" customHeight="1">
      <c r="B340" s="12" t="s">
        <v>65</v>
      </c>
      <c r="C340" s="10">
        <v>1609805</v>
      </c>
      <c r="D340" s="10">
        <v>0</v>
      </c>
      <c r="E340" s="10">
        <v>0</v>
      </c>
    </row>
    <row r="341" spans="2:5" ht="15" customHeight="1">
      <c r="B341" s="12" t="s">
        <v>88</v>
      </c>
      <c r="C341" s="10">
        <v>1446731</v>
      </c>
      <c r="D341" s="10">
        <v>0</v>
      </c>
      <c r="E341" s="10">
        <v>0</v>
      </c>
    </row>
    <row r="342" spans="2:5" ht="15" customHeight="1">
      <c r="B342" s="12" t="s">
        <v>73</v>
      </c>
      <c r="C342" s="10">
        <v>1269742</v>
      </c>
      <c r="D342" s="10">
        <v>0</v>
      </c>
      <c r="E342" s="10">
        <v>0</v>
      </c>
    </row>
    <row r="343" spans="2:5" ht="15" customHeight="1">
      <c r="B343" s="12" t="s">
        <v>71</v>
      </c>
      <c r="C343" s="10">
        <v>1131642</v>
      </c>
      <c r="D343" s="10">
        <v>0</v>
      </c>
      <c r="E343" s="10">
        <v>0</v>
      </c>
    </row>
    <row r="344" spans="2:5" ht="15" customHeight="1">
      <c r="B344" s="12" t="s">
        <v>132</v>
      </c>
      <c r="C344" s="10">
        <v>1040000</v>
      </c>
      <c r="D344" s="10">
        <v>0</v>
      </c>
      <c r="E344" s="10">
        <v>0</v>
      </c>
    </row>
    <row r="345" spans="2:5" ht="15" customHeight="1">
      <c r="B345" s="12" t="s">
        <v>100</v>
      </c>
      <c r="C345" s="10">
        <v>842000</v>
      </c>
      <c r="D345" s="10">
        <v>0</v>
      </c>
      <c r="E345" s="10">
        <v>0</v>
      </c>
    </row>
    <row r="346" spans="2:5" ht="15" customHeight="1">
      <c r="B346" s="12" t="s">
        <v>306</v>
      </c>
      <c r="C346" s="10">
        <v>807190</v>
      </c>
      <c r="D346" s="10">
        <v>0</v>
      </c>
      <c r="E346" s="10">
        <v>0</v>
      </c>
    </row>
    <row r="347" spans="2:5" ht="15" customHeight="1">
      <c r="B347" s="12" t="s">
        <v>85</v>
      </c>
      <c r="C347" s="10">
        <v>779722</v>
      </c>
      <c r="D347" s="10">
        <v>0</v>
      </c>
      <c r="E347" s="10">
        <v>0</v>
      </c>
    </row>
    <row r="348" spans="2:5" ht="15" customHeight="1">
      <c r="B348" s="12" t="s">
        <v>192</v>
      </c>
      <c r="C348" s="10">
        <v>668000</v>
      </c>
      <c r="D348" s="10">
        <v>0</v>
      </c>
      <c r="E348" s="10">
        <v>0</v>
      </c>
    </row>
    <row r="349" spans="2:5" ht="15" customHeight="1">
      <c r="B349" s="12" t="s">
        <v>233</v>
      </c>
      <c r="C349" s="10">
        <v>621207</v>
      </c>
      <c r="D349" s="10">
        <v>0</v>
      </c>
      <c r="E349" s="10">
        <v>0</v>
      </c>
    </row>
    <row r="350" spans="2:5" ht="15" customHeight="1">
      <c r="B350" s="12" t="s">
        <v>126</v>
      </c>
      <c r="C350" s="10">
        <v>544465</v>
      </c>
      <c r="D350" s="10">
        <v>0</v>
      </c>
      <c r="E350" s="10">
        <v>0</v>
      </c>
    </row>
    <row r="351" spans="2:5" ht="15" customHeight="1">
      <c r="B351" s="12" t="s">
        <v>138</v>
      </c>
      <c r="C351" s="10">
        <v>504000</v>
      </c>
      <c r="D351" s="10">
        <v>0</v>
      </c>
      <c r="E351" s="10">
        <v>0</v>
      </c>
    </row>
    <row r="352" spans="2:5" ht="15" customHeight="1">
      <c r="B352" s="12" t="s">
        <v>89</v>
      </c>
      <c r="C352" s="10">
        <v>444037</v>
      </c>
      <c r="D352" s="10">
        <v>0</v>
      </c>
      <c r="E352" s="10">
        <v>0</v>
      </c>
    </row>
    <row r="353" spans="2:5" ht="15" customHeight="1">
      <c r="B353" s="12" t="s">
        <v>167</v>
      </c>
      <c r="C353" s="10">
        <v>435000</v>
      </c>
      <c r="D353" s="10">
        <v>0</v>
      </c>
      <c r="E353" s="10">
        <v>0</v>
      </c>
    </row>
    <row r="354" spans="2:5" ht="15" customHeight="1">
      <c r="B354" s="12" t="s">
        <v>169</v>
      </c>
      <c r="C354" s="10">
        <v>409000</v>
      </c>
      <c r="D354" s="10">
        <v>0</v>
      </c>
      <c r="E354" s="10">
        <v>0</v>
      </c>
    </row>
    <row r="355" spans="2:5" ht="15" customHeight="1">
      <c r="B355" s="12" t="s">
        <v>128</v>
      </c>
      <c r="C355" s="10">
        <v>385000</v>
      </c>
      <c r="D355" s="10">
        <v>0</v>
      </c>
      <c r="E355" s="10">
        <v>0</v>
      </c>
    </row>
    <row r="356" spans="2:5" ht="15" customHeight="1">
      <c r="B356" s="12" t="s">
        <v>231</v>
      </c>
      <c r="C356" s="10">
        <v>366544</v>
      </c>
      <c r="D356" s="10">
        <v>0</v>
      </c>
      <c r="E356" s="10">
        <v>0</v>
      </c>
    </row>
    <row r="357" spans="2:5" ht="15" customHeight="1">
      <c r="B357" s="12" t="s">
        <v>102</v>
      </c>
      <c r="C357" s="10">
        <v>336000</v>
      </c>
      <c r="D357" s="10">
        <v>0</v>
      </c>
      <c r="E357" s="10">
        <v>0</v>
      </c>
    </row>
    <row r="358" spans="2:5" ht="15" customHeight="1">
      <c r="B358" s="12" t="s">
        <v>322</v>
      </c>
      <c r="C358" s="10">
        <v>304000</v>
      </c>
      <c r="D358" s="10">
        <v>0</v>
      </c>
      <c r="E358" s="10">
        <v>0</v>
      </c>
    </row>
    <row r="359" spans="2:5" ht="15" customHeight="1">
      <c r="B359" s="12" t="s">
        <v>266</v>
      </c>
      <c r="C359" s="10">
        <v>250952</v>
      </c>
      <c r="D359" s="10">
        <v>0</v>
      </c>
      <c r="E359" s="10">
        <v>0</v>
      </c>
    </row>
    <row r="360" spans="2:5" ht="15" customHeight="1">
      <c r="B360" s="12" t="s">
        <v>296</v>
      </c>
      <c r="C360" s="10">
        <v>179000</v>
      </c>
      <c r="D360" s="10">
        <v>0</v>
      </c>
      <c r="E360" s="10">
        <v>0</v>
      </c>
    </row>
    <row r="361" spans="2:5" ht="15" customHeight="1">
      <c r="B361" s="12" t="s">
        <v>104</v>
      </c>
      <c r="C361" s="10">
        <v>178699</v>
      </c>
      <c r="D361" s="10">
        <v>0</v>
      </c>
      <c r="E361" s="10">
        <v>0</v>
      </c>
    </row>
    <row r="362" spans="2:5" ht="15" customHeight="1">
      <c r="B362" s="12" t="s">
        <v>193</v>
      </c>
      <c r="C362" s="10">
        <v>144318</v>
      </c>
      <c r="D362" s="10">
        <v>0</v>
      </c>
      <c r="E362" s="10">
        <v>0</v>
      </c>
    </row>
    <row r="363" spans="2:5" ht="15" customHeight="1">
      <c r="B363" s="12" t="s">
        <v>149</v>
      </c>
      <c r="C363" s="10">
        <v>139475</v>
      </c>
      <c r="D363" s="10">
        <v>0</v>
      </c>
      <c r="E363" s="10">
        <v>0</v>
      </c>
    </row>
    <row r="364" spans="2:5" ht="15" customHeight="1">
      <c r="B364" s="12" t="s">
        <v>69</v>
      </c>
      <c r="C364" s="10">
        <v>138581</v>
      </c>
      <c r="D364" s="10">
        <v>0</v>
      </c>
      <c r="E364" s="10">
        <v>0</v>
      </c>
    </row>
    <row r="365" spans="2:5" ht="15" customHeight="1">
      <c r="B365" s="12" t="s">
        <v>284</v>
      </c>
      <c r="C365" s="10">
        <v>124000</v>
      </c>
      <c r="D365" s="10">
        <v>0</v>
      </c>
      <c r="E365" s="10">
        <v>0</v>
      </c>
    </row>
    <row r="366" spans="2:5" ht="15" customHeight="1">
      <c r="B366" s="12" t="s">
        <v>129</v>
      </c>
      <c r="C366" s="10">
        <v>112000</v>
      </c>
      <c r="D366" s="10">
        <v>0</v>
      </c>
      <c r="E366" s="10">
        <v>0</v>
      </c>
    </row>
    <row r="367" spans="2:5" ht="15" customHeight="1">
      <c r="B367" s="12" t="s">
        <v>176</v>
      </c>
      <c r="C367" s="10">
        <v>98500</v>
      </c>
      <c r="D367" s="10">
        <v>0</v>
      </c>
      <c r="E367" s="10">
        <v>0</v>
      </c>
    </row>
    <row r="368" spans="2:5" ht="15" customHeight="1">
      <c r="B368" s="12" t="s">
        <v>135</v>
      </c>
      <c r="C368" s="10">
        <v>94200</v>
      </c>
      <c r="D368" s="10">
        <v>0</v>
      </c>
      <c r="E368" s="10">
        <v>0</v>
      </c>
    </row>
    <row r="369" spans="2:5" ht="15" customHeight="1">
      <c r="B369" s="12" t="s">
        <v>189</v>
      </c>
      <c r="C369" s="10">
        <v>93500</v>
      </c>
      <c r="D369" s="10">
        <v>0</v>
      </c>
      <c r="E369" s="10">
        <v>0</v>
      </c>
    </row>
    <row r="370" spans="2:5" ht="15" customHeight="1">
      <c r="B370" s="12" t="s">
        <v>101</v>
      </c>
      <c r="C370" s="10">
        <v>88925</v>
      </c>
      <c r="D370" s="10">
        <v>0</v>
      </c>
      <c r="E370" s="10">
        <v>0</v>
      </c>
    </row>
    <row r="371" spans="2:5" ht="15" customHeight="1">
      <c r="B371" s="12" t="s">
        <v>146</v>
      </c>
      <c r="C371" s="10">
        <v>80500</v>
      </c>
      <c r="D371" s="10">
        <v>0</v>
      </c>
      <c r="E371" s="10">
        <v>0</v>
      </c>
    </row>
    <row r="372" spans="2:5" ht="15" customHeight="1">
      <c r="B372" s="12" t="s">
        <v>174</v>
      </c>
      <c r="C372" s="10">
        <v>79300</v>
      </c>
      <c r="D372" s="10">
        <v>0</v>
      </c>
      <c r="E372" s="10">
        <v>0</v>
      </c>
    </row>
    <row r="373" spans="2:5" ht="15" customHeight="1">
      <c r="B373" s="12" t="s">
        <v>131</v>
      </c>
      <c r="C373" s="10">
        <v>76200</v>
      </c>
      <c r="D373" s="10">
        <v>0</v>
      </c>
      <c r="E373" s="10">
        <v>0</v>
      </c>
    </row>
    <row r="374" spans="2:5" ht="15" customHeight="1">
      <c r="B374" s="12" t="s">
        <v>120</v>
      </c>
      <c r="C374" s="10">
        <v>71899</v>
      </c>
      <c r="D374" s="10">
        <v>0</v>
      </c>
      <c r="E374" s="10">
        <v>0</v>
      </c>
    </row>
    <row r="375" spans="2:5" ht="15" customHeight="1">
      <c r="B375" s="12" t="s">
        <v>199</v>
      </c>
      <c r="C375" s="10">
        <v>71198</v>
      </c>
      <c r="D375" s="10">
        <v>0</v>
      </c>
      <c r="E375" s="10">
        <v>0</v>
      </c>
    </row>
    <row r="376" spans="2:5" ht="15" customHeight="1">
      <c r="B376" s="12" t="s">
        <v>72</v>
      </c>
      <c r="C376" s="10">
        <v>71100</v>
      </c>
      <c r="D376" s="10">
        <v>0</v>
      </c>
      <c r="E376" s="10">
        <v>0</v>
      </c>
    </row>
    <row r="377" spans="2:5" ht="15" customHeight="1">
      <c r="B377" s="12" t="s">
        <v>90</v>
      </c>
      <c r="C377" s="10">
        <v>69300</v>
      </c>
      <c r="D377" s="10">
        <v>0</v>
      </c>
      <c r="E377" s="10">
        <v>0</v>
      </c>
    </row>
    <row r="378" spans="2:5" ht="15" customHeight="1">
      <c r="B378" s="12" t="s">
        <v>239</v>
      </c>
      <c r="C378" s="10">
        <v>68586</v>
      </c>
      <c r="D378" s="10">
        <v>0</v>
      </c>
      <c r="E378" s="10">
        <v>0</v>
      </c>
    </row>
    <row r="379" spans="2:5" ht="15" customHeight="1">
      <c r="B379" s="12" t="s">
        <v>144</v>
      </c>
      <c r="C379" s="10">
        <v>65394</v>
      </c>
      <c r="D379" s="10">
        <v>0</v>
      </c>
      <c r="E379" s="10">
        <v>0</v>
      </c>
    </row>
    <row r="380" spans="2:5" ht="15" customHeight="1">
      <c r="B380" s="12" t="s">
        <v>145</v>
      </c>
      <c r="C380" s="10">
        <v>63825</v>
      </c>
      <c r="D380" s="10">
        <v>0</v>
      </c>
      <c r="E380" s="10">
        <v>0</v>
      </c>
    </row>
    <row r="381" spans="2:5" ht="15" customHeight="1">
      <c r="B381" s="12" t="s">
        <v>198</v>
      </c>
      <c r="C381" s="10">
        <v>62400</v>
      </c>
      <c r="D381" s="10">
        <v>0</v>
      </c>
      <c r="E381" s="10">
        <v>0</v>
      </c>
    </row>
    <row r="382" spans="2:5" ht="15" customHeight="1">
      <c r="B382" s="12" t="s">
        <v>82</v>
      </c>
      <c r="C382" s="10">
        <v>60061</v>
      </c>
      <c r="D382" s="10">
        <v>0</v>
      </c>
      <c r="E382" s="10">
        <v>0</v>
      </c>
    </row>
    <row r="383" spans="2:5" ht="15" customHeight="1">
      <c r="B383" s="12" t="s">
        <v>223</v>
      </c>
      <c r="C383" s="10">
        <v>57379</v>
      </c>
      <c r="D383" s="10">
        <v>0</v>
      </c>
      <c r="E383" s="10">
        <v>0</v>
      </c>
    </row>
    <row r="384" spans="2:5" ht="15" customHeight="1">
      <c r="B384" s="12" t="s">
        <v>127</v>
      </c>
      <c r="C384" s="10">
        <v>55300</v>
      </c>
      <c r="D384" s="10">
        <v>0</v>
      </c>
      <c r="E384" s="10">
        <v>0</v>
      </c>
    </row>
    <row r="385" spans="2:5" ht="15" customHeight="1">
      <c r="B385" s="12" t="s">
        <v>155</v>
      </c>
      <c r="C385" s="10">
        <v>52100</v>
      </c>
      <c r="D385" s="10">
        <v>0</v>
      </c>
      <c r="E385" s="10">
        <v>0</v>
      </c>
    </row>
    <row r="386" spans="2:5" ht="15" customHeight="1">
      <c r="B386" s="12" t="s">
        <v>203</v>
      </c>
      <c r="C386" s="10">
        <v>50300</v>
      </c>
      <c r="D386" s="10">
        <v>0</v>
      </c>
      <c r="E386" s="10">
        <v>0</v>
      </c>
    </row>
    <row r="387" spans="2:5" ht="15" customHeight="1">
      <c r="B387" s="12" t="s">
        <v>175</v>
      </c>
      <c r="C387" s="10">
        <v>47800</v>
      </c>
      <c r="D387" s="10">
        <v>0</v>
      </c>
      <c r="E387" s="10">
        <v>0</v>
      </c>
    </row>
    <row r="388" spans="2:5" ht="15" customHeight="1">
      <c r="B388" s="12" t="s">
        <v>134</v>
      </c>
      <c r="C388" s="10">
        <v>46442</v>
      </c>
      <c r="D388" s="10">
        <v>0</v>
      </c>
      <c r="E388" s="10">
        <v>0</v>
      </c>
    </row>
    <row r="389" spans="2:5" ht="15" customHeight="1">
      <c r="B389" s="12" t="s">
        <v>317</v>
      </c>
      <c r="C389" s="10">
        <v>45800</v>
      </c>
      <c r="D389" s="10">
        <v>0</v>
      </c>
      <c r="E389" s="10">
        <v>0</v>
      </c>
    </row>
    <row r="390" spans="2:5" ht="15" customHeight="1">
      <c r="B390" s="12" t="s">
        <v>162</v>
      </c>
      <c r="C390" s="10">
        <v>40900</v>
      </c>
      <c r="D390" s="10">
        <v>0</v>
      </c>
      <c r="E390" s="10">
        <v>0</v>
      </c>
    </row>
    <row r="391" spans="2:5" ht="15" customHeight="1">
      <c r="B391" s="12" t="s">
        <v>113</v>
      </c>
      <c r="C391" s="10">
        <v>40848</v>
      </c>
      <c r="D391" s="10">
        <v>0</v>
      </c>
      <c r="E391" s="10">
        <v>0</v>
      </c>
    </row>
    <row r="392" spans="2:5" ht="15" customHeight="1">
      <c r="B392" s="12" t="s">
        <v>165</v>
      </c>
      <c r="C392" s="10">
        <v>39600</v>
      </c>
      <c r="D392" s="10">
        <v>0</v>
      </c>
      <c r="E392" s="10">
        <v>0</v>
      </c>
    </row>
    <row r="393" spans="2:5" ht="15" customHeight="1">
      <c r="B393" s="12" t="s">
        <v>219</v>
      </c>
      <c r="C393" s="10">
        <v>37330</v>
      </c>
      <c r="D393" s="10">
        <v>0</v>
      </c>
      <c r="E393" s="10">
        <v>0</v>
      </c>
    </row>
    <row r="394" spans="2:5" ht="15" customHeight="1">
      <c r="B394" s="12" t="s">
        <v>163</v>
      </c>
      <c r="C394" s="10">
        <v>36700</v>
      </c>
      <c r="D394" s="10">
        <v>0</v>
      </c>
      <c r="E394" s="10">
        <v>0</v>
      </c>
    </row>
    <row r="395" spans="2:5" ht="15" customHeight="1">
      <c r="B395" s="12" t="s">
        <v>194</v>
      </c>
      <c r="C395" s="10">
        <v>35489</v>
      </c>
      <c r="D395" s="10">
        <v>0</v>
      </c>
      <c r="E395" s="10">
        <v>0</v>
      </c>
    </row>
    <row r="396" spans="2:5" ht="15" customHeight="1">
      <c r="B396" s="12" t="s">
        <v>74</v>
      </c>
      <c r="C396" s="10">
        <v>35372</v>
      </c>
      <c r="D396" s="10">
        <v>0</v>
      </c>
      <c r="E396" s="10">
        <v>0</v>
      </c>
    </row>
    <row r="397" spans="2:5" ht="15" customHeight="1">
      <c r="B397" s="12" t="s">
        <v>91</v>
      </c>
      <c r="C397" s="10">
        <v>34148</v>
      </c>
      <c r="D397" s="10">
        <v>0</v>
      </c>
      <c r="E397" s="10">
        <v>0</v>
      </c>
    </row>
    <row r="398" spans="2:5" ht="15" customHeight="1">
      <c r="B398" s="12" t="s">
        <v>157</v>
      </c>
      <c r="C398" s="10">
        <v>32629</v>
      </c>
      <c r="D398" s="10">
        <v>0</v>
      </c>
      <c r="E398" s="10">
        <v>0</v>
      </c>
    </row>
    <row r="399" spans="2:5" ht="15" customHeight="1">
      <c r="B399" s="12" t="s">
        <v>171</v>
      </c>
      <c r="C399" s="10">
        <v>32200</v>
      </c>
      <c r="D399" s="10">
        <v>0</v>
      </c>
      <c r="E399" s="10">
        <v>0</v>
      </c>
    </row>
    <row r="400" spans="2:5" ht="15" customHeight="1">
      <c r="B400" s="12" t="s">
        <v>141</v>
      </c>
      <c r="C400" s="10">
        <v>25388</v>
      </c>
      <c r="D400" s="10">
        <v>0</v>
      </c>
      <c r="E400" s="10">
        <v>0</v>
      </c>
    </row>
    <row r="401" spans="2:5" ht="15" customHeight="1">
      <c r="B401" s="12" t="s">
        <v>143</v>
      </c>
      <c r="C401" s="10">
        <v>23548</v>
      </c>
      <c r="D401" s="10">
        <v>0</v>
      </c>
      <c r="E401" s="10">
        <v>0</v>
      </c>
    </row>
    <row r="402" spans="2:5" ht="15" customHeight="1">
      <c r="B402" s="12" t="s">
        <v>150</v>
      </c>
      <c r="C402" s="10">
        <v>22700</v>
      </c>
      <c r="D402" s="10">
        <v>0</v>
      </c>
      <c r="E402" s="10">
        <v>0</v>
      </c>
    </row>
    <row r="403" spans="2:5" ht="15" customHeight="1">
      <c r="B403" s="12" t="s">
        <v>205</v>
      </c>
      <c r="C403" s="10">
        <v>21784</v>
      </c>
      <c r="D403" s="10">
        <v>0</v>
      </c>
      <c r="E403" s="10">
        <v>0</v>
      </c>
    </row>
    <row r="404" spans="2:5" ht="15" customHeight="1">
      <c r="B404" s="12" t="s">
        <v>170</v>
      </c>
      <c r="C404" s="10">
        <v>21200</v>
      </c>
      <c r="D404" s="10">
        <v>0</v>
      </c>
      <c r="E404" s="10">
        <v>0</v>
      </c>
    </row>
    <row r="405" spans="2:5" ht="15" customHeight="1">
      <c r="B405" s="12" t="s">
        <v>222</v>
      </c>
      <c r="C405" s="10">
        <v>20585</v>
      </c>
      <c r="D405" s="10">
        <v>0</v>
      </c>
      <c r="E405" s="10">
        <v>0</v>
      </c>
    </row>
    <row r="406" spans="2:5" ht="15" customHeight="1">
      <c r="B406" s="12" t="s">
        <v>168</v>
      </c>
      <c r="C406" s="10">
        <v>19489</v>
      </c>
      <c r="D406" s="10">
        <v>0</v>
      </c>
      <c r="E406" s="10">
        <v>0</v>
      </c>
    </row>
    <row r="407" spans="2:5" ht="15" customHeight="1">
      <c r="B407" s="12" t="s">
        <v>195</v>
      </c>
      <c r="C407" s="10">
        <v>16050</v>
      </c>
      <c r="D407" s="10">
        <v>0</v>
      </c>
      <c r="E407" s="10">
        <v>0</v>
      </c>
    </row>
    <row r="408" spans="2:5" ht="15" customHeight="1">
      <c r="B408" s="12" t="s">
        <v>204</v>
      </c>
      <c r="C408" s="10">
        <v>15500</v>
      </c>
      <c r="D408" s="10">
        <v>0</v>
      </c>
      <c r="E408" s="10">
        <v>0</v>
      </c>
    </row>
    <row r="409" spans="2:5" ht="15" customHeight="1">
      <c r="B409" s="12" t="s">
        <v>260</v>
      </c>
      <c r="C409" s="10">
        <v>15359</v>
      </c>
      <c r="D409" s="10">
        <v>0</v>
      </c>
      <c r="E409" s="10">
        <v>0</v>
      </c>
    </row>
    <row r="410" spans="2:5" ht="15" customHeight="1">
      <c r="B410" s="12" t="s">
        <v>81</v>
      </c>
      <c r="C410" s="10">
        <v>15062</v>
      </c>
      <c r="D410" s="10">
        <v>0</v>
      </c>
      <c r="E410" s="10">
        <v>0</v>
      </c>
    </row>
    <row r="411" spans="2:5" ht="15" customHeight="1">
      <c r="B411" s="12" t="s">
        <v>202</v>
      </c>
      <c r="C411" s="10">
        <v>14000</v>
      </c>
      <c r="D411" s="10">
        <v>0</v>
      </c>
      <c r="E411" s="10">
        <v>0</v>
      </c>
    </row>
    <row r="412" spans="2:5" ht="15" customHeight="1">
      <c r="B412" s="12" t="s">
        <v>212</v>
      </c>
      <c r="C412" s="10">
        <v>13343</v>
      </c>
      <c r="D412" s="10">
        <v>0</v>
      </c>
      <c r="E412" s="10">
        <v>0</v>
      </c>
    </row>
    <row r="413" spans="2:5" ht="15" customHeight="1">
      <c r="B413" s="12" t="s">
        <v>259</v>
      </c>
      <c r="C413" s="10">
        <v>13295</v>
      </c>
      <c r="D413" s="10">
        <v>0</v>
      </c>
      <c r="E413" s="10">
        <v>0</v>
      </c>
    </row>
    <row r="414" spans="2:5" ht="15" customHeight="1">
      <c r="B414" s="12" t="s">
        <v>229</v>
      </c>
      <c r="C414" s="10">
        <v>12803</v>
      </c>
      <c r="D414" s="10">
        <v>0</v>
      </c>
      <c r="E414" s="10">
        <v>0</v>
      </c>
    </row>
    <row r="415" spans="2:5" ht="15" customHeight="1">
      <c r="B415" s="12" t="s">
        <v>248</v>
      </c>
      <c r="C415" s="10">
        <v>12676</v>
      </c>
      <c r="D415" s="10">
        <v>0</v>
      </c>
      <c r="E415" s="10">
        <v>0</v>
      </c>
    </row>
    <row r="416" spans="2:5" ht="15" customHeight="1">
      <c r="B416" s="12" t="s">
        <v>305</v>
      </c>
      <c r="C416" s="10">
        <v>12400</v>
      </c>
      <c r="D416" s="10">
        <v>0</v>
      </c>
      <c r="E416" s="10">
        <v>0</v>
      </c>
    </row>
    <row r="417" spans="2:5" ht="15" customHeight="1">
      <c r="B417" s="12" t="s">
        <v>230</v>
      </c>
      <c r="C417" s="10">
        <v>12300</v>
      </c>
      <c r="D417" s="10">
        <v>0</v>
      </c>
      <c r="E417" s="10">
        <v>0</v>
      </c>
    </row>
    <row r="418" spans="2:5" ht="15" customHeight="1">
      <c r="B418" s="12" t="s">
        <v>106</v>
      </c>
      <c r="C418" s="10">
        <v>11400</v>
      </c>
      <c r="D418" s="10">
        <v>0</v>
      </c>
      <c r="E418" s="10">
        <v>0</v>
      </c>
    </row>
    <row r="419" spans="2:5" ht="15" customHeight="1">
      <c r="B419" s="12" t="s">
        <v>261</v>
      </c>
      <c r="C419" s="10">
        <v>11141</v>
      </c>
      <c r="D419" s="10">
        <v>0</v>
      </c>
      <c r="E419" s="10">
        <v>0</v>
      </c>
    </row>
    <row r="420" spans="2:5" ht="15" customHeight="1">
      <c r="B420" s="12" t="s">
        <v>188</v>
      </c>
      <c r="C420" s="10">
        <v>11081</v>
      </c>
      <c r="D420" s="10">
        <v>0</v>
      </c>
      <c r="E420" s="10">
        <v>0</v>
      </c>
    </row>
    <row r="421" spans="2:5" ht="15" customHeight="1">
      <c r="B421" s="12" t="s">
        <v>152</v>
      </c>
      <c r="C421" s="10">
        <v>9890</v>
      </c>
      <c r="D421" s="10">
        <v>0</v>
      </c>
      <c r="E421" s="10">
        <v>0</v>
      </c>
    </row>
    <row r="422" spans="2:5" ht="15" customHeight="1">
      <c r="B422" s="12" t="s">
        <v>79</v>
      </c>
      <c r="C422" s="10">
        <v>9520</v>
      </c>
      <c r="D422" s="10">
        <v>0</v>
      </c>
      <c r="E422" s="10">
        <v>0</v>
      </c>
    </row>
    <row r="423" spans="2:5" ht="15" customHeight="1">
      <c r="B423" s="12" t="s">
        <v>209</v>
      </c>
      <c r="C423" s="10">
        <v>9154</v>
      </c>
      <c r="D423" s="10">
        <v>0</v>
      </c>
      <c r="E423" s="10">
        <v>0</v>
      </c>
    </row>
    <row r="424" spans="2:5" ht="15" customHeight="1">
      <c r="B424" s="12" t="s">
        <v>139</v>
      </c>
      <c r="C424" s="10">
        <v>8858</v>
      </c>
      <c r="D424" s="10">
        <v>0</v>
      </c>
      <c r="E424" s="10">
        <v>0</v>
      </c>
    </row>
    <row r="425" spans="2:5" ht="15" customHeight="1">
      <c r="B425" s="12" t="s">
        <v>161</v>
      </c>
      <c r="C425" s="10">
        <v>8637</v>
      </c>
      <c r="D425" s="10">
        <v>0</v>
      </c>
      <c r="E425" s="10">
        <v>0</v>
      </c>
    </row>
    <row r="426" spans="2:5" ht="15" customHeight="1">
      <c r="B426" s="12" t="s">
        <v>136</v>
      </c>
      <c r="C426" s="10">
        <v>8606</v>
      </c>
      <c r="D426" s="10">
        <v>0</v>
      </c>
      <c r="E426" s="10">
        <v>0</v>
      </c>
    </row>
    <row r="427" spans="2:5" ht="15" customHeight="1">
      <c r="B427" s="12" t="s">
        <v>234</v>
      </c>
      <c r="C427" s="10">
        <v>8464</v>
      </c>
      <c r="D427" s="10">
        <v>0</v>
      </c>
      <c r="E427" s="10">
        <v>0</v>
      </c>
    </row>
    <row r="428" spans="2:5" ht="15" customHeight="1">
      <c r="B428" s="12" t="s">
        <v>86</v>
      </c>
      <c r="C428" s="10">
        <v>8410</v>
      </c>
      <c r="D428" s="10">
        <v>0</v>
      </c>
      <c r="E428" s="10">
        <v>0</v>
      </c>
    </row>
    <row r="429" spans="2:5" ht="15" customHeight="1">
      <c r="B429" s="12" t="s">
        <v>319</v>
      </c>
      <c r="C429" s="10">
        <v>8180</v>
      </c>
      <c r="D429" s="10">
        <v>0</v>
      </c>
      <c r="E429" s="10">
        <v>0</v>
      </c>
    </row>
    <row r="430" spans="2:5" ht="15" customHeight="1">
      <c r="B430" s="12" t="s">
        <v>320</v>
      </c>
      <c r="C430" s="10">
        <v>7695</v>
      </c>
      <c r="D430" s="10">
        <v>0</v>
      </c>
      <c r="E430" s="10">
        <v>0</v>
      </c>
    </row>
    <row r="431" spans="2:5" ht="15" customHeight="1">
      <c r="B431" s="12" t="s">
        <v>225</v>
      </c>
      <c r="C431" s="10">
        <v>7600</v>
      </c>
      <c r="D431" s="10">
        <v>0</v>
      </c>
      <c r="E431" s="10">
        <v>0</v>
      </c>
    </row>
    <row r="432" spans="2:5" ht="15" customHeight="1">
      <c r="B432" s="12" t="s">
        <v>207</v>
      </c>
      <c r="C432" s="10">
        <v>7360</v>
      </c>
      <c r="D432" s="10">
        <v>0</v>
      </c>
      <c r="E432" s="10">
        <v>0</v>
      </c>
    </row>
    <row r="433" spans="2:5" ht="15" customHeight="1">
      <c r="B433" s="12" t="s">
        <v>237</v>
      </c>
      <c r="C433" s="10">
        <v>7200</v>
      </c>
      <c r="D433" s="10">
        <v>0</v>
      </c>
      <c r="E433" s="10">
        <v>0</v>
      </c>
    </row>
    <row r="434" spans="2:5" ht="15" customHeight="1">
      <c r="B434" s="12" t="s">
        <v>137</v>
      </c>
      <c r="C434" s="10">
        <v>7119</v>
      </c>
      <c r="D434" s="10">
        <v>0</v>
      </c>
      <c r="E434" s="10">
        <v>0</v>
      </c>
    </row>
    <row r="435" spans="2:5" ht="15" customHeight="1">
      <c r="B435" s="12" t="s">
        <v>130</v>
      </c>
      <c r="C435" s="10">
        <v>6973</v>
      </c>
      <c r="D435" s="10">
        <v>0</v>
      </c>
      <c r="E435" s="10">
        <v>0</v>
      </c>
    </row>
    <row r="436" spans="2:5" ht="15" customHeight="1">
      <c r="B436" s="12" t="s">
        <v>267</v>
      </c>
      <c r="C436" s="10">
        <v>6901</v>
      </c>
      <c r="D436" s="10">
        <v>0</v>
      </c>
      <c r="E436" s="10">
        <v>0</v>
      </c>
    </row>
    <row r="437" spans="2:5" ht="15" customHeight="1">
      <c r="B437" s="12" t="s">
        <v>211</v>
      </c>
      <c r="C437" s="10">
        <v>6817</v>
      </c>
      <c r="D437" s="10">
        <v>0</v>
      </c>
      <c r="E437" s="10">
        <v>0</v>
      </c>
    </row>
    <row r="438" spans="2:5" ht="15" customHeight="1">
      <c r="B438" s="12" t="s">
        <v>270</v>
      </c>
      <c r="C438" s="10">
        <v>6730</v>
      </c>
      <c r="D438" s="10">
        <v>0</v>
      </c>
      <c r="E438" s="10">
        <v>0</v>
      </c>
    </row>
    <row r="439" spans="2:5" ht="15" customHeight="1">
      <c r="B439" s="12" t="s">
        <v>196</v>
      </c>
      <c r="C439" s="10">
        <v>6500</v>
      </c>
      <c r="D439" s="10">
        <v>0</v>
      </c>
      <c r="E439" s="10">
        <v>0</v>
      </c>
    </row>
    <row r="440" spans="2:5" ht="15" customHeight="1">
      <c r="B440" s="12" t="s">
        <v>181</v>
      </c>
      <c r="C440" s="10">
        <v>6410</v>
      </c>
      <c r="D440" s="10">
        <v>0</v>
      </c>
      <c r="E440" s="10">
        <v>0</v>
      </c>
    </row>
    <row r="441" spans="2:5" ht="15" customHeight="1">
      <c r="B441" s="12" t="s">
        <v>221</v>
      </c>
      <c r="C441" s="10">
        <v>6277</v>
      </c>
      <c r="D441" s="10">
        <v>0</v>
      </c>
      <c r="E441" s="10">
        <v>0</v>
      </c>
    </row>
    <row r="442" spans="2:5" ht="15" customHeight="1">
      <c r="B442" s="12" t="s">
        <v>220</v>
      </c>
      <c r="C442" s="10">
        <v>6121</v>
      </c>
      <c r="D442" s="10">
        <v>0</v>
      </c>
      <c r="E442" s="10">
        <v>0</v>
      </c>
    </row>
    <row r="443" spans="2:5" ht="15" customHeight="1">
      <c r="B443" s="12" t="s">
        <v>240</v>
      </c>
      <c r="C443" s="10">
        <v>6040</v>
      </c>
      <c r="D443" s="10">
        <v>0</v>
      </c>
      <c r="E443" s="10">
        <v>0</v>
      </c>
    </row>
    <row r="444" spans="2:5" ht="15" customHeight="1">
      <c r="B444" s="12" t="s">
        <v>108</v>
      </c>
      <c r="C444" s="10">
        <v>5846</v>
      </c>
      <c r="D444" s="10">
        <v>0</v>
      </c>
      <c r="E444" s="10">
        <v>0</v>
      </c>
    </row>
    <row r="445" spans="2:5" ht="15" customHeight="1">
      <c r="B445" s="12" t="s">
        <v>250</v>
      </c>
      <c r="C445" s="10">
        <v>5692</v>
      </c>
      <c r="D445" s="10">
        <v>0</v>
      </c>
      <c r="E445" s="10">
        <v>0</v>
      </c>
    </row>
    <row r="446" spans="2:5" ht="15" customHeight="1">
      <c r="B446" s="12" t="s">
        <v>269</v>
      </c>
      <c r="C446" s="10">
        <v>5692</v>
      </c>
      <c r="D446" s="10">
        <v>0</v>
      </c>
      <c r="E446" s="10">
        <v>0</v>
      </c>
    </row>
    <row r="447" spans="2:5" ht="15" customHeight="1">
      <c r="B447" s="12" t="s">
        <v>158</v>
      </c>
      <c r="C447" s="10">
        <v>5684</v>
      </c>
      <c r="D447" s="10">
        <v>0</v>
      </c>
      <c r="E447" s="10">
        <v>0</v>
      </c>
    </row>
    <row r="448" spans="2:5" ht="15" customHeight="1">
      <c r="B448" s="12" t="s">
        <v>258</v>
      </c>
      <c r="C448" s="10">
        <v>5338</v>
      </c>
      <c r="D448" s="10">
        <v>0</v>
      </c>
      <c r="E448" s="10">
        <v>0</v>
      </c>
    </row>
    <row r="449" spans="2:5" ht="15" customHeight="1">
      <c r="B449" s="12" t="s">
        <v>214</v>
      </c>
      <c r="C449" s="10">
        <v>5251</v>
      </c>
      <c r="D449" s="10">
        <v>0</v>
      </c>
      <c r="E449" s="10">
        <v>0</v>
      </c>
    </row>
    <row r="450" spans="2:5" ht="15" customHeight="1">
      <c r="B450" s="12" t="s">
        <v>84</v>
      </c>
      <c r="C450" s="10">
        <v>5136</v>
      </c>
      <c r="D450" s="10">
        <v>0</v>
      </c>
      <c r="E450" s="10">
        <v>0</v>
      </c>
    </row>
    <row r="451" spans="2:5" ht="15" customHeight="1">
      <c r="B451" s="12" t="s">
        <v>272</v>
      </c>
      <c r="C451" s="10">
        <v>5070</v>
      </c>
      <c r="D451" s="10">
        <v>0</v>
      </c>
      <c r="E451" s="10">
        <v>0</v>
      </c>
    </row>
    <row r="452" spans="2:5" ht="15" customHeight="1">
      <c r="B452" s="12" t="s">
        <v>249</v>
      </c>
      <c r="C452" s="10">
        <v>4387</v>
      </c>
      <c r="D452" s="10">
        <v>0</v>
      </c>
      <c r="E452" s="10">
        <v>0</v>
      </c>
    </row>
    <row r="453" spans="2:5" ht="15" customHeight="1">
      <c r="B453" s="12" t="s">
        <v>281</v>
      </c>
      <c r="C453" s="10">
        <v>4270</v>
      </c>
      <c r="D453" s="10">
        <v>0</v>
      </c>
      <c r="E453" s="10">
        <v>0</v>
      </c>
    </row>
    <row r="454" spans="2:5" ht="15" customHeight="1">
      <c r="B454" s="12" t="s">
        <v>159</v>
      </c>
      <c r="C454" s="10">
        <v>4067</v>
      </c>
      <c r="D454" s="10">
        <v>0</v>
      </c>
      <c r="E454" s="10">
        <v>0</v>
      </c>
    </row>
    <row r="455" spans="2:5" ht="15" customHeight="1">
      <c r="B455" s="12" t="s">
        <v>244</v>
      </c>
      <c r="C455" s="10">
        <v>4021</v>
      </c>
      <c r="D455" s="10">
        <v>0</v>
      </c>
      <c r="E455" s="10">
        <v>0</v>
      </c>
    </row>
    <row r="456" spans="2:5" ht="15" customHeight="1">
      <c r="B456" s="12" t="s">
        <v>191</v>
      </c>
      <c r="C456" s="10">
        <v>4012</v>
      </c>
      <c r="D456" s="10">
        <v>0</v>
      </c>
      <c r="E456" s="10">
        <v>0</v>
      </c>
    </row>
    <row r="457" spans="2:5" ht="15" customHeight="1">
      <c r="B457" s="12" t="s">
        <v>208</v>
      </c>
      <c r="C457" s="10">
        <v>3950</v>
      </c>
      <c r="D457" s="10">
        <v>0</v>
      </c>
      <c r="E457" s="10">
        <v>0</v>
      </c>
    </row>
    <row r="458" spans="2:5" ht="15" customHeight="1">
      <c r="B458" s="12" t="s">
        <v>164</v>
      </c>
      <c r="C458" s="10">
        <v>3870</v>
      </c>
      <c r="D458" s="10">
        <v>0</v>
      </c>
      <c r="E458" s="10">
        <v>0</v>
      </c>
    </row>
    <row r="459" spans="2:5" ht="15" customHeight="1">
      <c r="B459" s="12" t="s">
        <v>178</v>
      </c>
      <c r="C459" s="10">
        <v>3860</v>
      </c>
      <c r="D459" s="10">
        <v>0</v>
      </c>
      <c r="E459" s="10">
        <v>0</v>
      </c>
    </row>
    <row r="460" spans="2:5" ht="15" customHeight="1">
      <c r="B460" s="12" t="s">
        <v>278</v>
      </c>
      <c r="C460" s="10">
        <v>3852</v>
      </c>
      <c r="D460" s="10">
        <v>0</v>
      </c>
      <c r="E460" s="10">
        <v>0</v>
      </c>
    </row>
    <row r="461" spans="2:5" ht="15" customHeight="1">
      <c r="B461" s="12" t="s">
        <v>148</v>
      </c>
      <c r="C461" s="10">
        <v>3821</v>
      </c>
      <c r="D461" s="10">
        <v>0</v>
      </c>
      <c r="E461" s="10">
        <v>0</v>
      </c>
    </row>
    <row r="462" spans="2:5" ht="15" customHeight="1">
      <c r="B462" s="12" t="s">
        <v>251</v>
      </c>
      <c r="C462" s="10">
        <v>3635</v>
      </c>
      <c r="D462" s="10">
        <v>0</v>
      </c>
      <c r="E462" s="10">
        <v>0</v>
      </c>
    </row>
    <row r="463" spans="2:5" ht="15" customHeight="1">
      <c r="B463" s="12" t="s">
        <v>172</v>
      </c>
      <c r="C463" s="10">
        <v>3400</v>
      </c>
      <c r="D463" s="10">
        <v>0</v>
      </c>
      <c r="E463" s="10">
        <v>0</v>
      </c>
    </row>
    <row r="464" spans="2:5" ht="15" customHeight="1">
      <c r="B464" s="12" t="s">
        <v>185</v>
      </c>
      <c r="C464" s="10">
        <v>3340</v>
      </c>
      <c r="D464" s="10">
        <v>0</v>
      </c>
      <c r="E464" s="10">
        <v>0</v>
      </c>
    </row>
    <row r="465" spans="2:5" ht="15" customHeight="1">
      <c r="B465" s="12" t="s">
        <v>154</v>
      </c>
      <c r="C465" s="10">
        <v>3280</v>
      </c>
      <c r="D465" s="10">
        <v>0</v>
      </c>
      <c r="E465" s="10">
        <v>0</v>
      </c>
    </row>
    <row r="466" spans="2:5" ht="15" customHeight="1">
      <c r="B466" s="12" t="s">
        <v>133</v>
      </c>
      <c r="C466" s="10">
        <v>3260</v>
      </c>
      <c r="D466" s="10">
        <v>0</v>
      </c>
      <c r="E466" s="10">
        <v>0</v>
      </c>
    </row>
    <row r="467" spans="2:5" ht="15" customHeight="1">
      <c r="B467" s="12" t="s">
        <v>246</v>
      </c>
      <c r="C467" s="10">
        <v>3150</v>
      </c>
      <c r="D467" s="10">
        <v>0</v>
      </c>
      <c r="E467" s="10">
        <v>0</v>
      </c>
    </row>
    <row r="468" spans="2:5" ht="15" customHeight="1">
      <c r="B468" s="12" t="s">
        <v>166</v>
      </c>
      <c r="C468" s="10">
        <v>3070</v>
      </c>
      <c r="D468" s="10">
        <v>0</v>
      </c>
      <c r="E468" s="10">
        <v>0</v>
      </c>
    </row>
    <row r="469" spans="2:5" ht="15" customHeight="1">
      <c r="B469" s="12" t="s">
        <v>180</v>
      </c>
      <c r="C469" s="10">
        <v>2970</v>
      </c>
      <c r="D469" s="10">
        <v>0</v>
      </c>
      <c r="E469" s="10">
        <v>0</v>
      </c>
    </row>
    <row r="470" spans="2:5" ht="15" customHeight="1">
      <c r="B470" s="12" t="s">
        <v>236</v>
      </c>
      <c r="C470" s="10">
        <v>2942</v>
      </c>
      <c r="D470" s="10">
        <v>0</v>
      </c>
      <c r="E470" s="10">
        <v>0</v>
      </c>
    </row>
    <row r="471" spans="2:5" ht="15" customHeight="1">
      <c r="B471" s="12" t="s">
        <v>285</v>
      </c>
      <c r="C471" s="10">
        <v>2920</v>
      </c>
      <c r="D471" s="10">
        <v>0</v>
      </c>
      <c r="E471" s="10">
        <v>0</v>
      </c>
    </row>
    <row r="472" spans="2:5" ht="15" customHeight="1">
      <c r="B472" s="12" t="s">
        <v>99</v>
      </c>
      <c r="C472" s="10">
        <v>2796</v>
      </c>
      <c r="D472" s="10">
        <v>0</v>
      </c>
      <c r="E472" s="10">
        <v>0</v>
      </c>
    </row>
    <row r="473" spans="2:5" ht="15" customHeight="1">
      <c r="B473" s="12" t="s">
        <v>142</v>
      </c>
      <c r="C473" s="10">
        <v>2680</v>
      </c>
      <c r="D473" s="10">
        <v>0</v>
      </c>
      <c r="E473" s="10">
        <v>0</v>
      </c>
    </row>
    <row r="474" spans="2:5" ht="15" customHeight="1">
      <c r="B474" s="12" t="s">
        <v>215</v>
      </c>
      <c r="C474" s="10">
        <v>2620</v>
      </c>
      <c r="D474" s="10">
        <v>0</v>
      </c>
      <c r="E474" s="10">
        <v>0</v>
      </c>
    </row>
    <row r="475" spans="2:5" ht="15" customHeight="1">
      <c r="B475" s="12" t="s">
        <v>253</v>
      </c>
      <c r="C475" s="10">
        <v>2619</v>
      </c>
      <c r="D475" s="10">
        <v>0</v>
      </c>
      <c r="E475" s="10">
        <v>0</v>
      </c>
    </row>
    <row r="476" spans="2:5" ht="15" customHeight="1">
      <c r="B476" s="12" t="s">
        <v>75</v>
      </c>
      <c r="C476" s="10">
        <v>2597</v>
      </c>
      <c r="D476" s="10">
        <v>0</v>
      </c>
      <c r="E476" s="10">
        <v>0</v>
      </c>
    </row>
    <row r="477" spans="2:5" ht="15" customHeight="1">
      <c r="B477" s="12" t="s">
        <v>173</v>
      </c>
      <c r="C477" s="10">
        <v>2539</v>
      </c>
      <c r="D477" s="10">
        <v>0</v>
      </c>
      <c r="E477" s="10">
        <v>0</v>
      </c>
    </row>
    <row r="478" spans="2:5" ht="15" customHeight="1">
      <c r="B478" s="12" t="s">
        <v>227</v>
      </c>
      <c r="C478" s="10">
        <v>2520</v>
      </c>
      <c r="D478" s="10">
        <v>0</v>
      </c>
      <c r="E478" s="10">
        <v>0</v>
      </c>
    </row>
    <row r="479" spans="2:5" ht="15" customHeight="1">
      <c r="B479" s="12" t="s">
        <v>111</v>
      </c>
      <c r="C479" s="10">
        <v>2520</v>
      </c>
      <c r="D479" s="10">
        <v>0</v>
      </c>
      <c r="E479" s="10">
        <v>0</v>
      </c>
    </row>
    <row r="480" spans="2:5" ht="15" customHeight="1">
      <c r="B480" s="12" t="s">
        <v>97</v>
      </c>
      <c r="C480" s="10">
        <v>2439</v>
      </c>
      <c r="D480" s="10">
        <v>0</v>
      </c>
      <c r="E480" s="10">
        <v>0</v>
      </c>
    </row>
    <row r="481" spans="2:5" ht="15" customHeight="1">
      <c r="B481" s="12" t="s">
        <v>257</v>
      </c>
      <c r="C481" s="10">
        <v>2428</v>
      </c>
      <c r="D481" s="10">
        <v>0</v>
      </c>
      <c r="E481" s="10">
        <v>0</v>
      </c>
    </row>
    <row r="482" spans="2:5" ht="15" customHeight="1">
      <c r="B482" s="12" t="s">
        <v>107</v>
      </c>
      <c r="C482" s="10">
        <v>2422</v>
      </c>
      <c r="D482" s="10">
        <v>0</v>
      </c>
      <c r="E482" s="10">
        <v>0</v>
      </c>
    </row>
    <row r="483" spans="2:5" ht="15" customHeight="1">
      <c r="B483" s="12" t="s">
        <v>254</v>
      </c>
      <c r="C483" s="10">
        <v>2151</v>
      </c>
      <c r="D483" s="10">
        <v>0</v>
      </c>
      <c r="E483" s="10">
        <v>0</v>
      </c>
    </row>
    <row r="484" spans="2:5" ht="15" customHeight="1">
      <c r="B484" s="12" t="s">
        <v>255</v>
      </c>
      <c r="C484" s="10">
        <v>2151</v>
      </c>
      <c r="D484" s="10">
        <v>0</v>
      </c>
      <c r="E484" s="10">
        <v>0</v>
      </c>
    </row>
    <row r="485" spans="2:5" ht="15" customHeight="1">
      <c r="B485" s="12" t="s">
        <v>264</v>
      </c>
      <c r="C485" s="10">
        <v>2143</v>
      </c>
      <c r="D485" s="10">
        <v>0</v>
      </c>
      <c r="E485" s="10">
        <v>0</v>
      </c>
    </row>
    <row r="486" spans="2:5" ht="15" customHeight="1">
      <c r="B486" s="12" t="s">
        <v>308</v>
      </c>
      <c r="C486" s="10">
        <v>2140</v>
      </c>
      <c r="D486" s="10">
        <v>0</v>
      </c>
      <c r="E486" s="10">
        <v>0</v>
      </c>
    </row>
    <row r="487" spans="2:5" ht="15" customHeight="1">
      <c r="B487" s="12" t="s">
        <v>206</v>
      </c>
      <c r="C487" s="10">
        <v>2080</v>
      </c>
      <c r="D487" s="10">
        <v>0</v>
      </c>
      <c r="E487" s="10">
        <v>0</v>
      </c>
    </row>
    <row r="488" spans="2:5" ht="15" customHeight="1">
      <c r="B488" s="12" t="s">
        <v>298</v>
      </c>
      <c r="C488" s="10">
        <v>1880</v>
      </c>
      <c r="D488" s="10">
        <v>0</v>
      </c>
      <c r="E488" s="10">
        <v>0</v>
      </c>
    </row>
    <row r="489" spans="2:5" ht="15" customHeight="1">
      <c r="B489" s="12" t="s">
        <v>156</v>
      </c>
      <c r="C489" s="10">
        <v>1737</v>
      </c>
      <c r="D489" s="10">
        <v>0</v>
      </c>
      <c r="E489" s="10">
        <v>0</v>
      </c>
    </row>
    <row r="490" spans="2:5" ht="15" customHeight="1">
      <c r="B490" s="12" t="s">
        <v>151</v>
      </c>
      <c r="C490" s="10">
        <v>1590</v>
      </c>
      <c r="D490" s="10">
        <v>0</v>
      </c>
      <c r="E490" s="10">
        <v>0</v>
      </c>
    </row>
    <row r="491" spans="2:5" ht="15" customHeight="1">
      <c r="B491" s="12" t="s">
        <v>265</v>
      </c>
      <c r="C491" s="10">
        <v>1590</v>
      </c>
      <c r="D491" s="10">
        <v>0</v>
      </c>
      <c r="E491" s="10">
        <v>0</v>
      </c>
    </row>
    <row r="492" spans="2:5" ht="15" customHeight="1">
      <c r="B492" s="12" t="s">
        <v>243</v>
      </c>
      <c r="C492" s="10">
        <v>1560</v>
      </c>
      <c r="D492" s="10">
        <v>0</v>
      </c>
      <c r="E492" s="10">
        <v>0</v>
      </c>
    </row>
    <row r="493" spans="2:5" ht="15" customHeight="1">
      <c r="B493" s="12" t="s">
        <v>182</v>
      </c>
      <c r="C493" s="10">
        <v>1481</v>
      </c>
      <c r="D493" s="10">
        <v>0</v>
      </c>
      <c r="E493" s="10">
        <v>0</v>
      </c>
    </row>
    <row r="494" spans="2:5" ht="15" customHeight="1">
      <c r="B494" s="12" t="s">
        <v>252</v>
      </c>
      <c r="C494" s="10">
        <v>1462</v>
      </c>
      <c r="D494" s="10">
        <v>0</v>
      </c>
      <c r="E494" s="10">
        <v>0</v>
      </c>
    </row>
    <row r="495" spans="2:5" ht="15" customHeight="1">
      <c r="B495" s="12" t="s">
        <v>263</v>
      </c>
      <c r="C495" s="10">
        <v>1462</v>
      </c>
      <c r="D495" s="10">
        <v>0</v>
      </c>
      <c r="E495" s="10">
        <v>0</v>
      </c>
    </row>
    <row r="496" spans="2:5" ht="15" customHeight="1">
      <c r="B496" s="12" t="s">
        <v>179</v>
      </c>
      <c r="C496" s="10">
        <v>1300</v>
      </c>
      <c r="D496" s="10">
        <v>0</v>
      </c>
      <c r="E496" s="10">
        <v>0</v>
      </c>
    </row>
    <row r="497" spans="2:5" ht="15" customHeight="1">
      <c r="B497" s="12" t="s">
        <v>112</v>
      </c>
      <c r="C497" s="10">
        <v>1294</v>
      </c>
      <c r="D497" s="10">
        <v>0</v>
      </c>
      <c r="E497" s="10">
        <v>0</v>
      </c>
    </row>
    <row r="498" spans="2:5" ht="15" customHeight="1">
      <c r="B498" s="12" t="s">
        <v>105</v>
      </c>
      <c r="C498" s="10">
        <v>1284</v>
      </c>
      <c r="D498" s="10">
        <v>0</v>
      </c>
      <c r="E498" s="10">
        <v>0</v>
      </c>
    </row>
    <row r="499" spans="2:5" ht="15" customHeight="1">
      <c r="B499" s="12" t="s">
        <v>318</v>
      </c>
      <c r="C499" s="10">
        <v>1180</v>
      </c>
      <c r="D499" s="10">
        <v>0</v>
      </c>
      <c r="E499" s="10">
        <v>0</v>
      </c>
    </row>
    <row r="500" spans="2:5" ht="15" customHeight="1">
      <c r="B500" s="12" t="s">
        <v>300</v>
      </c>
      <c r="C500" s="10">
        <v>1120</v>
      </c>
      <c r="D500" s="10">
        <v>0</v>
      </c>
      <c r="E500" s="10">
        <v>0</v>
      </c>
    </row>
    <row r="501" spans="2:5" ht="15" customHeight="1">
      <c r="B501" s="12" t="s">
        <v>262</v>
      </c>
      <c r="C501" s="10">
        <v>943</v>
      </c>
      <c r="D501" s="10">
        <v>0</v>
      </c>
      <c r="E501" s="10">
        <v>0</v>
      </c>
    </row>
    <row r="502" spans="2:5" ht="15" customHeight="1">
      <c r="B502" s="12" t="s">
        <v>242</v>
      </c>
      <c r="C502" s="10">
        <v>823</v>
      </c>
      <c r="D502" s="10">
        <v>0</v>
      </c>
      <c r="E502" s="10">
        <v>0</v>
      </c>
    </row>
    <row r="503" spans="2:5" ht="15" customHeight="1">
      <c r="B503" s="12" t="s">
        <v>309</v>
      </c>
      <c r="C503" s="10">
        <v>770</v>
      </c>
      <c r="D503" s="10">
        <v>0</v>
      </c>
      <c r="E503" s="10">
        <v>0</v>
      </c>
    </row>
    <row r="504" spans="2:5" ht="15" customHeight="1">
      <c r="B504" s="12" t="s">
        <v>302</v>
      </c>
      <c r="C504" s="10">
        <v>768</v>
      </c>
      <c r="D504" s="10">
        <v>0</v>
      </c>
      <c r="E504" s="10">
        <v>0</v>
      </c>
    </row>
    <row r="505" spans="2:5" ht="15" customHeight="1">
      <c r="B505" s="12" t="s">
        <v>78</v>
      </c>
      <c r="C505" s="10">
        <v>719</v>
      </c>
      <c r="D505" s="10">
        <v>0</v>
      </c>
      <c r="E505" s="10">
        <v>0</v>
      </c>
    </row>
    <row r="506" spans="2:5" ht="15" customHeight="1">
      <c r="B506" s="12" t="s">
        <v>329</v>
      </c>
      <c r="C506" s="10">
        <v>710</v>
      </c>
      <c r="D506" s="10">
        <v>0</v>
      </c>
      <c r="E506" s="10">
        <v>0</v>
      </c>
    </row>
    <row r="507" spans="2:5" ht="15" customHeight="1">
      <c r="B507" s="12" t="s">
        <v>226</v>
      </c>
      <c r="C507" s="10">
        <v>700</v>
      </c>
      <c r="D507" s="10">
        <v>0</v>
      </c>
      <c r="E507" s="10">
        <v>0</v>
      </c>
    </row>
    <row r="508" spans="2:5" ht="15" customHeight="1">
      <c r="B508" s="12" t="s">
        <v>232</v>
      </c>
      <c r="C508" s="10">
        <v>690</v>
      </c>
      <c r="D508" s="10">
        <v>0</v>
      </c>
      <c r="E508" s="10">
        <v>0</v>
      </c>
    </row>
    <row r="509" spans="2:5" ht="15" customHeight="1">
      <c r="B509" s="12" t="s">
        <v>247</v>
      </c>
      <c r="C509" s="10">
        <v>680</v>
      </c>
      <c r="D509" s="10">
        <v>0</v>
      </c>
      <c r="E509" s="10">
        <v>0</v>
      </c>
    </row>
    <row r="510" spans="2:5" ht="15" customHeight="1">
      <c r="B510" s="12" t="s">
        <v>313</v>
      </c>
      <c r="C510" s="10">
        <v>670</v>
      </c>
      <c r="D510" s="10">
        <v>0</v>
      </c>
      <c r="E510" s="10">
        <v>0</v>
      </c>
    </row>
    <row r="511" spans="2:5" ht="15" customHeight="1">
      <c r="B511" s="12" t="s">
        <v>335</v>
      </c>
      <c r="C511" s="10">
        <v>630</v>
      </c>
      <c r="D511" s="10">
        <v>0</v>
      </c>
      <c r="E511" s="10">
        <v>0</v>
      </c>
    </row>
    <row r="512" spans="2:5" ht="15" customHeight="1">
      <c r="B512" s="12" t="s">
        <v>256</v>
      </c>
      <c r="C512" s="10">
        <v>618</v>
      </c>
      <c r="D512" s="10">
        <v>0</v>
      </c>
      <c r="E512" s="10">
        <v>0</v>
      </c>
    </row>
    <row r="513" spans="2:5" ht="15" customHeight="1">
      <c r="B513" s="12" t="s">
        <v>92</v>
      </c>
      <c r="C513" s="10">
        <v>577</v>
      </c>
      <c r="D513" s="10">
        <v>0</v>
      </c>
      <c r="E513" s="10">
        <v>0</v>
      </c>
    </row>
    <row r="514" spans="2:5" ht="15" customHeight="1">
      <c r="B514" s="12" t="s">
        <v>77</v>
      </c>
      <c r="C514" s="10">
        <v>550</v>
      </c>
      <c r="D514" s="10">
        <v>0</v>
      </c>
      <c r="E514" s="10">
        <v>0</v>
      </c>
    </row>
    <row r="515" spans="2:5" ht="15" customHeight="1">
      <c r="B515" s="12" t="s">
        <v>153</v>
      </c>
      <c r="C515" s="10">
        <v>510</v>
      </c>
      <c r="D515" s="10">
        <v>0</v>
      </c>
      <c r="E515" s="10">
        <v>0</v>
      </c>
    </row>
    <row r="516" spans="2:5" ht="15" customHeight="1">
      <c r="B516" s="12" t="s">
        <v>93</v>
      </c>
      <c r="C516" s="10">
        <v>506</v>
      </c>
      <c r="D516" s="10">
        <v>0</v>
      </c>
      <c r="E516" s="10">
        <v>0</v>
      </c>
    </row>
    <row r="517" spans="2:5" ht="15" customHeight="1">
      <c r="B517" s="12" t="s">
        <v>201</v>
      </c>
      <c r="C517" s="10">
        <v>460</v>
      </c>
      <c r="D517" s="10">
        <v>0</v>
      </c>
      <c r="E517" s="10">
        <v>0</v>
      </c>
    </row>
    <row r="518" spans="2:5" ht="15" customHeight="1">
      <c r="B518" s="12" t="s">
        <v>183</v>
      </c>
      <c r="C518" s="10">
        <v>459</v>
      </c>
      <c r="D518" s="10">
        <v>0</v>
      </c>
      <c r="E518" s="10">
        <v>0</v>
      </c>
    </row>
    <row r="519" spans="2:5" ht="15" customHeight="1">
      <c r="B519" s="12" t="s">
        <v>228</v>
      </c>
      <c r="C519" s="10">
        <v>450</v>
      </c>
      <c r="D519" s="10">
        <v>0</v>
      </c>
      <c r="E519" s="10">
        <v>0</v>
      </c>
    </row>
    <row r="520" spans="2:5" ht="15" customHeight="1">
      <c r="B520" s="12" t="s">
        <v>103</v>
      </c>
      <c r="C520" s="10">
        <v>440</v>
      </c>
      <c r="D520" s="10">
        <v>0</v>
      </c>
      <c r="E520" s="10">
        <v>0</v>
      </c>
    </row>
    <row r="521" spans="2:5" ht="15" customHeight="1">
      <c r="B521" s="12" t="s">
        <v>299</v>
      </c>
      <c r="C521" s="10">
        <v>411</v>
      </c>
      <c r="D521" s="10">
        <v>0</v>
      </c>
      <c r="E521" s="10">
        <v>0</v>
      </c>
    </row>
    <row r="522" spans="2:5" ht="15" customHeight="1">
      <c r="B522" s="12" t="s">
        <v>109</v>
      </c>
      <c r="C522" s="10">
        <v>400</v>
      </c>
      <c r="D522" s="10">
        <v>0</v>
      </c>
      <c r="E522" s="10">
        <v>0</v>
      </c>
    </row>
    <row r="523" spans="2:5" ht="15" customHeight="1">
      <c r="B523" s="12" t="s">
        <v>210</v>
      </c>
      <c r="C523" s="10">
        <v>370</v>
      </c>
      <c r="D523" s="10">
        <v>0</v>
      </c>
      <c r="E523" s="10">
        <v>0</v>
      </c>
    </row>
    <row r="524" spans="2:5" ht="15" customHeight="1">
      <c r="B524" s="12" t="s">
        <v>273</v>
      </c>
      <c r="C524" s="10">
        <v>336</v>
      </c>
      <c r="D524" s="10">
        <v>0</v>
      </c>
      <c r="E524" s="10">
        <v>0</v>
      </c>
    </row>
    <row r="525" spans="2:5" ht="15" customHeight="1">
      <c r="B525" s="12" t="s">
        <v>304</v>
      </c>
      <c r="C525" s="10">
        <v>327</v>
      </c>
      <c r="D525" s="10">
        <v>0</v>
      </c>
      <c r="E525" s="10">
        <v>0</v>
      </c>
    </row>
    <row r="526" spans="2:5" ht="15" customHeight="1">
      <c r="B526" s="12" t="s">
        <v>297</v>
      </c>
      <c r="C526" s="10">
        <v>312</v>
      </c>
      <c r="D526" s="10">
        <v>0</v>
      </c>
      <c r="E526" s="10">
        <v>0</v>
      </c>
    </row>
    <row r="527" spans="2:5" ht="15" customHeight="1">
      <c r="B527" s="12" t="s">
        <v>190</v>
      </c>
      <c r="C527" s="10">
        <v>310</v>
      </c>
      <c r="D527" s="10">
        <v>0</v>
      </c>
      <c r="E527" s="10">
        <v>0</v>
      </c>
    </row>
    <row r="528" spans="2:5" ht="15" customHeight="1">
      <c r="B528" s="12" t="s">
        <v>186</v>
      </c>
      <c r="C528" s="10">
        <v>290</v>
      </c>
      <c r="D528" s="10">
        <v>0</v>
      </c>
      <c r="E528" s="10">
        <v>0</v>
      </c>
    </row>
    <row r="529" spans="2:5" ht="15" customHeight="1">
      <c r="B529" s="12" t="s">
        <v>140</v>
      </c>
      <c r="C529" s="10">
        <v>279</v>
      </c>
      <c r="D529" s="10">
        <v>0</v>
      </c>
      <c r="E529" s="10">
        <v>0</v>
      </c>
    </row>
    <row r="530" spans="2:5" ht="15" customHeight="1">
      <c r="B530" s="12" t="s">
        <v>276</v>
      </c>
      <c r="C530" s="10">
        <v>260</v>
      </c>
      <c r="D530" s="10">
        <v>0</v>
      </c>
      <c r="E530" s="10">
        <v>0</v>
      </c>
    </row>
    <row r="531" spans="2:5" ht="15" customHeight="1">
      <c r="B531" s="12" t="s">
        <v>238</v>
      </c>
      <c r="C531" s="10">
        <v>252</v>
      </c>
      <c r="D531" s="10">
        <v>0</v>
      </c>
      <c r="E531" s="10">
        <v>0</v>
      </c>
    </row>
    <row r="532" spans="2:5" ht="15" customHeight="1">
      <c r="B532" s="12" t="s">
        <v>224</v>
      </c>
      <c r="C532" s="10">
        <v>230</v>
      </c>
      <c r="D532" s="10">
        <v>0</v>
      </c>
      <c r="E532" s="10">
        <v>0</v>
      </c>
    </row>
    <row r="533" spans="2:5" ht="15" customHeight="1">
      <c r="B533" s="12" t="s">
        <v>274</v>
      </c>
      <c r="C533" s="10">
        <v>200</v>
      </c>
      <c r="D533" s="10">
        <v>0</v>
      </c>
      <c r="E533" s="10">
        <v>0</v>
      </c>
    </row>
    <row r="534" spans="2:5" ht="15" customHeight="1">
      <c r="B534" s="12" t="s">
        <v>290</v>
      </c>
      <c r="C534" s="10">
        <v>198</v>
      </c>
      <c r="D534" s="10">
        <v>0</v>
      </c>
      <c r="E534" s="10">
        <v>0</v>
      </c>
    </row>
    <row r="535" spans="2:5" ht="15" customHeight="1">
      <c r="B535" s="12" t="s">
        <v>275</v>
      </c>
      <c r="C535" s="10">
        <v>190</v>
      </c>
      <c r="D535" s="10">
        <v>0</v>
      </c>
      <c r="E535" s="10">
        <v>0</v>
      </c>
    </row>
    <row r="536" spans="2:5" ht="15" customHeight="1">
      <c r="B536" s="12" t="s">
        <v>187</v>
      </c>
      <c r="C536" s="10">
        <v>179</v>
      </c>
      <c r="D536" s="10">
        <v>0</v>
      </c>
      <c r="E536" s="10">
        <v>0</v>
      </c>
    </row>
    <row r="537" spans="2:5" ht="15" customHeight="1">
      <c r="B537" s="12" t="s">
        <v>282</v>
      </c>
      <c r="C537" s="10">
        <v>174</v>
      </c>
      <c r="D537" s="10">
        <v>0</v>
      </c>
      <c r="E537" s="10">
        <v>0</v>
      </c>
    </row>
    <row r="538" spans="2:5" ht="15" customHeight="1">
      <c r="B538" s="12" t="s">
        <v>216</v>
      </c>
      <c r="C538" s="10">
        <v>170</v>
      </c>
      <c r="D538" s="10">
        <v>0</v>
      </c>
      <c r="E538" s="10">
        <v>0</v>
      </c>
    </row>
    <row r="539" spans="2:5" ht="15" customHeight="1">
      <c r="B539" s="12" t="s">
        <v>241</v>
      </c>
      <c r="C539" s="10">
        <v>170</v>
      </c>
      <c r="D539" s="10">
        <v>0</v>
      </c>
      <c r="E539" s="10">
        <v>0</v>
      </c>
    </row>
    <row r="540" spans="2:5" ht="15" customHeight="1">
      <c r="B540" s="12" t="s">
        <v>283</v>
      </c>
      <c r="C540" s="10">
        <v>161</v>
      </c>
      <c r="D540" s="10">
        <v>0</v>
      </c>
      <c r="E540" s="10">
        <v>0</v>
      </c>
    </row>
    <row r="541" spans="2:5" ht="15" customHeight="1">
      <c r="B541" s="12" t="s">
        <v>288</v>
      </c>
      <c r="C541" s="10">
        <v>150</v>
      </c>
      <c r="D541" s="10">
        <v>0</v>
      </c>
      <c r="E541" s="10">
        <v>0</v>
      </c>
    </row>
    <row r="542" spans="2:5" ht="15" customHeight="1">
      <c r="B542" s="12" t="s">
        <v>327</v>
      </c>
      <c r="C542" s="10">
        <v>150</v>
      </c>
      <c r="D542" s="10">
        <v>0</v>
      </c>
      <c r="E542" s="10">
        <v>0</v>
      </c>
    </row>
    <row r="543" spans="2:5" ht="15" customHeight="1">
      <c r="B543" s="12" t="s">
        <v>279</v>
      </c>
      <c r="C543" s="10">
        <v>148</v>
      </c>
      <c r="D543" s="10">
        <v>0</v>
      </c>
      <c r="E543" s="10">
        <v>0</v>
      </c>
    </row>
    <row r="544" spans="2:5" ht="15" customHeight="1">
      <c r="B544" s="12" t="s">
        <v>295</v>
      </c>
      <c r="C544" s="10">
        <v>140</v>
      </c>
      <c r="D544" s="10">
        <v>0</v>
      </c>
      <c r="E544" s="10">
        <v>0</v>
      </c>
    </row>
    <row r="545" spans="2:5" ht="15" customHeight="1">
      <c r="B545" s="12" t="s">
        <v>291</v>
      </c>
      <c r="C545" s="10">
        <v>130</v>
      </c>
      <c r="D545" s="10">
        <v>0</v>
      </c>
      <c r="E545" s="10">
        <v>0</v>
      </c>
    </row>
    <row r="546" spans="2:5" ht="15" customHeight="1">
      <c r="B546" s="12" t="s">
        <v>294</v>
      </c>
      <c r="C546" s="10">
        <v>120</v>
      </c>
      <c r="D546" s="10">
        <v>0</v>
      </c>
      <c r="E546" s="10">
        <v>0</v>
      </c>
    </row>
    <row r="547" spans="2:5" ht="15" customHeight="1">
      <c r="B547" s="12" t="s">
        <v>287</v>
      </c>
      <c r="C547" s="10">
        <v>110</v>
      </c>
      <c r="D547" s="10">
        <v>0</v>
      </c>
      <c r="E547" s="10">
        <v>0</v>
      </c>
    </row>
    <row r="548" spans="2:5" ht="15" customHeight="1">
      <c r="B548" s="12" t="s">
        <v>325</v>
      </c>
      <c r="C548" s="10">
        <v>102</v>
      </c>
      <c r="D548" s="10">
        <v>0</v>
      </c>
      <c r="E548" s="10">
        <v>0</v>
      </c>
    </row>
    <row r="549" spans="2:5" ht="15" customHeight="1">
      <c r="B549" s="12" t="s">
        <v>184</v>
      </c>
      <c r="C549" s="10">
        <v>100</v>
      </c>
      <c r="D549" s="10">
        <v>0</v>
      </c>
      <c r="E549" s="10">
        <v>0</v>
      </c>
    </row>
    <row r="550" spans="2:5" ht="15" customHeight="1">
      <c r="B550" s="12" t="s">
        <v>213</v>
      </c>
      <c r="C550" s="10">
        <v>100</v>
      </c>
      <c r="D550" s="10">
        <v>0</v>
      </c>
      <c r="E550" s="10">
        <v>0</v>
      </c>
    </row>
    <row r="551" spans="2:5" ht="15" customHeight="1">
      <c r="B551" s="12" t="s">
        <v>277</v>
      </c>
      <c r="C551" s="10">
        <v>100</v>
      </c>
      <c r="D551" s="10">
        <v>0</v>
      </c>
      <c r="E551" s="10">
        <v>0</v>
      </c>
    </row>
    <row r="552" spans="2:5" ht="15" customHeight="1">
      <c r="B552" s="12" t="s">
        <v>280</v>
      </c>
      <c r="C552" s="10">
        <v>100</v>
      </c>
      <c r="D552" s="10">
        <v>0</v>
      </c>
      <c r="E552" s="10">
        <v>0</v>
      </c>
    </row>
    <row r="553" spans="2:5" ht="15" customHeight="1">
      <c r="B553" s="12" t="s">
        <v>115</v>
      </c>
      <c r="C553" s="10">
        <v>90</v>
      </c>
      <c r="D553" s="10">
        <v>0</v>
      </c>
      <c r="E553" s="10">
        <v>0</v>
      </c>
    </row>
    <row r="554" spans="2:5" ht="15" customHeight="1">
      <c r="B554" s="12" t="s">
        <v>321</v>
      </c>
      <c r="C554" s="10">
        <v>86</v>
      </c>
      <c r="D554" s="10">
        <v>0</v>
      </c>
      <c r="E554" s="10">
        <v>0</v>
      </c>
    </row>
    <row r="555" spans="2:5" ht="15" customHeight="1">
      <c r="B555" s="12" t="s">
        <v>271</v>
      </c>
      <c r="C555" s="10">
        <v>80</v>
      </c>
      <c r="D555" s="10">
        <v>0</v>
      </c>
      <c r="E555" s="10">
        <v>0</v>
      </c>
    </row>
    <row r="556" spans="2:5" ht="15" customHeight="1">
      <c r="B556" s="12" t="s">
        <v>83</v>
      </c>
      <c r="C556" s="10">
        <v>78</v>
      </c>
      <c r="D556" s="10">
        <v>0</v>
      </c>
      <c r="E556" s="10">
        <v>0</v>
      </c>
    </row>
    <row r="557" spans="2:5" ht="15" customHeight="1">
      <c r="B557" s="12" t="s">
        <v>245</v>
      </c>
      <c r="C557" s="10">
        <v>70</v>
      </c>
      <c r="D557" s="10">
        <v>0</v>
      </c>
      <c r="E557" s="10">
        <v>0</v>
      </c>
    </row>
    <row r="558" spans="2:5" ht="15" customHeight="1">
      <c r="B558" s="12" t="s">
        <v>286</v>
      </c>
      <c r="C558" s="10">
        <v>60</v>
      </c>
      <c r="D558" s="10">
        <v>0</v>
      </c>
      <c r="E558" s="10">
        <v>0</v>
      </c>
    </row>
    <row r="559" spans="2:5" ht="15" customHeight="1">
      <c r="B559" s="12" t="s">
        <v>110</v>
      </c>
      <c r="C559" s="10">
        <v>59</v>
      </c>
      <c r="D559" s="10">
        <v>0</v>
      </c>
      <c r="E559" s="10">
        <v>0</v>
      </c>
    </row>
    <row r="560" spans="2:5" ht="15" customHeight="1">
      <c r="B560" s="12" t="s">
        <v>303</v>
      </c>
      <c r="C560" s="10">
        <v>50</v>
      </c>
      <c r="D560" s="10">
        <v>0</v>
      </c>
      <c r="E560" s="10">
        <v>0</v>
      </c>
    </row>
    <row r="561" spans="2:5" ht="15" customHeight="1">
      <c r="B561" s="12" t="s">
        <v>197</v>
      </c>
      <c r="C561" s="10">
        <v>43</v>
      </c>
      <c r="D561" s="10">
        <v>0</v>
      </c>
      <c r="E561" s="10">
        <v>0</v>
      </c>
    </row>
    <row r="562" spans="2:5" ht="15" customHeight="1">
      <c r="B562" s="12" t="s">
        <v>160</v>
      </c>
      <c r="C562" s="10">
        <v>40</v>
      </c>
      <c r="D562" s="10">
        <v>0</v>
      </c>
      <c r="E562" s="10">
        <v>0</v>
      </c>
    </row>
    <row r="563" spans="2:5" ht="15" customHeight="1">
      <c r="B563" s="12" t="s">
        <v>177</v>
      </c>
      <c r="C563" s="10">
        <v>40</v>
      </c>
      <c r="D563" s="10">
        <v>0</v>
      </c>
      <c r="E563" s="10">
        <v>0</v>
      </c>
    </row>
    <row r="564" spans="2:5" ht="15" customHeight="1">
      <c r="B564" s="12" t="s">
        <v>200</v>
      </c>
      <c r="C564" s="10">
        <v>40</v>
      </c>
      <c r="D564" s="10">
        <v>0</v>
      </c>
      <c r="E564" s="10">
        <v>0</v>
      </c>
    </row>
    <row r="565" spans="2:5" ht="15" customHeight="1">
      <c r="B565" s="12" t="s">
        <v>293</v>
      </c>
      <c r="C565" s="10">
        <v>40</v>
      </c>
      <c r="D565" s="10">
        <v>0</v>
      </c>
      <c r="E565" s="10">
        <v>0</v>
      </c>
    </row>
    <row r="566" spans="2:5" ht="15" customHeight="1">
      <c r="B566" s="12" t="s">
        <v>218</v>
      </c>
      <c r="C566" s="10">
        <v>31</v>
      </c>
      <c r="D566" s="10">
        <v>0</v>
      </c>
      <c r="E566" s="10">
        <v>0</v>
      </c>
    </row>
    <row r="567" spans="2:5" ht="15" customHeight="1">
      <c r="B567" s="12" t="s">
        <v>217</v>
      </c>
      <c r="C567" s="10">
        <v>30</v>
      </c>
      <c r="D567" s="10">
        <v>0</v>
      </c>
      <c r="E567" s="10">
        <v>0</v>
      </c>
    </row>
    <row r="568" spans="2:5" ht="15" customHeight="1">
      <c r="B568" s="12" t="s">
        <v>268</v>
      </c>
      <c r="C568" s="10">
        <v>27</v>
      </c>
      <c r="D568" s="10">
        <v>0</v>
      </c>
      <c r="E568" s="10">
        <v>0</v>
      </c>
    </row>
    <row r="569" spans="2:5" ht="15" customHeight="1">
      <c r="B569" s="12" t="s">
        <v>123</v>
      </c>
      <c r="C569" s="10">
        <v>20</v>
      </c>
      <c r="D569" s="10">
        <v>0</v>
      </c>
      <c r="E569" s="10">
        <v>0</v>
      </c>
    </row>
    <row r="570" spans="2:5" ht="15" customHeight="1">
      <c r="B570" s="12" t="s">
        <v>310</v>
      </c>
      <c r="C570" s="10">
        <v>19</v>
      </c>
      <c r="D570" s="10">
        <v>0</v>
      </c>
      <c r="E570" s="10">
        <v>0</v>
      </c>
    </row>
    <row r="571" spans="2:5" ht="15" customHeight="1">
      <c r="B571" s="12" t="s">
        <v>235</v>
      </c>
      <c r="C571" s="10">
        <v>10</v>
      </c>
      <c r="D571" s="10">
        <v>0</v>
      </c>
      <c r="E571" s="10">
        <v>0</v>
      </c>
    </row>
    <row r="572" spans="2:5" ht="15" customHeight="1">
      <c r="B572" s="12" t="s">
        <v>289</v>
      </c>
      <c r="C572" s="10">
        <v>10</v>
      </c>
      <c r="D572" s="10">
        <v>0</v>
      </c>
      <c r="E572" s="10">
        <v>0</v>
      </c>
    </row>
    <row r="573" spans="2:5" ht="15" customHeight="1">
      <c r="B573" s="12" t="s">
        <v>301</v>
      </c>
      <c r="C573" s="10">
        <v>10</v>
      </c>
      <c r="D573" s="10">
        <v>0</v>
      </c>
      <c r="E573" s="10">
        <v>0</v>
      </c>
    </row>
    <row r="574" spans="2:5" ht="15" customHeight="1">
      <c r="B574" s="12" t="s">
        <v>326</v>
      </c>
      <c r="C574" s="10">
        <v>7</v>
      </c>
      <c r="D574" s="10">
        <v>0</v>
      </c>
      <c r="E574" s="10">
        <v>0</v>
      </c>
    </row>
    <row r="575" spans="2:5" ht="15" customHeight="1">
      <c r="B575" s="12" t="s">
        <v>147</v>
      </c>
      <c r="C575" s="10">
        <v>1</v>
      </c>
      <c r="D575" s="10">
        <v>0</v>
      </c>
      <c r="E575" s="10">
        <v>0</v>
      </c>
    </row>
    <row r="576" spans="2:5" ht="15" customHeight="1">
      <c r="B576" s="12" t="s">
        <v>121</v>
      </c>
      <c r="C576" s="10">
        <v>0</v>
      </c>
      <c r="D576" s="10">
        <v>0</v>
      </c>
      <c r="E576" s="10">
        <v>0</v>
      </c>
    </row>
    <row r="577" spans="2:5" ht="15" customHeight="1">
      <c r="B577" s="12" t="s">
        <v>96</v>
      </c>
      <c r="C577" s="10">
        <v>0</v>
      </c>
      <c r="D577" s="10">
        <v>0</v>
      </c>
      <c r="E577" s="10">
        <v>0</v>
      </c>
    </row>
    <row r="578" spans="2:5" ht="15" customHeight="1">
      <c r="B578" s="12" t="s">
        <v>98</v>
      </c>
      <c r="C578" s="10">
        <v>0</v>
      </c>
      <c r="D578" s="10">
        <v>0</v>
      </c>
      <c r="E578" s="10">
        <v>0</v>
      </c>
    </row>
    <row r="579" spans="2:5" ht="15" customHeight="1">
      <c r="B579" s="12" t="s">
        <v>122</v>
      </c>
      <c r="C579" s="10">
        <v>0</v>
      </c>
      <c r="D579" s="10">
        <v>0</v>
      </c>
      <c r="E579" s="10">
        <v>0</v>
      </c>
    </row>
    <row r="580" spans="2:5" ht="15" customHeight="1">
      <c r="B580" s="12" t="s">
        <v>124</v>
      </c>
      <c r="C580" s="10">
        <v>0</v>
      </c>
      <c r="D580" s="10">
        <v>0</v>
      </c>
      <c r="E580" s="10">
        <v>0</v>
      </c>
    </row>
    <row r="581" spans="2:5" ht="15" customHeight="1">
      <c r="B581" s="12" t="s">
        <v>125</v>
      </c>
      <c r="C581" s="10">
        <v>0</v>
      </c>
      <c r="D581" s="10">
        <v>0</v>
      </c>
      <c r="E581" s="10">
        <v>0</v>
      </c>
    </row>
    <row r="582" spans="2:5" ht="15" customHeight="1">
      <c r="B582" s="12" t="s">
        <v>292</v>
      </c>
      <c r="C582" s="10">
        <v>0</v>
      </c>
      <c r="D582" s="10">
        <v>0</v>
      </c>
      <c r="E582" s="10">
        <v>0</v>
      </c>
    </row>
    <row r="583" spans="2:5" ht="15" customHeight="1">
      <c r="B583" s="12" t="s">
        <v>307</v>
      </c>
      <c r="C583" s="10">
        <v>0</v>
      </c>
      <c r="D583" s="10">
        <v>0</v>
      </c>
      <c r="E583" s="10">
        <v>0</v>
      </c>
    </row>
    <row r="584" spans="2:5" ht="15" customHeight="1">
      <c r="B584" s="12" t="s">
        <v>311</v>
      </c>
      <c r="C584" s="10">
        <v>0</v>
      </c>
      <c r="D584" s="10">
        <v>0</v>
      </c>
      <c r="E584" s="10">
        <v>0</v>
      </c>
    </row>
    <row r="585" spans="2:5" ht="15" customHeight="1">
      <c r="B585" s="12" t="s">
        <v>312</v>
      </c>
      <c r="C585" s="10">
        <v>0</v>
      </c>
      <c r="D585" s="10">
        <v>0</v>
      </c>
      <c r="E585" s="10">
        <v>0</v>
      </c>
    </row>
    <row r="586" spans="2:5" ht="15" customHeight="1">
      <c r="B586" s="12" t="s">
        <v>314</v>
      </c>
      <c r="C586" s="10">
        <v>0</v>
      </c>
      <c r="D586" s="10">
        <v>0</v>
      </c>
      <c r="E586" s="10">
        <v>0</v>
      </c>
    </row>
    <row r="587" spans="2:5" ht="15" customHeight="1">
      <c r="B587" s="12" t="s">
        <v>315</v>
      </c>
      <c r="C587" s="10">
        <v>0</v>
      </c>
      <c r="D587" s="10">
        <v>0</v>
      </c>
      <c r="E587" s="10">
        <v>0</v>
      </c>
    </row>
    <row r="588" spans="2:5" ht="15" customHeight="1">
      <c r="B588" s="12" t="s">
        <v>316</v>
      </c>
      <c r="C588" s="10">
        <v>0</v>
      </c>
      <c r="D588" s="10">
        <v>0</v>
      </c>
      <c r="E588" s="10">
        <v>0</v>
      </c>
    </row>
    <row r="589" spans="2:5" ht="15" customHeight="1">
      <c r="B589" s="12" t="s">
        <v>114</v>
      </c>
      <c r="C589" s="10">
        <v>0</v>
      </c>
      <c r="D589" s="10">
        <v>0</v>
      </c>
      <c r="E589" s="10">
        <v>0</v>
      </c>
    </row>
    <row r="590" spans="2:5" ht="15" customHeight="1">
      <c r="B590" s="12" t="s">
        <v>323</v>
      </c>
      <c r="C590" s="10">
        <v>0</v>
      </c>
      <c r="D590" s="10">
        <v>0</v>
      </c>
      <c r="E590" s="10">
        <v>0</v>
      </c>
    </row>
    <row r="591" spans="2:5" ht="15" customHeight="1">
      <c r="B591" s="12" t="s">
        <v>324</v>
      </c>
      <c r="C591" s="10">
        <v>0</v>
      </c>
      <c r="D591" s="10">
        <v>0</v>
      </c>
      <c r="E591" s="10">
        <v>0</v>
      </c>
    </row>
    <row r="592" spans="2:5" ht="15" customHeight="1">
      <c r="B592" s="12" t="s">
        <v>328</v>
      </c>
      <c r="C592" s="10">
        <v>0</v>
      </c>
      <c r="D592" s="10">
        <v>0</v>
      </c>
      <c r="E592" s="10">
        <v>0</v>
      </c>
    </row>
    <row r="593" spans="2:5" ht="15" customHeight="1">
      <c r="B593" s="12" t="s">
        <v>116</v>
      </c>
      <c r="C593" s="10">
        <v>0</v>
      </c>
      <c r="D593" s="10">
        <v>0</v>
      </c>
      <c r="E593" s="10">
        <v>0</v>
      </c>
    </row>
    <row r="594" spans="2:5" ht="15" customHeight="1">
      <c r="B594" s="12" t="s">
        <v>66</v>
      </c>
      <c r="C594" s="10">
        <v>0</v>
      </c>
      <c r="D594" s="10">
        <v>0</v>
      </c>
      <c r="E594" s="10">
        <v>0</v>
      </c>
    </row>
    <row r="595" spans="2:5" ht="15" customHeight="1">
      <c r="B595" s="12" t="s">
        <v>95</v>
      </c>
      <c r="C595" s="10">
        <v>0</v>
      </c>
      <c r="D595" s="10">
        <v>0</v>
      </c>
      <c r="E595" s="10">
        <v>0</v>
      </c>
    </row>
    <row r="596" spans="2:5" ht="15" customHeight="1">
      <c r="B596" s="12" t="s">
        <v>117</v>
      </c>
      <c r="C596" s="10">
        <v>0</v>
      </c>
      <c r="D596" s="10">
        <v>0</v>
      </c>
      <c r="E596" s="10">
        <v>0</v>
      </c>
    </row>
    <row r="597" spans="2:5" ht="15" customHeight="1">
      <c r="B597" s="12" t="s">
        <v>330</v>
      </c>
      <c r="C597" s="10">
        <v>0</v>
      </c>
      <c r="D597" s="10">
        <v>0</v>
      </c>
      <c r="E597" s="10">
        <v>0</v>
      </c>
    </row>
    <row r="598" spans="2:5" ht="15" customHeight="1">
      <c r="B598" s="12" t="s">
        <v>331</v>
      </c>
      <c r="C598" s="10">
        <v>0</v>
      </c>
      <c r="D598" s="10">
        <v>0</v>
      </c>
      <c r="E598" s="10">
        <v>0</v>
      </c>
    </row>
    <row r="599" spans="2:5" ht="15" customHeight="1">
      <c r="B599" s="12" t="s">
        <v>332</v>
      </c>
      <c r="C599" s="10">
        <v>0</v>
      </c>
      <c r="D599" s="10">
        <v>0</v>
      </c>
      <c r="E599" s="10">
        <v>0</v>
      </c>
    </row>
    <row r="600" spans="2:5" ht="15" customHeight="1">
      <c r="B600" s="12" t="s">
        <v>333</v>
      </c>
      <c r="C600" s="10">
        <v>0</v>
      </c>
      <c r="D600" s="10">
        <v>0</v>
      </c>
      <c r="E600" s="10">
        <v>0</v>
      </c>
    </row>
    <row r="601" spans="2:5" ht="15" customHeight="1">
      <c r="B601" s="12" t="s">
        <v>118</v>
      </c>
      <c r="C601" s="10">
        <v>0</v>
      </c>
      <c r="D601" s="10">
        <v>0</v>
      </c>
      <c r="E601" s="10">
        <v>0</v>
      </c>
    </row>
    <row r="602" spans="2:5" ht="15" customHeight="1">
      <c r="B602" s="12" t="s">
        <v>334</v>
      </c>
      <c r="C602" s="10">
        <v>0</v>
      </c>
      <c r="D602" s="10">
        <v>0</v>
      </c>
      <c r="E602" s="10">
        <v>0</v>
      </c>
    </row>
    <row r="603" spans="2:5" ht="15" customHeight="1">
      <c r="B603" s="12" t="s">
        <v>76</v>
      </c>
      <c r="C603" s="10">
        <v>0</v>
      </c>
      <c r="D603" s="10">
        <v>0</v>
      </c>
      <c r="E603" s="10">
        <v>0</v>
      </c>
    </row>
    <row r="604" spans="2:5" ht="15" customHeight="1">
      <c r="B604" s="12" t="s">
        <v>119</v>
      </c>
      <c r="C604" s="10">
        <v>0</v>
      </c>
      <c r="D604" s="10">
        <v>0</v>
      </c>
      <c r="E604" s="10">
        <v>0</v>
      </c>
    </row>
    <row r="607" spans="2:2" ht="12.75">
      <c r="B607" s="5" t="s">
        <v>337</v>
      </c>
    </row>
    <row r="608" ht="13" customHeight="1"/>
    <row r="609" spans="2:2" ht="13" customHeight="1"/>
    <row r="610" ht="13" customHeight="1"/>
    <row r="611" ht="13" customHeight="1"/>
    <row r="612" ht="13" customHeight="1"/>
    <row r="613" ht="13" customHeight="1"/>
    <row r="614" ht="13" customHeight="1"/>
    <row r="615" ht="13" customHeight="1"/>
    <row r="616" ht="13" customHeight="1"/>
    <row r="617" ht="13" customHeight="1"/>
    <row r="618" ht="13" customHeight="1"/>
    <row r="619" ht="13" customHeight="1"/>
    <row r="620" ht="13" customHeight="1"/>
    <row r="621" ht="13" customHeight="1"/>
    <row r="622" ht="13" customHeight="1"/>
    <row r="623" ht="13" customHeight="1"/>
    <row r="624" ht="13" customHeight="1"/>
    <row r="625" ht="13" customHeight="1"/>
    <row r="626" ht="13" customHeight="1"/>
    <row r="627" ht="13" customHeight="1"/>
    <row r="628" ht="13" customHeight="1"/>
    <row r="629" ht="13" customHeight="1"/>
    <row r="630" ht="13" customHeight="1"/>
    <row r="631" ht="13" customHeight="1"/>
    <row r="632" spans="2:5" ht="30" customHeight="1">
      <c r="B632" s="6" t="s">
        <v>26</v>
      </c>
      <c r="C632" s="7" t="s">
        <v>7</v>
      </c>
      <c r="D632" s="7" t="s">
        <v>8</v>
      </c>
      <c r="E632" s="7" t="s">
        <v>9</v>
      </c>
    </row>
    <row r="633" spans="2:5" ht="15" customHeight="1">
      <c r="B633" s="12" t="s">
        <v>65</v>
      </c>
      <c r="C633" s="10">
        <v>34279</v>
      </c>
      <c r="D633" s="10">
        <v>0</v>
      </c>
      <c r="E633" s="10">
        <v>0</v>
      </c>
    </row>
    <row r="634" spans="2:5" ht="15" customHeight="1">
      <c r="B634" s="12" t="s">
        <v>63</v>
      </c>
      <c r="C634" s="10">
        <v>6685</v>
      </c>
      <c r="D634" s="10">
        <v>1</v>
      </c>
      <c r="E634" s="10">
        <v>0</v>
      </c>
    </row>
    <row r="635" spans="2:5" ht="15" customHeight="1">
      <c r="B635" s="12" t="s">
        <v>70</v>
      </c>
      <c r="C635" s="10">
        <v>6210</v>
      </c>
      <c r="D635" s="10">
        <v>0</v>
      </c>
      <c r="E635" s="10">
        <v>0</v>
      </c>
    </row>
    <row r="636" spans="2:5" ht="15" customHeight="1">
      <c r="B636" s="12" t="s">
        <v>73</v>
      </c>
      <c r="C636" s="10">
        <v>3018</v>
      </c>
      <c r="D636" s="10">
        <v>0</v>
      </c>
      <c r="E636" s="10">
        <v>0</v>
      </c>
    </row>
    <row r="637" spans="2:5" ht="15" customHeight="1">
      <c r="B637" s="12" t="s">
        <v>69</v>
      </c>
      <c r="C637" s="10">
        <v>2646</v>
      </c>
      <c r="D637" s="10">
        <v>0</v>
      </c>
      <c r="E637" s="10">
        <v>0</v>
      </c>
    </row>
    <row r="638" spans="2:5" ht="15" customHeight="1">
      <c r="B638" s="12" t="s">
        <v>68</v>
      </c>
      <c r="C638" s="10">
        <v>2341</v>
      </c>
      <c r="D638" s="10">
        <v>0</v>
      </c>
      <c r="E638" s="10">
        <v>0</v>
      </c>
    </row>
    <row r="639" spans="2:5" ht="15" customHeight="1">
      <c r="B639" s="12" t="s">
        <v>67</v>
      </c>
      <c r="C639" s="10">
        <v>1084</v>
      </c>
      <c r="D639" s="10">
        <v>0</v>
      </c>
      <c r="E639" s="10">
        <v>0</v>
      </c>
    </row>
    <row r="640" spans="2:5" ht="15" customHeight="1">
      <c r="B640" s="12" t="s">
        <v>64</v>
      </c>
      <c r="C640" s="10">
        <v>195</v>
      </c>
      <c r="D640" s="10">
        <v>0</v>
      </c>
      <c r="E640" s="10">
        <v>0</v>
      </c>
    </row>
    <row r="641" spans="2:5" ht="15" customHeight="1">
      <c r="B641" s="12" t="s">
        <v>74</v>
      </c>
      <c r="C641" s="10">
        <v>177</v>
      </c>
      <c r="D641" s="10">
        <v>0</v>
      </c>
      <c r="E641" s="10">
        <v>0</v>
      </c>
    </row>
    <row r="642" spans="2:5" ht="15" customHeight="1">
      <c r="B642" s="12" t="s">
        <v>75</v>
      </c>
      <c r="C642" s="10">
        <v>113</v>
      </c>
      <c r="D642" s="10">
        <v>0</v>
      </c>
      <c r="E642" s="10">
        <v>0</v>
      </c>
    </row>
    <row r="643" spans="2:5" ht="15" customHeight="1">
      <c r="B643" s="12" t="s">
        <v>78</v>
      </c>
      <c r="C643" s="10">
        <v>52</v>
      </c>
      <c r="D643" s="10">
        <v>0</v>
      </c>
      <c r="E643" s="10">
        <v>0</v>
      </c>
    </row>
    <row r="644" spans="2:5" ht="15" customHeight="1">
      <c r="B644" s="12" t="s">
        <v>66</v>
      </c>
      <c r="C644" s="10">
        <v>45</v>
      </c>
      <c r="D644" s="10">
        <v>0</v>
      </c>
      <c r="E644" s="10">
        <v>0</v>
      </c>
    </row>
    <row r="645" spans="2:5" ht="15" customHeight="1">
      <c r="B645" s="12" t="s">
        <v>192</v>
      </c>
      <c r="C645" s="10">
        <v>40</v>
      </c>
      <c r="D645" s="10">
        <v>0</v>
      </c>
      <c r="E645" s="10">
        <v>0</v>
      </c>
    </row>
    <row r="646" spans="2:5" ht="15" customHeight="1">
      <c r="B646" s="12" t="s">
        <v>202</v>
      </c>
      <c r="C646" s="10">
        <v>40</v>
      </c>
      <c r="D646" s="10">
        <v>0</v>
      </c>
      <c r="E646" s="10">
        <v>0</v>
      </c>
    </row>
    <row r="647" spans="2:5" ht="15" customHeight="1">
      <c r="B647" s="12" t="s">
        <v>272</v>
      </c>
      <c r="C647" s="10">
        <v>40</v>
      </c>
      <c r="D647" s="10">
        <v>0</v>
      </c>
      <c r="E647" s="10">
        <v>0</v>
      </c>
    </row>
    <row r="648" spans="2:5" ht="15" customHeight="1">
      <c r="B648" s="12" t="s">
        <v>138</v>
      </c>
      <c r="C648" s="10">
        <v>34</v>
      </c>
      <c r="D648" s="10">
        <v>0</v>
      </c>
      <c r="E648" s="10">
        <v>0</v>
      </c>
    </row>
    <row r="649" spans="2:5" ht="15" customHeight="1">
      <c r="B649" s="12" t="s">
        <v>126</v>
      </c>
      <c r="C649" s="10">
        <v>32</v>
      </c>
      <c r="D649" s="10">
        <v>0</v>
      </c>
      <c r="E649" s="10">
        <v>0</v>
      </c>
    </row>
    <row r="650" spans="2:5" ht="15" customHeight="1">
      <c r="B650" s="12" t="s">
        <v>71</v>
      </c>
      <c r="C650" s="10">
        <v>26</v>
      </c>
      <c r="D650" s="10">
        <v>0</v>
      </c>
      <c r="E650" s="10">
        <v>0</v>
      </c>
    </row>
    <row r="651" spans="2:5" ht="15" customHeight="1">
      <c r="B651" s="12" t="s">
        <v>296</v>
      </c>
      <c r="C651" s="10">
        <v>19</v>
      </c>
      <c r="D651" s="10">
        <v>0</v>
      </c>
      <c r="E651" s="10">
        <v>0</v>
      </c>
    </row>
    <row r="652" spans="2:5" ht="15" customHeight="1">
      <c r="B652" s="12" t="s">
        <v>135</v>
      </c>
      <c r="C652" s="10">
        <v>13</v>
      </c>
      <c r="D652" s="10">
        <v>0</v>
      </c>
      <c r="E652" s="10">
        <v>0</v>
      </c>
    </row>
    <row r="653" spans="2:5" ht="15" customHeight="1">
      <c r="B653" s="12" t="s">
        <v>169</v>
      </c>
      <c r="C653" s="10">
        <v>13</v>
      </c>
      <c r="D653" s="10">
        <v>0</v>
      </c>
      <c r="E653" s="10">
        <v>0</v>
      </c>
    </row>
    <row r="654" spans="2:5" ht="15" customHeight="1">
      <c r="B654" s="12" t="s">
        <v>176</v>
      </c>
      <c r="C654" s="10">
        <v>12</v>
      </c>
      <c r="D654" s="10">
        <v>0</v>
      </c>
      <c r="E654" s="10">
        <v>0</v>
      </c>
    </row>
    <row r="655" spans="2:5" ht="15" customHeight="1">
      <c r="B655" s="12" t="s">
        <v>123</v>
      </c>
      <c r="C655" s="10">
        <v>9</v>
      </c>
      <c r="D655" s="10">
        <v>0</v>
      </c>
      <c r="E655" s="10">
        <v>0</v>
      </c>
    </row>
    <row r="656" spans="2:5" ht="15" customHeight="1">
      <c r="B656" s="12" t="s">
        <v>129</v>
      </c>
      <c r="C656" s="10">
        <v>8</v>
      </c>
      <c r="D656" s="10">
        <v>0</v>
      </c>
      <c r="E656" s="10">
        <v>0</v>
      </c>
    </row>
    <row r="657" spans="2:5" ht="15" customHeight="1">
      <c r="B657" s="12" t="s">
        <v>189</v>
      </c>
      <c r="C657" s="10">
        <v>8</v>
      </c>
      <c r="D657" s="10">
        <v>0</v>
      </c>
      <c r="E657" s="10">
        <v>0</v>
      </c>
    </row>
    <row r="658" spans="2:5" ht="15" customHeight="1">
      <c r="B658" s="12" t="s">
        <v>145</v>
      </c>
      <c r="C658" s="10">
        <v>7</v>
      </c>
      <c r="D658" s="10">
        <v>0</v>
      </c>
      <c r="E658" s="10">
        <v>0</v>
      </c>
    </row>
    <row r="659" spans="2:5" ht="15" customHeight="1">
      <c r="B659" s="12" t="s">
        <v>128</v>
      </c>
      <c r="C659" s="10">
        <v>6</v>
      </c>
      <c r="D659" s="10">
        <v>0</v>
      </c>
      <c r="E659" s="10">
        <v>0</v>
      </c>
    </row>
    <row r="660" spans="2:5" ht="15" customHeight="1">
      <c r="B660" s="12" t="s">
        <v>131</v>
      </c>
      <c r="C660" s="10">
        <v>6</v>
      </c>
      <c r="D660" s="10">
        <v>0</v>
      </c>
      <c r="E660" s="10">
        <v>0</v>
      </c>
    </row>
    <row r="661" spans="2:5" ht="15" customHeight="1">
      <c r="B661" s="12" t="s">
        <v>132</v>
      </c>
      <c r="C661" s="10">
        <v>6</v>
      </c>
      <c r="D661" s="10">
        <v>0</v>
      </c>
      <c r="E661" s="10">
        <v>0</v>
      </c>
    </row>
    <row r="662" spans="2:5" ht="15" customHeight="1">
      <c r="B662" s="12" t="s">
        <v>143</v>
      </c>
      <c r="C662" s="10">
        <v>6</v>
      </c>
      <c r="D662" s="10">
        <v>0</v>
      </c>
      <c r="E662" s="10">
        <v>0</v>
      </c>
    </row>
    <row r="663" spans="2:5" ht="15" customHeight="1">
      <c r="B663" s="12" t="s">
        <v>144</v>
      </c>
      <c r="C663" s="10">
        <v>6</v>
      </c>
      <c r="D663" s="10">
        <v>0</v>
      </c>
      <c r="E663" s="10">
        <v>0</v>
      </c>
    </row>
    <row r="664" spans="2:5" ht="15" customHeight="1">
      <c r="B664" s="12" t="s">
        <v>234</v>
      </c>
      <c r="C664" s="10">
        <v>6</v>
      </c>
      <c r="D664" s="10">
        <v>0</v>
      </c>
      <c r="E664" s="10">
        <v>0</v>
      </c>
    </row>
    <row r="665" spans="2:5" ht="15" customHeight="1">
      <c r="B665" s="12" t="s">
        <v>127</v>
      </c>
      <c r="C665" s="10">
        <v>5</v>
      </c>
      <c r="D665" s="10">
        <v>0</v>
      </c>
      <c r="E665" s="10">
        <v>0</v>
      </c>
    </row>
    <row r="666" spans="2:5" ht="15" customHeight="1">
      <c r="B666" s="12" t="s">
        <v>82</v>
      </c>
      <c r="C666" s="10">
        <v>4</v>
      </c>
      <c r="D666" s="10">
        <v>0</v>
      </c>
      <c r="E666" s="10">
        <v>0</v>
      </c>
    </row>
    <row r="667" spans="2:5" ht="15" customHeight="1">
      <c r="B667" s="12" t="s">
        <v>100</v>
      </c>
      <c r="C667" s="10">
        <v>4</v>
      </c>
      <c r="D667" s="10">
        <v>0</v>
      </c>
      <c r="E667" s="10">
        <v>0</v>
      </c>
    </row>
    <row r="668" spans="2:5" ht="15" customHeight="1">
      <c r="B668" s="12" t="s">
        <v>146</v>
      </c>
      <c r="C668" s="10">
        <v>4</v>
      </c>
      <c r="D668" s="10">
        <v>0</v>
      </c>
      <c r="E668" s="10">
        <v>0</v>
      </c>
    </row>
    <row r="669" spans="2:5" ht="15" customHeight="1">
      <c r="B669" s="12" t="s">
        <v>329</v>
      </c>
      <c r="C669" s="10">
        <v>4</v>
      </c>
      <c r="D669" s="10">
        <v>0</v>
      </c>
      <c r="E669" s="10">
        <v>0</v>
      </c>
    </row>
    <row r="670" spans="2:5" ht="15" customHeight="1">
      <c r="B670" s="12" t="s">
        <v>76</v>
      </c>
      <c r="C670" s="10">
        <v>4</v>
      </c>
      <c r="D670" s="10">
        <v>0</v>
      </c>
      <c r="E670" s="10">
        <v>0</v>
      </c>
    </row>
    <row r="671" spans="2:5" ht="15" customHeight="1">
      <c r="B671" s="12" t="s">
        <v>81</v>
      </c>
      <c r="C671" s="10">
        <v>3</v>
      </c>
      <c r="D671" s="10">
        <v>0</v>
      </c>
      <c r="E671" s="10">
        <v>0</v>
      </c>
    </row>
    <row r="672" spans="2:5" ht="15" customHeight="1">
      <c r="B672" s="12" t="s">
        <v>170</v>
      </c>
      <c r="C672" s="10">
        <v>3</v>
      </c>
      <c r="D672" s="10">
        <v>0</v>
      </c>
      <c r="E672" s="10">
        <v>0</v>
      </c>
    </row>
    <row r="673" spans="2:5" ht="15" customHeight="1">
      <c r="B673" s="12" t="s">
        <v>175</v>
      </c>
      <c r="C673" s="10">
        <v>3</v>
      </c>
      <c r="D673" s="10">
        <v>0</v>
      </c>
      <c r="E673" s="10">
        <v>0</v>
      </c>
    </row>
    <row r="674" spans="2:5" ht="15" customHeight="1">
      <c r="B674" s="12" t="s">
        <v>233</v>
      </c>
      <c r="C674" s="10">
        <v>3</v>
      </c>
      <c r="D674" s="10">
        <v>0</v>
      </c>
      <c r="E674" s="10">
        <v>0</v>
      </c>
    </row>
    <row r="675" spans="2:5" ht="15" customHeight="1">
      <c r="B675" s="12" t="s">
        <v>219</v>
      </c>
      <c r="C675" s="10">
        <v>2</v>
      </c>
      <c r="D675" s="10">
        <v>0</v>
      </c>
      <c r="E675" s="10">
        <v>0</v>
      </c>
    </row>
    <row r="676" spans="2:5" ht="15" customHeight="1">
      <c r="B676" s="12" t="s">
        <v>105</v>
      </c>
      <c r="C676" s="10">
        <v>2</v>
      </c>
      <c r="D676" s="10">
        <v>0</v>
      </c>
      <c r="E676" s="10">
        <v>0</v>
      </c>
    </row>
    <row r="677" spans="2:5" ht="15" customHeight="1">
      <c r="B677" s="12" t="s">
        <v>247</v>
      </c>
      <c r="C677" s="10">
        <v>2</v>
      </c>
      <c r="D677" s="10">
        <v>0</v>
      </c>
      <c r="E677" s="10">
        <v>0</v>
      </c>
    </row>
    <row r="678" spans="2:5" ht="15" customHeight="1">
      <c r="B678" s="12" t="s">
        <v>120</v>
      </c>
      <c r="C678" s="10">
        <v>1</v>
      </c>
      <c r="D678" s="10">
        <v>0</v>
      </c>
      <c r="E678" s="10">
        <v>0</v>
      </c>
    </row>
    <row r="679" spans="2:5" ht="15" customHeight="1">
      <c r="B679" s="12" t="s">
        <v>130</v>
      </c>
      <c r="C679" s="10">
        <v>1</v>
      </c>
      <c r="D679" s="10">
        <v>0</v>
      </c>
      <c r="E679" s="10">
        <v>0</v>
      </c>
    </row>
    <row r="680" spans="2:5" ht="15" customHeight="1">
      <c r="B680" s="12" t="s">
        <v>165</v>
      </c>
      <c r="C680" s="10">
        <v>1</v>
      </c>
      <c r="D680" s="10">
        <v>0</v>
      </c>
      <c r="E680" s="10">
        <v>0</v>
      </c>
    </row>
    <row r="681" spans="2:5" ht="15" customHeight="1">
      <c r="B681" s="12" t="s">
        <v>171</v>
      </c>
      <c r="C681" s="10">
        <v>1</v>
      </c>
      <c r="D681" s="10">
        <v>0</v>
      </c>
      <c r="E681" s="10">
        <v>0</v>
      </c>
    </row>
    <row r="682" spans="2:5" ht="15" customHeight="1">
      <c r="B682" s="12" t="s">
        <v>194</v>
      </c>
      <c r="C682" s="10">
        <v>1</v>
      </c>
      <c r="D682" s="10">
        <v>0</v>
      </c>
      <c r="E682" s="10">
        <v>0</v>
      </c>
    </row>
    <row r="683" spans="2:5" ht="15" customHeight="1">
      <c r="B683" s="12" t="s">
        <v>209</v>
      </c>
      <c r="C683" s="10">
        <v>1</v>
      </c>
      <c r="D683" s="10">
        <v>0</v>
      </c>
      <c r="E683" s="10">
        <v>0</v>
      </c>
    </row>
    <row r="684" spans="2:5" ht="15" customHeight="1">
      <c r="B684" s="12" t="s">
        <v>225</v>
      </c>
      <c r="C684" s="10">
        <v>1</v>
      </c>
      <c r="D684" s="10">
        <v>0</v>
      </c>
      <c r="E684" s="10">
        <v>0</v>
      </c>
    </row>
    <row r="685" spans="2:5" ht="15" customHeight="1">
      <c r="B685" s="12" t="s">
        <v>228</v>
      </c>
      <c r="C685" s="10">
        <v>1</v>
      </c>
      <c r="D685" s="10">
        <v>0</v>
      </c>
      <c r="E685" s="10">
        <v>0</v>
      </c>
    </row>
    <row r="686" spans="2:5" ht="15" customHeight="1">
      <c r="B686" s="12" t="s">
        <v>335</v>
      </c>
      <c r="C686" s="10">
        <v>1</v>
      </c>
      <c r="D686" s="10">
        <v>0</v>
      </c>
      <c r="E686" s="10">
        <v>0</v>
      </c>
    </row>
    <row r="687" spans="2:5" ht="15" customHeight="1">
      <c r="B687" s="12" t="s">
        <v>121</v>
      </c>
      <c r="C687" s="10">
        <v>0</v>
      </c>
      <c r="D687" s="10">
        <v>0</v>
      </c>
      <c r="E687" s="10">
        <v>0</v>
      </c>
    </row>
    <row r="688" spans="2:5" ht="15" customHeight="1">
      <c r="B688" s="12" t="s">
        <v>96</v>
      </c>
      <c r="C688" s="10">
        <v>0</v>
      </c>
      <c r="D688" s="10">
        <v>0</v>
      </c>
      <c r="E688" s="10">
        <v>0</v>
      </c>
    </row>
    <row r="689" spans="2:5" ht="15" customHeight="1">
      <c r="B689" s="12" t="s">
        <v>97</v>
      </c>
      <c r="C689" s="10">
        <v>0</v>
      </c>
      <c r="D689" s="10">
        <v>0</v>
      </c>
      <c r="E689" s="10">
        <v>0</v>
      </c>
    </row>
    <row r="690" spans="2:5" ht="15" customHeight="1">
      <c r="B690" s="12" t="s">
        <v>98</v>
      </c>
      <c r="C690" s="10">
        <v>0</v>
      </c>
      <c r="D690" s="10">
        <v>0</v>
      </c>
      <c r="E690" s="10">
        <v>0</v>
      </c>
    </row>
    <row r="691" spans="2:5" ht="15" customHeight="1">
      <c r="B691" s="12" t="s">
        <v>122</v>
      </c>
      <c r="C691" s="10">
        <v>0</v>
      </c>
      <c r="D691" s="10">
        <v>0</v>
      </c>
      <c r="E691" s="10">
        <v>0</v>
      </c>
    </row>
    <row r="692" spans="2:5" ht="15" customHeight="1">
      <c r="B692" s="12" t="s">
        <v>124</v>
      </c>
      <c r="C692" s="10">
        <v>0</v>
      </c>
      <c r="D692" s="10">
        <v>0</v>
      </c>
      <c r="E692" s="10">
        <v>0</v>
      </c>
    </row>
    <row r="693" spans="2:5" ht="15" customHeight="1">
      <c r="B693" s="12" t="s">
        <v>125</v>
      </c>
      <c r="C693" s="10">
        <v>0</v>
      </c>
      <c r="D693" s="10">
        <v>0</v>
      </c>
      <c r="E693" s="10">
        <v>0</v>
      </c>
    </row>
    <row r="694" spans="2:5" ht="15" customHeight="1">
      <c r="B694" s="12" t="s">
        <v>85</v>
      </c>
      <c r="C694" s="10">
        <v>0</v>
      </c>
      <c r="D694" s="10">
        <v>0</v>
      </c>
      <c r="E694" s="10">
        <v>0</v>
      </c>
    </row>
    <row r="695" spans="2:5" ht="15" customHeight="1">
      <c r="B695" s="12" t="s">
        <v>133</v>
      </c>
      <c r="C695" s="10">
        <v>0</v>
      </c>
      <c r="D695" s="10">
        <v>0</v>
      </c>
      <c r="E695" s="10">
        <v>0</v>
      </c>
    </row>
    <row r="696" spans="2:5" ht="15" customHeight="1">
      <c r="B696" s="12" t="s">
        <v>134</v>
      </c>
      <c r="C696" s="10">
        <v>0</v>
      </c>
      <c r="D696" s="10">
        <v>0</v>
      </c>
      <c r="E696" s="10">
        <v>0</v>
      </c>
    </row>
    <row r="697" spans="2:5" ht="15" customHeight="1">
      <c r="B697" s="12" t="s">
        <v>136</v>
      </c>
      <c r="C697" s="10">
        <v>0</v>
      </c>
      <c r="D697" s="10">
        <v>0</v>
      </c>
      <c r="E697" s="10">
        <v>0</v>
      </c>
    </row>
    <row r="698" spans="2:5" ht="15" customHeight="1">
      <c r="B698" s="12" t="s">
        <v>137</v>
      </c>
      <c r="C698" s="10">
        <v>0</v>
      </c>
      <c r="D698" s="10">
        <v>0</v>
      </c>
      <c r="E698" s="10">
        <v>0</v>
      </c>
    </row>
    <row r="699" spans="2:5" ht="15" customHeight="1">
      <c r="B699" s="12" t="s">
        <v>139</v>
      </c>
      <c r="C699" s="10">
        <v>0</v>
      </c>
      <c r="D699" s="10">
        <v>0</v>
      </c>
      <c r="E699" s="10">
        <v>0</v>
      </c>
    </row>
    <row r="700" spans="2:5" ht="15" customHeight="1">
      <c r="B700" s="12" t="s">
        <v>140</v>
      </c>
      <c r="C700" s="10">
        <v>0</v>
      </c>
      <c r="D700" s="10">
        <v>0</v>
      </c>
      <c r="E700" s="10">
        <v>0</v>
      </c>
    </row>
    <row r="701" spans="2:5" ht="15" customHeight="1">
      <c r="B701" s="12" t="s">
        <v>141</v>
      </c>
      <c r="C701" s="10">
        <v>0</v>
      </c>
      <c r="D701" s="10">
        <v>0</v>
      </c>
      <c r="E701" s="10">
        <v>0</v>
      </c>
    </row>
    <row r="702" spans="2:5" ht="15" customHeight="1">
      <c r="B702" s="12" t="s">
        <v>142</v>
      </c>
      <c r="C702" s="10">
        <v>0</v>
      </c>
      <c r="D702" s="10">
        <v>0</v>
      </c>
      <c r="E702" s="10">
        <v>0</v>
      </c>
    </row>
    <row r="703" spans="2:5" ht="15" customHeight="1">
      <c r="B703" s="12" t="s">
        <v>99</v>
      </c>
      <c r="C703" s="10">
        <v>0</v>
      </c>
      <c r="D703" s="10">
        <v>0</v>
      </c>
      <c r="E703" s="10">
        <v>0</v>
      </c>
    </row>
    <row r="704" spans="2:5" ht="15" customHeight="1">
      <c r="B704" s="12" t="s">
        <v>147</v>
      </c>
      <c r="C704" s="10">
        <v>0</v>
      </c>
      <c r="D704" s="10">
        <v>0</v>
      </c>
      <c r="E704" s="10">
        <v>0</v>
      </c>
    </row>
    <row r="705" spans="2:5" ht="15" customHeight="1">
      <c r="B705" s="12" t="s">
        <v>148</v>
      </c>
      <c r="C705" s="10">
        <v>0</v>
      </c>
      <c r="D705" s="10">
        <v>0</v>
      </c>
      <c r="E705" s="10">
        <v>0</v>
      </c>
    </row>
    <row r="706" spans="2:5" ht="15" customHeight="1">
      <c r="B706" s="12" t="s">
        <v>149</v>
      </c>
      <c r="C706" s="10">
        <v>0</v>
      </c>
      <c r="D706" s="10">
        <v>0</v>
      </c>
      <c r="E706" s="10">
        <v>0</v>
      </c>
    </row>
    <row r="707" spans="2:5" ht="15" customHeight="1">
      <c r="B707" s="12" t="s">
        <v>150</v>
      </c>
      <c r="C707" s="10">
        <v>0</v>
      </c>
      <c r="D707" s="10">
        <v>0</v>
      </c>
      <c r="E707" s="10">
        <v>0</v>
      </c>
    </row>
    <row r="708" spans="2:5" ht="15" customHeight="1">
      <c r="B708" s="12" t="s">
        <v>151</v>
      </c>
      <c r="C708" s="10">
        <v>0</v>
      </c>
      <c r="D708" s="10">
        <v>0</v>
      </c>
      <c r="E708" s="10">
        <v>0</v>
      </c>
    </row>
    <row r="709" spans="2:5" ht="15" customHeight="1">
      <c r="B709" s="12" t="s">
        <v>152</v>
      </c>
      <c r="C709" s="10">
        <v>0</v>
      </c>
      <c r="D709" s="10">
        <v>0</v>
      </c>
      <c r="E709" s="10">
        <v>0</v>
      </c>
    </row>
    <row r="710" spans="2:5" ht="15" customHeight="1">
      <c r="B710" s="12" t="s">
        <v>153</v>
      </c>
      <c r="C710" s="10">
        <v>0</v>
      </c>
      <c r="D710" s="10">
        <v>0</v>
      </c>
      <c r="E710" s="10">
        <v>0</v>
      </c>
    </row>
    <row r="711" spans="2:5" ht="15" customHeight="1">
      <c r="B711" s="12" t="s">
        <v>154</v>
      </c>
      <c r="C711" s="10">
        <v>0</v>
      </c>
      <c r="D711" s="10">
        <v>0</v>
      </c>
      <c r="E711" s="10">
        <v>0</v>
      </c>
    </row>
    <row r="712" spans="2:5" ht="15" customHeight="1">
      <c r="B712" s="12" t="s">
        <v>155</v>
      </c>
      <c r="C712" s="10">
        <v>0</v>
      </c>
      <c r="D712" s="10">
        <v>0</v>
      </c>
      <c r="E712" s="10">
        <v>0</v>
      </c>
    </row>
    <row r="713" spans="2:5" ht="15" customHeight="1">
      <c r="B713" s="12" t="s">
        <v>156</v>
      </c>
      <c r="C713" s="10">
        <v>0</v>
      </c>
      <c r="D713" s="10">
        <v>0</v>
      </c>
      <c r="E713" s="10">
        <v>0</v>
      </c>
    </row>
    <row r="714" spans="2:5" ht="15" customHeight="1">
      <c r="B714" s="12" t="s">
        <v>157</v>
      </c>
      <c r="C714" s="10">
        <v>0</v>
      </c>
      <c r="D714" s="10">
        <v>0</v>
      </c>
      <c r="E714" s="10">
        <v>0</v>
      </c>
    </row>
    <row r="715" spans="2:5" ht="15" customHeight="1">
      <c r="B715" s="12" t="s">
        <v>158</v>
      </c>
      <c r="C715" s="10">
        <v>0</v>
      </c>
      <c r="D715" s="10">
        <v>0</v>
      </c>
      <c r="E715" s="10">
        <v>0</v>
      </c>
    </row>
    <row r="716" spans="2:5" ht="15" customHeight="1">
      <c r="B716" s="12" t="s">
        <v>159</v>
      </c>
      <c r="C716" s="10">
        <v>0</v>
      </c>
      <c r="D716" s="10">
        <v>0</v>
      </c>
      <c r="E716" s="10">
        <v>0</v>
      </c>
    </row>
    <row r="717" spans="2:5" ht="15" customHeight="1">
      <c r="B717" s="12" t="s">
        <v>160</v>
      </c>
      <c r="C717" s="10">
        <v>0</v>
      </c>
      <c r="D717" s="10">
        <v>0</v>
      </c>
      <c r="E717" s="10">
        <v>0</v>
      </c>
    </row>
    <row r="718" spans="2:5" ht="15" customHeight="1">
      <c r="B718" s="12" t="s">
        <v>161</v>
      </c>
      <c r="C718" s="10">
        <v>0</v>
      </c>
      <c r="D718" s="10">
        <v>0</v>
      </c>
      <c r="E718" s="10">
        <v>0</v>
      </c>
    </row>
    <row r="719" spans="2:5" ht="15" customHeight="1">
      <c r="B719" s="12" t="s">
        <v>162</v>
      </c>
      <c r="C719" s="10">
        <v>0</v>
      </c>
      <c r="D719" s="10">
        <v>0</v>
      </c>
      <c r="E719" s="10">
        <v>0</v>
      </c>
    </row>
    <row r="720" spans="2:5" ht="15" customHeight="1">
      <c r="B720" s="12" t="s">
        <v>163</v>
      </c>
      <c r="C720" s="10">
        <v>0</v>
      </c>
      <c r="D720" s="10">
        <v>0</v>
      </c>
      <c r="E720" s="10">
        <v>0</v>
      </c>
    </row>
    <row r="721" spans="2:5" ht="15" customHeight="1">
      <c r="B721" s="12" t="s">
        <v>164</v>
      </c>
      <c r="C721" s="10">
        <v>0</v>
      </c>
      <c r="D721" s="10">
        <v>0</v>
      </c>
      <c r="E721" s="10">
        <v>0</v>
      </c>
    </row>
    <row r="722" spans="2:5" ht="15" customHeight="1">
      <c r="B722" s="12" t="s">
        <v>166</v>
      </c>
      <c r="C722" s="10">
        <v>0</v>
      </c>
      <c r="D722" s="10">
        <v>0</v>
      </c>
      <c r="E722" s="10">
        <v>0</v>
      </c>
    </row>
    <row r="723" spans="2:5" ht="15" customHeight="1">
      <c r="B723" s="12" t="s">
        <v>167</v>
      </c>
      <c r="C723" s="10">
        <v>0</v>
      </c>
      <c r="D723" s="10">
        <v>0</v>
      </c>
      <c r="E723" s="10">
        <v>0</v>
      </c>
    </row>
    <row r="724" spans="2:5" ht="15" customHeight="1">
      <c r="B724" s="12" t="s">
        <v>168</v>
      </c>
      <c r="C724" s="10">
        <v>0</v>
      </c>
      <c r="D724" s="10">
        <v>0</v>
      </c>
      <c r="E724" s="10">
        <v>0</v>
      </c>
    </row>
    <row r="725" spans="2:5" ht="15" customHeight="1">
      <c r="B725" s="12" t="s">
        <v>172</v>
      </c>
      <c r="C725" s="10">
        <v>0</v>
      </c>
      <c r="D725" s="10">
        <v>0</v>
      </c>
      <c r="E725" s="10">
        <v>0</v>
      </c>
    </row>
    <row r="726" spans="2:5" ht="15" customHeight="1">
      <c r="B726" s="12" t="s">
        <v>173</v>
      </c>
      <c r="C726" s="10">
        <v>0</v>
      </c>
      <c r="D726" s="10">
        <v>0</v>
      </c>
      <c r="E726" s="10">
        <v>0</v>
      </c>
    </row>
    <row r="727" spans="2:5" ht="15" customHeight="1">
      <c r="B727" s="12" t="s">
        <v>174</v>
      </c>
      <c r="C727" s="10">
        <v>0</v>
      </c>
      <c r="D727" s="10">
        <v>0</v>
      </c>
      <c r="E727" s="10">
        <v>0</v>
      </c>
    </row>
    <row r="728" spans="2:5" ht="15" customHeight="1">
      <c r="B728" s="12" t="s">
        <v>86</v>
      </c>
      <c r="C728" s="10">
        <v>0</v>
      </c>
      <c r="D728" s="10">
        <v>0</v>
      </c>
      <c r="E728" s="10">
        <v>0</v>
      </c>
    </row>
    <row r="729" spans="2:5" ht="15" customHeight="1">
      <c r="B729" s="12" t="s">
        <v>177</v>
      </c>
      <c r="C729" s="10">
        <v>0</v>
      </c>
      <c r="D729" s="10">
        <v>0</v>
      </c>
      <c r="E729" s="10">
        <v>0</v>
      </c>
    </row>
    <row r="730" spans="2:5" ht="15" customHeight="1">
      <c r="B730" s="12" t="s">
        <v>178</v>
      </c>
      <c r="C730" s="10">
        <v>0</v>
      </c>
      <c r="D730" s="10">
        <v>0</v>
      </c>
      <c r="E730" s="10">
        <v>0</v>
      </c>
    </row>
    <row r="731" spans="2:5" ht="15" customHeight="1">
      <c r="B731" s="12" t="s">
        <v>101</v>
      </c>
      <c r="C731" s="10">
        <v>0</v>
      </c>
      <c r="D731" s="10">
        <v>0</v>
      </c>
      <c r="E731" s="10">
        <v>0</v>
      </c>
    </row>
    <row r="732" spans="2:5" ht="15" customHeight="1">
      <c r="B732" s="12" t="s">
        <v>102</v>
      </c>
      <c r="C732" s="10">
        <v>0</v>
      </c>
      <c r="D732" s="10">
        <v>0</v>
      </c>
      <c r="E732" s="10">
        <v>0</v>
      </c>
    </row>
    <row r="733" spans="2:5" ht="15" customHeight="1">
      <c r="B733" s="12" t="s">
        <v>179</v>
      </c>
      <c r="C733" s="10">
        <v>0</v>
      </c>
      <c r="D733" s="10">
        <v>0</v>
      </c>
      <c r="E733" s="10">
        <v>0</v>
      </c>
    </row>
    <row r="734" spans="2:5" ht="15" customHeight="1">
      <c r="B734" s="12" t="s">
        <v>180</v>
      </c>
      <c r="C734" s="10">
        <v>0</v>
      </c>
      <c r="D734" s="10">
        <v>0</v>
      </c>
      <c r="E734" s="10">
        <v>0</v>
      </c>
    </row>
    <row r="735" spans="2:5" ht="15" customHeight="1">
      <c r="B735" s="12" t="s">
        <v>181</v>
      </c>
      <c r="C735" s="10">
        <v>0</v>
      </c>
      <c r="D735" s="10">
        <v>0</v>
      </c>
      <c r="E735" s="10">
        <v>0</v>
      </c>
    </row>
    <row r="736" spans="2:5" ht="15" customHeight="1">
      <c r="B736" s="12" t="s">
        <v>182</v>
      </c>
      <c r="C736" s="10">
        <v>0</v>
      </c>
      <c r="D736" s="10">
        <v>0</v>
      </c>
      <c r="E736" s="10">
        <v>0</v>
      </c>
    </row>
    <row r="737" spans="2:5" ht="15" customHeight="1">
      <c r="B737" s="12" t="s">
        <v>183</v>
      </c>
      <c r="C737" s="10">
        <v>0</v>
      </c>
      <c r="D737" s="10">
        <v>0</v>
      </c>
      <c r="E737" s="10">
        <v>0</v>
      </c>
    </row>
    <row r="738" spans="2:5" ht="15" customHeight="1">
      <c r="B738" s="12" t="s">
        <v>184</v>
      </c>
      <c r="C738" s="10">
        <v>0</v>
      </c>
      <c r="D738" s="10">
        <v>0</v>
      </c>
      <c r="E738" s="10">
        <v>0</v>
      </c>
    </row>
    <row r="739" spans="2:5" ht="15" customHeight="1">
      <c r="B739" s="12" t="s">
        <v>185</v>
      </c>
      <c r="C739" s="10">
        <v>0</v>
      </c>
      <c r="D739" s="10">
        <v>0</v>
      </c>
      <c r="E739" s="10">
        <v>0</v>
      </c>
    </row>
    <row r="740" spans="2:5" ht="15" customHeight="1">
      <c r="B740" s="12" t="s">
        <v>186</v>
      </c>
      <c r="C740" s="10">
        <v>0</v>
      </c>
      <c r="D740" s="10">
        <v>0</v>
      </c>
      <c r="E740" s="10">
        <v>0</v>
      </c>
    </row>
    <row r="741" spans="2:5" ht="15" customHeight="1">
      <c r="B741" s="12" t="s">
        <v>187</v>
      </c>
      <c r="C741" s="10">
        <v>0</v>
      </c>
      <c r="D741" s="10">
        <v>0</v>
      </c>
      <c r="E741" s="10">
        <v>0</v>
      </c>
    </row>
    <row r="742" spans="2:5" ht="15" customHeight="1">
      <c r="B742" s="12" t="s">
        <v>188</v>
      </c>
      <c r="C742" s="10">
        <v>0</v>
      </c>
      <c r="D742" s="10">
        <v>0</v>
      </c>
      <c r="E742" s="10">
        <v>0</v>
      </c>
    </row>
    <row r="743" spans="2:5" ht="15" customHeight="1">
      <c r="B743" s="12" t="s">
        <v>190</v>
      </c>
      <c r="C743" s="10">
        <v>0</v>
      </c>
      <c r="D743" s="10">
        <v>0</v>
      </c>
      <c r="E743" s="10">
        <v>0</v>
      </c>
    </row>
    <row r="744" spans="2:5" ht="15" customHeight="1">
      <c r="B744" s="12" t="s">
        <v>191</v>
      </c>
      <c r="C744" s="10">
        <v>0</v>
      </c>
      <c r="D744" s="10">
        <v>0</v>
      </c>
      <c r="E744" s="10">
        <v>0</v>
      </c>
    </row>
    <row r="745" spans="2:5" ht="15" customHeight="1">
      <c r="B745" s="12" t="s">
        <v>87</v>
      </c>
      <c r="C745" s="10">
        <v>0</v>
      </c>
      <c r="D745" s="10">
        <v>0</v>
      </c>
      <c r="E745" s="10">
        <v>0</v>
      </c>
    </row>
    <row r="746" spans="2:5" ht="15" customHeight="1">
      <c r="B746" s="12" t="s">
        <v>193</v>
      </c>
      <c r="C746" s="10">
        <v>0</v>
      </c>
      <c r="D746" s="10">
        <v>0</v>
      </c>
      <c r="E746" s="10">
        <v>0</v>
      </c>
    </row>
    <row r="747" spans="2:5" ht="15" customHeight="1">
      <c r="B747" s="12" t="s">
        <v>195</v>
      </c>
      <c r="C747" s="10">
        <v>0</v>
      </c>
      <c r="D747" s="10">
        <v>0</v>
      </c>
      <c r="E747" s="10">
        <v>0</v>
      </c>
    </row>
    <row r="748" spans="2:5" ht="15" customHeight="1">
      <c r="B748" s="12" t="s">
        <v>196</v>
      </c>
      <c r="C748" s="10">
        <v>0</v>
      </c>
      <c r="D748" s="10">
        <v>0</v>
      </c>
      <c r="E748" s="10">
        <v>0</v>
      </c>
    </row>
    <row r="749" spans="2:5" ht="15" customHeight="1">
      <c r="B749" s="12" t="s">
        <v>88</v>
      </c>
      <c r="C749" s="10">
        <v>0</v>
      </c>
      <c r="D749" s="10">
        <v>0</v>
      </c>
      <c r="E749" s="10">
        <v>0</v>
      </c>
    </row>
    <row r="750" spans="2:5" ht="15" customHeight="1">
      <c r="B750" s="12" t="s">
        <v>103</v>
      </c>
      <c r="C750" s="10">
        <v>0</v>
      </c>
      <c r="D750" s="10">
        <v>0</v>
      </c>
      <c r="E750" s="10">
        <v>0</v>
      </c>
    </row>
    <row r="751" spans="2:5" ht="15" customHeight="1">
      <c r="B751" s="12" t="s">
        <v>197</v>
      </c>
      <c r="C751" s="10">
        <v>0</v>
      </c>
      <c r="D751" s="10">
        <v>0</v>
      </c>
      <c r="E751" s="10">
        <v>0</v>
      </c>
    </row>
    <row r="752" spans="2:5" ht="15" customHeight="1">
      <c r="B752" s="12" t="s">
        <v>198</v>
      </c>
      <c r="C752" s="10">
        <v>0</v>
      </c>
      <c r="D752" s="10">
        <v>0</v>
      </c>
      <c r="E752" s="10">
        <v>0</v>
      </c>
    </row>
    <row r="753" spans="2:5" ht="15" customHeight="1">
      <c r="B753" s="12" t="s">
        <v>199</v>
      </c>
      <c r="C753" s="10">
        <v>0</v>
      </c>
      <c r="D753" s="10">
        <v>0</v>
      </c>
      <c r="E753" s="10">
        <v>0</v>
      </c>
    </row>
    <row r="754" spans="2:5" ht="15" customHeight="1">
      <c r="B754" s="12" t="s">
        <v>200</v>
      </c>
      <c r="C754" s="10">
        <v>0</v>
      </c>
      <c r="D754" s="10">
        <v>0</v>
      </c>
      <c r="E754" s="10">
        <v>0</v>
      </c>
    </row>
    <row r="755" spans="2:5" ht="15" customHeight="1">
      <c r="B755" s="12" t="s">
        <v>201</v>
      </c>
      <c r="C755" s="10">
        <v>0</v>
      </c>
      <c r="D755" s="10">
        <v>0</v>
      </c>
      <c r="E755" s="10">
        <v>0</v>
      </c>
    </row>
    <row r="756" spans="2:5" ht="15" customHeight="1">
      <c r="B756" s="12" t="s">
        <v>203</v>
      </c>
      <c r="C756" s="10">
        <v>0</v>
      </c>
      <c r="D756" s="10">
        <v>0</v>
      </c>
      <c r="E756" s="10">
        <v>0</v>
      </c>
    </row>
    <row r="757" spans="2:5" ht="15" customHeight="1">
      <c r="B757" s="12" t="s">
        <v>204</v>
      </c>
      <c r="C757" s="10">
        <v>0</v>
      </c>
      <c r="D757" s="10">
        <v>0</v>
      </c>
      <c r="E757" s="10">
        <v>0</v>
      </c>
    </row>
    <row r="758" spans="2:5" ht="15" customHeight="1">
      <c r="B758" s="12" t="s">
        <v>89</v>
      </c>
      <c r="C758" s="10">
        <v>0</v>
      </c>
      <c r="D758" s="10">
        <v>0</v>
      </c>
      <c r="E758" s="10">
        <v>0</v>
      </c>
    </row>
    <row r="759" spans="2:5" ht="15" customHeight="1">
      <c r="B759" s="12" t="s">
        <v>205</v>
      </c>
      <c r="C759" s="10">
        <v>0</v>
      </c>
      <c r="D759" s="10">
        <v>0</v>
      </c>
      <c r="E759" s="10">
        <v>0</v>
      </c>
    </row>
    <row r="760" spans="2:5" ht="15" customHeight="1">
      <c r="B760" s="12" t="s">
        <v>206</v>
      </c>
      <c r="C760" s="10">
        <v>0</v>
      </c>
      <c r="D760" s="10">
        <v>0</v>
      </c>
      <c r="E760" s="10">
        <v>0</v>
      </c>
    </row>
    <row r="761" spans="2:5" ht="15" customHeight="1">
      <c r="B761" s="12" t="s">
        <v>104</v>
      </c>
      <c r="C761" s="10">
        <v>0</v>
      </c>
      <c r="D761" s="10">
        <v>0</v>
      </c>
      <c r="E761" s="10">
        <v>0</v>
      </c>
    </row>
    <row r="762" spans="2:5" ht="15" customHeight="1">
      <c r="B762" s="12" t="s">
        <v>207</v>
      </c>
      <c r="C762" s="10">
        <v>0</v>
      </c>
      <c r="D762" s="10">
        <v>0</v>
      </c>
      <c r="E762" s="10">
        <v>0</v>
      </c>
    </row>
    <row r="763" spans="2:5" ht="15" customHeight="1">
      <c r="B763" s="12" t="s">
        <v>208</v>
      </c>
      <c r="C763" s="10">
        <v>0</v>
      </c>
      <c r="D763" s="10">
        <v>0</v>
      </c>
      <c r="E763" s="10">
        <v>0</v>
      </c>
    </row>
    <row r="764" spans="2:5" ht="15" customHeight="1">
      <c r="B764" s="12" t="s">
        <v>210</v>
      </c>
      <c r="C764" s="10">
        <v>0</v>
      </c>
      <c r="D764" s="10">
        <v>0</v>
      </c>
      <c r="E764" s="10">
        <v>0</v>
      </c>
    </row>
    <row r="765" spans="2:5" ht="15" customHeight="1">
      <c r="B765" s="12" t="s">
        <v>211</v>
      </c>
      <c r="C765" s="10">
        <v>0</v>
      </c>
      <c r="D765" s="10">
        <v>0</v>
      </c>
      <c r="E765" s="10">
        <v>0</v>
      </c>
    </row>
    <row r="766" spans="2:5" ht="15" customHeight="1">
      <c r="B766" s="12" t="s">
        <v>212</v>
      </c>
      <c r="C766" s="10">
        <v>0</v>
      </c>
      <c r="D766" s="10">
        <v>0</v>
      </c>
      <c r="E766" s="10">
        <v>0</v>
      </c>
    </row>
    <row r="767" spans="2:5" ht="15" customHeight="1">
      <c r="B767" s="12" t="s">
        <v>213</v>
      </c>
      <c r="C767" s="10">
        <v>0</v>
      </c>
      <c r="D767" s="10">
        <v>0</v>
      </c>
      <c r="E767" s="10">
        <v>0</v>
      </c>
    </row>
    <row r="768" spans="2:5" ht="15" customHeight="1">
      <c r="B768" s="12" t="s">
        <v>214</v>
      </c>
      <c r="C768" s="10">
        <v>0</v>
      </c>
      <c r="D768" s="10">
        <v>0</v>
      </c>
      <c r="E768" s="10">
        <v>0</v>
      </c>
    </row>
    <row r="769" spans="2:5" ht="15" customHeight="1">
      <c r="B769" s="12" t="s">
        <v>215</v>
      </c>
      <c r="C769" s="10">
        <v>0</v>
      </c>
      <c r="D769" s="10">
        <v>0</v>
      </c>
      <c r="E769" s="10">
        <v>0</v>
      </c>
    </row>
    <row r="770" spans="2:5" ht="15" customHeight="1">
      <c r="B770" s="12" t="s">
        <v>216</v>
      </c>
      <c r="C770" s="10">
        <v>0</v>
      </c>
      <c r="D770" s="10">
        <v>0</v>
      </c>
      <c r="E770" s="10">
        <v>0</v>
      </c>
    </row>
    <row r="771" spans="2:5" ht="15" customHeight="1">
      <c r="B771" s="12" t="s">
        <v>217</v>
      </c>
      <c r="C771" s="10">
        <v>0</v>
      </c>
      <c r="D771" s="10">
        <v>0</v>
      </c>
      <c r="E771" s="10">
        <v>0</v>
      </c>
    </row>
    <row r="772" spans="2:5" ht="15" customHeight="1">
      <c r="B772" s="12" t="s">
        <v>218</v>
      </c>
      <c r="C772" s="10">
        <v>0</v>
      </c>
      <c r="D772" s="10">
        <v>0</v>
      </c>
      <c r="E772" s="10">
        <v>0</v>
      </c>
    </row>
    <row r="773" spans="2:5" ht="15" customHeight="1">
      <c r="B773" s="12" t="s">
        <v>220</v>
      </c>
      <c r="C773" s="10">
        <v>0</v>
      </c>
      <c r="D773" s="10">
        <v>0</v>
      </c>
      <c r="E773" s="10">
        <v>0</v>
      </c>
    </row>
    <row r="774" spans="2:5" ht="15" customHeight="1">
      <c r="B774" s="12" t="s">
        <v>221</v>
      </c>
      <c r="C774" s="10">
        <v>0</v>
      </c>
      <c r="D774" s="10">
        <v>0</v>
      </c>
      <c r="E774" s="10">
        <v>0</v>
      </c>
    </row>
    <row r="775" spans="2:5" ht="15" customHeight="1">
      <c r="B775" s="12" t="s">
        <v>222</v>
      </c>
      <c r="C775" s="10">
        <v>0</v>
      </c>
      <c r="D775" s="10">
        <v>0</v>
      </c>
      <c r="E775" s="10">
        <v>0</v>
      </c>
    </row>
    <row r="776" spans="2:5" ht="15" customHeight="1">
      <c r="B776" s="12" t="s">
        <v>223</v>
      </c>
      <c r="C776" s="10">
        <v>0</v>
      </c>
      <c r="D776" s="10">
        <v>0</v>
      </c>
      <c r="E776" s="10">
        <v>0</v>
      </c>
    </row>
    <row r="777" spans="2:5" ht="15" customHeight="1">
      <c r="B777" s="12" t="s">
        <v>224</v>
      </c>
      <c r="C777" s="10">
        <v>0</v>
      </c>
      <c r="D777" s="10">
        <v>0</v>
      </c>
      <c r="E777" s="10">
        <v>0</v>
      </c>
    </row>
    <row r="778" spans="2:5" ht="15" customHeight="1">
      <c r="B778" s="12" t="s">
        <v>226</v>
      </c>
      <c r="C778" s="10">
        <v>0</v>
      </c>
      <c r="D778" s="10">
        <v>0</v>
      </c>
      <c r="E778" s="10">
        <v>0</v>
      </c>
    </row>
    <row r="779" spans="2:5" ht="15" customHeight="1">
      <c r="B779" s="12" t="s">
        <v>227</v>
      </c>
      <c r="C779" s="10">
        <v>0</v>
      </c>
      <c r="D779" s="10">
        <v>0</v>
      </c>
      <c r="E779" s="10">
        <v>0</v>
      </c>
    </row>
    <row r="780" spans="2:5" ht="15" customHeight="1">
      <c r="B780" s="12" t="s">
        <v>229</v>
      </c>
      <c r="C780" s="10">
        <v>0</v>
      </c>
      <c r="D780" s="10">
        <v>0</v>
      </c>
      <c r="E780" s="10">
        <v>0</v>
      </c>
    </row>
    <row r="781" spans="2:5" ht="15" customHeight="1">
      <c r="B781" s="12" t="s">
        <v>230</v>
      </c>
      <c r="C781" s="10">
        <v>0</v>
      </c>
      <c r="D781" s="10">
        <v>0</v>
      </c>
      <c r="E781" s="10">
        <v>0</v>
      </c>
    </row>
    <row r="782" spans="2:5" ht="15" customHeight="1">
      <c r="B782" s="12" t="s">
        <v>231</v>
      </c>
      <c r="C782" s="10">
        <v>0</v>
      </c>
      <c r="D782" s="10">
        <v>0</v>
      </c>
      <c r="E782" s="10">
        <v>0</v>
      </c>
    </row>
    <row r="783" spans="2:5" ht="15" customHeight="1">
      <c r="B783" s="12" t="s">
        <v>232</v>
      </c>
      <c r="C783" s="10">
        <v>0</v>
      </c>
      <c r="D783" s="10">
        <v>0</v>
      </c>
      <c r="E783" s="10">
        <v>0</v>
      </c>
    </row>
    <row r="784" spans="2:5" ht="15" customHeight="1">
      <c r="B784" s="12" t="s">
        <v>235</v>
      </c>
      <c r="C784" s="10">
        <v>0</v>
      </c>
      <c r="D784" s="10">
        <v>0</v>
      </c>
      <c r="E784" s="10">
        <v>0</v>
      </c>
    </row>
    <row r="785" spans="2:5" ht="15" customHeight="1">
      <c r="B785" s="12" t="s">
        <v>236</v>
      </c>
      <c r="C785" s="10">
        <v>0</v>
      </c>
      <c r="D785" s="10">
        <v>0</v>
      </c>
      <c r="E785" s="10">
        <v>0</v>
      </c>
    </row>
    <row r="786" spans="2:5" ht="15" customHeight="1">
      <c r="B786" s="12" t="s">
        <v>237</v>
      </c>
      <c r="C786" s="10">
        <v>0</v>
      </c>
      <c r="D786" s="10">
        <v>0</v>
      </c>
      <c r="E786" s="10">
        <v>0</v>
      </c>
    </row>
    <row r="787" spans="2:5" ht="15" customHeight="1">
      <c r="B787" s="12" t="s">
        <v>238</v>
      </c>
      <c r="C787" s="10">
        <v>0</v>
      </c>
      <c r="D787" s="10">
        <v>0</v>
      </c>
      <c r="E787" s="10">
        <v>0</v>
      </c>
    </row>
    <row r="788" spans="2:5" ht="15" customHeight="1">
      <c r="B788" s="12" t="s">
        <v>239</v>
      </c>
      <c r="C788" s="10">
        <v>0</v>
      </c>
      <c r="D788" s="10">
        <v>0</v>
      </c>
      <c r="E788" s="10">
        <v>0</v>
      </c>
    </row>
    <row r="789" spans="2:5" ht="15" customHeight="1">
      <c r="B789" s="12" t="s">
        <v>90</v>
      </c>
      <c r="C789" s="10">
        <v>0</v>
      </c>
      <c r="D789" s="10">
        <v>0</v>
      </c>
      <c r="E789" s="10">
        <v>0</v>
      </c>
    </row>
    <row r="790" spans="2:5" ht="15" customHeight="1">
      <c r="B790" s="12" t="s">
        <v>240</v>
      </c>
      <c r="C790" s="10">
        <v>0</v>
      </c>
      <c r="D790" s="10">
        <v>0</v>
      </c>
      <c r="E790" s="10">
        <v>0</v>
      </c>
    </row>
    <row r="791" spans="2:5" ht="15" customHeight="1">
      <c r="B791" s="12" t="s">
        <v>106</v>
      </c>
      <c r="C791" s="10">
        <v>0</v>
      </c>
      <c r="D791" s="10">
        <v>0</v>
      </c>
      <c r="E791" s="10">
        <v>0</v>
      </c>
    </row>
    <row r="792" spans="2:5" ht="15" customHeight="1">
      <c r="B792" s="12" t="s">
        <v>241</v>
      </c>
      <c r="C792" s="10">
        <v>0</v>
      </c>
      <c r="D792" s="10">
        <v>0</v>
      </c>
      <c r="E792" s="10">
        <v>0</v>
      </c>
    </row>
    <row r="793" spans="2:5" ht="15" customHeight="1">
      <c r="B793" s="12" t="s">
        <v>242</v>
      </c>
      <c r="C793" s="10">
        <v>0</v>
      </c>
      <c r="D793" s="10">
        <v>0</v>
      </c>
      <c r="E793" s="10">
        <v>0</v>
      </c>
    </row>
    <row r="794" spans="2:5" ht="15" customHeight="1">
      <c r="B794" s="12" t="s">
        <v>243</v>
      </c>
      <c r="C794" s="10">
        <v>0</v>
      </c>
      <c r="D794" s="10">
        <v>0</v>
      </c>
      <c r="E794" s="10">
        <v>0</v>
      </c>
    </row>
    <row r="795" spans="2:5" ht="15" customHeight="1">
      <c r="B795" s="12" t="s">
        <v>244</v>
      </c>
      <c r="C795" s="10">
        <v>0</v>
      </c>
      <c r="D795" s="10">
        <v>0</v>
      </c>
      <c r="E795" s="10">
        <v>0</v>
      </c>
    </row>
    <row r="796" spans="2:5" ht="15" customHeight="1">
      <c r="B796" s="12" t="s">
        <v>245</v>
      </c>
      <c r="C796" s="10">
        <v>0</v>
      </c>
      <c r="D796" s="10">
        <v>0</v>
      </c>
      <c r="E796" s="10">
        <v>0</v>
      </c>
    </row>
    <row r="797" spans="2:5" ht="15" customHeight="1">
      <c r="B797" s="12" t="s">
        <v>246</v>
      </c>
      <c r="C797" s="10">
        <v>0</v>
      </c>
      <c r="D797" s="10">
        <v>0</v>
      </c>
      <c r="E797" s="10">
        <v>0</v>
      </c>
    </row>
    <row r="798" spans="2:5" ht="15" customHeight="1">
      <c r="B798" s="12" t="s">
        <v>248</v>
      </c>
      <c r="C798" s="10">
        <v>0</v>
      </c>
      <c r="D798" s="10">
        <v>0</v>
      </c>
      <c r="E798" s="10">
        <v>0</v>
      </c>
    </row>
    <row r="799" spans="2:5" ht="15" customHeight="1">
      <c r="B799" s="12" t="s">
        <v>249</v>
      </c>
      <c r="C799" s="10">
        <v>0</v>
      </c>
      <c r="D799" s="10">
        <v>0</v>
      </c>
      <c r="E799" s="10">
        <v>0</v>
      </c>
    </row>
    <row r="800" spans="2:5" ht="15" customHeight="1">
      <c r="B800" s="12" t="s">
        <v>250</v>
      </c>
      <c r="C800" s="10">
        <v>0</v>
      </c>
      <c r="D800" s="10">
        <v>0</v>
      </c>
      <c r="E800" s="10">
        <v>0</v>
      </c>
    </row>
    <row r="801" spans="2:5" ht="15" customHeight="1">
      <c r="B801" s="12" t="s">
        <v>91</v>
      </c>
      <c r="C801" s="10">
        <v>0</v>
      </c>
      <c r="D801" s="10">
        <v>0</v>
      </c>
      <c r="E801" s="10">
        <v>0</v>
      </c>
    </row>
    <row r="802" spans="2:5" ht="15" customHeight="1">
      <c r="B802" s="12" t="s">
        <v>251</v>
      </c>
      <c r="C802" s="10">
        <v>0</v>
      </c>
      <c r="D802" s="10">
        <v>0</v>
      </c>
      <c r="E802" s="10">
        <v>0</v>
      </c>
    </row>
    <row r="803" spans="2:5" ht="15" customHeight="1">
      <c r="B803" s="12" t="s">
        <v>252</v>
      </c>
      <c r="C803" s="10">
        <v>0</v>
      </c>
      <c r="D803" s="10">
        <v>0</v>
      </c>
      <c r="E803" s="10">
        <v>0</v>
      </c>
    </row>
    <row r="804" spans="2:5" ht="15" customHeight="1">
      <c r="B804" s="12" t="s">
        <v>107</v>
      </c>
      <c r="C804" s="10">
        <v>0</v>
      </c>
      <c r="D804" s="10">
        <v>0</v>
      </c>
      <c r="E804" s="10">
        <v>0</v>
      </c>
    </row>
    <row r="805" spans="2:5" ht="15" customHeight="1">
      <c r="B805" s="12" t="s">
        <v>253</v>
      </c>
      <c r="C805" s="10">
        <v>0</v>
      </c>
      <c r="D805" s="10">
        <v>0</v>
      </c>
      <c r="E805" s="10">
        <v>0</v>
      </c>
    </row>
    <row r="806" spans="2:5" ht="15" customHeight="1">
      <c r="B806" s="12" t="s">
        <v>254</v>
      </c>
      <c r="C806" s="10">
        <v>0</v>
      </c>
      <c r="D806" s="10">
        <v>0</v>
      </c>
      <c r="E806" s="10">
        <v>0</v>
      </c>
    </row>
    <row r="807" spans="2:5" ht="15" customHeight="1">
      <c r="B807" s="12" t="s">
        <v>255</v>
      </c>
      <c r="C807" s="10">
        <v>0</v>
      </c>
      <c r="D807" s="10">
        <v>0</v>
      </c>
      <c r="E807" s="10">
        <v>0</v>
      </c>
    </row>
    <row r="808" spans="2:5" ht="15" customHeight="1">
      <c r="B808" s="12" t="s">
        <v>256</v>
      </c>
      <c r="C808" s="10">
        <v>0</v>
      </c>
      <c r="D808" s="10">
        <v>0</v>
      </c>
      <c r="E808" s="10">
        <v>0</v>
      </c>
    </row>
    <row r="809" spans="2:5" ht="15" customHeight="1">
      <c r="B809" s="12" t="s">
        <v>257</v>
      </c>
      <c r="C809" s="10">
        <v>0</v>
      </c>
      <c r="D809" s="10">
        <v>0</v>
      </c>
      <c r="E809" s="10">
        <v>0</v>
      </c>
    </row>
    <row r="810" spans="2:5" ht="15" customHeight="1">
      <c r="B810" s="12" t="s">
        <v>258</v>
      </c>
      <c r="C810" s="10">
        <v>0</v>
      </c>
      <c r="D810" s="10">
        <v>0</v>
      </c>
      <c r="E810" s="10">
        <v>0</v>
      </c>
    </row>
    <row r="811" spans="2:5" ht="15" customHeight="1">
      <c r="B811" s="12" t="s">
        <v>259</v>
      </c>
      <c r="C811" s="10">
        <v>0</v>
      </c>
      <c r="D811" s="10">
        <v>0</v>
      </c>
      <c r="E811" s="10">
        <v>0</v>
      </c>
    </row>
    <row r="812" spans="2:5" ht="15" customHeight="1">
      <c r="B812" s="12" t="s">
        <v>260</v>
      </c>
      <c r="C812" s="10">
        <v>0</v>
      </c>
      <c r="D812" s="10">
        <v>0</v>
      </c>
      <c r="E812" s="10">
        <v>0</v>
      </c>
    </row>
    <row r="813" spans="2:5" ht="15" customHeight="1">
      <c r="B813" s="12" t="s">
        <v>108</v>
      </c>
      <c r="C813" s="10">
        <v>0</v>
      </c>
      <c r="D813" s="10">
        <v>0</v>
      </c>
      <c r="E813" s="10">
        <v>0</v>
      </c>
    </row>
    <row r="814" spans="2:5" ht="15" customHeight="1">
      <c r="B814" s="12" t="s">
        <v>261</v>
      </c>
      <c r="C814" s="10">
        <v>0</v>
      </c>
      <c r="D814" s="10">
        <v>0</v>
      </c>
      <c r="E814" s="10">
        <v>0</v>
      </c>
    </row>
    <row r="815" spans="2:5" ht="15" customHeight="1">
      <c r="B815" s="12" t="s">
        <v>84</v>
      </c>
      <c r="C815" s="10">
        <v>0</v>
      </c>
      <c r="D815" s="10">
        <v>0</v>
      </c>
      <c r="E815" s="10">
        <v>0</v>
      </c>
    </row>
    <row r="816" spans="2:5" ht="15" customHeight="1">
      <c r="B816" s="12" t="s">
        <v>262</v>
      </c>
      <c r="C816" s="10">
        <v>0</v>
      </c>
      <c r="D816" s="10">
        <v>0</v>
      </c>
      <c r="E816" s="10">
        <v>0</v>
      </c>
    </row>
    <row r="817" spans="2:5" ht="15" customHeight="1">
      <c r="B817" s="12" t="s">
        <v>263</v>
      </c>
      <c r="C817" s="10">
        <v>0</v>
      </c>
      <c r="D817" s="10">
        <v>0</v>
      </c>
      <c r="E817" s="10">
        <v>0</v>
      </c>
    </row>
    <row r="818" spans="2:5" ht="15" customHeight="1">
      <c r="B818" s="12" t="s">
        <v>264</v>
      </c>
      <c r="C818" s="10">
        <v>0</v>
      </c>
      <c r="D818" s="10">
        <v>0</v>
      </c>
      <c r="E818" s="10">
        <v>0</v>
      </c>
    </row>
    <row r="819" spans="2:5" ht="15" customHeight="1">
      <c r="B819" s="12" t="s">
        <v>265</v>
      </c>
      <c r="C819" s="10">
        <v>0</v>
      </c>
      <c r="D819" s="10">
        <v>0</v>
      </c>
      <c r="E819" s="10">
        <v>0</v>
      </c>
    </row>
    <row r="820" spans="2:5" ht="15" customHeight="1">
      <c r="B820" s="12" t="s">
        <v>266</v>
      </c>
      <c r="C820" s="10">
        <v>0</v>
      </c>
      <c r="D820" s="10">
        <v>0</v>
      </c>
      <c r="E820" s="10">
        <v>0</v>
      </c>
    </row>
    <row r="821" spans="2:5" ht="15" customHeight="1">
      <c r="B821" s="12" t="s">
        <v>267</v>
      </c>
      <c r="C821" s="10">
        <v>0</v>
      </c>
      <c r="D821" s="10">
        <v>0</v>
      </c>
      <c r="E821" s="10">
        <v>0</v>
      </c>
    </row>
    <row r="822" spans="2:5" ht="15" customHeight="1">
      <c r="B822" s="12" t="s">
        <v>268</v>
      </c>
      <c r="C822" s="10">
        <v>0</v>
      </c>
      <c r="D822" s="10">
        <v>0</v>
      </c>
      <c r="E822" s="10">
        <v>0</v>
      </c>
    </row>
    <row r="823" spans="2:5" ht="15" customHeight="1">
      <c r="B823" s="12" t="s">
        <v>269</v>
      </c>
      <c r="C823" s="10">
        <v>0</v>
      </c>
      <c r="D823" s="10">
        <v>0</v>
      </c>
      <c r="E823" s="10">
        <v>0</v>
      </c>
    </row>
    <row r="824" spans="2:5" ht="15" customHeight="1">
      <c r="B824" s="12" t="s">
        <v>270</v>
      </c>
      <c r="C824" s="10">
        <v>0</v>
      </c>
      <c r="D824" s="10">
        <v>0</v>
      </c>
      <c r="E824" s="10">
        <v>0</v>
      </c>
    </row>
    <row r="825" spans="2:5" ht="15" customHeight="1">
      <c r="B825" s="12" t="s">
        <v>271</v>
      </c>
      <c r="C825" s="10">
        <v>0</v>
      </c>
      <c r="D825" s="10">
        <v>0</v>
      </c>
      <c r="E825" s="10">
        <v>0</v>
      </c>
    </row>
    <row r="826" spans="2:5" ht="15" customHeight="1">
      <c r="B826" s="12" t="s">
        <v>273</v>
      </c>
      <c r="C826" s="10">
        <v>0</v>
      </c>
      <c r="D826" s="10">
        <v>0</v>
      </c>
      <c r="E826" s="10">
        <v>0</v>
      </c>
    </row>
    <row r="827" spans="2:5" ht="15" customHeight="1">
      <c r="B827" s="12" t="s">
        <v>274</v>
      </c>
      <c r="C827" s="10">
        <v>0</v>
      </c>
      <c r="D827" s="10">
        <v>0</v>
      </c>
      <c r="E827" s="10">
        <v>0</v>
      </c>
    </row>
    <row r="828" spans="2:5" ht="15" customHeight="1">
      <c r="B828" s="12" t="s">
        <v>275</v>
      </c>
      <c r="C828" s="10">
        <v>0</v>
      </c>
      <c r="D828" s="10">
        <v>0</v>
      </c>
      <c r="E828" s="10">
        <v>0</v>
      </c>
    </row>
    <row r="829" spans="2:5" ht="15" customHeight="1">
      <c r="B829" s="12" t="s">
        <v>109</v>
      </c>
      <c r="C829" s="10">
        <v>0</v>
      </c>
      <c r="D829" s="10">
        <v>0</v>
      </c>
      <c r="E829" s="10">
        <v>0</v>
      </c>
    </row>
    <row r="830" spans="2:5" ht="15" customHeight="1">
      <c r="B830" s="12" t="s">
        <v>276</v>
      </c>
      <c r="C830" s="10">
        <v>0</v>
      </c>
      <c r="D830" s="10">
        <v>0</v>
      </c>
      <c r="E830" s="10">
        <v>0</v>
      </c>
    </row>
    <row r="831" spans="2:5" ht="15" customHeight="1">
      <c r="B831" s="12" t="s">
        <v>277</v>
      </c>
      <c r="C831" s="10">
        <v>0</v>
      </c>
      <c r="D831" s="10">
        <v>0</v>
      </c>
      <c r="E831" s="10">
        <v>0</v>
      </c>
    </row>
    <row r="832" spans="2:5" ht="15" customHeight="1">
      <c r="B832" s="12" t="s">
        <v>92</v>
      </c>
      <c r="C832" s="10">
        <v>0</v>
      </c>
      <c r="D832" s="10">
        <v>0</v>
      </c>
      <c r="E832" s="10">
        <v>0</v>
      </c>
    </row>
    <row r="833" spans="2:5" ht="15" customHeight="1">
      <c r="B833" s="12" t="s">
        <v>93</v>
      </c>
      <c r="C833" s="10">
        <v>0</v>
      </c>
      <c r="D833" s="10">
        <v>0</v>
      </c>
      <c r="E833" s="10">
        <v>0</v>
      </c>
    </row>
    <row r="834" spans="2:5" ht="15" customHeight="1">
      <c r="B834" s="12" t="s">
        <v>278</v>
      </c>
      <c r="C834" s="10">
        <v>0</v>
      </c>
      <c r="D834" s="10">
        <v>0</v>
      </c>
      <c r="E834" s="10">
        <v>0</v>
      </c>
    </row>
    <row r="835" spans="2:5" ht="15" customHeight="1">
      <c r="B835" s="12" t="s">
        <v>279</v>
      </c>
      <c r="C835" s="10">
        <v>0</v>
      </c>
      <c r="D835" s="10">
        <v>0</v>
      </c>
      <c r="E835" s="10">
        <v>0</v>
      </c>
    </row>
    <row r="836" spans="2:5" ht="15" customHeight="1">
      <c r="B836" s="12" t="s">
        <v>280</v>
      </c>
      <c r="C836" s="10">
        <v>0</v>
      </c>
      <c r="D836" s="10">
        <v>0</v>
      </c>
      <c r="E836" s="10">
        <v>0</v>
      </c>
    </row>
    <row r="837" spans="2:5" ht="15" customHeight="1">
      <c r="B837" s="12" t="s">
        <v>281</v>
      </c>
      <c r="C837" s="10">
        <v>0</v>
      </c>
      <c r="D837" s="10">
        <v>0</v>
      </c>
      <c r="E837" s="10">
        <v>0</v>
      </c>
    </row>
    <row r="838" spans="2:5" ht="15" customHeight="1">
      <c r="B838" s="12" t="s">
        <v>282</v>
      </c>
      <c r="C838" s="10">
        <v>0</v>
      </c>
      <c r="D838" s="10">
        <v>0</v>
      </c>
      <c r="E838" s="10">
        <v>0</v>
      </c>
    </row>
    <row r="839" spans="2:5" ht="15" customHeight="1">
      <c r="B839" s="12" t="s">
        <v>110</v>
      </c>
      <c r="C839" s="10">
        <v>0</v>
      </c>
      <c r="D839" s="10">
        <v>0</v>
      </c>
      <c r="E839" s="10">
        <v>0</v>
      </c>
    </row>
    <row r="840" spans="2:5" ht="15" customHeight="1">
      <c r="B840" s="12" t="s">
        <v>79</v>
      </c>
      <c r="C840" s="10">
        <v>0</v>
      </c>
      <c r="D840" s="10">
        <v>0</v>
      </c>
      <c r="E840" s="10">
        <v>0</v>
      </c>
    </row>
    <row r="841" spans="2:5" ht="15" customHeight="1">
      <c r="B841" s="12" t="s">
        <v>283</v>
      </c>
      <c r="C841" s="10">
        <v>0</v>
      </c>
      <c r="D841" s="10">
        <v>0</v>
      </c>
      <c r="E841" s="10">
        <v>0</v>
      </c>
    </row>
    <row r="842" spans="2:5" ht="15" customHeight="1">
      <c r="B842" s="12" t="s">
        <v>284</v>
      </c>
      <c r="C842" s="10">
        <v>0</v>
      </c>
      <c r="D842" s="10">
        <v>0</v>
      </c>
      <c r="E842" s="10">
        <v>0</v>
      </c>
    </row>
    <row r="843" spans="2:5" ht="15" customHeight="1">
      <c r="B843" s="12" t="s">
        <v>285</v>
      </c>
      <c r="C843" s="10">
        <v>0</v>
      </c>
      <c r="D843" s="10">
        <v>0</v>
      </c>
      <c r="E843" s="10">
        <v>0</v>
      </c>
    </row>
    <row r="844" spans="2:5" ht="15" customHeight="1">
      <c r="B844" s="12" t="s">
        <v>286</v>
      </c>
      <c r="C844" s="10">
        <v>0</v>
      </c>
      <c r="D844" s="10">
        <v>0</v>
      </c>
      <c r="E844" s="10">
        <v>0</v>
      </c>
    </row>
    <row r="845" spans="2:5" ht="15" customHeight="1">
      <c r="B845" s="12" t="s">
        <v>287</v>
      </c>
      <c r="C845" s="10">
        <v>0</v>
      </c>
      <c r="D845" s="10">
        <v>0</v>
      </c>
      <c r="E845" s="10">
        <v>0</v>
      </c>
    </row>
    <row r="846" spans="2:5" ht="15" customHeight="1">
      <c r="B846" s="12" t="s">
        <v>288</v>
      </c>
      <c r="C846" s="10">
        <v>0</v>
      </c>
      <c r="D846" s="10">
        <v>0</v>
      </c>
      <c r="E846" s="10">
        <v>0</v>
      </c>
    </row>
    <row r="847" spans="2:5" ht="15" customHeight="1">
      <c r="B847" s="12" t="s">
        <v>111</v>
      </c>
      <c r="C847" s="10">
        <v>0</v>
      </c>
      <c r="D847" s="10">
        <v>0</v>
      </c>
      <c r="E847" s="10">
        <v>0</v>
      </c>
    </row>
    <row r="848" spans="2:5" ht="15" customHeight="1">
      <c r="B848" s="12" t="s">
        <v>289</v>
      </c>
      <c r="C848" s="10">
        <v>0</v>
      </c>
      <c r="D848" s="10">
        <v>0</v>
      </c>
      <c r="E848" s="10">
        <v>0</v>
      </c>
    </row>
    <row r="849" spans="2:5" ht="15" customHeight="1">
      <c r="B849" s="12" t="s">
        <v>290</v>
      </c>
      <c r="C849" s="10">
        <v>0</v>
      </c>
      <c r="D849" s="10">
        <v>0</v>
      </c>
      <c r="E849" s="10">
        <v>0</v>
      </c>
    </row>
    <row r="850" spans="2:5" ht="15" customHeight="1">
      <c r="B850" s="12" t="s">
        <v>291</v>
      </c>
      <c r="C850" s="10">
        <v>0</v>
      </c>
      <c r="D850" s="10">
        <v>0</v>
      </c>
      <c r="E850" s="10">
        <v>0</v>
      </c>
    </row>
    <row r="851" spans="2:5" ht="15" customHeight="1">
      <c r="B851" s="12" t="s">
        <v>292</v>
      </c>
      <c r="C851" s="10">
        <v>0</v>
      </c>
      <c r="D851" s="10">
        <v>0</v>
      </c>
      <c r="E851" s="10">
        <v>0</v>
      </c>
    </row>
    <row r="852" spans="2:5" ht="15" customHeight="1">
      <c r="B852" s="12" t="s">
        <v>293</v>
      </c>
      <c r="C852" s="10">
        <v>0</v>
      </c>
      <c r="D852" s="10">
        <v>0</v>
      </c>
      <c r="E852" s="10">
        <v>0</v>
      </c>
    </row>
    <row r="853" spans="2:5" ht="15" customHeight="1">
      <c r="B853" s="12" t="s">
        <v>294</v>
      </c>
      <c r="C853" s="10">
        <v>0</v>
      </c>
      <c r="D853" s="10">
        <v>0</v>
      </c>
      <c r="E853" s="10">
        <v>0</v>
      </c>
    </row>
    <row r="854" spans="2:5" ht="15" customHeight="1">
      <c r="B854" s="12" t="s">
        <v>295</v>
      </c>
      <c r="C854" s="10">
        <v>0</v>
      </c>
      <c r="D854" s="10">
        <v>0</v>
      </c>
      <c r="E854" s="10">
        <v>0</v>
      </c>
    </row>
    <row r="855" spans="2:5" ht="15" customHeight="1">
      <c r="B855" s="12" t="s">
        <v>112</v>
      </c>
      <c r="C855" s="10">
        <v>0</v>
      </c>
      <c r="D855" s="10">
        <v>0</v>
      </c>
      <c r="E855" s="10">
        <v>0</v>
      </c>
    </row>
    <row r="856" spans="2:5" ht="15" customHeight="1">
      <c r="B856" s="12" t="s">
        <v>83</v>
      </c>
      <c r="C856" s="10">
        <v>0</v>
      </c>
      <c r="D856" s="10">
        <v>0</v>
      </c>
      <c r="E856" s="10">
        <v>0</v>
      </c>
    </row>
    <row r="857" spans="2:5" ht="15" customHeight="1">
      <c r="B857" s="12" t="s">
        <v>297</v>
      </c>
      <c r="C857" s="10">
        <v>0</v>
      </c>
      <c r="D857" s="10">
        <v>0</v>
      </c>
      <c r="E857" s="10">
        <v>0</v>
      </c>
    </row>
    <row r="858" spans="2:5" ht="15" customHeight="1">
      <c r="B858" s="12" t="s">
        <v>80</v>
      </c>
      <c r="C858" s="10">
        <v>0</v>
      </c>
      <c r="D858" s="10">
        <v>0</v>
      </c>
      <c r="E858" s="10">
        <v>0</v>
      </c>
    </row>
    <row r="859" spans="2:5" ht="15" customHeight="1">
      <c r="B859" s="12" t="s">
        <v>298</v>
      </c>
      <c r="C859" s="10">
        <v>0</v>
      </c>
      <c r="D859" s="10">
        <v>0</v>
      </c>
      <c r="E859" s="10">
        <v>0</v>
      </c>
    </row>
    <row r="860" spans="2:5" ht="15" customHeight="1">
      <c r="B860" s="12" t="s">
        <v>299</v>
      </c>
      <c r="C860" s="10">
        <v>0</v>
      </c>
      <c r="D860" s="10">
        <v>0</v>
      </c>
      <c r="E860" s="10">
        <v>0</v>
      </c>
    </row>
    <row r="861" spans="2:5" ht="15" customHeight="1">
      <c r="B861" s="12" t="s">
        <v>300</v>
      </c>
      <c r="C861" s="10">
        <v>0</v>
      </c>
      <c r="D861" s="10">
        <v>0</v>
      </c>
      <c r="E861" s="10">
        <v>0</v>
      </c>
    </row>
    <row r="862" spans="2:5" ht="15" customHeight="1">
      <c r="B862" s="12" t="s">
        <v>301</v>
      </c>
      <c r="C862" s="10">
        <v>0</v>
      </c>
      <c r="D862" s="10">
        <v>0</v>
      </c>
      <c r="E862" s="10">
        <v>0</v>
      </c>
    </row>
    <row r="863" spans="2:5" ht="15" customHeight="1">
      <c r="B863" s="12" t="s">
        <v>302</v>
      </c>
      <c r="C863" s="10">
        <v>0</v>
      </c>
      <c r="D863" s="10">
        <v>0</v>
      </c>
      <c r="E863" s="10">
        <v>0</v>
      </c>
    </row>
    <row r="864" spans="2:5" ht="15" customHeight="1">
      <c r="B864" s="12" t="s">
        <v>303</v>
      </c>
      <c r="C864" s="10">
        <v>0</v>
      </c>
      <c r="D864" s="10">
        <v>0</v>
      </c>
      <c r="E864" s="10">
        <v>0</v>
      </c>
    </row>
    <row r="865" spans="2:5" ht="15" customHeight="1">
      <c r="B865" s="12" t="s">
        <v>304</v>
      </c>
      <c r="C865" s="10">
        <v>0</v>
      </c>
      <c r="D865" s="10">
        <v>0</v>
      </c>
      <c r="E865" s="10">
        <v>0</v>
      </c>
    </row>
    <row r="866" spans="2:5" ht="15" customHeight="1">
      <c r="B866" s="12" t="s">
        <v>305</v>
      </c>
      <c r="C866" s="10">
        <v>0</v>
      </c>
      <c r="D866" s="10">
        <v>0</v>
      </c>
      <c r="E866" s="10">
        <v>0</v>
      </c>
    </row>
    <row r="867" spans="2:5" ht="15" customHeight="1">
      <c r="B867" s="12" t="s">
        <v>306</v>
      </c>
      <c r="C867" s="10">
        <v>0</v>
      </c>
      <c r="D867" s="10">
        <v>0</v>
      </c>
      <c r="E867" s="10">
        <v>0</v>
      </c>
    </row>
    <row r="868" spans="2:5" ht="15" customHeight="1">
      <c r="B868" s="12" t="s">
        <v>307</v>
      </c>
      <c r="C868" s="10">
        <v>0</v>
      </c>
      <c r="D868" s="10">
        <v>0</v>
      </c>
      <c r="E868" s="10">
        <v>0</v>
      </c>
    </row>
    <row r="869" spans="2:5" ht="15" customHeight="1">
      <c r="B869" s="12" t="s">
        <v>308</v>
      </c>
      <c r="C869" s="10">
        <v>0</v>
      </c>
      <c r="D869" s="10">
        <v>0</v>
      </c>
      <c r="E869" s="10">
        <v>0</v>
      </c>
    </row>
    <row r="870" spans="2:5" ht="15" customHeight="1">
      <c r="B870" s="12" t="s">
        <v>113</v>
      </c>
      <c r="C870" s="10">
        <v>0</v>
      </c>
      <c r="D870" s="10">
        <v>0</v>
      </c>
      <c r="E870" s="10">
        <v>0</v>
      </c>
    </row>
    <row r="871" spans="2:5" ht="15" customHeight="1">
      <c r="B871" s="12" t="s">
        <v>309</v>
      </c>
      <c r="C871" s="10">
        <v>0</v>
      </c>
      <c r="D871" s="10">
        <v>0</v>
      </c>
      <c r="E871" s="10">
        <v>0</v>
      </c>
    </row>
    <row r="872" spans="2:5" ht="15" customHeight="1">
      <c r="B872" s="12" t="s">
        <v>310</v>
      </c>
      <c r="C872" s="10">
        <v>0</v>
      </c>
      <c r="D872" s="10">
        <v>0</v>
      </c>
      <c r="E872" s="10">
        <v>0</v>
      </c>
    </row>
    <row r="873" spans="2:5" ht="15" customHeight="1">
      <c r="B873" s="12" t="s">
        <v>311</v>
      </c>
      <c r="C873" s="10">
        <v>0</v>
      </c>
      <c r="D873" s="10">
        <v>0</v>
      </c>
      <c r="E873" s="10">
        <v>0</v>
      </c>
    </row>
    <row r="874" spans="2:5" ht="15" customHeight="1">
      <c r="B874" s="12" t="s">
        <v>312</v>
      </c>
      <c r="C874" s="10">
        <v>0</v>
      </c>
      <c r="D874" s="10">
        <v>0</v>
      </c>
      <c r="E874" s="10">
        <v>0</v>
      </c>
    </row>
    <row r="875" spans="2:5" ht="15" customHeight="1">
      <c r="B875" s="12" t="s">
        <v>313</v>
      </c>
      <c r="C875" s="10">
        <v>0</v>
      </c>
      <c r="D875" s="10">
        <v>0</v>
      </c>
      <c r="E875" s="10">
        <v>0</v>
      </c>
    </row>
    <row r="876" spans="2:5" ht="15" customHeight="1">
      <c r="B876" s="12" t="s">
        <v>314</v>
      </c>
      <c r="C876" s="10">
        <v>0</v>
      </c>
      <c r="D876" s="10">
        <v>0</v>
      </c>
      <c r="E876" s="10">
        <v>0</v>
      </c>
    </row>
    <row r="877" spans="2:5" ht="15" customHeight="1">
      <c r="B877" s="12" t="s">
        <v>315</v>
      </c>
      <c r="C877" s="10">
        <v>0</v>
      </c>
      <c r="D877" s="10">
        <v>0</v>
      </c>
      <c r="E877" s="10">
        <v>0</v>
      </c>
    </row>
    <row r="878" spans="2:5" ht="15" customHeight="1">
      <c r="B878" s="12" t="s">
        <v>316</v>
      </c>
      <c r="C878" s="10">
        <v>0</v>
      </c>
      <c r="D878" s="10">
        <v>0</v>
      </c>
      <c r="E878" s="10">
        <v>0</v>
      </c>
    </row>
    <row r="879" spans="2:5" ht="15" customHeight="1">
      <c r="B879" s="12" t="s">
        <v>114</v>
      </c>
      <c r="C879" s="10">
        <v>0</v>
      </c>
      <c r="D879" s="10">
        <v>0</v>
      </c>
      <c r="E879" s="10">
        <v>0</v>
      </c>
    </row>
    <row r="880" spans="2:5" ht="15" customHeight="1">
      <c r="B880" s="12" t="s">
        <v>317</v>
      </c>
      <c r="C880" s="10">
        <v>0</v>
      </c>
      <c r="D880" s="10">
        <v>0</v>
      </c>
      <c r="E880" s="10">
        <v>0</v>
      </c>
    </row>
    <row r="881" spans="2:5" ht="15" customHeight="1">
      <c r="B881" s="12" t="s">
        <v>318</v>
      </c>
      <c r="C881" s="10">
        <v>0</v>
      </c>
      <c r="D881" s="10">
        <v>0</v>
      </c>
      <c r="E881" s="10">
        <v>0</v>
      </c>
    </row>
    <row r="882" spans="2:5" ht="15" customHeight="1">
      <c r="B882" s="12" t="s">
        <v>319</v>
      </c>
      <c r="C882" s="10">
        <v>0</v>
      </c>
      <c r="D882" s="10">
        <v>0</v>
      </c>
      <c r="E882" s="10">
        <v>0</v>
      </c>
    </row>
    <row r="883" spans="2:5" ht="15" customHeight="1">
      <c r="B883" s="12" t="s">
        <v>320</v>
      </c>
      <c r="C883" s="10">
        <v>0</v>
      </c>
      <c r="D883" s="10">
        <v>0</v>
      </c>
      <c r="E883" s="10">
        <v>0</v>
      </c>
    </row>
    <row r="884" spans="2:5" ht="15" customHeight="1">
      <c r="B884" s="12" t="s">
        <v>321</v>
      </c>
      <c r="C884" s="10">
        <v>0</v>
      </c>
      <c r="D884" s="10">
        <v>0</v>
      </c>
      <c r="E884" s="10">
        <v>0</v>
      </c>
    </row>
    <row r="885" spans="2:5" ht="15" customHeight="1">
      <c r="B885" s="12" t="s">
        <v>94</v>
      </c>
      <c r="C885" s="10">
        <v>0</v>
      </c>
      <c r="D885" s="10">
        <v>0</v>
      </c>
      <c r="E885" s="10">
        <v>0</v>
      </c>
    </row>
    <row r="886" spans="2:5" ht="15" customHeight="1">
      <c r="B886" s="12" t="s">
        <v>322</v>
      </c>
      <c r="C886" s="10">
        <v>0</v>
      </c>
      <c r="D886" s="10">
        <v>0</v>
      </c>
      <c r="E886" s="10">
        <v>0</v>
      </c>
    </row>
    <row r="887" spans="2:5" ht="15" customHeight="1">
      <c r="B887" s="12" t="s">
        <v>77</v>
      </c>
      <c r="C887" s="10">
        <v>0</v>
      </c>
      <c r="D887" s="10">
        <v>0</v>
      </c>
      <c r="E887" s="10">
        <v>0</v>
      </c>
    </row>
    <row r="888" spans="2:5" ht="15" customHeight="1">
      <c r="B888" s="12" t="s">
        <v>115</v>
      </c>
      <c r="C888" s="10">
        <v>0</v>
      </c>
      <c r="D888" s="10">
        <v>0</v>
      </c>
      <c r="E888" s="10">
        <v>0</v>
      </c>
    </row>
    <row r="889" spans="2:5" ht="15" customHeight="1">
      <c r="B889" s="12" t="s">
        <v>72</v>
      </c>
      <c r="C889" s="10">
        <v>0</v>
      </c>
      <c r="D889" s="10">
        <v>0</v>
      </c>
      <c r="E889" s="10">
        <v>0</v>
      </c>
    </row>
    <row r="890" spans="2:5" ht="15" customHeight="1">
      <c r="B890" s="12" t="s">
        <v>323</v>
      </c>
      <c r="C890" s="10">
        <v>0</v>
      </c>
      <c r="D890" s="10">
        <v>0</v>
      </c>
      <c r="E890" s="10">
        <v>0</v>
      </c>
    </row>
    <row r="891" spans="2:5" ht="15" customHeight="1">
      <c r="B891" s="12" t="s">
        <v>324</v>
      </c>
      <c r="C891" s="10">
        <v>0</v>
      </c>
      <c r="D891" s="10">
        <v>0</v>
      </c>
      <c r="E891" s="10">
        <v>0</v>
      </c>
    </row>
    <row r="892" spans="2:5" ht="15" customHeight="1">
      <c r="B892" s="12" t="s">
        <v>325</v>
      </c>
      <c r="C892" s="10">
        <v>0</v>
      </c>
      <c r="D892" s="10">
        <v>0</v>
      </c>
      <c r="E892" s="10">
        <v>0</v>
      </c>
    </row>
    <row r="893" spans="2:5" ht="15" customHeight="1">
      <c r="B893" s="12" t="s">
        <v>326</v>
      </c>
      <c r="C893" s="10">
        <v>0</v>
      </c>
      <c r="D893" s="10">
        <v>0</v>
      </c>
      <c r="E893" s="10">
        <v>0</v>
      </c>
    </row>
    <row r="894" spans="2:5" ht="15" customHeight="1">
      <c r="B894" s="12" t="s">
        <v>327</v>
      </c>
      <c r="C894" s="10">
        <v>0</v>
      </c>
      <c r="D894" s="10">
        <v>0</v>
      </c>
      <c r="E894" s="10">
        <v>0</v>
      </c>
    </row>
    <row r="895" spans="2:5" ht="15" customHeight="1">
      <c r="B895" s="12" t="s">
        <v>328</v>
      </c>
      <c r="C895" s="10">
        <v>0</v>
      </c>
      <c r="D895" s="10">
        <v>0</v>
      </c>
      <c r="E895" s="10">
        <v>0</v>
      </c>
    </row>
    <row r="896" spans="2:5" ht="15" customHeight="1">
      <c r="B896" s="12" t="s">
        <v>116</v>
      </c>
      <c r="C896" s="10">
        <v>0</v>
      </c>
      <c r="D896" s="10">
        <v>0</v>
      </c>
      <c r="E896" s="10">
        <v>0</v>
      </c>
    </row>
    <row r="897" spans="2:5" ht="15" customHeight="1">
      <c r="B897" s="12" t="s">
        <v>95</v>
      </c>
      <c r="C897" s="10">
        <v>0</v>
      </c>
      <c r="D897" s="10">
        <v>0</v>
      </c>
      <c r="E897" s="10">
        <v>0</v>
      </c>
    </row>
    <row r="898" spans="2:5" ht="15" customHeight="1">
      <c r="B898" s="12" t="s">
        <v>117</v>
      </c>
      <c r="C898" s="10">
        <v>0</v>
      </c>
      <c r="D898" s="10">
        <v>0</v>
      </c>
      <c r="E898" s="10">
        <v>0</v>
      </c>
    </row>
    <row r="899" spans="2:5" ht="15" customHeight="1">
      <c r="B899" s="12" t="s">
        <v>330</v>
      </c>
      <c r="C899" s="10">
        <v>0</v>
      </c>
      <c r="D899" s="10">
        <v>0</v>
      </c>
      <c r="E899" s="10">
        <v>0</v>
      </c>
    </row>
    <row r="900" spans="2:5" ht="15" customHeight="1">
      <c r="B900" s="12" t="s">
        <v>331</v>
      </c>
      <c r="C900" s="10">
        <v>0</v>
      </c>
      <c r="D900" s="10">
        <v>0</v>
      </c>
      <c r="E900" s="10">
        <v>0</v>
      </c>
    </row>
    <row r="901" spans="2:5" ht="15" customHeight="1">
      <c r="B901" s="12" t="s">
        <v>332</v>
      </c>
      <c r="C901" s="10">
        <v>0</v>
      </c>
      <c r="D901" s="10">
        <v>0</v>
      </c>
      <c r="E901" s="10">
        <v>0</v>
      </c>
    </row>
    <row r="902" spans="2:5" ht="15" customHeight="1">
      <c r="B902" s="12" t="s">
        <v>333</v>
      </c>
      <c r="C902" s="10">
        <v>0</v>
      </c>
      <c r="D902" s="10">
        <v>0</v>
      </c>
      <c r="E902" s="10">
        <v>0</v>
      </c>
    </row>
    <row r="903" spans="2:5" ht="15" customHeight="1">
      <c r="B903" s="12" t="s">
        <v>118</v>
      </c>
      <c r="C903" s="10">
        <v>0</v>
      </c>
      <c r="D903" s="10">
        <v>0</v>
      </c>
      <c r="E903" s="10">
        <v>0</v>
      </c>
    </row>
    <row r="904" spans="2:5" ht="15" customHeight="1">
      <c r="B904" s="12" t="s">
        <v>334</v>
      </c>
      <c r="C904" s="10">
        <v>0</v>
      </c>
      <c r="D904" s="10">
        <v>0</v>
      </c>
      <c r="E904" s="10">
        <v>0</v>
      </c>
    </row>
    <row r="905" spans="2:5" ht="15" customHeight="1">
      <c r="B905" s="12" t="s">
        <v>119</v>
      </c>
      <c r="C905" s="10">
        <v>0</v>
      </c>
      <c r="D905" s="10">
        <v>0</v>
      </c>
      <c r="E905" s="10">
        <v>0</v>
      </c>
    </row>
  </sheetData>
  <hyperlinks>
    <hyperlink ref="C1" location="Содержание!B4" display="К содержанию"/>
  </hyperlink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91c8c69-4086-425b-8d2e-45728e61c201}">
  <dimension ref="B1:L15"/>
  <sheetViews>
    <sheetView showGridLines="0" workbookViewId="0" topLeftCell="A1"/>
  </sheetViews>
  <sheetFormatPr defaultRowHeight="12.75"/>
  <cols>
    <col min="1" max="1" width="4.714285714285714" customWidth="1"/>
    <col min="2" max="2" width="22.714285714285715" customWidth="1"/>
    <col min="3" max="12" width="17.857142857142858" customWidth="1"/>
  </cols>
  <sheetData>
    <row r="1" spans="2:3" s="1" customFormat="1" ht="30" customHeight="1">
      <c r="B1" s="1" t="s">
        <v>0</v>
      </c>
      <c r="C1" s="4" t="s">
        <v>2</v>
      </c>
    </row>
    <row r="4" spans="2:2" ht="12.75">
      <c r="B4" s="2" t="s">
        <v>27</v>
      </c>
    </row>
    <row r="6" spans="2:12" ht="30" customHeight="1">
      <c r="B6" s="6" t="s">
        <v>710</v>
      </c>
      <c r="C6" s="6" t="s">
        <v>711</v>
      </c>
      <c r="D6" s="6" t="s">
        <v>712</v>
      </c>
      <c r="E6" s="6" t="s">
        <v>713</v>
      </c>
      <c r="F6" s="6" t="s">
        <v>714</v>
      </c>
      <c r="G6" s="6" t="s">
        <v>715</v>
      </c>
      <c r="H6" s="6" t="s">
        <v>716</v>
      </c>
      <c r="I6" s="6" t="s">
        <v>717</v>
      </c>
      <c r="J6" s="6" t="s">
        <v>718</v>
      </c>
      <c r="K6" s="6" t="s">
        <v>719</v>
      </c>
      <c r="L6" s="6" t="s">
        <v>720</v>
      </c>
    </row>
    <row r="7" spans="2:12" ht="15" customHeight="1">
      <c r="B7" s="12" t="s">
        <v>7</v>
      </c>
      <c r="C7" s="28" t="s">
        <v>721</v>
      </c>
      <c r="D7" s="28" t="s">
        <v>722</v>
      </c>
      <c r="E7" s="28" t="s">
        <v>723</v>
      </c>
      <c r="F7" s="28" t="s">
        <v>724</v>
      </c>
      <c r="G7" s="28" t="s">
        <v>725</v>
      </c>
      <c r="H7" s="28" t="s">
        <v>726</v>
      </c>
      <c r="I7" s="28" t="s">
        <v>727</v>
      </c>
      <c r="J7" s="28" t="s">
        <v>728</v>
      </c>
      <c r="K7" s="28" t="s">
        <v>729</v>
      </c>
      <c r="L7" s="28" t="s">
        <v>730</v>
      </c>
    </row>
    <row r="8" spans="2:12" ht="15" customHeight="1">
      <c r="B8" s="12" t="s">
        <v>8</v>
      </c>
      <c r="C8" s="28" t="s">
        <v>599</v>
      </c>
      <c r="D8" s="28" t="s">
        <v>599</v>
      </c>
      <c r="E8" s="28" t="s">
        <v>599</v>
      </c>
      <c r="F8" s="28" t="s">
        <v>599</v>
      </c>
      <c r="G8" s="28" t="s">
        <v>599</v>
      </c>
      <c r="H8" s="28" t="s">
        <v>599</v>
      </c>
      <c r="I8" s="28" t="s">
        <v>599</v>
      </c>
      <c r="J8" s="28" t="s">
        <v>599</v>
      </c>
      <c r="K8" s="28" t="s">
        <v>599</v>
      </c>
      <c r="L8" s="28" t="s">
        <v>599</v>
      </c>
    </row>
    <row r="9" spans="2:12" ht="15" customHeight="1">
      <c r="B9" s="12" t="s">
        <v>731</v>
      </c>
      <c r="C9" s="28" t="s">
        <v>599</v>
      </c>
      <c r="D9" s="28" t="s">
        <v>599</v>
      </c>
      <c r="E9" s="28" t="s">
        <v>599</v>
      </c>
      <c r="F9" s="28" t="s">
        <v>599</v>
      </c>
      <c r="G9" s="28" t="s">
        <v>599</v>
      </c>
      <c r="H9" s="28" t="s">
        <v>599</v>
      </c>
      <c r="I9" s="28" t="s">
        <v>599</v>
      </c>
      <c r="J9" s="28" t="s">
        <v>599</v>
      </c>
      <c r="K9" s="28" t="s">
        <v>599</v>
      </c>
      <c r="L9" s="28" t="s">
        <v>599</v>
      </c>
    </row>
    <row r="10" spans="2:12" ht="15" customHeight="1">
      <c r="B10" s="12" t="s">
        <v>9</v>
      </c>
      <c r="C10" s="28" t="s">
        <v>599</v>
      </c>
      <c r="D10" s="28" t="s">
        <v>599</v>
      </c>
      <c r="E10" s="28" t="s">
        <v>599</v>
      </c>
      <c r="F10" s="28" t="s">
        <v>599</v>
      </c>
      <c r="G10" s="28" t="s">
        <v>599</v>
      </c>
      <c r="H10" s="28" t="s">
        <v>599</v>
      </c>
      <c r="I10" s="28" t="s">
        <v>599</v>
      </c>
      <c r="J10" s="28" t="s">
        <v>599</v>
      </c>
      <c r="K10" s="28" t="s">
        <v>599</v>
      </c>
      <c r="L10" s="28" t="s">
        <v>599</v>
      </c>
    </row>
    <row r="11" spans="2:12" ht="15" customHeight="1">
      <c r="B11" s="12" t="s">
        <v>732</v>
      </c>
      <c r="C11" s="28" t="s">
        <v>599</v>
      </c>
      <c r="D11" s="28" t="s">
        <v>599</v>
      </c>
      <c r="E11" s="28" t="s">
        <v>599</v>
      </c>
      <c r="F11" s="28" t="s">
        <v>599</v>
      </c>
      <c r="G11" s="28" t="s">
        <v>599</v>
      </c>
      <c r="H11" s="28" t="s">
        <v>599</v>
      </c>
      <c r="I11" s="28" t="s">
        <v>599</v>
      </c>
      <c r="J11" s="28" t="s">
        <v>599</v>
      </c>
      <c r="K11" s="28" t="s">
        <v>599</v>
      </c>
      <c r="L11" s="28" t="s">
        <v>599</v>
      </c>
    </row>
    <row r="12" spans="2:12" ht="15" customHeight="1">
      <c r="B12" s="12" t="s">
        <v>733</v>
      </c>
      <c r="C12" s="28" t="s">
        <v>599</v>
      </c>
      <c r="D12" s="28" t="s">
        <v>599</v>
      </c>
      <c r="E12" s="28" t="s">
        <v>599</v>
      </c>
      <c r="F12" s="28" t="s">
        <v>599</v>
      </c>
      <c r="G12" s="28" t="s">
        <v>599</v>
      </c>
      <c r="H12" s="28" t="s">
        <v>599</v>
      </c>
      <c r="I12" s="28" t="s">
        <v>599</v>
      </c>
      <c r="J12" s="28" t="s">
        <v>599</v>
      </c>
      <c r="K12" s="28" t="s">
        <v>599</v>
      </c>
      <c r="L12" s="28" t="s">
        <v>599</v>
      </c>
    </row>
    <row r="13" spans="2:12" ht="15" customHeight="1">
      <c r="B13" s="12" t="s">
        <v>734</v>
      </c>
      <c r="C13" s="28" t="s">
        <v>599</v>
      </c>
      <c r="D13" s="28" t="s">
        <v>599</v>
      </c>
      <c r="E13" s="28" t="s">
        <v>599</v>
      </c>
      <c r="F13" s="28" t="s">
        <v>599</v>
      </c>
      <c r="G13" s="28" t="s">
        <v>599</v>
      </c>
      <c r="H13" s="28" t="s">
        <v>599</v>
      </c>
      <c r="I13" s="28" t="s">
        <v>599</v>
      </c>
      <c r="J13" s="28" t="s">
        <v>599</v>
      </c>
      <c r="K13" s="28" t="s">
        <v>599</v>
      </c>
      <c r="L13" s="28" t="s">
        <v>599</v>
      </c>
    </row>
    <row r="15" spans="2:2" ht="15" customHeight="1">
      <c r="B15" s="29" t="s">
        <v>735</v>
      </c>
    </row>
  </sheetData>
  <hyperlinks>
    <hyperlink ref="C1" location="Содержание!B4" display="К содержанию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195d939-dbd2-41f2-8666-a89ee6ff92ec}">
  <dimension ref="B1:E99"/>
  <sheetViews>
    <sheetView showGridLines="0" workbookViewId="0" topLeftCell="A1"/>
  </sheetViews>
  <sheetFormatPr defaultRowHeight="12.75"/>
  <cols>
    <col min="1" max="1" width="4.714285714285714" customWidth="1"/>
    <col min="2" max="2" width="22.714285714285715" customWidth="1"/>
    <col min="3" max="6" width="17.857142857142858" customWidth="1"/>
  </cols>
  <sheetData>
    <row r="1" spans="2:3" s="1" customFormat="1" ht="30" customHeight="1">
      <c r="B1" s="1" t="s">
        <v>0</v>
      </c>
      <c r="C1" s="4" t="s">
        <v>2</v>
      </c>
    </row>
    <row r="4" spans="2:2" ht="12.75">
      <c r="B4" s="2" t="s">
        <v>35</v>
      </c>
    </row>
    <row r="6" spans="2:2" ht="12.75"/>
    <row r="7" ht="13" customHeight="1"/>
    <row r="8" ht="13" customHeight="1"/>
    <row r="9" ht="13" customHeight="1"/>
    <row r="10" ht="13" customHeight="1"/>
    <row r="11" ht="13" customHeight="1"/>
    <row r="12" ht="13" customHeight="1"/>
    <row r="13" ht="13" customHeight="1"/>
    <row r="14" ht="13" customHeight="1"/>
    <row r="15" ht="13" customHeight="1"/>
    <row r="16" ht="13" customHeight="1"/>
    <row r="17" ht="13" customHeight="1"/>
    <row r="18" ht="13" customHeight="1"/>
    <row r="19" ht="13" customHeight="1"/>
    <row r="20" ht="13" customHeight="1"/>
    <row r="21" ht="13" customHeight="1"/>
    <row r="22" ht="13" customHeight="1"/>
    <row r="23" ht="13" customHeight="1"/>
    <row r="24" spans="2:5" ht="30" customHeight="1">
      <c r="B24" s="6" t="s">
        <v>353</v>
      </c>
      <c r="C24" s="7" t="s">
        <v>7</v>
      </c>
      <c r="D24" s="7" t="s">
        <v>8</v>
      </c>
      <c r="E24" s="7" t="s">
        <v>9</v>
      </c>
    </row>
    <row r="25" spans="2:5" ht="15" customHeight="1">
      <c r="B25" s="12" t="s">
        <v>354</v>
      </c>
      <c r="C25" s="10">
        <v>1341</v>
      </c>
      <c r="D25" s="10">
        <v>6</v>
      </c>
      <c r="E25" s="10">
        <v>3</v>
      </c>
    </row>
    <row r="26" spans="2:5" ht="15" customHeight="1">
      <c r="B26" s="12" t="s">
        <v>355</v>
      </c>
      <c r="C26" s="10">
        <v>19</v>
      </c>
      <c r="D26" s="10">
        <v>0</v>
      </c>
      <c r="E26" s="10">
        <v>0</v>
      </c>
    </row>
    <row r="27" spans="2:5" ht="15" customHeight="1">
      <c r="B27" s="12" t="s">
        <v>356</v>
      </c>
      <c r="C27" s="10">
        <v>19</v>
      </c>
      <c r="D27" s="10">
        <v>0</v>
      </c>
      <c r="E27" s="10">
        <v>0</v>
      </c>
    </row>
    <row r="28" spans="2:5" ht="15" customHeight="1">
      <c r="B28" s="12" t="s">
        <v>357</v>
      </c>
      <c r="C28" s="10">
        <v>17</v>
      </c>
      <c r="D28" s="10">
        <v>0</v>
      </c>
      <c r="E28" s="10">
        <v>0</v>
      </c>
    </row>
    <row r="29" spans="2:5" ht="15" customHeight="1">
      <c r="B29" s="12" t="s">
        <v>358</v>
      </c>
      <c r="C29" s="10">
        <v>8</v>
      </c>
      <c r="D29" s="10">
        <v>0</v>
      </c>
      <c r="E29" s="10">
        <v>0</v>
      </c>
    </row>
    <row r="30" spans="2:5" ht="15" customHeight="1">
      <c r="B30" s="12" t="s">
        <v>359</v>
      </c>
      <c r="C30" s="10">
        <v>7</v>
      </c>
      <c r="D30" s="10">
        <v>0</v>
      </c>
      <c r="E30" s="10">
        <v>0</v>
      </c>
    </row>
    <row r="31" spans="2:5" ht="15" customHeight="1">
      <c r="B31" s="12" t="s">
        <v>360</v>
      </c>
      <c r="C31" s="10">
        <v>6</v>
      </c>
      <c r="D31" s="10">
        <v>0</v>
      </c>
      <c r="E31" s="10">
        <v>0</v>
      </c>
    </row>
    <row r="32" spans="2:5" ht="15" customHeight="1">
      <c r="B32" s="12" t="s">
        <v>361</v>
      </c>
      <c r="C32" s="10">
        <v>5</v>
      </c>
      <c r="D32" s="10">
        <v>0</v>
      </c>
      <c r="E32" s="10">
        <v>0</v>
      </c>
    </row>
    <row r="33" spans="2:5" ht="15" customHeight="1">
      <c r="B33" s="12" t="s">
        <v>362</v>
      </c>
      <c r="C33" s="10">
        <v>4</v>
      </c>
      <c r="D33" s="10">
        <v>0</v>
      </c>
      <c r="E33" s="10">
        <v>0</v>
      </c>
    </row>
    <row r="34" spans="2:5" ht="15" customHeight="1">
      <c r="B34" s="12" t="s">
        <v>363</v>
      </c>
      <c r="C34" s="10">
        <v>3</v>
      </c>
      <c r="D34" s="10">
        <v>0</v>
      </c>
      <c r="E34" s="10">
        <v>0</v>
      </c>
    </row>
    <row r="35" spans="2:5" ht="15" customHeight="1">
      <c r="B35" s="12" t="s">
        <v>364</v>
      </c>
      <c r="C35" s="10">
        <v>3</v>
      </c>
      <c r="D35" s="10">
        <v>0</v>
      </c>
      <c r="E35" s="10">
        <v>0</v>
      </c>
    </row>
    <row r="36" spans="2:5" ht="15" customHeight="1">
      <c r="B36" s="12" t="s">
        <v>365</v>
      </c>
      <c r="C36" s="10">
        <v>3</v>
      </c>
      <c r="D36" s="10">
        <v>0</v>
      </c>
      <c r="E36" s="10">
        <v>0</v>
      </c>
    </row>
    <row r="37" spans="2:5" ht="15" customHeight="1">
      <c r="B37" s="12" t="s">
        <v>366</v>
      </c>
      <c r="C37" s="10">
        <v>2</v>
      </c>
      <c r="D37" s="10">
        <v>0</v>
      </c>
      <c r="E37" s="10">
        <v>0</v>
      </c>
    </row>
    <row r="38" spans="2:5" ht="15" customHeight="1">
      <c r="B38" s="12" t="s">
        <v>367</v>
      </c>
      <c r="C38" s="10">
        <v>2</v>
      </c>
      <c r="D38" s="10">
        <v>0</v>
      </c>
      <c r="E38" s="10">
        <v>0</v>
      </c>
    </row>
    <row r="39" spans="2:5" ht="15" customHeight="1">
      <c r="B39" s="12" t="s">
        <v>368</v>
      </c>
      <c r="C39" s="10">
        <v>2</v>
      </c>
      <c r="D39" s="10">
        <v>0</v>
      </c>
      <c r="E39" s="10">
        <v>0</v>
      </c>
    </row>
    <row r="40" spans="2:5" ht="15" customHeight="1">
      <c r="B40" s="12" t="s">
        <v>369</v>
      </c>
      <c r="C40" s="10">
        <v>1</v>
      </c>
      <c r="D40" s="10">
        <v>0</v>
      </c>
      <c r="E40" s="10">
        <v>0</v>
      </c>
    </row>
    <row r="41" spans="2:5" ht="15" customHeight="1">
      <c r="B41" s="12" t="s">
        <v>370</v>
      </c>
      <c r="C41" s="10">
        <v>1</v>
      </c>
      <c r="D41" s="10">
        <v>0</v>
      </c>
      <c r="E41" s="10">
        <v>0</v>
      </c>
    </row>
    <row r="42" spans="2:5" ht="15" customHeight="1">
      <c r="B42" s="12" t="s">
        <v>371</v>
      </c>
      <c r="C42" s="10">
        <v>1</v>
      </c>
      <c r="D42" s="10">
        <v>0</v>
      </c>
      <c r="E42" s="10">
        <v>0</v>
      </c>
    </row>
    <row r="43" spans="2:5" ht="15" customHeight="1">
      <c r="B43" s="12" t="s">
        <v>372</v>
      </c>
      <c r="C43" s="10">
        <v>1</v>
      </c>
      <c r="D43" s="10">
        <v>0</v>
      </c>
      <c r="E43" s="10">
        <v>0</v>
      </c>
    </row>
    <row r="44" spans="2:5" ht="15" customHeight="1">
      <c r="B44" s="12" t="s">
        <v>373</v>
      </c>
      <c r="C44" s="10">
        <v>1</v>
      </c>
      <c r="D44" s="10">
        <v>0</v>
      </c>
      <c r="E44" s="10">
        <v>0</v>
      </c>
    </row>
    <row r="45" spans="2:5" ht="15" customHeight="1">
      <c r="B45" s="12" t="s">
        <v>374</v>
      </c>
      <c r="C45" s="10">
        <v>1</v>
      </c>
      <c r="D45" s="10">
        <v>0</v>
      </c>
      <c r="E45" s="10">
        <v>0</v>
      </c>
    </row>
    <row r="46" spans="2:5" ht="15" customHeight="1">
      <c r="B46" s="12" t="s">
        <v>375</v>
      </c>
      <c r="C46" s="10">
        <v>1</v>
      </c>
      <c r="D46" s="10">
        <v>0</v>
      </c>
      <c r="E46" s="10">
        <v>0</v>
      </c>
    </row>
    <row r="47" spans="2:5" ht="15" customHeight="1">
      <c r="B47" s="12" t="s">
        <v>376</v>
      </c>
      <c r="C47" s="10">
        <v>1</v>
      </c>
      <c r="D47" s="10">
        <v>0</v>
      </c>
      <c r="E47" s="10">
        <v>0</v>
      </c>
    </row>
    <row r="48" spans="2:5" ht="15" customHeight="1">
      <c r="B48" s="12" t="s">
        <v>377</v>
      </c>
      <c r="C48" s="10">
        <v>1</v>
      </c>
      <c r="D48" s="10">
        <v>0</v>
      </c>
      <c r="E48" s="10">
        <v>0</v>
      </c>
    </row>
    <row r="49" spans="2:5" ht="15" customHeight="1">
      <c r="B49" s="12" t="s">
        <v>378</v>
      </c>
      <c r="C49" s="10">
        <v>679</v>
      </c>
      <c r="D49" s="10">
        <v>3</v>
      </c>
      <c r="E49" s="10">
        <v>0</v>
      </c>
    </row>
    <row r="51" spans="2:2" ht="15" customHeight="1">
      <c r="B51" s="27" t="s">
        <v>379</v>
      </c>
    </row>
    <row r="55" spans="2:2" ht="12.75">
      <c r="B55" s="5" t="s">
        <v>380</v>
      </c>
    </row>
    <row r="57" spans="2:2" ht="12.75"/>
    <row r="74" spans="2:5" ht="30" customHeight="1">
      <c r="B74" s="6" t="s">
        <v>353</v>
      </c>
      <c r="C74" s="7" t="s">
        <v>7</v>
      </c>
      <c r="D74" s="7" t="s">
        <v>8</v>
      </c>
      <c r="E74" s="7" t="s">
        <v>9</v>
      </c>
    </row>
    <row r="75" spans="2:5" ht="15" customHeight="1">
      <c r="B75" s="12" t="s">
        <v>354</v>
      </c>
      <c r="C75" s="10">
        <v>61053203</v>
      </c>
      <c r="D75" s="10">
        <v>92221</v>
      </c>
      <c r="E75" s="10">
        <v>217619</v>
      </c>
    </row>
    <row r="76" spans="2:5" ht="15" customHeight="1">
      <c r="B76" s="12" t="s">
        <v>356</v>
      </c>
      <c r="C76" s="10">
        <v>4613700</v>
      </c>
      <c r="D76" s="10">
        <v>0</v>
      </c>
      <c r="E76" s="10">
        <v>0</v>
      </c>
    </row>
    <row r="77" spans="2:5" ht="15" customHeight="1">
      <c r="B77" s="12" t="s">
        <v>374</v>
      </c>
      <c r="C77" s="10">
        <v>2510000</v>
      </c>
      <c r="D77" s="10">
        <v>0</v>
      </c>
      <c r="E77" s="10">
        <v>0</v>
      </c>
    </row>
    <row r="78" spans="2:5" ht="15" customHeight="1">
      <c r="B78" s="12" t="s">
        <v>367</v>
      </c>
      <c r="C78" s="10">
        <v>1940187</v>
      </c>
      <c r="D78" s="10">
        <v>0</v>
      </c>
      <c r="E78" s="10">
        <v>0</v>
      </c>
    </row>
    <row r="79" spans="2:5" ht="15" customHeight="1">
      <c r="B79" s="12" t="s">
        <v>363</v>
      </c>
      <c r="C79" s="10">
        <v>1900000</v>
      </c>
      <c r="D79" s="10">
        <v>0</v>
      </c>
      <c r="E79" s="10">
        <v>0</v>
      </c>
    </row>
    <row r="80" spans="2:5" ht="15" customHeight="1">
      <c r="B80" s="12" t="s">
        <v>361</v>
      </c>
      <c r="C80" s="10">
        <v>1747090</v>
      </c>
      <c r="D80" s="10">
        <v>0</v>
      </c>
      <c r="E80" s="10">
        <v>0</v>
      </c>
    </row>
    <row r="81" spans="2:5" ht="15" customHeight="1">
      <c r="B81" s="12" t="s">
        <v>357</v>
      </c>
      <c r="C81" s="10">
        <v>918755</v>
      </c>
      <c r="D81" s="10">
        <v>0</v>
      </c>
      <c r="E81" s="10">
        <v>0</v>
      </c>
    </row>
    <row r="82" spans="2:5" ht="15" customHeight="1">
      <c r="B82" s="12" t="s">
        <v>355</v>
      </c>
      <c r="C82" s="10">
        <v>552277</v>
      </c>
      <c r="D82" s="10">
        <v>0</v>
      </c>
      <c r="E82" s="10">
        <v>0</v>
      </c>
    </row>
    <row r="83" spans="2:5" ht="15" customHeight="1">
      <c r="B83" s="12" t="s">
        <v>365</v>
      </c>
      <c r="C83" s="10">
        <v>269242</v>
      </c>
      <c r="D83" s="10">
        <v>0</v>
      </c>
      <c r="E83" s="10">
        <v>0</v>
      </c>
    </row>
    <row r="84" spans="2:5" ht="15" customHeight="1">
      <c r="B84" s="12" t="s">
        <v>368</v>
      </c>
      <c r="C84" s="10">
        <v>127092</v>
      </c>
      <c r="D84" s="10">
        <v>0</v>
      </c>
      <c r="E84" s="10">
        <v>0</v>
      </c>
    </row>
    <row r="85" spans="2:5" ht="15" customHeight="1">
      <c r="B85" s="12" t="s">
        <v>366</v>
      </c>
      <c r="C85" s="10">
        <v>112053</v>
      </c>
      <c r="D85" s="10">
        <v>0</v>
      </c>
      <c r="E85" s="10">
        <v>0</v>
      </c>
    </row>
    <row r="86" spans="2:5" ht="15" customHeight="1">
      <c r="B86" s="12" t="s">
        <v>358</v>
      </c>
      <c r="C86" s="10">
        <v>74680</v>
      </c>
      <c r="D86" s="10">
        <v>0</v>
      </c>
      <c r="E86" s="10">
        <v>0</v>
      </c>
    </row>
    <row r="87" spans="2:5" ht="15" customHeight="1">
      <c r="B87" s="12" t="s">
        <v>369</v>
      </c>
      <c r="C87" s="10">
        <v>65500</v>
      </c>
      <c r="D87" s="10">
        <v>0</v>
      </c>
      <c r="E87" s="10">
        <v>0</v>
      </c>
    </row>
    <row r="88" spans="2:5" ht="15" customHeight="1">
      <c r="B88" s="12" t="s">
        <v>364</v>
      </c>
      <c r="C88" s="10">
        <v>35670</v>
      </c>
      <c r="D88" s="10">
        <v>0</v>
      </c>
      <c r="E88" s="10">
        <v>0</v>
      </c>
    </row>
    <row r="89" spans="2:5" ht="15" customHeight="1">
      <c r="B89" s="12" t="s">
        <v>377</v>
      </c>
      <c r="C89" s="10">
        <v>9900</v>
      </c>
      <c r="D89" s="10">
        <v>0</v>
      </c>
      <c r="E89" s="10">
        <v>0</v>
      </c>
    </row>
    <row r="90" spans="2:5" ht="15" customHeight="1">
      <c r="B90" s="12" t="s">
        <v>359</v>
      </c>
      <c r="C90" s="10">
        <v>8277</v>
      </c>
      <c r="D90" s="10">
        <v>0</v>
      </c>
      <c r="E90" s="10">
        <v>0</v>
      </c>
    </row>
    <row r="91" spans="2:5" ht="15" customHeight="1">
      <c r="B91" s="12" t="s">
        <v>371</v>
      </c>
      <c r="C91" s="10">
        <v>3860</v>
      </c>
      <c r="D91" s="10">
        <v>0</v>
      </c>
      <c r="E91" s="10">
        <v>0</v>
      </c>
    </row>
    <row r="92" spans="2:5" ht="15" customHeight="1">
      <c r="B92" s="12" t="s">
        <v>373</v>
      </c>
      <c r="C92" s="10">
        <v>3190</v>
      </c>
      <c r="D92" s="10">
        <v>0</v>
      </c>
      <c r="E92" s="10">
        <v>0</v>
      </c>
    </row>
    <row r="93" spans="2:5" ht="15" customHeight="1">
      <c r="B93" s="12" t="s">
        <v>372</v>
      </c>
      <c r="C93" s="10">
        <v>1264</v>
      </c>
      <c r="D93" s="10">
        <v>0</v>
      </c>
      <c r="E93" s="10">
        <v>0</v>
      </c>
    </row>
    <row r="94" spans="2:5" ht="15" customHeight="1">
      <c r="B94" s="12" t="s">
        <v>362</v>
      </c>
      <c r="C94" s="10">
        <v>1096</v>
      </c>
      <c r="D94" s="10">
        <v>0</v>
      </c>
      <c r="E94" s="10">
        <v>0</v>
      </c>
    </row>
    <row r="95" spans="2:5" ht="15" customHeight="1">
      <c r="B95" s="12" t="s">
        <v>360</v>
      </c>
      <c r="C95" s="10">
        <v>776</v>
      </c>
      <c r="D95" s="10">
        <v>0</v>
      </c>
      <c r="E95" s="10">
        <v>0</v>
      </c>
    </row>
    <row r="96" spans="2:5" ht="15" customHeight="1">
      <c r="B96" s="12" t="s">
        <v>375</v>
      </c>
      <c r="C96" s="10">
        <v>295</v>
      </c>
      <c r="D96" s="10">
        <v>0</v>
      </c>
      <c r="E96" s="10">
        <v>0</v>
      </c>
    </row>
    <row r="97" spans="2:5" ht="15" customHeight="1">
      <c r="B97" s="12" t="s">
        <v>376</v>
      </c>
      <c r="C97" s="10">
        <v>111</v>
      </c>
      <c r="D97" s="10">
        <v>0</v>
      </c>
      <c r="E97" s="10">
        <v>0</v>
      </c>
    </row>
    <row r="98" spans="2:5" ht="15" customHeight="1">
      <c r="B98" s="12" t="s">
        <v>370</v>
      </c>
      <c r="C98" s="10">
        <v>79</v>
      </c>
      <c r="D98" s="10">
        <v>0</v>
      </c>
      <c r="E98" s="10">
        <v>0</v>
      </c>
    </row>
    <row r="99" spans="2:5" ht="15" customHeight="1">
      <c r="B99" s="12" t="s">
        <v>378</v>
      </c>
      <c r="C99" s="10">
        <v>45487981</v>
      </c>
      <c r="D99" s="10">
        <v>1734779</v>
      </c>
      <c r="E99" s="10">
        <v>0</v>
      </c>
    </row>
  </sheetData>
  <hyperlinks>
    <hyperlink ref="C1" location="Содержание!B4" display="К содержанию"/>
  </hyperlink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d168283-3e94-4bdd-8b1a-fc37fc615528}">
  <dimension ref="B1:E77"/>
  <sheetViews>
    <sheetView showGridLines="0" workbookViewId="0" topLeftCell="A1"/>
  </sheetViews>
  <sheetFormatPr defaultRowHeight="12.75"/>
  <cols>
    <col min="1" max="1" width="4.714285714285714" customWidth="1"/>
    <col min="2" max="2" width="22.714285714285715" customWidth="1"/>
    <col min="3" max="6" width="17.857142857142858" customWidth="1"/>
  </cols>
  <sheetData>
    <row r="1" spans="2:3" s="1" customFormat="1" ht="30" customHeight="1">
      <c r="B1" s="1" t="s">
        <v>0</v>
      </c>
      <c r="C1" s="4" t="s">
        <v>2</v>
      </c>
    </row>
    <row r="4" spans="2:2" ht="12.75">
      <c r="B4" s="2" t="s">
        <v>36</v>
      </c>
    </row>
    <row r="6" spans="2:2" ht="12.75"/>
    <row r="7" ht="13" customHeight="1"/>
    <row r="8" ht="13" customHeight="1"/>
    <row r="9" ht="13" customHeight="1"/>
    <row r="10" ht="13" customHeight="1"/>
    <row r="11" ht="13" customHeight="1"/>
    <row r="12" ht="13" customHeight="1"/>
    <row r="13" ht="13" customHeight="1"/>
    <row r="14" ht="13" customHeight="1"/>
    <row r="15" ht="13" customHeight="1"/>
    <row r="16" ht="13" customHeight="1"/>
    <row r="17" ht="13" customHeight="1"/>
    <row r="18" ht="13" customHeight="1"/>
    <row r="19" ht="13" customHeight="1"/>
    <row r="20" ht="13" customHeight="1"/>
    <row r="21" ht="13" customHeight="1"/>
    <row r="22" ht="13" customHeight="1"/>
    <row r="23" ht="13" customHeight="1"/>
    <row r="24" ht="13" customHeight="1"/>
    <row r="25" ht="13" customHeight="1"/>
    <row r="26" ht="13" customHeight="1"/>
    <row r="27" ht="13" customHeight="1"/>
    <row r="28" ht="13" customHeight="1"/>
    <row r="29" spans="2:5" ht="30" customHeight="1">
      <c r="B29" s="6" t="s">
        <v>381</v>
      </c>
      <c r="C29" s="7" t="s">
        <v>7</v>
      </c>
      <c r="D29" s="7" t="s">
        <v>8</v>
      </c>
      <c r="E29" s="7" t="s">
        <v>9</v>
      </c>
    </row>
    <row r="30" spans="2:5" ht="15" customHeight="1">
      <c r="B30" s="12" t="s">
        <v>382</v>
      </c>
      <c r="C30" s="10">
        <v>356</v>
      </c>
      <c r="D30" s="10">
        <v>3</v>
      </c>
      <c r="E30" s="10">
        <v>1</v>
      </c>
    </row>
    <row r="31" spans="2:5" ht="15" customHeight="1">
      <c r="B31" s="12" t="s">
        <v>383</v>
      </c>
      <c r="C31" s="10">
        <v>215</v>
      </c>
      <c r="D31" s="10">
        <v>1</v>
      </c>
      <c r="E31" s="10">
        <v>1</v>
      </c>
    </row>
    <row r="32" spans="2:5" ht="15" customHeight="1">
      <c r="B32" s="12" t="s">
        <v>384</v>
      </c>
      <c r="C32" s="10">
        <v>143</v>
      </c>
      <c r="D32" s="10">
        <v>1</v>
      </c>
      <c r="E32" s="10">
        <v>0</v>
      </c>
    </row>
    <row r="33" spans="2:5" ht="15" customHeight="1">
      <c r="B33" s="12" t="s">
        <v>385</v>
      </c>
      <c r="C33" s="10">
        <v>91</v>
      </c>
      <c r="D33" s="10">
        <v>0</v>
      </c>
      <c r="E33" s="10">
        <v>0</v>
      </c>
    </row>
    <row r="34" spans="2:5" ht="15" customHeight="1">
      <c r="B34" s="12" t="s">
        <v>386</v>
      </c>
      <c r="C34" s="10">
        <v>78</v>
      </c>
      <c r="D34" s="10">
        <v>0</v>
      </c>
      <c r="E34" s="10">
        <v>0</v>
      </c>
    </row>
    <row r="35" spans="2:5" ht="15" customHeight="1">
      <c r="B35" s="12" t="s">
        <v>387</v>
      </c>
      <c r="C35" s="10">
        <v>69</v>
      </c>
      <c r="D35" s="10">
        <v>0</v>
      </c>
      <c r="E35" s="10">
        <v>0</v>
      </c>
    </row>
    <row r="36" spans="2:5" ht="15" customHeight="1">
      <c r="B36" s="12" t="s">
        <v>388</v>
      </c>
      <c r="C36" s="10">
        <v>65</v>
      </c>
      <c r="D36" s="10">
        <v>0</v>
      </c>
      <c r="E36" s="10">
        <v>0</v>
      </c>
    </row>
    <row r="37" spans="2:5" ht="15" customHeight="1">
      <c r="B37" s="12" t="s">
        <v>389</v>
      </c>
      <c r="C37" s="10">
        <v>29</v>
      </c>
      <c r="D37" s="10">
        <v>0</v>
      </c>
      <c r="E37" s="10">
        <v>0</v>
      </c>
    </row>
    <row r="38" spans="2:5" ht="15" customHeight="1">
      <c r="B38" s="12" t="s">
        <v>390</v>
      </c>
      <c r="C38" s="10">
        <v>295</v>
      </c>
      <c r="D38" s="10">
        <v>1</v>
      </c>
      <c r="E38" s="10">
        <v>1</v>
      </c>
    </row>
    <row r="40" spans="2:2" ht="15" customHeight="1">
      <c r="B40" s="27" t="s">
        <v>391</v>
      </c>
    </row>
    <row r="44" spans="2:2" ht="12.75">
      <c r="B44" s="5" t="s">
        <v>392</v>
      </c>
    </row>
    <row r="46" spans="2:2" ht="12.75"/>
    <row r="68" spans="2:5" ht="30" customHeight="1">
      <c r="B68" s="6" t="s">
        <v>381</v>
      </c>
      <c r="C68" s="7" t="s">
        <v>7</v>
      </c>
      <c r="D68" s="7" t="s">
        <v>8</v>
      </c>
      <c r="E68" s="7" t="s">
        <v>9</v>
      </c>
    </row>
    <row r="69" spans="2:5" ht="15" customHeight="1">
      <c r="B69" s="12" t="s">
        <v>382</v>
      </c>
      <c r="C69" s="10">
        <v>27502701</v>
      </c>
      <c r="D69" s="10">
        <v>68218</v>
      </c>
      <c r="E69" s="10">
        <v>5845</v>
      </c>
    </row>
    <row r="70" spans="2:5" ht="15" customHeight="1">
      <c r="B70" s="12" t="s">
        <v>385</v>
      </c>
      <c r="C70" s="10">
        <v>9413942</v>
      </c>
      <c r="D70" s="10">
        <v>0</v>
      </c>
      <c r="E70" s="10">
        <v>0</v>
      </c>
    </row>
    <row r="71" spans="2:5" ht="15" customHeight="1">
      <c r="B71" s="12" t="s">
        <v>383</v>
      </c>
      <c r="C71" s="10">
        <v>8060700</v>
      </c>
      <c r="D71" s="10">
        <v>0</v>
      </c>
      <c r="E71" s="10">
        <v>66229</v>
      </c>
    </row>
    <row r="72" spans="2:5" ht="15" customHeight="1">
      <c r="B72" s="12" t="s">
        <v>384</v>
      </c>
      <c r="C72" s="10">
        <v>6372306</v>
      </c>
      <c r="D72" s="10">
        <v>24003</v>
      </c>
      <c r="E72" s="10">
        <v>0</v>
      </c>
    </row>
    <row r="73" spans="2:5" ht="15" customHeight="1">
      <c r="B73" s="12" t="s">
        <v>386</v>
      </c>
      <c r="C73" s="10">
        <v>1781811</v>
      </c>
      <c r="D73" s="10">
        <v>0</v>
      </c>
      <c r="E73" s="10">
        <v>0</v>
      </c>
    </row>
    <row r="74" spans="2:5" ht="15" customHeight="1">
      <c r="B74" s="12" t="s">
        <v>388</v>
      </c>
      <c r="C74" s="10">
        <v>748418</v>
      </c>
      <c r="D74" s="10">
        <v>0</v>
      </c>
      <c r="E74" s="10">
        <v>0</v>
      </c>
    </row>
    <row r="75" spans="2:5" ht="15" customHeight="1">
      <c r="B75" s="12" t="s">
        <v>389</v>
      </c>
      <c r="C75" s="10">
        <v>595355</v>
      </c>
      <c r="D75" s="10">
        <v>0</v>
      </c>
      <c r="E75" s="10">
        <v>0</v>
      </c>
    </row>
    <row r="76" spans="2:5" ht="15" customHeight="1">
      <c r="B76" s="12" t="s">
        <v>387</v>
      </c>
      <c r="C76" s="10">
        <v>315541</v>
      </c>
      <c r="D76" s="10">
        <v>0</v>
      </c>
      <c r="E76" s="10">
        <v>0</v>
      </c>
    </row>
    <row r="77" spans="2:5" ht="15" customHeight="1">
      <c r="B77" s="12" t="s">
        <v>390</v>
      </c>
      <c r="C77" s="10">
        <v>8044306</v>
      </c>
      <c r="D77" s="10">
        <v>0</v>
      </c>
      <c r="E77" s="10">
        <v>145545</v>
      </c>
    </row>
  </sheetData>
  <hyperlinks>
    <hyperlink ref="C1" location="Содержание!B4" display="К содержанию"/>
  </hyperlinks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3f309ff-ff93-48f4-93f9-2f8507c47b04}">
  <dimension ref="B1:E217"/>
  <sheetViews>
    <sheetView showGridLines="0" workbookViewId="0" topLeftCell="A1"/>
  </sheetViews>
  <sheetFormatPr defaultRowHeight="12.75"/>
  <cols>
    <col min="1" max="1" width="4.714285714285714" customWidth="1"/>
    <col min="2" max="2" width="22.714285714285715" customWidth="1"/>
    <col min="3" max="6" width="17.857142857142858" customWidth="1"/>
  </cols>
  <sheetData>
    <row r="1" spans="2:3" s="1" customFormat="1" ht="30" customHeight="1">
      <c r="B1" s="1" t="s">
        <v>0</v>
      </c>
      <c r="C1" s="4" t="s">
        <v>2</v>
      </c>
    </row>
    <row r="4" spans="2:2" ht="12.75">
      <c r="B4" s="2" t="s">
        <v>37</v>
      </c>
    </row>
    <row r="6" spans="2:2" ht="12.75"/>
    <row r="7" ht="13" customHeight="1"/>
    <row r="8" ht="13" customHeight="1"/>
    <row r="9" ht="13" customHeight="1"/>
    <row r="10" ht="13" customHeight="1"/>
    <row r="11" ht="13" customHeight="1"/>
    <row r="12" ht="13" customHeight="1"/>
    <row r="13" ht="13" customHeight="1"/>
    <row r="14" ht="13" customHeight="1"/>
    <row r="15" ht="13" customHeight="1"/>
    <row r="16" ht="13" customHeight="1"/>
    <row r="17" ht="13" customHeight="1"/>
    <row r="18" ht="13" customHeight="1"/>
    <row r="19" ht="13" customHeight="1"/>
    <row r="20" ht="13" customHeight="1"/>
    <row r="21" ht="13" customHeight="1"/>
    <row r="22" ht="13" customHeight="1"/>
    <row r="23" ht="13" customHeight="1"/>
    <row r="24" ht="13" customHeight="1"/>
    <row r="25" ht="13" customHeight="1"/>
    <row r="26" ht="13" customHeight="1"/>
    <row r="27" ht="13" customHeight="1"/>
    <row r="28" ht="13" customHeight="1"/>
    <row r="29" spans="2:5" ht="30" customHeight="1">
      <c r="B29" s="6" t="s">
        <v>393</v>
      </c>
      <c r="C29" s="7" t="s">
        <v>7</v>
      </c>
      <c r="D29" s="7" t="s">
        <v>8</v>
      </c>
      <c r="E29" s="7" t="s">
        <v>9</v>
      </c>
    </row>
    <row r="30" spans="2:5" ht="15" customHeight="1">
      <c r="B30" s="12" t="s">
        <v>93</v>
      </c>
      <c r="C30" s="10">
        <v>224</v>
      </c>
      <c r="D30" s="10">
        <v>1</v>
      </c>
      <c r="E30" s="10">
        <v>0</v>
      </c>
    </row>
    <row r="31" spans="2:5" ht="15" customHeight="1">
      <c r="B31" s="12" t="s">
        <v>394</v>
      </c>
      <c r="C31" s="10">
        <v>72</v>
      </c>
      <c r="D31" s="10">
        <v>1</v>
      </c>
      <c r="E31" s="10">
        <v>0</v>
      </c>
    </row>
    <row r="32" spans="2:5" ht="15" customHeight="1">
      <c r="B32" s="12" t="s">
        <v>395</v>
      </c>
      <c r="C32" s="10">
        <v>69</v>
      </c>
      <c r="D32" s="10">
        <v>0</v>
      </c>
      <c r="E32" s="10">
        <v>0</v>
      </c>
    </row>
    <row r="33" spans="2:5" ht="15" customHeight="1">
      <c r="B33" s="12" t="s">
        <v>396</v>
      </c>
      <c r="C33" s="10">
        <v>43</v>
      </c>
      <c r="D33" s="10">
        <v>0</v>
      </c>
      <c r="E33" s="10">
        <v>0</v>
      </c>
    </row>
    <row r="34" spans="2:5" ht="15" customHeight="1">
      <c r="B34" s="12" t="s">
        <v>397</v>
      </c>
      <c r="C34" s="10">
        <v>40</v>
      </c>
      <c r="D34" s="10">
        <v>0</v>
      </c>
      <c r="E34" s="10">
        <v>0</v>
      </c>
    </row>
    <row r="35" spans="2:5" ht="15" customHeight="1">
      <c r="B35" s="12" t="s">
        <v>398</v>
      </c>
      <c r="C35" s="10">
        <v>30</v>
      </c>
      <c r="D35" s="10">
        <v>0</v>
      </c>
      <c r="E35" s="10">
        <v>0</v>
      </c>
    </row>
    <row r="36" spans="2:5" ht="15" customHeight="1">
      <c r="B36" s="12" t="s">
        <v>399</v>
      </c>
      <c r="C36" s="10">
        <v>25</v>
      </c>
      <c r="D36" s="10">
        <v>0</v>
      </c>
      <c r="E36" s="10">
        <v>0</v>
      </c>
    </row>
    <row r="37" spans="2:5" ht="15" customHeight="1">
      <c r="B37" s="12" t="s">
        <v>400</v>
      </c>
      <c r="C37" s="10">
        <v>24</v>
      </c>
      <c r="D37" s="10">
        <v>0</v>
      </c>
      <c r="E37" s="10">
        <v>0</v>
      </c>
    </row>
    <row r="38" spans="2:5" ht="15" customHeight="1">
      <c r="B38" s="12" t="s">
        <v>401</v>
      </c>
      <c r="C38" s="10">
        <v>23</v>
      </c>
      <c r="D38" s="10">
        <v>0</v>
      </c>
      <c r="E38" s="10">
        <v>0</v>
      </c>
    </row>
    <row r="39" spans="2:5" ht="15" customHeight="1">
      <c r="B39" s="12" t="s">
        <v>402</v>
      </c>
      <c r="C39" s="10">
        <v>20</v>
      </c>
      <c r="D39" s="10">
        <v>0</v>
      </c>
      <c r="E39" s="10">
        <v>0</v>
      </c>
    </row>
    <row r="40" spans="2:5" ht="15" customHeight="1">
      <c r="B40" s="12" t="s">
        <v>403</v>
      </c>
      <c r="C40" s="10">
        <v>20</v>
      </c>
      <c r="D40" s="10">
        <v>0</v>
      </c>
      <c r="E40" s="10">
        <v>0</v>
      </c>
    </row>
    <row r="41" spans="2:5" ht="15" customHeight="1">
      <c r="B41" s="12" t="s">
        <v>404</v>
      </c>
      <c r="C41" s="10">
        <v>18</v>
      </c>
      <c r="D41" s="10">
        <v>0</v>
      </c>
      <c r="E41" s="10">
        <v>0</v>
      </c>
    </row>
    <row r="42" spans="2:5" ht="15" customHeight="1">
      <c r="B42" s="12" t="s">
        <v>405</v>
      </c>
      <c r="C42" s="10">
        <v>18</v>
      </c>
      <c r="D42" s="10">
        <v>0</v>
      </c>
      <c r="E42" s="10">
        <v>0</v>
      </c>
    </row>
    <row r="43" spans="2:5" ht="15" customHeight="1">
      <c r="B43" s="12" t="s">
        <v>406</v>
      </c>
      <c r="C43" s="10">
        <v>18</v>
      </c>
      <c r="D43" s="10">
        <v>0</v>
      </c>
      <c r="E43" s="10">
        <v>0</v>
      </c>
    </row>
    <row r="44" spans="2:5" ht="15" customHeight="1">
      <c r="B44" s="12" t="s">
        <v>407</v>
      </c>
      <c r="C44" s="10">
        <v>16</v>
      </c>
      <c r="D44" s="10">
        <v>1</v>
      </c>
      <c r="E44" s="10">
        <v>0</v>
      </c>
    </row>
    <row r="45" spans="2:5" ht="15" customHeight="1">
      <c r="B45" s="12" t="s">
        <v>408</v>
      </c>
      <c r="C45" s="10">
        <v>16</v>
      </c>
      <c r="D45" s="10">
        <v>0</v>
      </c>
      <c r="E45" s="10">
        <v>0</v>
      </c>
    </row>
    <row r="46" spans="2:5" ht="15" customHeight="1">
      <c r="B46" s="12" t="s">
        <v>409</v>
      </c>
      <c r="C46" s="10">
        <v>15</v>
      </c>
      <c r="D46" s="10">
        <v>1</v>
      </c>
      <c r="E46" s="10">
        <v>0</v>
      </c>
    </row>
    <row r="47" spans="2:5" ht="15" customHeight="1">
      <c r="B47" s="12" t="s">
        <v>410</v>
      </c>
      <c r="C47" s="10">
        <v>16</v>
      </c>
      <c r="D47" s="10">
        <v>0</v>
      </c>
      <c r="E47" s="10">
        <v>0</v>
      </c>
    </row>
    <row r="48" spans="2:5" ht="15" customHeight="1">
      <c r="B48" s="12" t="s">
        <v>411</v>
      </c>
      <c r="C48" s="10">
        <v>13</v>
      </c>
      <c r="D48" s="10">
        <v>0</v>
      </c>
      <c r="E48" s="10">
        <v>0</v>
      </c>
    </row>
    <row r="49" spans="2:5" ht="15" customHeight="1">
      <c r="B49" s="12" t="s">
        <v>412</v>
      </c>
      <c r="C49" s="10">
        <v>13</v>
      </c>
      <c r="D49" s="10">
        <v>0</v>
      </c>
      <c r="E49" s="10">
        <v>0</v>
      </c>
    </row>
    <row r="50" spans="2:5" ht="15" customHeight="1">
      <c r="B50" s="12" t="s">
        <v>413</v>
      </c>
      <c r="C50" s="10">
        <v>13</v>
      </c>
      <c r="D50" s="10">
        <v>0</v>
      </c>
      <c r="E50" s="10">
        <v>0</v>
      </c>
    </row>
    <row r="51" spans="2:5" ht="15" customHeight="1">
      <c r="B51" s="12" t="s">
        <v>414</v>
      </c>
      <c r="C51" s="10">
        <v>12</v>
      </c>
      <c r="D51" s="10">
        <v>0</v>
      </c>
      <c r="E51" s="10">
        <v>0</v>
      </c>
    </row>
    <row r="52" spans="2:5" ht="15" customHeight="1">
      <c r="B52" s="12" t="s">
        <v>415</v>
      </c>
      <c r="C52" s="10">
        <v>11</v>
      </c>
      <c r="D52" s="10">
        <v>1</v>
      </c>
      <c r="E52" s="10">
        <v>0</v>
      </c>
    </row>
    <row r="53" spans="2:5" ht="15" customHeight="1">
      <c r="B53" s="12" t="s">
        <v>416</v>
      </c>
      <c r="C53" s="10">
        <v>12</v>
      </c>
      <c r="D53" s="10">
        <v>0</v>
      </c>
      <c r="E53" s="10">
        <v>0</v>
      </c>
    </row>
    <row r="54" spans="2:5" ht="15" customHeight="1">
      <c r="B54" s="12" t="s">
        <v>417</v>
      </c>
      <c r="C54" s="10">
        <v>12</v>
      </c>
      <c r="D54" s="10">
        <v>0</v>
      </c>
      <c r="E54" s="10">
        <v>0</v>
      </c>
    </row>
    <row r="55" spans="2:5" ht="15" customHeight="1">
      <c r="B55" s="12" t="s">
        <v>418</v>
      </c>
      <c r="C55" s="10">
        <v>10</v>
      </c>
      <c r="D55" s="10">
        <v>1</v>
      </c>
      <c r="E55" s="10">
        <v>0</v>
      </c>
    </row>
    <row r="56" spans="2:5" ht="15" customHeight="1">
      <c r="B56" s="12" t="s">
        <v>419</v>
      </c>
      <c r="C56" s="10">
        <v>11</v>
      </c>
      <c r="D56" s="10">
        <v>0</v>
      </c>
      <c r="E56" s="10">
        <v>0</v>
      </c>
    </row>
    <row r="57" spans="2:5" ht="15" customHeight="1">
      <c r="B57" s="12" t="s">
        <v>420</v>
      </c>
      <c r="C57" s="10">
        <v>10</v>
      </c>
      <c r="D57" s="10">
        <v>0</v>
      </c>
      <c r="E57" s="10">
        <v>0</v>
      </c>
    </row>
    <row r="58" spans="2:5" ht="15" customHeight="1">
      <c r="B58" s="12" t="s">
        <v>421</v>
      </c>
      <c r="C58" s="10">
        <v>10</v>
      </c>
      <c r="D58" s="10">
        <v>0</v>
      </c>
      <c r="E58" s="10">
        <v>0</v>
      </c>
    </row>
    <row r="59" spans="2:5" ht="15" customHeight="1">
      <c r="B59" s="12" t="s">
        <v>422</v>
      </c>
      <c r="C59" s="10">
        <v>9</v>
      </c>
      <c r="D59" s="10">
        <v>0</v>
      </c>
      <c r="E59" s="10">
        <v>0</v>
      </c>
    </row>
    <row r="60" spans="2:5" ht="15" customHeight="1">
      <c r="B60" s="12" t="s">
        <v>423</v>
      </c>
      <c r="C60" s="10">
        <v>9</v>
      </c>
      <c r="D60" s="10">
        <v>0</v>
      </c>
      <c r="E60" s="10">
        <v>0</v>
      </c>
    </row>
    <row r="61" spans="2:5" ht="15" customHeight="1">
      <c r="B61" s="12" t="s">
        <v>424</v>
      </c>
      <c r="C61" s="10">
        <v>9</v>
      </c>
      <c r="D61" s="10">
        <v>0</v>
      </c>
      <c r="E61" s="10">
        <v>0</v>
      </c>
    </row>
    <row r="62" spans="2:5" ht="15" customHeight="1">
      <c r="B62" s="12" t="s">
        <v>425</v>
      </c>
      <c r="C62" s="10">
        <v>9</v>
      </c>
      <c r="D62" s="10">
        <v>0</v>
      </c>
      <c r="E62" s="10">
        <v>0</v>
      </c>
    </row>
    <row r="63" spans="2:5" ht="15" customHeight="1">
      <c r="B63" s="12" t="s">
        <v>426</v>
      </c>
      <c r="C63" s="10">
        <v>9</v>
      </c>
      <c r="D63" s="10">
        <v>0</v>
      </c>
      <c r="E63" s="10">
        <v>0</v>
      </c>
    </row>
    <row r="64" spans="2:5" ht="15" customHeight="1">
      <c r="B64" s="12" t="s">
        <v>427</v>
      </c>
      <c r="C64" s="10">
        <v>9</v>
      </c>
      <c r="D64" s="10">
        <v>0</v>
      </c>
      <c r="E64" s="10">
        <v>0</v>
      </c>
    </row>
    <row r="65" spans="2:5" ht="15" customHeight="1">
      <c r="B65" s="12" t="s">
        <v>428</v>
      </c>
      <c r="C65" s="10">
        <v>8</v>
      </c>
      <c r="D65" s="10">
        <v>1</v>
      </c>
      <c r="E65" s="10">
        <v>0</v>
      </c>
    </row>
    <row r="66" spans="2:5" ht="15" customHeight="1">
      <c r="B66" s="12" t="s">
        <v>429</v>
      </c>
      <c r="C66" s="10">
        <v>9</v>
      </c>
      <c r="D66" s="10">
        <v>0</v>
      </c>
      <c r="E66" s="10">
        <v>0</v>
      </c>
    </row>
    <row r="67" spans="2:5" ht="15" customHeight="1">
      <c r="B67" s="12" t="s">
        <v>430</v>
      </c>
      <c r="C67" s="10">
        <v>9</v>
      </c>
      <c r="D67" s="10">
        <v>0</v>
      </c>
      <c r="E67" s="10">
        <v>0</v>
      </c>
    </row>
    <row r="68" spans="2:5" ht="15" customHeight="1">
      <c r="B68" s="12" t="s">
        <v>431</v>
      </c>
      <c r="C68" s="10">
        <v>8</v>
      </c>
      <c r="D68" s="10">
        <v>0</v>
      </c>
      <c r="E68" s="10">
        <v>0</v>
      </c>
    </row>
    <row r="69" spans="2:5" ht="15" customHeight="1">
      <c r="B69" s="12" t="s">
        <v>432</v>
      </c>
      <c r="C69" s="10">
        <v>8</v>
      </c>
      <c r="D69" s="10">
        <v>0</v>
      </c>
      <c r="E69" s="10">
        <v>0</v>
      </c>
    </row>
    <row r="70" spans="2:5" ht="15" customHeight="1">
      <c r="B70" s="12" t="s">
        <v>433</v>
      </c>
      <c r="C70" s="10">
        <v>7</v>
      </c>
      <c r="D70" s="10">
        <v>0</v>
      </c>
      <c r="E70" s="10">
        <v>0</v>
      </c>
    </row>
    <row r="71" spans="2:5" ht="15" customHeight="1">
      <c r="B71" s="12" t="s">
        <v>434</v>
      </c>
      <c r="C71" s="10">
        <v>7</v>
      </c>
      <c r="D71" s="10">
        <v>0</v>
      </c>
      <c r="E71" s="10">
        <v>0</v>
      </c>
    </row>
    <row r="72" spans="2:5" ht="15" customHeight="1">
      <c r="B72" s="12" t="s">
        <v>435</v>
      </c>
      <c r="C72" s="10">
        <v>7</v>
      </c>
      <c r="D72" s="10">
        <v>0</v>
      </c>
      <c r="E72" s="10">
        <v>0</v>
      </c>
    </row>
    <row r="73" spans="2:5" ht="15" customHeight="1">
      <c r="B73" s="12" t="s">
        <v>436</v>
      </c>
      <c r="C73" s="10">
        <v>7</v>
      </c>
      <c r="D73" s="10">
        <v>0</v>
      </c>
      <c r="E73" s="10">
        <v>0</v>
      </c>
    </row>
    <row r="74" spans="2:5" ht="15" customHeight="1">
      <c r="B74" s="12" t="s">
        <v>437</v>
      </c>
      <c r="C74" s="10">
        <v>6</v>
      </c>
      <c r="D74" s="10">
        <v>0</v>
      </c>
      <c r="E74" s="10">
        <v>0</v>
      </c>
    </row>
    <row r="75" spans="2:5" ht="15" customHeight="1">
      <c r="B75" s="12" t="s">
        <v>438</v>
      </c>
      <c r="C75" s="10">
        <v>6</v>
      </c>
      <c r="D75" s="10">
        <v>0</v>
      </c>
      <c r="E75" s="10">
        <v>0</v>
      </c>
    </row>
    <row r="76" spans="2:5" ht="15" customHeight="1">
      <c r="B76" s="12" t="s">
        <v>439</v>
      </c>
      <c r="C76" s="10">
        <v>6</v>
      </c>
      <c r="D76" s="10">
        <v>0</v>
      </c>
      <c r="E76" s="10">
        <v>0</v>
      </c>
    </row>
    <row r="77" spans="2:5" ht="15" customHeight="1">
      <c r="B77" s="12" t="s">
        <v>440</v>
      </c>
      <c r="C77" s="10">
        <v>6</v>
      </c>
      <c r="D77" s="10">
        <v>0</v>
      </c>
      <c r="E77" s="10">
        <v>0</v>
      </c>
    </row>
    <row r="78" spans="2:5" ht="15" customHeight="1">
      <c r="B78" s="12" t="s">
        <v>441</v>
      </c>
      <c r="C78" s="10">
        <v>6</v>
      </c>
      <c r="D78" s="10">
        <v>0</v>
      </c>
      <c r="E78" s="10">
        <v>0</v>
      </c>
    </row>
    <row r="79" spans="2:5" ht="15" customHeight="1">
      <c r="B79" s="12" t="s">
        <v>442</v>
      </c>
      <c r="C79" s="10">
        <v>6</v>
      </c>
      <c r="D79" s="10">
        <v>0</v>
      </c>
      <c r="E79" s="10">
        <v>0</v>
      </c>
    </row>
    <row r="80" spans="2:5" ht="15" customHeight="1">
      <c r="B80" s="12" t="s">
        <v>443</v>
      </c>
      <c r="C80" s="10">
        <v>6</v>
      </c>
      <c r="D80" s="10">
        <v>0</v>
      </c>
      <c r="E80" s="10">
        <v>0</v>
      </c>
    </row>
    <row r="81" spans="2:5" ht="15" customHeight="1">
      <c r="B81" s="12" t="s">
        <v>444</v>
      </c>
      <c r="C81" s="10">
        <v>5</v>
      </c>
      <c r="D81" s="10">
        <v>0</v>
      </c>
      <c r="E81" s="10">
        <v>0</v>
      </c>
    </row>
    <row r="82" spans="2:5" ht="15" customHeight="1">
      <c r="B82" s="12" t="s">
        <v>445</v>
      </c>
      <c r="C82" s="10">
        <v>5</v>
      </c>
      <c r="D82" s="10">
        <v>0</v>
      </c>
      <c r="E82" s="10">
        <v>0</v>
      </c>
    </row>
    <row r="83" spans="2:5" ht="15" customHeight="1">
      <c r="B83" s="12" t="s">
        <v>446</v>
      </c>
      <c r="C83" s="10">
        <v>5</v>
      </c>
      <c r="D83" s="10">
        <v>0</v>
      </c>
      <c r="E83" s="10">
        <v>0</v>
      </c>
    </row>
    <row r="84" spans="2:5" ht="15" customHeight="1">
      <c r="B84" s="12" t="s">
        <v>447</v>
      </c>
      <c r="C84" s="10">
        <v>4</v>
      </c>
      <c r="D84" s="10">
        <v>0</v>
      </c>
      <c r="E84" s="10">
        <v>0</v>
      </c>
    </row>
    <row r="85" spans="2:5" ht="15" customHeight="1">
      <c r="B85" s="12" t="s">
        <v>448</v>
      </c>
      <c r="C85" s="10">
        <v>4</v>
      </c>
      <c r="D85" s="10">
        <v>0</v>
      </c>
      <c r="E85" s="10">
        <v>0</v>
      </c>
    </row>
    <row r="86" spans="2:5" ht="15" customHeight="1">
      <c r="B86" s="12" t="s">
        <v>449</v>
      </c>
      <c r="C86" s="10">
        <v>4</v>
      </c>
      <c r="D86" s="10">
        <v>0</v>
      </c>
      <c r="E86" s="10">
        <v>0</v>
      </c>
    </row>
    <row r="87" spans="2:5" ht="15" customHeight="1">
      <c r="B87" s="12" t="s">
        <v>450</v>
      </c>
      <c r="C87" s="10">
        <v>4</v>
      </c>
      <c r="D87" s="10">
        <v>0</v>
      </c>
      <c r="E87" s="10">
        <v>0</v>
      </c>
    </row>
    <row r="88" spans="2:5" ht="15" customHeight="1">
      <c r="B88" s="12" t="s">
        <v>451</v>
      </c>
      <c r="C88" s="10">
        <v>3</v>
      </c>
      <c r="D88" s="10">
        <v>0</v>
      </c>
      <c r="E88" s="10">
        <v>0</v>
      </c>
    </row>
    <row r="89" spans="2:5" ht="15" customHeight="1">
      <c r="B89" s="12" t="s">
        <v>452</v>
      </c>
      <c r="C89" s="10">
        <v>3</v>
      </c>
      <c r="D89" s="10">
        <v>0</v>
      </c>
      <c r="E89" s="10">
        <v>0</v>
      </c>
    </row>
    <row r="90" spans="2:5" ht="15" customHeight="1">
      <c r="B90" s="12" t="s">
        <v>453</v>
      </c>
      <c r="C90" s="10">
        <v>3</v>
      </c>
      <c r="D90" s="10">
        <v>0</v>
      </c>
      <c r="E90" s="10">
        <v>0</v>
      </c>
    </row>
    <row r="91" spans="2:5" ht="15" customHeight="1">
      <c r="B91" s="12" t="s">
        <v>454</v>
      </c>
      <c r="C91" s="10">
        <v>3</v>
      </c>
      <c r="D91" s="10">
        <v>0</v>
      </c>
      <c r="E91" s="10">
        <v>0</v>
      </c>
    </row>
    <row r="92" spans="2:5" ht="15" customHeight="1">
      <c r="B92" s="12" t="s">
        <v>455</v>
      </c>
      <c r="C92" s="10">
        <v>3</v>
      </c>
      <c r="D92" s="10">
        <v>0</v>
      </c>
      <c r="E92" s="10">
        <v>0</v>
      </c>
    </row>
    <row r="93" spans="2:5" ht="15" customHeight="1">
      <c r="B93" s="12" t="s">
        <v>456</v>
      </c>
      <c r="C93" s="10">
        <v>2</v>
      </c>
      <c r="D93" s="10">
        <v>0</v>
      </c>
      <c r="E93" s="10">
        <v>0</v>
      </c>
    </row>
    <row r="94" spans="2:5" ht="15" customHeight="1">
      <c r="B94" s="12" t="s">
        <v>457</v>
      </c>
      <c r="C94" s="10">
        <v>2</v>
      </c>
      <c r="D94" s="10">
        <v>0</v>
      </c>
      <c r="E94" s="10">
        <v>0</v>
      </c>
    </row>
    <row r="95" spans="2:5" ht="15" customHeight="1">
      <c r="B95" s="12" t="s">
        <v>458</v>
      </c>
      <c r="C95" s="10">
        <v>2</v>
      </c>
      <c r="D95" s="10">
        <v>0</v>
      </c>
      <c r="E95" s="10">
        <v>0</v>
      </c>
    </row>
    <row r="96" spans="2:5" ht="15" customHeight="1">
      <c r="B96" s="12" t="s">
        <v>459</v>
      </c>
      <c r="C96" s="10">
        <v>1</v>
      </c>
      <c r="D96" s="10">
        <v>0</v>
      </c>
      <c r="E96" s="10">
        <v>0</v>
      </c>
    </row>
    <row r="97" spans="2:5" ht="15" customHeight="1">
      <c r="B97" s="12" t="s">
        <v>460</v>
      </c>
      <c r="C97" s="10">
        <v>1</v>
      </c>
      <c r="D97" s="10">
        <v>0</v>
      </c>
      <c r="E97" s="10">
        <v>0</v>
      </c>
    </row>
    <row r="98" spans="2:5" ht="15" customHeight="1">
      <c r="B98" s="12" t="s">
        <v>461</v>
      </c>
      <c r="C98" s="10">
        <v>1</v>
      </c>
      <c r="D98" s="10">
        <v>0</v>
      </c>
      <c r="E98" s="10">
        <v>0</v>
      </c>
    </row>
    <row r="99" spans="2:5" ht="15" customHeight="1">
      <c r="B99" s="12" t="s">
        <v>462</v>
      </c>
      <c r="C99" s="10">
        <v>1</v>
      </c>
      <c r="D99" s="10">
        <v>0</v>
      </c>
      <c r="E99" s="10">
        <v>0</v>
      </c>
    </row>
    <row r="100" spans="2:5" ht="15" customHeight="1">
      <c r="B100" s="12" t="s">
        <v>463</v>
      </c>
      <c r="C100" s="10">
        <v>1</v>
      </c>
      <c r="D100" s="10">
        <v>0</v>
      </c>
      <c r="E100" s="10">
        <v>0</v>
      </c>
    </row>
    <row r="101" spans="2:5" ht="15" customHeight="1">
      <c r="B101" s="12" t="s">
        <v>464</v>
      </c>
      <c r="C101" s="10">
        <v>1</v>
      </c>
      <c r="D101" s="10">
        <v>0</v>
      </c>
      <c r="E101" s="10">
        <v>0</v>
      </c>
    </row>
    <row r="102" spans="2:5" ht="15" customHeight="1">
      <c r="B102" s="12" t="s">
        <v>465</v>
      </c>
      <c r="C102" s="10">
        <v>1</v>
      </c>
      <c r="D102" s="10">
        <v>0</v>
      </c>
      <c r="E102" s="10">
        <v>0</v>
      </c>
    </row>
    <row r="103" spans="2:5" ht="15" customHeight="1">
      <c r="B103" s="12" t="s">
        <v>466</v>
      </c>
      <c r="C103" s="10">
        <v>1</v>
      </c>
      <c r="D103" s="10">
        <v>0</v>
      </c>
      <c r="E103" s="10">
        <v>0</v>
      </c>
    </row>
    <row r="104" spans="2:5" ht="15" customHeight="1">
      <c r="B104" s="12" t="s">
        <v>467</v>
      </c>
      <c r="C104" s="10">
        <v>1</v>
      </c>
      <c r="D104" s="10">
        <v>0</v>
      </c>
      <c r="E104" s="10">
        <v>0</v>
      </c>
    </row>
    <row r="105" spans="2:5" ht="15" customHeight="1">
      <c r="B105" s="12" t="s">
        <v>468</v>
      </c>
      <c r="C105" s="10">
        <v>1</v>
      </c>
      <c r="D105" s="10">
        <v>0</v>
      </c>
      <c r="E105" s="10">
        <v>0</v>
      </c>
    </row>
    <row r="106" spans="2:5" ht="15" customHeight="1">
      <c r="B106" s="12" t="s">
        <v>469</v>
      </c>
      <c r="C106" s="10">
        <v>1</v>
      </c>
      <c r="D106" s="10">
        <v>0</v>
      </c>
      <c r="E106" s="10">
        <v>0</v>
      </c>
    </row>
    <row r="107" spans="2:5" ht="15" customHeight="1">
      <c r="B107" s="12" t="s">
        <v>470</v>
      </c>
      <c r="C107" s="10">
        <v>1</v>
      </c>
      <c r="D107" s="10">
        <v>0</v>
      </c>
      <c r="E107" s="10">
        <v>0</v>
      </c>
    </row>
    <row r="108" spans="2:5" ht="15" customHeight="1">
      <c r="B108" s="12" t="s">
        <v>471</v>
      </c>
      <c r="C108" s="10">
        <v>277</v>
      </c>
      <c r="D108" s="10">
        <v>1</v>
      </c>
      <c r="E108" s="10">
        <v>1</v>
      </c>
    </row>
    <row r="110" spans="2:2" ht="15" customHeight="1">
      <c r="B110" s="27" t="s">
        <v>472</v>
      </c>
    </row>
    <row r="114" spans="2:2" ht="12.75">
      <c r="B114" s="5" t="s">
        <v>473</v>
      </c>
    </row>
    <row r="116" spans="2:2" ht="12.75"/>
    <row r="138" spans="2:5" ht="30" customHeight="1">
      <c r="B138" s="6" t="s">
        <v>393</v>
      </c>
      <c r="C138" s="7" t="s">
        <v>7</v>
      </c>
      <c r="D138" s="7" t="s">
        <v>8</v>
      </c>
      <c r="E138" s="7" t="s">
        <v>9</v>
      </c>
    </row>
    <row r="139" spans="2:5" ht="15" customHeight="1">
      <c r="B139" s="12" t="s">
        <v>93</v>
      </c>
      <c r="C139" s="10">
        <v>24937132</v>
      </c>
      <c r="D139" s="10">
        <v>3437</v>
      </c>
      <c r="E139" s="10">
        <v>0</v>
      </c>
    </row>
    <row r="140" spans="2:5" ht="15" customHeight="1">
      <c r="B140" s="12" t="s">
        <v>398</v>
      </c>
      <c r="C140" s="10">
        <v>6757612</v>
      </c>
      <c r="D140" s="10">
        <v>0</v>
      </c>
      <c r="E140" s="10">
        <v>0</v>
      </c>
    </row>
    <row r="141" spans="2:5" ht="15" customHeight="1">
      <c r="B141" s="12" t="s">
        <v>395</v>
      </c>
      <c r="C141" s="10">
        <v>3671700</v>
      </c>
      <c r="D141" s="10">
        <v>0</v>
      </c>
      <c r="E141" s="10">
        <v>0</v>
      </c>
    </row>
    <row r="142" spans="2:5" ht="15" customHeight="1">
      <c r="B142" s="12" t="s">
        <v>399</v>
      </c>
      <c r="C142" s="10">
        <v>2358804</v>
      </c>
      <c r="D142" s="10">
        <v>0</v>
      </c>
      <c r="E142" s="10">
        <v>0</v>
      </c>
    </row>
    <row r="143" spans="2:5" ht="15" customHeight="1">
      <c r="B143" s="12" t="s">
        <v>409</v>
      </c>
      <c r="C143" s="10">
        <v>2246868</v>
      </c>
      <c r="D143" s="10">
        <v>0</v>
      </c>
      <c r="E143" s="10">
        <v>0</v>
      </c>
    </row>
    <row r="144" spans="2:5" ht="15" customHeight="1">
      <c r="B144" s="12" t="s">
        <v>396</v>
      </c>
      <c r="C144" s="10">
        <v>1674277</v>
      </c>
      <c r="D144" s="10">
        <v>0</v>
      </c>
      <c r="E144" s="10">
        <v>0</v>
      </c>
    </row>
    <row r="145" spans="2:5" ht="15" customHeight="1">
      <c r="B145" s="12" t="s">
        <v>433</v>
      </c>
      <c r="C145" s="10">
        <v>1420972</v>
      </c>
      <c r="D145" s="10">
        <v>0</v>
      </c>
      <c r="E145" s="10">
        <v>0</v>
      </c>
    </row>
    <row r="146" spans="2:5" ht="15" customHeight="1">
      <c r="B146" s="12" t="s">
        <v>430</v>
      </c>
      <c r="C146" s="10">
        <v>1409325</v>
      </c>
      <c r="D146" s="10">
        <v>0</v>
      </c>
      <c r="E146" s="10">
        <v>0</v>
      </c>
    </row>
    <row r="147" spans="2:5" ht="15" customHeight="1">
      <c r="B147" s="12" t="s">
        <v>394</v>
      </c>
      <c r="C147" s="10">
        <v>1386036</v>
      </c>
      <c r="D147" s="10">
        <v>24003</v>
      </c>
      <c r="E147" s="10">
        <v>0</v>
      </c>
    </row>
    <row r="148" spans="2:5" ht="15" customHeight="1">
      <c r="B148" s="12" t="s">
        <v>441</v>
      </c>
      <c r="C148" s="10">
        <v>1304099</v>
      </c>
      <c r="D148" s="10">
        <v>0</v>
      </c>
      <c r="E148" s="10">
        <v>0</v>
      </c>
    </row>
    <row r="149" spans="2:5" ht="15" customHeight="1">
      <c r="B149" s="12" t="s">
        <v>422</v>
      </c>
      <c r="C149" s="10">
        <v>667021</v>
      </c>
      <c r="D149" s="10">
        <v>0</v>
      </c>
      <c r="E149" s="10">
        <v>0</v>
      </c>
    </row>
    <row r="150" spans="2:5" ht="15" customHeight="1">
      <c r="B150" s="12" t="s">
        <v>416</v>
      </c>
      <c r="C150" s="10">
        <v>652424</v>
      </c>
      <c r="D150" s="10">
        <v>0</v>
      </c>
      <c r="E150" s="10">
        <v>0</v>
      </c>
    </row>
    <row r="151" spans="2:5" ht="15" customHeight="1">
      <c r="B151" s="12" t="s">
        <v>425</v>
      </c>
      <c r="C151" s="10">
        <v>627307</v>
      </c>
      <c r="D151" s="10">
        <v>0</v>
      </c>
      <c r="E151" s="10">
        <v>0</v>
      </c>
    </row>
    <row r="152" spans="2:5" ht="15" customHeight="1">
      <c r="B152" s="12" t="s">
        <v>401</v>
      </c>
      <c r="C152" s="10">
        <v>616506</v>
      </c>
      <c r="D152" s="10">
        <v>0</v>
      </c>
      <c r="E152" s="10">
        <v>0</v>
      </c>
    </row>
    <row r="153" spans="2:5" ht="15" customHeight="1">
      <c r="B153" s="12" t="s">
        <v>410</v>
      </c>
      <c r="C153" s="10">
        <v>566001</v>
      </c>
      <c r="D153" s="10">
        <v>0</v>
      </c>
      <c r="E153" s="10">
        <v>0</v>
      </c>
    </row>
    <row r="154" spans="2:5" ht="15" customHeight="1">
      <c r="B154" s="12" t="s">
        <v>450</v>
      </c>
      <c r="C154" s="10">
        <v>478158</v>
      </c>
      <c r="D154" s="10">
        <v>0</v>
      </c>
      <c r="E154" s="10">
        <v>0</v>
      </c>
    </row>
    <row r="155" spans="2:5" ht="15" customHeight="1">
      <c r="B155" s="12" t="s">
        <v>400</v>
      </c>
      <c r="C155" s="10">
        <v>426453</v>
      </c>
      <c r="D155" s="10">
        <v>0</v>
      </c>
      <c r="E155" s="10">
        <v>0</v>
      </c>
    </row>
    <row r="156" spans="2:5" ht="15" customHeight="1">
      <c r="B156" s="12" t="s">
        <v>440</v>
      </c>
      <c r="C156" s="10">
        <v>408661</v>
      </c>
      <c r="D156" s="10">
        <v>0</v>
      </c>
      <c r="E156" s="10">
        <v>0</v>
      </c>
    </row>
    <row r="157" spans="2:5" ht="15" customHeight="1">
      <c r="B157" s="12" t="s">
        <v>436</v>
      </c>
      <c r="C157" s="10">
        <v>267390</v>
      </c>
      <c r="D157" s="10">
        <v>0</v>
      </c>
      <c r="E157" s="10">
        <v>0</v>
      </c>
    </row>
    <row r="158" spans="2:5" ht="15" customHeight="1">
      <c r="B158" s="12" t="s">
        <v>402</v>
      </c>
      <c r="C158" s="10">
        <v>262339</v>
      </c>
      <c r="D158" s="10">
        <v>0</v>
      </c>
      <c r="E158" s="10">
        <v>0</v>
      </c>
    </row>
    <row r="159" spans="2:5" ht="15" customHeight="1">
      <c r="B159" s="12" t="s">
        <v>415</v>
      </c>
      <c r="C159" s="10">
        <v>247613</v>
      </c>
      <c r="D159" s="10">
        <v>5845</v>
      </c>
      <c r="E159" s="10">
        <v>0</v>
      </c>
    </row>
    <row r="160" spans="2:5" ht="15" customHeight="1">
      <c r="B160" s="12" t="s">
        <v>424</v>
      </c>
      <c r="C160" s="10">
        <v>245243</v>
      </c>
      <c r="D160" s="10">
        <v>0</v>
      </c>
      <c r="E160" s="10">
        <v>0</v>
      </c>
    </row>
    <row r="161" spans="2:5" ht="15" customHeight="1">
      <c r="B161" s="12" t="s">
        <v>404</v>
      </c>
      <c r="C161" s="10">
        <v>237238</v>
      </c>
      <c r="D161" s="10">
        <v>0</v>
      </c>
      <c r="E161" s="10">
        <v>0</v>
      </c>
    </row>
    <row r="162" spans="2:5" ht="15" customHeight="1">
      <c r="B162" s="12" t="s">
        <v>427</v>
      </c>
      <c r="C162" s="10">
        <v>221962</v>
      </c>
      <c r="D162" s="10">
        <v>0</v>
      </c>
      <c r="E162" s="10">
        <v>0</v>
      </c>
    </row>
    <row r="163" spans="2:5" ht="15" customHeight="1">
      <c r="B163" s="12" t="s">
        <v>408</v>
      </c>
      <c r="C163" s="10">
        <v>203154</v>
      </c>
      <c r="D163" s="10">
        <v>0</v>
      </c>
      <c r="E163" s="10">
        <v>0</v>
      </c>
    </row>
    <row r="164" spans="2:5" ht="15" customHeight="1">
      <c r="B164" s="12" t="s">
        <v>406</v>
      </c>
      <c r="C164" s="10">
        <v>175078</v>
      </c>
      <c r="D164" s="10">
        <v>0</v>
      </c>
      <c r="E164" s="10">
        <v>0</v>
      </c>
    </row>
    <row r="165" spans="2:5" ht="15" customHeight="1">
      <c r="B165" s="12" t="s">
        <v>413</v>
      </c>
      <c r="C165" s="10">
        <v>141147</v>
      </c>
      <c r="D165" s="10">
        <v>0</v>
      </c>
      <c r="E165" s="10">
        <v>0</v>
      </c>
    </row>
    <row r="166" spans="2:5" ht="15" customHeight="1">
      <c r="B166" s="12" t="s">
        <v>414</v>
      </c>
      <c r="C166" s="10">
        <v>139607</v>
      </c>
      <c r="D166" s="10">
        <v>0</v>
      </c>
      <c r="E166" s="10">
        <v>0</v>
      </c>
    </row>
    <row r="167" spans="2:5" ht="15" customHeight="1">
      <c r="B167" s="12" t="s">
        <v>417</v>
      </c>
      <c r="C167" s="10">
        <v>136977</v>
      </c>
      <c r="D167" s="10">
        <v>0</v>
      </c>
      <c r="E167" s="10">
        <v>0</v>
      </c>
    </row>
    <row r="168" spans="2:5" ht="15" customHeight="1">
      <c r="B168" s="12" t="s">
        <v>405</v>
      </c>
      <c r="C168" s="10">
        <v>135684</v>
      </c>
      <c r="D168" s="10">
        <v>0</v>
      </c>
      <c r="E168" s="10">
        <v>0</v>
      </c>
    </row>
    <row r="169" spans="2:5" ht="15" customHeight="1">
      <c r="B169" s="12" t="s">
        <v>428</v>
      </c>
      <c r="C169" s="10">
        <v>130059</v>
      </c>
      <c r="D169" s="10">
        <v>22770</v>
      </c>
      <c r="E169" s="10">
        <v>0</v>
      </c>
    </row>
    <row r="170" spans="2:5" ht="15" customHeight="1">
      <c r="B170" s="12" t="s">
        <v>423</v>
      </c>
      <c r="C170" s="10">
        <v>102936</v>
      </c>
      <c r="D170" s="10">
        <v>0</v>
      </c>
      <c r="E170" s="10">
        <v>0</v>
      </c>
    </row>
    <row r="171" spans="2:5" ht="15" customHeight="1">
      <c r="B171" s="12" t="s">
        <v>397</v>
      </c>
      <c r="C171" s="10">
        <v>96435</v>
      </c>
      <c r="D171" s="10">
        <v>0</v>
      </c>
      <c r="E171" s="10">
        <v>0</v>
      </c>
    </row>
    <row r="172" spans="2:5" ht="15" customHeight="1">
      <c r="B172" s="12" t="s">
        <v>418</v>
      </c>
      <c r="C172" s="10">
        <v>72402</v>
      </c>
      <c r="D172" s="10">
        <v>42011</v>
      </c>
      <c r="E172" s="10">
        <v>0</v>
      </c>
    </row>
    <row r="173" spans="2:5" ht="15" customHeight="1">
      <c r="B173" s="12" t="s">
        <v>429</v>
      </c>
      <c r="C173" s="10">
        <v>72213</v>
      </c>
      <c r="D173" s="10">
        <v>0</v>
      </c>
      <c r="E173" s="10">
        <v>0</v>
      </c>
    </row>
    <row r="174" spans="2:5" ht="15" customHeight="1">
      <c r="B174" s="12" t="s">
        <v>407</v>
      </c>
      <c r="C174" s="10">
        <v>71417</v>
      </c>
      <c r="D174" s="10">
        <v>66229</v>
      </c>
      <c r="E174" s="10">
        <v>0</v>
      </c>
    </row>
    <row r="175" spans="2:5" ht="15" customHeight="1">
      <c r="B175" s="12" t="s">
        <v>426</v>
      </c>
      <c r="C175" s="10">
        <v>65560</v>
      </c>
      <c r="D175" s="10">
        <v>0</v>
      </c>
      <c r="E175" s="10">
        <v>0</v>
      </c>
    </row>
    <row r="176" spans="2:5" ht="15" customHeight="1">
      <c r="B176" s="12" t="s">
        <v>420</v>
      </c>
      <c r="C176" s="10">
        <v>64905</v>
      </c>
      <c r="D176" s="10">
        <v>0</v>
      </c>
      <c r="E176" s="10">
        <v>0</v>
      </c>
    </row>
    <row r="177" spans="2:5" ht="15" customHeight="1">
      <c r="B177" s="12" t="s">
        <v>431</v>
      </c>
      <c r="C177" s="10">
        <v>49906</v>
      </c>
      <c r="D177" s="10">
        <v>0</v>
      </c>
      <c r="E177" s="10">
        <v>0</v>
      </c>
    </row>
    <row r="178" spans="2:5" ht="15" customHeight="1">
      <c r="B178" s="12" t="s">
        <v>411</v>
      </c>
      <c r="C178" s="10">
        <v>40383</v>
      </c>
      <c r="D178" s="10">
        <v>0</v>
      </c>
      <c r="E178" s="10">
        <v>0</v>
      </c>
    </row>
    <row r="179" spans="2:5" ht="15" customHeight="1">
      <c r="B179" s="12" t="s">
        <v>444</v>
      </c>
      <c r="C179" s="10">
        <v>33348</v>
      </c>
      <c r="D179" s="10">
        <v>0</v>
      </c>
      <c r="E179" s="10">
        <v>0</v>
      </c>
    </row>
    <row r="180" spans="2:5" ht="15" customHeight="1">
      <c r="B180" s="12" t="s">
        <v>419</v>
      </c>
      <c r="C180" s="10">
        <v>32465</v>
      </c>
      <c r="D180" s="10">
        <v>0</v>
      </c>
      <c r="E180" s="10">
        <v>0</v>
      </c>
    </row>
    <row r="181" spans="2:5" ht="15" customHeight="1">
      <c r="B181" s="12" t="s">
        <v>403</v>
      </c>
      <c r="C181" s="10">
        <v>26974</v>
      </c>
      <c r="D181" s="10">
        <v>0</v>
      </c>
      <c r="E181" s="10">
        <v>0</v>
      </c>
    </row>
    <row r="182" spans="2:5" ht="15" customHeight="1">
      <c r="B182" s="12" t="s">
        <v>448</v>
      </c>
      <c r="C182" s="10">
        <v>17417</v>
      </c>
      <c r="D182" s="10">
        <v>0</v>
      </c>
      <c r="E182" s="10">
        <v>0</v>
      </c>
    </row>
    <row r="183" spans="2:5" ht="15" customHeight="1">
      <c r="B183" s="12" t="s">
        <v>451</v>
      </c>
      <c r="C183" s="10">
        <v>16485</v>
      </c>
      <c r="D183" s="10">
        <v>0</v>
      </c>
      <c r="E183" s="10">
        <v>0</v>
      </c>
    </row>
    <row r="184" spans="2:5" ht="15" customHeight="1">
      <c r="B184" s="12" t="s">
        <v>439</v>
      </c>
      <c r="C184" s="10">
        <v>16472</v>
      </c>
      <c r="D184" s="10">
        <v>0</v>
      </c>
      <c r="E184" s="10">
        <v>0</v>
      </c>
    </row>
    <row r="185" spans="2:5" ht="15" customHeight="1">
      <c r="B185" s="12" t="s">
        <v>442</v>
      </c>
      <c r="C185" s="10">
        <v>15965</v>
      </c>
      <c r="D185" s="10">
        <v>0</v>
      </c>
      <c r="E185" s="10">
        <v>0</v>
      </c>
    </row>
    <row r="186" spans="2:5" ht="15" customHeight="1">
      <c r="B186" s="12" t="s">
        <v>452</v>
      </c>
      <c r="C186" s="10">
        <v>11773</v>
      </c>
      <c r="D186" s="10">
        <v>0</v>
      </c>
      <c r="E186" s="10">
        <v>0</v>
      </c>
    </row>
    <row r="187" spans="2:5" ht="15" customHeight="1">
      <c r="B187" s="12" t="s">
        <v>412</v>
      </c>
      <c r="C187" s="10">
        <v>10890</v>
      </c>
      <c r="D187" s="10">
        <v>0</v>
      </c>
      <c r="E187" s="10">
        <v>0</v>
      </c>
    </row>
    <row r="188" spans="2:5" ht="15" customHeight="1">
      <c r="B188" s="12" t="s">
        <v>437</v>
      </c>
      <c r="C188" s="10">
        <v>8781</v>
      </c>
      <c r="D188" s="10">
        <v>0</v>
      </c>
      <c r="E188" s="10">
        <v>0</v>
      </c>
    </row>
    <row r="189" spans="2:5" ht="15" customHeight="1">
      <c r="B189" s="12" t="s">
        <v>455</v>
      </c>
      <c r="C189" s="10">
        <v>7709</v>
      </c>
      <c r="D189" s="10">
        <v>0</v>
      </c>
      <c r="E189" s="10">
        <v>0</v>
      </c>
    </row>
    <row r="190" spans="2:5" ht="15" customHeight="1">
      <c r="B190" s="12" t="s">
        <v>434</v>
      </c>
      <c r="C190" s="10">
        <v>7427</v>
      </c>
      <c r="D190" s="10">
        <v>0</v>
      </c>
      <c r="E190" s="10">
        <v>0</v>
      </c>
    </row>
    <row r="191" spans="2:5" ht="15" customHeight="1">
      <c r="B191" s="12" t="s">
        <v>438</v>
      </c>
      <c r="C191" s="10">
        <v>7026</v>
      </c>
      <c r="D191" s="10">
        <v>0</v>
      </c>
      <c r="E191" s="10">
        <v>0</v>
      </c>
    </row>
    <row r="192" spans="2:5" ht="15" customHeight="1">
      <c r="B192" s="12" t="s">
        <v>443</v>
      </c>
      <c r="C192" s="10">
        <v>6725</v>
      </c>
      <c r="D192" s="10">
        <v>0</v>
      </c>
      <c r="E192" s="10">
        <v>0</v>
      </c>
    </row>
    <row r="193" spans="2:5" ht="15" customHeight="1">
      <c r="B193" s="12" t="s">
        <v>435</v>
      </c>
      <c r="C193" s="10">
        <v>6553</v>
      </c>
      <c r="D193" s="10">
        <v>0</v>
      </c>
      <c r="E193" s="10">
        <v>0</v>
      </c>
    </row>
    <row r="194" spans="2:5" ht="15" customHeight="1">
      <c r="B194" s="12" t="s">
        <v>447</v>
      </c>
      <c r="C194" s="10">
        <v>6490</v>
      </c>
      <c r="D194" s="10">
        <v>0</v>
      </c>
      <c r="E194" s="10">
        <v>0</v>
      </c>
    </row>
    <row r="195" spans="2:5" ht="15" customHeight="1">
      <c r="B195" s="12" t="s">
        <v>449</v>
      </c>
      <c r="C195" s="10">
        <v>6388</v>
      </c>
      <c r="D195" s="10">
        <v>0</v>
      </c>
      <c r="E195" s="10">
        <v>0</v>
      </c>
    </row>
    <row r="196" spans="2:5" ht="15" customHeight="1">
      <c r="B196" s="12" t="s">
        <v>432</v>
      </c>
      <c r="C196" s="10">
        <v>6237</v>
      </c>
      <c r="D196" s="10">
        <v>0</v>
      </c>
      <c r="E196" s="10">
        <v>0</v>
      </c>
    </row>
    <row r="197" spans="2:5" ht="15" customHeight="1">
      <c r="B197" s="12" t="s">
        <v>446</v>
      </c>
      <c r="C197" s="10">
        <v>4199</v>
      </c>
      <c r="D197" s="10">
        <v>0</v>
      </c>
      <c r="E197" s="10">
        <v>0</v>
      </c>
    </row>
    <row r="198" spans="2:5" ht="15" customHeight="1">
      <c r="B198" s="12" t="s">
        <v>468</v>
      </c>
      <c r="C198" s="10">
        <v>2555</v>
      </c>
      <c r="D198" s="10">
        <v>0</v>
      </c>
      <c r="E198" s="10">
        <v>0</v>
      </c>
    </row>
    <row r="199" spans="2:5" ht="15" customHeight="1">
      <c r="B199" s="12" t="s">
        <v>457</v>
      </c>
      <c r="C199" s="10">
        <v>2528</v>
      </c>
      <c r="D199" s="10">
        <v>0</v>
      </c>
      <c r="E199" s="10">
        <v>0</v>
      </c>
    </row>
    <row r="200" spans="2:5" ht="15" customHeight="1">
      <c r="B200" s="12" t="s">
        <v>464</v>
      </c>
      <c r="C200" s="10">
        <v>2401</v>
      </c>
      <c r="D200" s="10">
        <v>0</v>
      </c>
      <c r="E200" s="10">
        <v>0</v>
      </c>
    </row>
    <row r="201" spans="2:5" ht="15" customHeight="1">
      <c r="B201" s="12" t="s">
        <v>445</v>
      </c>
      <c r="C201" s="10">
        <v>2249</v>
      </c>
      <c r="D201" s="10">
        <v>0</v>
      </c>
      <c r="E201" s="10">
        <v>0</v>
      </c>
    </row>
    <row r="202" spans="2:5" ht="15" customHeight="1">
      <c r="B202" s="12" t="s">
        <v>454</v>
      </c>
      <c r="C202" s="10">
        <v>1957</v>
      </c>
      <c r="D202" s="10">
        <v>0</v>
      </c>
      <c r="E202" s="10">
        <v>0</v>
      </c>
    </row>
    <row r="203" spans="2:5" ht="15" customHeight="1">
      <c r="B203" s="12" t="s">
        <v>421</v>
      </c>
      <c r="C203" s="10">
        <v>1859</v>
      </c>
      <c r="D203" s="10">
        <v>0</v>
      </c>
      <c r="E203" s="10">
        <v>0</v>
      </c>
    </row>
    <row r="204" spans="2:5" ht="15" customHeight="1">
      <c r="B204" s="12" t="s">
        <v>461</v>
      </c>
      <c r="C204" s="10">
        <v>1668</v>
      </c>
      <c r="D204" s="10">
        <v>0</v>
      </c>
      <c r="E204" s="10">
        <v>0</v>
      </c>
    </row>
    <row r="205" spans="2:5" ht="15" customHeight="1">
      <c r="B205" s="12" t="s">
        <v>466</v>
      </c>
      <c r="C205" s="10">
        <v>1590</v>
      </c>
      <c r="D205" s="10">
        <v>0</v>
      </c>
      <c r="E205" s="10">
        <v>0</v>
      </c>
    </row>
    <row r="206" spans="2:5" ht="15" customHeight="1">
      <c r="B206" s="12" t="s">
        <v>458</v>
      </c>
      <c r="C206" s="10">
        <v>1126</v>
      </c>
      <c r="D206" s="10">
        <v>0</v>
      </c>
      <c r="E206" s="10">
        <v>0</v>
      </c>
    </row>
    <row r="207" spans="2:5" ht="15" customHeight="1">
      <c r="B207" s="12" t="s">
        <v>459</v>
      </c>
      <c r="C207" s="10">
        <v>832</v>
      </c>
      <c r="D207" s="10">
        <v>0</v>
      </c>
      <c r="E207" s="10">
        <v>0</v>
      </c>
    </row>
    <row r="208" spans="2:5" ht="15" customHeight="1">
      <c r="B208" s="12" t="s">
        <v>463</v>
      </c>
      <c r="C208" s="10">
        <v>760</v>
      </c>
      <c r="D208" s="10">
        <v>0</v>
      </c>
      <c r="E208" s="10">
        <v>0</v>
      </c>
    </row>
    <row r="209" spans="2:5" ht="15" customHeight="1">
      <c r="B209" s="12" t="s">
        <v>456</v>
      </c>
      <c r="C209" s="10">
        <v>578</v>
      </c>
      <c r="D209" s="10">
        <v>0</v>
      </c>
      <c r="E209" s="10">
        <v>0</v>
      </c>
    </row>
    <row r="210" spans="2:5" ht="15" customHeight="1">
      <c r="B210" s="12" t="s">
        <v>465</v>
      </c>
      <c r="C210" s="10">
        <v>424</v>
      </c>
      <c r="D210" s="10">
        <v>0</v>
      </c>
      <c r="E210" s="10">
        <v>0</v>
      </c>
    </row>
    <row r="211" spans="2:5" ht="15" customHeight="1">
      <c r="B211" s="12" t="s">
        <v>470</v>
      </c>
      <c r="C211" s="10">
        <v>411</v>
      </c>
      <c r="D211" s="10">
        <v>0</v>
      </c>
      <c r="E211" s="10">
        <v>0</v>
      </c>
    </row>
    <row r="212" spans="2:5" ht="15" customHeight="1">
      <c r="B212" s="12" t="s">
        <v>469</v>
      </c>
      <c r="C212" s="10">
        <v>384</v>
      </c>
      <c r="D212" s="10">
        <v>0</v>
      </c>
      <c r="E212" s="10">
        <v>0</v>
      </c>
    </row>
    <row r="213" spans="2:5" ht="15" customHeight="1">
      <c r="B213" s="12" t="s">
        <v>453</v>
      </c>
      <c r="C213" s="10">
        <v>268</v>
      </c>
      <c r="D213" s="10">
        <v>0</v>
      </c>
      <c r="E213" s="10">
        <v>0</v>
      </c>
    </row>
    <row r="214" spans="2:5" ht="15" customHeight="1">
      <c r="B214" s="12" t="s">
        <v>467</v>
      </c>
      <c r="C214" s="10">
        <v>248</v>
      </c>
      <c r="D214" s="10">
        <v>0</v>
      </c>
      <c r="E214" s="10">
        <v>0</v>
      </c>
    </row>
    <row r="215" spans="2:5" ht="15" customHeight="1">
      <c r="B215" s="12" t="s">
        <v>460</v>
      </c>
      <c r="C215" s="10">
        <v>103</v>
      </c>
      <c r="D215" s="10">
        <v>0</v>
      </c>
      <c r="E215" s="10">
        <v>0</v>
      </c>
    </row>
    <row r="216" spans="2:5" ht="15" customHeight="1">
      <c r="B216" s="12" t="s">
        <v>462</v>
      </c>
      <c r="C216" s="10">
        <v>42</v>
      </c>
      <c r="D216" s="10">
        <v>0</v>
      </c>
      <c r="E216" s="10">
        <v>0</v>
      </c>
    </row>
    <row r="217" spans="2:5" ht="15" customHeight="1">
      <c r="B217" s="12" t="s">
        <v>471</v>
      </c>
      <c r="C217" s="10">
        <v>8004705</v>
      </c>
      <c r="D217" s="10">
        <v>0</v>
      </c>
      <c r="E217" s="10">
        <v>145545</v>
      </c>
    </row>
  </sheetData>
  <hyperlinks>
    <hyperlink ref="C1" location="Содержание!B4" display="К содержанию"/>
  </hyperlinks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414f7f9-5ece-4c2e-aee0-9a007e796639}">
  <dimension ref="B1:E539"/>
  <sheetViews>
    <sheetView showGridLines="0" workbookViewId="0" topLeftCell="A1"/>
  </sheetViews>
  <sheetFormatPr defaultRowHeight="12.75"/>
  <cols>
    <col min="1" max="1" width="4.714285714285714" customWidth="1"/>
    <col min="2" max="2" width="22.714285714285715" customWidth="1"/>
    <col min="3" max="6" width="17.857142857142858" customWidth="1"/>
  </cols>
  <sheetData>
    <row r="1" spans="2:3" s="1" customFormat="1" ht="30" customHeight="1">
      <c r="B1" s="1" t="s">
        <v>0</v>
      </c>
      <c r="C1" s="4" t="s">
        <v>2</v>
      </c>
    </row>
    <row r="4" spans="2:2" ht="12.75">
      <c r="B4" s="2" t="s">
        <v>38</v>
      </c>
    </row>
    <row r="6" spans="2:2" ht="12.75"/>
    <row r="7" ht="13" customHeight="1"/>
    <row r="8" ht="13" customHeight="1"/>
    <row r="9" ht="13" customHeight="1"/>
    <row r="10" ht="13" customHeight="1"/>
    <row r="11" ht="13" customHeight="1"/>
    <row r="12" ht="13" customHeight="1"/>
    <row r="13" ht="13" customHeight="1"/>
    <row r="14" ht="13" customHeight="1"/>
    <row r="15" ht="13" customHeight="1"/>
    <row r="16" ht="13" customHeight="1"/>
    <row r="17" ht="13" customHeight="1"/>
    <row r="18" ht="13" customHeight="1"/>
    <row r="19" ht="13" customHeight="1"/>
    <row r="20" ht="13" customHeight="1"/>
    <row r="21" ht="13" customHeight="1"/>
    <row r="22" ht="13" customHeight="1"/>
    <row r="23" ht="13" customHeight="1"/>
    <row r="24" ht="13" customHeight="1"/>
    <row r="25" ht="13" customHeight="1"/>
    <row r="26" ht="13" customHeight="1"/>
    <row r="27" ht="13" customHeight="1"/>
    <row r="28" ht="13" customHeight="1"/>
    <row r="29" spans="2:5" ht="30" customHeight="1">
      <c r="B29" s="6" t="s">
        <v>474</v>
      </c>
      <c r="C29" s="7" t="s">
        <v>7</v>
      </c>
      <c r="D29" s="7" t="s">
        <v>8</v>
      </c>
      <c r="E29" s="7" t="s">
        <v>9</v>
      </c>
    </row>
    <row r="30" spans="2:5" ht="15" customHeight="1">
      <c r="B30" s="12" t="s">
        <v>93</v>
      </c>
      <c r="C30" s="10">
        <v>223</v>
      </c>
      <c r="D30" s="10">
        <v>1</v>
      </c>
      <c r="E30" s="10">
        <v>0</v>
      </c>
    </row>
    <row r="31" spans="2:5" ht="15" customHeight="1">
      <c r="B31" s="12" t="s">
        <v>394</v>
      </c>
      <c r="C31" s="10">
        <v>72</v>
      </c>
      <c r="D31" s="10">
        <v>1</v>
      </c>
      <c r="E31" s="10">
        <v>0</v>
      </c>
    </row>
    <row r="32" spans="2:5" ht="15" customHeight="1">
      <c r="B32" s="12" t="s">
        <v>475</v>
      </c>
      <c r="C32" s="10">
        <v>50</v>
      </c>
      <c r="D32" s="10">
        <v>0</v>
      </c>
      <c r="E32" s="10">
        <v>0</v>
      </c>
    </row>
    <row r="33" spans="2:5" ht="15" customHeight="1">
      <c r="B33" s="12" t="s">
        <v>476</v>
      </c>
      <c r="C33" s="10">
        <v>36</v>
      </c>
      <c r="D33" s="10">
        <v>0</v>
      </c>
      <c r="E33" s="10">
        <v>0</v>
      </c>
    </row>
    <row r="34" spans="2:5" ht="15" customHeight="1">
      <c r="B34" s="12" t="s">
        <v>477</v>
      </c>
      <c r="C34" s="10">
        <v>20</v>
      </c>
      <c r="D34" s="10">
        <v>0</v>
      </c>
      <c r="E34" s="10">
        <v>0</v>
      </c>
    </row>
    <row r="35" spans="2:5" ht="15" customHeight="1">
      <c r="B35" s="12" t="s">
        <v>478</v>
      </c>
      <c r="C35" s="10">
        <v>17</v>
      </c>
      <c r="D35" s="10">
        <v>0</v>
      </c>
      <c r="E35" s="10">
        <v>0</v>
      </c>
    </row>
    <row r="36" spans="2:5" ht="15" customHeight="1">
      <c r="B36" s="12" t="s">
        <v>479</v>
      </c>
      <c r="C36" s="10">
        <v>15</v>
      </c>
      <c r="D36" s="10">
        <v>0</v>
      </c>
      <c r="E36" s="10">
        <v>0</v>
      </c>
    </row>
    <row r="37" spans="2:5" ht="15" customHeight="1">
      <c r="B37" s="12" t="s">
        <v>480</v>
      </c>
      <c r="C37" s="10">
        <v>14</v>
      </c>
      <c r="D37" s="10">
        <v>0</v>
      </c>
      <c r="E37" s="10">
        <v>0</v>
      </c>
    </row>
    <row r="38" spans="2:5" ht="15" customHeight="1">
      <c r="B38" s="12" t="s">
        <v>481</v>
      </c>
      <c r="C38" s="10">
        <v>13</v>
      </c>
      <c r="D38" s="10">
        <v>0</v>
      </c>
      <c r="E38" s="10">
        <v>0</v>
      </c>
    </row>
    <row r="39" spans="2:5" ht="15" customHeight="1">
      <c r="B39" s="12" t="s">
        <v>482</v>
      </c>
      <c r="C39" s="10">
        <v>12</v>
      </c>
      <c r="D39" s="10">
        <v>0</v>
      </c>
      <c r="E39" s="10">
        <v>0</v>
      </c>
    </row>
    <row r="40" spans="2:5" ht="15" customHeight="1">
      <c r="B40" s="12" t="s">
        <v>483</v>
      </c>
      <c r="C40" s="10">
        <v>12</v>
      </c>
      <c r="D40" s="10">
        <v>0</v>
      </c>
      <c r="E40" s="10">
        <v>0</v>
      </c>
    </row>
    <row r="41" spans="2:5" ht="15" customHeight="1">
      <c r="B41" s="12" t="s">
        <v>484</v>
      </c>
      <c r="C41" s="10">
        <v>11</v>
      </c>
      <c r="D41" s="10">
        <v>0</v>
      </c>
      <c r="E41" s="10">
        <v>0</v>
      </c>
    </row>
    <row r="42" spans="2:5" ht="15" customHeight="1">
      <c r="B42" s="12" t="s">
        <v>485</v>
      </c>
      <c r="C42" s="10">
        <v>11</v>
      </c>
      <c r="D42" s="10">
        <v>0</v>
      </c>
      <c r="E42" s="10">
        <v>0</v>
      </c>
    </row>
    <row r="43" spans="2:5" ht="15" customHeight="1">
      <c r="B43" s="12" t="s">
        <v>486</v>
      </c>
      <c r="C43" s="10">
        <v>10</v>
      </c>
      <c r="D43" s="10">
        <v>1</v>
      </c>
      <c r="E43" s="10">
        <v>0</v>
      </c>
    </row>
    <row r="44" spans="2:5" ht="15" customHeight="1">
      <c r="B44" s="12" t="s">
        <v>487</v>
      </c>
      <c r="C44" s="10">
        <v>9</v>
      </c>
      <c r="D44" s="10">
        <v>1</v>
      </c>
      <c r="E44" s="10">
        <v>0</v>
      </c>
    </row>
    <row r="45" spans="2:5" ht="15" customHeight="1">
      <c r="B45" s="12" t="s">
        <v>488</v>
      </c>
      <c r="C45" s="10">
        <v>10</v>
      </c>
      <c r="D45" s="10">
        <v>0</v>
      </c>
      <c r="E45" s="10">
        <v>0</v>
      </c>
    </row>
    <row r="46" spans="2:5" ht="15" customHeight="1">
      <c r="B46" s="12" t="s">
        <v>489</v>
      </c>
      <c r="C46" s="10">
        <v>9</v>
      </c>
      <c r="D46" s="10">
        <v>0</v>
      </c>
      <c r="E46" s="10">
        <v>0</v>
      </c>
    </row>
    <row r="47" spans="2:5" ht="15" customHeight="1">
      <c r="B47" s="12" t="s">
        <v>490</v>
      </c>
      <c r="C47" s="10">
        <v>9</v>
      </c>
      <c r="D47" s="10">
        <v>0</v>
      </c>
      <c r="E47" s="10">
        <v>0</v>
      </c>
    </row>
    <row r="48" spans="2:5" ht="15" customHeight="1">
      <c r="B48" s="12" t="s">
        <v>491</v>
      </c>
      <c r="C48" s="10">
        <v>9</v>
      </c>
      <c r="D48" s="10">
        <v>0</v>
      </c>
      <c r="E48" s="10">
        <v>0</v>
      </c>
    </row>
    <row r="49" spans="2:5" ht="15" customHeight="1">
      <c r="B49" s="12" t="s">
        <v>492</v>
      </c>
      <c r="C49" s="10">
        <v>8</v>
      </c>
      <c r="D49" s="10">
        <v>0</v>
      </c>
      <c r="E49" s="10">
        <v>0</v>
      </c>
    </row>
    <row r="50" spans="2:5" ht="15" customHeight="1">
      <c r="B50" s="12" t="s">
        <v>493</v>
      </c>
      <c r="C50" s="10">
        <v>7</v>
      </c>
      <c r="D50" s="10">
        <v>1</v>
      </c>
      <c r="E50" s="10">
        <v>0</v>
      </c>
    </row>
    <row r="51" spans="2:5" ht="15" customHeight="1">
      <c r="B51" s="12" t="s">
        <v>494</v>
      </c>
      <c r="C51" s="10">
        <v>7</v>
      </c>
      <c r="D51" s="10">
        <v>0</v>
      </c>
      <c r="E51" s="10">
        <v>0</v>
      </c>
    </row>
    <row r="52" spans="2:5" ht="15" customHeight="1">
      <c r="B52" s="12" t="s">
        <v>495</v>
      </c>
      <c r="C52" s="10">
        <v>7</v>
      </c>
      <c r="D52" s="10">
        <v>0</v>
      </c>
      <c r="E52" s="10">
        <v>0</v>
      </c>
    </row>
    <row r="53" spans="2:5" ht="15" customHeight="1">
      <c r="B53" s="12" t="s">
        <v>496</v>
      </c>
      <c r="C53" s="10">
        <v>6</v>
      </c>
      <c r="D53" s="10">
        <v>0</v>
      </c>
      <c r="E53" s="10">
        <v>0</v>
      </c>
    </row>
    <row r="54" spans="2:5" ht="15" customHeight="1">
      <c r="B54" s="12" t="s">
        <v>497</v>
      </c>
      <c r="C54" s="10">
        <v>6</v>
      </c>
      <c r="D54" s="10">
        <v>0</v>
      </c>
      <c r="E54" s="10">
        <v>0</v>
      </c>
    </row>
    <row r="55" spans="2:5" ht="15" customHeight="1">
      <c r="B55" s="12" t="s">
        <v>498</v>
      </c>
      <c r="C55" s="10">
        <v>6</v>
      </c>
      <c r="D55" s="10">
        <v>0</v>
      </c>
      <c r="E55" s="10">
        <v>0</v>
      </c>
    </row>
    <row r="56" spans="2:5" ht="15" customHeight="1">
      <c r="B56" s="12" t="s">
        <v>499</v>
      </c>
      <c r="C56" s="10">
        <v>6</v>
      </c>
      <c r="D56" s="10">
        <v>0</v>
      </c>
      <c r="E56" s="10">
        <v>0</v>
      </c>
    </row>
    <row r="57" spans="2:5" ht="15" customHeight="1">
      <c r="B57" s="12" t="s">
        <v>500</v>
      </c>
      <c r="C57" s="10">
        <v>6</v>
      </c>
      <c r="D57" s="10">
        <v>0</v>
      </c>
      <c r="E57" s="10">
        <v>0</v>
      </c>
    </row>
    <row r="58" spans="2:5" ht="15" customHeight="1">
      <c r="B58" s="12" t="s">
        <v>501</v>
      </c>
      <c r="C58" s="10">
        <v>6</v>
      </c>
      <c r="D58" s="10">
        <v>0</v>
      </c>
      <c r="E58" s="10">
        <v>0</v>
      </c>
    </row>
    <row r="59" spans="2:5" ht="15" customHeight="1">
      <c r="B59" s="12" t="s">
        <v>446</v>
      </c>
      <c r="C59" s="10">
        <v>5</v>
      </c>
      <c r="D59" s="10">
        <v>0</v>
      </c>
      <c r="E59" s="10">
        <v>0</v>
      </c>
    </row>
    <row r="60" spans="2:5" ht="15" customHeight="1">
      <c r="B60" s="12" t="s">
        <v>502</v>
      </c>
      <c r="C60" s="10">
        <v>5</v>
      </c>
      <c r="D60" s="10">
        <v>0</v>
      </c>
      <c r="E60" s="10">
        <v>0</v>
      </c>
    </row>
    <row r="61" spans="2:5" ht="15" customHeight="1">
      <c r="B61" s="12" t="s">
        <v>503</v>
      </c>
      <c r="C61" s="10">
        <v>5</v>
      </c>
      <c r="D61" s="10">
        <v>0</v>
      </c>
      <c r="E61" s="10">
        <v>0</v>
      </c>
    </row>
    <row r="62" spans="2:5" ht="15" customHeight="1">
      <c r="B62" s="12" t="s">
        <v>504</v>
      </c>
      <c r="C62" s="10">
        <v>5</v>
      </c>
      <c r="D62" s="10">
        <v>0</v>
      </c>
      <c r="E62" s="10">
        <v>0</v>
      </c>
    </row>
    <row r="63" spans="2:5" ht="15" customHeight="1">
      <c r="B63" s="12" t="s">
        <v>505</v>
      </c>
      <c r="C63" s="10">
        <v>5</v>
      </c>
      <c r="D63" s="10">
        <v>0</v>
      </c>
      <c r="E63" s="10">
        <v>0</v>
      </c>
    </row>
    <row r="64" spans="2:5" ht="15" customHeight="1">
      <c r="B64" s="12" t="s">
        <v>506</v>
      </c>
      <c r="C64" s="10">
        <v>5</v>
      </c>
      <c r="D64" s="10">
        <v>0</v>
      </c>
      <c r="E64" s="10">
        <v>0</v>
      </c>
    </row>
    <row r="65" spans="2:5" ht="15" customHeight="1">
      <c r="B65" s="12" t="s">
        <v>507</v>
      </c>
      <c r="C65" s="10">
        <v>5</v>
      </c>
      <c r="D65" s="10">
        <v>0</v>
      </c>
      <c r="E65" s="10">
        <v>0</v>
      </c>
    </row>
    <row r="66" spans="2:5" ht="15" customHeight="1">
      <c r="B66" s="12" t="s">
        <v>508</v>
      </c>
      <c r="C66" s="10">
        <v>5</v>
      </c>
      <c r="D66" s="10">
        <v>0</v>
      </c>
      <c r="E66" s="10">
        <v>0</v>
      </c>
    </row>
    <row r="67" spans="2:5" ht="15" customHeight="1">
      <c r="B67" s="12" t="s">
        <v>509</v>
      </c>
      <c r="C67" s="10">
        <v>5</v>
      </c>
      <c r="D67" s="10">
        <v>0</v>
      </c>
      <c r="E67" s="10">
        <v>0</v>
      </c>
    </row>
    <row r="68" spans="2:5" ht="15" customHeight="1">
      <c r="B68" s="12" t="s">
        <v>510</v>
      </c>
      <c r="C68" s="10">
        <v>5</v>
      </c>
      <c r="D68" s="10">
        <v>0</v>
      </c>
      <c r="E68" s="10">
        <v>0</v>
      </c>
    </row>
    <row r="69" spans="2:5" ht="15" customHeight="1">
      <c r="B69" s="12" t="s">
        <v>511</v>
      </c>
      <c r="C69" s="10">
        <v>5</v>
      </c>
      <c r="D69" s="10">
        <v>0</v>
      </c>
      <c r="E69" s="10">
        <v>0</v>
      </c>
    </row>
    <row r="70" spans="2:5" ht="15" customHeight="1">
      <c r="B70" s="12" t="s">
        <v>512</v>
      </c>
      <c r="C70" s="10">
        <v>4</v>
      </c>
      <c r="D70" s="10">
        <v>1</v>
      </c>
      <c r="E70" s="10">
        <v>0</v>
      </c>
    </row>
    <row r="71" spans="2:5" ht="15" customHeight="1">
      <c r="B71" s="12" t="s">
        <v>513</v>
      </c>
      <c r="C71" s="10">
        <v>5</v>
      </c>
      <c r="D71" s="10">
        <v>0</v>
      </c>
      <c r="E71" s="10">
        <v>0</v>
      </c>
    </row>
    <row r="72" spans="2:5" ht="15" customHeight="1">
      <c r="B72" s="12" t="s">
        <v>514</v>
      </c>
      <c r="C72" s="10">
        <v>5</v>
      </c>
      <c r="D72" s="10">
        <v>0</v>
      </c>
      <c r="E72" s="10">
        <v>0</v>
      </c>
    </row>
    <row r="73" spans="2:5" ht="15" customHeight="1">
      <c r="B73" s="12" t="s">
        <v>515</v>
      </c>
      <c r="C73" s="10">
        <v>5</v>
      </c>
      <c r="D73" s="10">
        <v>0</v>
      </c>
      <c r="E73" s="10">
        <v>0</v>
      </c>
    </row>
    <row r="74" spans="2:5" ht="15" customHeight="1">
      <c r="B74" s="12" t="s">
        <v>516</v>
      </c>
      <c r="C74" s="10">
        <v>5</v>
      </c>
      <c r="D74" s="10">
        <v>0</v>
      </c>
      <c r="E74" s="10">
        <v>0</v>
      </c>
    </row>
    <row r="75" spans="2:5" ht="15" customHeight="1">
      <c r="B75" s="12" t="s">
        <v>517</v>
      </c>
      <c r="C75" s="10">
        <v>4</v>
      </c>
      <c r="D75" s="10">
        <v>0</v>
      </c>
      <c r="E75" s="10">
        <v>0</v>
      </c>
    </row>
    <row r="76" spans="2:5" ht="15" customHeight="1">
      <c r="B76" s="12" t="s">
        <v>518</v>
      </c>
      <c r="C76" s="10">
        <v>4</v>
      </c>
      <c r="D76" s="10">
        <v>0</v>
      </c>
      <c r="E76" s="10">
        <v>0</v>
      </c>
    </row>
    <row r="77" spans="2:5" ht="15" customHeight="1">
      <c r="B77" s="12" t="s">
        <v>519</v>
      </c>
      <c r="C77" s="10">
        <v>4</v>
      </c>
      <c r="D77" s="10">
        <v>0</v>
      </c>
      <c r="E77" s="10">
        <v>0</v>
      </c>
    </row>
    <row r="78" spans="2:5" ht="15" customHeight="1">
      <c r="B78" s="12" t="s">
        <v>520</v>
      </c>
      <c r="C78" s="10">
        <v>4</v>
      </c>
      <c r="D78" s="10">
        <v>0</v>
      </c>
      <c r="E78" s="10">
        <v>0</v>
      </c>
    </row>
    <row r="79" spans="2:5" ht="15" customHeight="1">
      <c r="B79" s="12" t="s">
        <v>521</v>
      </c>
      <c r="C79" s="10">
        <v>4</v>
      </c>
      <c r="D79" s="10">
        <v>0</v>
      </c>
      <c r="E79" s="10">
        <v>0</v>
      </c>
    </row>
    <row r="80" spans="2:5" ht="15" customHeight="1">
      <c r="B80" s="12" t="s">
        <v>522</v>
      </c>
      <c r="C80" s="10">
        <v>4</v>
      </c>
      <c r="D80" s="10">
        <v>0</v>
      </c>
      <c r="E80" s="10">
        <v>0</v>
      </c>
    </row>
    <row r="81" spans="2:5" ht="15" customHeight="1">
      <c r="B81" s="12" t="s">
        <v>523</v>
      </c>
      <c r="C81" s="10">
        <v>4</v>
      </c>
      <c r="D81" s="10">
        <v>0</v>
      </c>
      <c r="E81" s="10">
        <v>0</v>
      </c>
    </row>
    <row r="82" spans="2:5" ht="15" customHeight="1">
      <c r="B82" s="12" t="s">
        <v>524</v>
      </c>
      <c r="C82" s="10">
        <v>4</v>
      </c>
      <c r="D82" s="10">
        <v>0</v>
      </c>
      <c r="E82" s="10">
        <v>0</v>
      </c>
    </row>
    <row r="83" spans="2:5" ht="15" customHeight="1">
      <c r="B83" s="12" t="s">
        <v>525</v>
      </c>
      <c r="C83" s="10">
        <v>4</v>
      </c>
      <c r="D83" s="10">
        <v>0</v>
      </c>
      <c r="E83" s="10">
        <v>0</v>
      </c>
    </row>
    <row r="84" spans="2:5" ht="15" customHeight="1">
      <c r="B84" s="12" t="s">
        <v>526</v>
      </c>
      <c r="C84" s="10">
        <v>4</v>
      </c>
      <c r="D84" s="10">
        <v>0</v>
      </c>
      <c r="E84" s="10">
        <v>0</v>
      </c>
    </row>
    <row r="85" spans="2:5" ht="15" customHeight="1">
      <c r="B85" s="12" t="s">
        <v>527</v>
      </c>
      <c r="C85" s="10">
        <v>4</v>
      </c>
      <c r="D85" s="10">
        <v>0</v>
      </c>
      <c r="E85" s="10">
        <v>0</v>
      </c>
    </row>
    <row r="86" spans="2:5" ht="15" customHeight="1">
      <c r="B86" s="12" t="s">
        <v>528</v>
      </c>
      <c r="C86" s="10">
        <v>3</v>
      </c>
      <c r="D86" s="10">
        <v>0</v>
      </c>
      <c r="E86" s="10">
        <v>0</v>
      </c>
    </row>
    <row r="87" spans="2:5" ht="15" customHeight="1">
      <c r="B87" s="12" t="s">
        <v>529</v>
      </c>
      <c r="C87" s="10">
        <v>3</v>
      </c>
      <c r="D87" s="10">
        <v>0</v>
      </c>
      <c r="E87" s="10">
        <v>0</v>
      </c>
    </row>
    <row r="88" spans="2:5" ht="15" customHeight="1">
      <c r="B88" s="12" t="s">
        <v>530</v>
      </c>
      <c r="C88" s="10">
        <v>3</v>
      </c>
      <c r="D88" s="10">
        <v>0</v>
      </c>
      <c r="E88" s="10">
        <v>0</v>
      </c>
    </row>
    <row r="89" spans="2:5" ht="15" customHeight="1">
      <c r="B89" s="12" t="s">
        <v>531</v>
      </c>
      <c r="C89" s="10">
        <v>3</v>
      </c>
      <c r="D89" s="10">
        <v>0</v>
      </c>
      <c r="E89" s="10">
        <v>0</v>
      </c>
    </row>
    <row r="90" spans="2:5" ht="15" customHeight="1">
      <c r="B90" s="12" t="s">
        <v>532</v>
      </c>
      <c r="C90" s="10">
        <v>3</v>
      </c>
      <c r="D90" s="10">
        <v>0</v>
      </c>
      <c r="E90" s="10">
        <v>0</v>
      </c>
    </row>
    <row r="91" spans="2:5" ht="15" customHeight="1">
      <c r="B91" s="12" t="s">
        <v>533</v>
      </c>
      <c r="C91" s="10">
        <v>3</v>
      </c>
      <c r="D91" s="10">
        <v>0</v>
      </c>
      <c r="E91" s="10">
        <v>0</v>
      </c>
    </row>
    <row r="92" spans="2:5" ht="15" customHeight="1">
      <c r="B92" s="12" t="s">
        <v>534</v>
      </c>
      <c r="C92" s="10">
        <v>3</v>
      </c>
      <c r="D92" s="10">
        <v>0</v>
      </c>
      <c r="E92" s="10">
        <v>0</v>
      </c>
    </row>
    <row r="93" spans="2:5" ht="15" customHeight="1">
      <c r="B93" s="12" t="s">
        <v>535</v>
      </c>
      <c r="C93" s="10">
        <v>3</v>
      </c>
      <c r="D93" s="10">
        <v>0</v>
      </c>
      <c r="E93" s="10">
        <v>0</v>
      </c>
    </row>
    <row r="94" spans="2:5" ht="15" customHeight="1">
      <c r="B94" s="12" t="s">
        <v>536</v>
      </c>
      <c r="C94" s="10">
        <v>3</v>
      </c>
      <c r="D94" s="10">
        <v>0</v>
      </c>
      <c r="E94" s="10">
        <v>0</v>
      </c>
    </row>
    <row r="95" spans="2:5" ht="15" customHeight="1">
      <c r="B95" s="12" t="s">
        <v>537</v>
      </c>
      <c r="C95" s="10">
        <v>3</v>
      </c>
      <c r="D95" s="10">
        <v>0</v>
      </c>
      <c r="E95" s="10">
        <v>0</v>
      </c>
    </row>
    <row r="96" spans="2:5" ht="15" customHeight="1">
      <c r="B96" s="12" t="s">
        <v>538</v>
      </c>
      <c r="C96" s="10">
        <v>3</v>
      </c>
      <c r="D96" s="10">
        <v>0</v>
      </c>
      <c r="E96" s="10">
        <v>0</v>
      </c>
    </row>
    <row r="97" spans="2:5" ht="15" customHeight="1">
      <c r="B97" s="12" t="s">
        <v>539</v>
      </c>
      <c r="C97" s="10">
        <v>3</v>
      </c>
      <c r="D97" s="10">
        <v>0</v>
      </c>
      <c r="E97" s="10">
        <v>0</v>
      </c>
    </row>
    <row r="98" spans="2:5" ht="15" customHeight="1">
      <c r="B98" s="12" t="s">
        <v>540</v>
      </c>
      <c r="C98" s="10">
        <v>3</v>
      </c>
      <c r="D98" s="10">
        <v>0</v>
      </c>
      <c r="E98" s="10">
        <v>0</v>
      </c>
    </row>
    <row r="99" spans="2:5" ht="15" customHeight="1">
      <c r="B99" s="12" t="s">
        <v>541</v>
      </c>
      <c r="C99" s="10">
        <v>3</v>
      </c>
      <c r="D99" s="10">
        <v>0</v>
      </c>
      <c r="E99" s="10">
        <v>0</v>
      </c>
    </row>
    <row r="100" spans="2:5" ht="15" customHeight="1">
      <c r="B100" s="12" t="s">
        <v>542</v>
      </c>
      <c r="C100" s="10">
        <v>3</v>
      </c>
      <c r="D100" s="10">
        <v>0</v>
      </c>
      <c r="E100" s="10">
        <v>0</v>
      </c>
    </row>
    <row r="101" spans="2:5" ht="15" customHeight="1">
      <c r="B101" s="12" t="s">
        <v>543</v>
      </c>
      <c r="C101" s="10">
        <v>3</v>
      </c>
      <c r="D101" s="10">
        <v>0</v>
      </c>
      <c r="E101" s="10">
        <v>0</v>
      </c>
    </row>
    <row r="102" spans="2:5" ht="15" customHeight="1">
      <c r="B102" s="12" t="s">
        <v>544</v>
      </c>
      <c r="C102" s="10">
        <v>3</v>
      </c>
      <c r="D102" s="10">
        <v>0</v>
      </c>
      <c r="E102" s="10">
        <v>0</v>
      </c>
    </row>
    <row r="103" spans="2:5" ht="15" customHeight="1">
      <c r="B103" s="12" t="s">
        <v>545</v>
      </c>
      <c r="C103" s="10">
        <v>3</v>
      </c>
      <c r="D103" s="10">
        <v>0</v>
      </c>
      <c r="E103" s="10">
        <v>0</v>
      </c>
    </row>
    <row r="104" spans="2:5" ht="15" customHeight="1">
      <c r="B104" s="12" t="s">
        <v>546</v>
      </c>
      <c r="C104" s="10">
        <v>3</v>
      </c>
      <c r="D104" s="10">
        <v>0</v>
      </c>
      <c r="E104" s="10">
        <v>0</v>
      </c>
    </row>
    <row r="105" spans="2:5" ht="15" customHeight="1">
      <c r="B105" s="12" t="s">
        <v>547</v>
      </c>
      <c r="C105" s="10">
        <v>3</v>
      </c>
      <c r="D105" s="10">
        <v>0</v>
      </c>
      <c r="E105" s="10">
        <v>0</v>
      </c>
    </row>
    <row r="106" spans="2:5" ht="15" customHeight="1">
      <c r="B106" s="12" t="s">
        <v>548</v>
      </c>
      <c r="C106" s="10">
        <v>3</v>
      </c>
      <c r="D106" s="10">
        <v>0</v>
      </c>
      <c r="E106" s="10">
        <v>0</v>
      </c>
    </row>
    <row r="107" spans="2:5" ht="15" customHeight="1">
      <c r="B107" s="12" t="s">
        <v>549</v>
      </c>
      <c r="C107" s="10">
        <v>3</v>
      </c>
      <c r="D107" s="10">
        <v>0</v>
      </c>
      <c r="E107" s="10">
        <v>0</v>
      </c>
    </row>
    <row r="108" spans="2:5" ht="15" customHeight="1">
      <c r="B108" s="12" t="s">
        <v>550</v>
      </c>
      <c r="C108" s="10">
        <v>3</v>
      </c>
      <c r="D108" s="10">
        <v>0</v>
      </c>
      <c r="E108" s="10">
        <v>0</v>
      </c>
    </row>
    <row r="109" spans="2:5" ht="15" customHeight="1">
      <c r="B109" s="12" t="s">
        <v>551</v>
      </c>
      <c r="C109" s="10">
        <v>3</v>
      </c>
      <c r="D109" s="10">
        <v>0</v>
      </c>
      <c r="E109" s="10">
        <v>0</v>
      </c>
    </row>
    <row r="110" spans="2:5" ht="15" customHeight="1">
      <c r="B110" s="12" t="s">
        <v>552</v>
      </c>
      <c r="C110" s="10">
        <v>3</v>
      </c>
      <c r="D110" s="10">
        <v>0</v>
      </c>
      <c r="E110" s="10">
        <v>0</v>
      </c>
    </row>
    <row r="111" spans="2:5" ht="15" customHeight="1">
      <c r="B111" s="12" t="s">
        <v>553</v>
      </c>
      <c r="C111" s="10">
        <v>3</v>
      </c>
      <c r="D111" s="10">
        <v>0</v>
      </c>
      <c r="E111" s="10">
        <v>0</v>
      </c>
    </row>
    <row r="112" spans="2:5" ht="15" customHeight="1">
      <c r="B112" s="12" t="s">
        <v>554</v>
      </c>
      <c r="C112" s="10">
        <v>3</v>
      </c>
      <c r="D112" s="10">
        <v>0</v>
      </c>
      <c r="E112" s="10">
        <v>0</v>
      </c>
    </row>
    <row r="113" spans="2:5" ht="15" customHeight="1">
      <c r="B113" s="12" t="s">
        <v>555</v>
      </c>
      <c r="C113" s="10">
        <v>2</v>
      </c>
      <c r="D113" s="10">
        <v>0</v>
      </c>
      <c r="E113" s="10">
        <v>0</v>
      </c>
    </row>
    <row r="114" spans="2:5" ht="15" customHeight="1">
      <c r="B114" s="12" t="s">
        <v>556</v>
      </c>
      <c r="C114" s="10">
        <v>2</v>
      </c>
      <c r="D114" s="10">
        <v>0</v>
      </c>
      <c r="E114" s="10">
        <v>0</v>
      </c>
    </row>
    <row r="115" spans="2:5" ht="15" customHeight="1">
      <c r="B115" s="12" t="s">
        <v>557</v>
      </c>
      <c r="C115" s="10">
        <v>2</v>
      </c>
      <c r="D115" s="10">
        <v>0</v>
      </c>
      <c r="E115" s="10">
        <v>0</v>
      </c>
    </row>
    <row r="116" spans="2:5" ht="15" customHeight="1">
      <c r="B116" s="12" t="s">
        <v>558</v>
      </c>
      <c r="C116" s="10">
        <v>2</v>
      </c>
      <c r="D116" s="10">
        <v>0</v>
      </c>
      <c r="E116" s="10">
        <v>0</v>
      </c>
    </row>
    <row r="117" spans="2:5" ht="15" customHeight="1">
      <c r="B117" s="12" t="s">
        <v>559</v>
      </c>
      <c r="C117" s="10">
        <v>2</v>
      </c>
      <c r="D117" s="10">
        <v>0</v>
      </c>
      <c r="E117" s="10">
        <v>0</v>
      </c>
    </row>
    <row r="118" spans="2:5" ht="15" customHeight="1">
      <c r="B118" s="12" t="s">
        <v>560</v>
      </c>
      <c r="C118" s="10">
        <v>2</v>
      </c>
      <c r="D118" s="10">
        <v>0</v>
      </c>
      <c r="E118" s="10">
        <v>0</v>
      </c>
    </row>
    <row r="119" spans="2:5" ht="15" customHeight="1">
      <c r="B119" s="12" t="s">
        <v>561</v>
      </c>
      <c r="C119" s="10">
        <v>2</v>
      </c>
      <c r="D119" s="10">
        <v>0</v>
      </c>
      <c r="E119" s="10">
        <v>0</v>
      </c>
    </row>
    <row r="120" spans="2:5" ht="15" customHeight="1">
      <c r="B120" s="12" t="s">
        <v>562</v>
      </c>
      <c r="C120" s="10">
        <v>2</v>
      </c>
      <c r="D120" s="10">
        <v>0</v>
      </c>
      <c r="E120" s="10">
        <v>0</v>
      </c>
    </row>
    <row r="121" spans="2:5" ht="15" customHeight="1">
      <c r="B121" s="12" t="s">
        <v>563</v>
      </c>
      <c r="C121" s="10">
        <v>2</v>
      </c>
      <c r="D121" s="10">
        <v>0</v>
      </c>
      <c r="E121" s="10">
        <v>0</v>
      </c>
    </row>
    <row r="122" spans="2:5" ht="15" customHeight="1">
      <c r="B122" s="12" t="s">
        <v>564</v>
      </c>
      <c r="C122" s="10">
        <v>2</v>
      </c>
      <c r="D122" s="10">
        <v>0</v>
      </c>
      <c r="E122" s="10">
        <v>0</v>
      </c>
    </row>
    <row r="123" spans="2:5" ht="15" customHeight="1">
      <c r="B123" s="12" t="s">
        <v>565</v>
      </c>
      <c r="C123" s="10">
        <v>2</v>
      </c>
      <c r="D123" s="10">
        <v>0</v>
      </c>
      <c r="E123" s="10">
        <v>0</v>
      </c>
    </row>
    <row r="124" spans="2:5" ht="15" customHeight="1">
      <c r="B124" s="12" t="s">
        <v>566</v>
      </c>
      <c r="C124" s="10">
        <v>2</v>
      </c>
      <c r="D124" s="10">
        <v>0</v>
      </c>
      <c r="E124" s="10">
        <v>0</v>
      </c>
    </row>
    <row r="125" spans="2:5" ht="15" customHeight="1">
      <c r="B125" s="12" t="s">
        <v>567</v>
      </c>
      <c r="C125" s="10">
        <v>2</v>
      </c>
      <c r="D125" s="10">
        <v>0</v>
      </c>
      <c r="E125" s="10">
        <v>0</v>
      </c>
    </row>
    <row r="126" spans="2:5" ht="15" customHeight="1">
      <c r="B126" s="12" t="s">
        <v>568</v>
      </c>
      <c r="C126" s="10">
        <v>2</v>
      </c>
      <c r="D126" s="10">
        <v>0</v>
      </c>
      <c r="E126" s="10">
        <v>0</v>
      </c>
    </row>
    <row r="127" spans="2:5" ht="15" customHeight="1">
      <c r="B127" s="12" t="s">
        <v>569</v>
      </c>
      <c r="C127" s="10">
        <v>2</v>
      </c>
      <c r="D127" s="10">
        <v>0</v>
      </c>
      <c r="E127" s="10">
        <v>0</v>
      </c>
    </row>
    <row r="128" spans="2:5" ht="15" customHeight="1">
      <c r="B128" s="12" t="s">
        <v>570</v>
      </c>
      <c r="C128" s="10">
        <v>2</v>
      </c>
      <c r="D128" s="10">
        <v>0</v>
      </c>
      <c r="E128" s="10">
        <v>0</v>
      </c>
    </row>
    <row r="129" spans="2:5" ht="15" customHeight="1">
      <c r="B129" s="12" t="s">
        <v>571</v>
      </c>
      <c r="C129" s="10">
        <v>2</v>
      </c>
      <c r="D129" s="10">
        <v>0</v>
      </c>
      <c r="E129" s="10">
        <v>0</v>
      </c>
    </row>
    <row r="130" spans="2:5" ht="15" customHeight="1">
      <c r="B130" s="12" t="s">
        <v>572</v>
      </c>
      <c r="C130" s="10">
        <v>2</v>
      </c>
      <c r="D130" s="10">
        <v>0</v>
      </c>
      <c r="E130" s="10">
        <v>0</v>
      </c>
    </row>
    <row r="131" spans="2:5" ht="15" customHeight="1">
      <c r="B131" s="12" t="s">
        <v>573</v>
      </c>
      <c r="C131" s="10">
        <v>2</v>
      </c>
      <c r="D131" s="10">
        <v>0</v>
      </c>
      <c r="E131" s="10">
        <v>0</v>
      </c>
    </row>
    <row r="132" spans="2:5" ht="15" customHeight="1">
      <c r="B132" s="12" t="s">
        <v>574</v>
      </c>
      <c r="C132" s="10">
        <v>2</v>
      </c>
      <c r="D132" s="10">
        <v>0</v>
      </c>
      <c r="E132" s="10">
        <v>0</v>
      </c>
    </row>
    <row r="133" spans="2:5" ht="15" customHeight="1">
      <c r="B133" s="12" t="s">
        <v>575</v>
      </c>
      <c r="C133" s="10">
        <v>2</v>
      </c>
      <c r="D133" s="10">
        <v>0</v>
      </c>
      <c r="E133" s="10">
        <v>0</v>
      </c>
    </row>
    <row r="134" spans="2:5" ht="15" customHeight="1">
      <c r="B134" s="12" t="s">
        <v>576</v>
      </c>
      <c r="C134" s="10">
        <v>2</v>
      </c>
      <c r="D134" s="10">
        <v>0</v>
      </c>
      <c r="E134" s="10">
        <v>0</v>
      </c>
    </row>
    <row r="135" spans="2:5" ht="15" customHeight="1">
      <c r="B135" s="12" t="s">
        <v>577</v>
      </c>
      <c r="C135" s="10">
        <v>2</v>
      </c>
      <c r="D135" s="10">
        <v>0</v>
      </c>
      <c r="E135" s="10">
        <v>0</v>
      </c>
    </row>
    <row r="136" spans="2:5" ht="15" customHeight="1">
      <c r="B136" s="12" t="s">
        <v>578</v>
      </c>
      <c r="C136" s="10">
        <v>2</v>
      </c>
      <c r="D136" s="10">
        <v>0</v>
      </c>
      <c r="E136" s="10">
        <v>0</v>
      </c>
    </row>
    <row r="137" spans="2:5" ht="15" customHeight="1">
      <c r="B137" s="12" t="s">
        <v>579</v>
      </c>
      <c r="C137" s="10">
        <v>2</v>
      </c>
      <c r="D137" s="10">
        <v>0</v>
      </c>
      <c r="E137" s="10">
        <v>0</v>
      </c>
    </row>
    <row r="138" spans="2:5" ht="15" customHeight="1">
      <c r="B138" s="12" t="s">
        <v>580</v>
      </c>
      <c r="C138" s="10">
        <v>2</v>
      </c>
      <c r="D138" s="10">
        <v>0</v>
      </c>
      <c r="E138" s="10">
        <v>0</v>
      </c>
    </row>
    <row r="139" spans="2:5" ht="15" customHeight="1">
      <c r="B139" s="12" t="s">
        <v>581</v>
      </c>
      <c r="C139" s="10">
        <v>2</v>
      </c>
      <c r="D139" s="10">
        <v>0</v>
      </c>
      <c r="E139" s="10">
        <v>0</v>
      </c>
    </row>
    <row r="140" spans="2:5" ht="15" customHeight="1">
      <c r="B140" s="12" t="s">
        <v>582</v>
      </c>
      <c r="C140" s="10">
        <v>2</v>
      </c>
      <c r="D140" s="10">
        <v>0</v>
      </c>
      <c r="E140" s="10">
        <v>0</v>
      </c>
    </row>
    <row r="141" spans="2:5" ht="15" customHeight="1">
      <c r="B141" s="12" t="s">
        <v>583</v>
      </c>
      <c r="C141" s="10">
        <v>2</v>
      </c>
      <c r="D141" s="10">
        <v>0</v>
      </c>
      <c r="E141" s="10">
        <v>0</v>
      </c>
    </row>
    <row r="142" spans="2:5" ht="15" customHeight="1">
      <c r="B142" s="12" t="s">
        <v>584</v>
      </c>
      <c r="C142" s="10">
        <v>2</v>
      </c>
      <c r="D142" s="10">
        <v>0</v>
      </c>
      <c r="E142" s="10">
        <v>0</v>
      </c>
    </row>
    <row r="143" spans="2:5" ht="15" customHeight="1">
      <c r="B143" s="12" t="s">
        <v>585</v>
      </c>
      <c r="C143" s="10">
        <v>2</v>
      </c>
      <c r="D143" s="10">
        <v>0</v>
      </c>
      <c r="E143" s="10">
        <v>0</v>
      </c>
    </row>
    <row r="144" spans="2:5" ht="15" customHeight="1">
      <c r="B144" s="12" t="s">
        <v>586</v>
      </c>
      <c r="C144" s="10">
        <v>2</v>
      </c>
      <c r="D144" s="10">
        <v>0</v>
      </c>
      <c r="E144" s="10">
        <v>0</v>
      </c>
    </row>
    <row r="145" spans="2:5" ht="15" customHeight="1">
      <c r="B145" s="12" t="s">
        <v>587</v>
      </c>
      <c r="C145" s="10">
        <v>2</v>
      </c>
      <c r="D145" s="10">
        <v>0</v>
      </c>
      <c r="E145" s="10">
        <v>0</v>
      </c>
    </row>
    <row r="146" spans="2:5" ht="15" customHeight="1">
      <c r="B146" s="12" t="s">
        <v>588</v>
      </c>
      <c r="C146" s="10">
        <v>2</v>
      </c>
      <c r="D146" s="10">
        <v>0</v>
      </c>
      <c r="E146" s="10">
        <v>0</v>
      </c>
    </row>
    <row r="147" spans="2:5" ht="15" customHeight="1">
      <c r="B147" s="12" t="s">
        <v>589</v>
      </c>
      <c r="C147" s="10">
        <v>2</v>
      </c>
      <c r="D147" s="10">
        <v>0</v>
      </c>
      <c r="E147" s="10">
        <v>0</v>
      </c>
    </row>
    <row r="148" spans="2:5" ht="15" customHeight="1">
      <c r="B148" s="12" t="s">
        <v>590</v>
      </c>
      <c r="C148" s="10">
        <v>2</v>
      </c>
      <c r="D148" s="10">
        <v>0</v>
      </c>
      <c r="E148" s="10">
        <v>0</v>
      </c>
    </row>
    <row r="149" spans="2:5" ht="15" customHeight="1">
      <c r="B149" s="12" t="s">
        <v>591</v>
      </c>
      <c r="C149" s="10">
        <v>2</v>
      </c>
      <c r="D149" s="10">
        <v>0</v>
      </c>
      <c r="E149" s="10">
        <v>0</v>
      </c>
    </row>
    <row r="150" spans="2:5" ht="15" customHeight="1">
      <c r="B150" s="12" t="s">
        <v>592</v>
      </c>
      <c r="C150" s="10">
        <v>2</v>
      </c>
      <c r="D150" s="10">
        <v>0</v>
      </c>
      <c r="E150" s="10">
        <v>0</v>
      </c>
    </row>
    <row r="151" spans="2:5" ht="15" customHeight="1">
      <c r="B151" s="12" t="s">
        <v>593</v>
      </c>
      <c r="C151" s="10">
        <v>2</v>
      </c>
      <c r="D151" s="10">
        <v>0</v>
      </c>
      <c r="E151" s="10">
        <v>0</v>
      </c>
    </row>
    <row r="152" spans="2:5" ht="15" customHeight="1">
      <c r="B152" s="12" t="s">
        <v>594</v>
      </c>
      <c r="C152" s="10">
        <v>2</v>
      </c>
      <c r="D152" s="10">
        <v>0</v>
      </c>
      <c r="E152" s="10">
        <v>0</v>
      </c>
    </row>
    <row r="153" spans="2:5" ht="15" customHeight="1">
      <c r="B153" s="12" t="s">
        <v>595</v>
      </c>
      <c r="C153" s="10">
        <v>2</v>
      </c>
      <c r="D153" s="10">
        <v>0</v>
      </c>
      <c r="E153" s="10">
        <v>0</v>
      </c>
    </row>
    <row r="154" spans="2:5" ht="15" customHeight="1">
      <c r="B154" s="12" t="s">
        <v>596</v>
      </c>
      <c r="C154" s="10">
        <v>2</v>
      </c>
      <c r="D154" s="10">
        <v>0</v>
      </c>
      <c r="E154" s="10">
        <v>0</v>
      </c>
    </row>
    <row r="155" spans="2:5" ht="15" customHeight="1">
      <c r="B155" s="12" t="s">
        <v>597</v>
      </c>
      <c r="C155" s="10">
        <v>2</v>
      </c>
      <c r="D155" s="10">
        <v>0</v>
      </c>
      <c r="E155" s="10">
        <v>0</v>
      </c>
    </row>
    <row r="156" spans="2:5" ht="15" customHeight="1">
      <c r="B156" s="12" t="s">
        <v>598</v>
      </c>
      <c r="C156" s="10">
        <v>1</v>
      </c>
      <c r="D156" s="10">
        <v>0</v>
      </c>
      <c r="E156" s="10">
        <v>0</v>
      </c>
    </row>
    <row r="157" spans="2:5" ht="15" customHeight="1">
      <c r="B157" s="12" t="s">
        <v>599</v>
      </c>
      <c r="C157" s="10">
        <v>1</v>
      </c>
      <c r="D157" s="10">
        <v>0</v>
      </c>
      <c r="E157" s="10">
        <v>0</v>
      </c>
    </row>
    <row r="158" spans="2:5" ht="15" customHeight="1">
      <c r="B158" s="12" t="s">
        <v>599</v>
      </c>
      <c r="C158" s="10">
        <v>1</v>
      </c>
      <c r="D158" s="10">
        <v>0</v>
      </c>
      <c r="E158" s="10">
        <v>0</v>
      </c>
    </row>
    <row r="159" spans="2:5" ht="15" customHeight="1">
      <c r="B159" s="12" t="s">
        <v>599</v>
      </c>
      <c r="C159" s="10">
        <v>1</v>
      </c>
      <c r="D159" s="10">
        <v>0</v>
      </c>
      <c r="E159" s="10">
        <v>0</v>
      </c>
    </row>
    <row r="160" spans="2:5" ht="15" customHeight="1">
      <c r="B160" s="12" t="s">
        <v>600</v>
      </c>
      <c r="C160" s="10">
        <v>1</v>
      </c>
      <c r="D160" s="10">
        <v>0</v>
      </c>
      <c r="E160" s="10">
        <v>0</v>
      </c>
    </row>
    <row r="161" spans="2:5" ht="15" customHeight="1">
      <c r="B161" s="12" t="s">
        <v>601</v>
      </c>
      <c r="C161" s="10">
        <v>1</v>
      </c>
      <c r="D161" s="10">
        <v>0</v>
      </c>
      <c r="E161" s="10">
        <v>0</v>
      </c>
    </row>
    <row r="162" spans="2:5" ht="15" customHeight="1">
      <c r="B162" s="12" t="s">
        <v>602</v>
      </c>
      <c r="C162" s="10">
        <v>1</v>
      </c>
      <c r="D162" s="10">
        <v>0</v>
      </c>
      <c r="E162" s="10">
        <v>0</v>
      </c>
    </row>
    <row r="163" spans="2:5" ht="15" customHeight="1">
      <c r="B163" s="12" t="s">
        <v>603</v>
      </c>
      <c r="C163" s="10">
        <v>1</v>
      </c>
      <c r="D163" s="10">
        <v>0</v>
      </c>
      <c r="E163" s="10">
        <v>0</v>
      </c>
    </row>
    <row r="164" spans="2:5" ht="15" customHeight="1">
      <c r="B164" s="12" t="s">
        <v>604</v>
      </c>
      <c r="C164" s="10">
        <v>1</v>
      </c>
      <c r="D164" s="10">
        <v>0</v>
      </c>
      <c r="E164" s="10">
        <v>0</v>
      </c>
    </row>
    <row r="165" spans="2:5" ht="15" customHeight="1">
      <c r="B165" s="12" t="s">
        <v>605</v>
      </c>
      <c r="C165" s="10">
        <v>1</v>
      </c>
      <c r="D165" s="10">
        <v>0</v>
      </c>
      <c r="E165" s="10">
        <v>0</v>
      </c>
    </row>
    <row r="166" spans="2:5" ht="15" customHeight="1">
      <c r="B166" s="12" t="s">
        <v>606</v>
      </c>
      <c r="C166" s="10">
        <v>1</v>
      </c>
      <c r="D166" s="10">
        <v>0</v>
      </c>
      <c r="E166" s="10">
        <v>0</v>
      </c>
    </row>
    <row r="167" spans="2:5" ht="15" customHeight="1">
      <c r="B167" s="12" t="s">
        <v>607</v>
      </c>
      <c r="C167" s="10">
        <v>1</v>
      </c>
      <c r="D167" s="10">
        <v>0</v>
      </c>
      <c r="E167" s="10">
        <v>0</v>
      </c>
    </row>
    <row r="168" spans="2:5" ht="15" customHeight="1">
      <c r="B168" s="12" t="s">
        <v>608</v>
      </c>
      <c r="C168" s="10">
        <v>1</v>
      </c>
      <c r="D168" s="10">
        <v>0</v>
      </c>
      <c r="E168" s="10">
        <v>0</v>
      </c>
    </row>
    <row r="169" spans="2:5" ht="15" customHeight="1">
      <c r="B169" s="12" t="s">
        <v>609</v>
      </c>
      <c r="C169" s="10">
        <v>1</v>
      </c>
      <c r="D169" s="10">
        <v>0</v>
      </c>
      <c r="E169" s="10">
        <v>0</v>
      </c>
    </row>
    <row r="170" spans="2:5" ht="15" customHeight="1">
      <c r="B170" s="12" t="s">
        <v>610</v>
      </c>
      <c r="C170" s="10">
        <v>1</v>
      </c>
      <c r="D170" s="10">
        <v>0</v>
      </c>
      <c r="E170" s="10">
        <v>0</v>
      </c>
    </row>
    <row r="171" spans="2:5" ht="15" customHeight="1">
      <c r="B171" s="12" t="s">
        <v>611</v>
      </c>
      <c r="C171" s="10">
        <v>1</v>
      </c>
      <c r="D171" s="10">
        <v>0</v>
      </c>
      <c r="E171" s="10">
        <v>0</v>
      </c>
    </row>
    <row r="172" spans="2:5" ht="15" customHeight="1">
      <c r="B172" s="12" t="s">
        <v>612</v>
      </c>
      <c r="C172" s="10">
        <v>1</v>
      </c>
      <c r="D172" s="10">
        <v>0</v>
      </c>
      <c r="E172" s="10">
        <v>0</v>
      </c>
    </row>
    <row r="173" spans="2:5" ht="15" customHeight="1">
      <c r="B173" s="12" t="s">
        <v>613</v>
      </c>
      <c r="C173" s="10">
        <v>1</v>
      </c>
      <c r="D173" s="10">
        <v>0</v>
      </c>
      <c r="E173" s="10">
        <v>0</v>
      </c>
    </row>
    <row r="174" spans="2:5" ht="15" customHeight="1">
      <c r="B174" s="12" t="s">
        <v>614</v>
      </c>
      <c r="C174" s="10">
        <v>1</v>
      </c>
      <c r="D174" s="10">
        <v>0</v>
      </c>
      <c r="E174" s="10">
        <v>0</v>
      </c>
    </row>
    <row r="175" spans="2:5" ht="15" customHeight="1">
      <c r="B175" s="12" t="s">
        <v>615</v>
      </c>
      <c r="C175" s="10">
        <v>1</v>
      </c>
      <c r="D175" s="10">
        <v>0</v>
      </c>
      <c r="E175" s="10">
        <v>0</v>
      </c>
    </row>
    <row r="176" spans="2:5" ht="15" customHeight="1">
      <c r="B176" s="12" t="s">
        <v>616</v>
      </c>
      <c r="C176" s="10">
        <v>1</v>
      </c>
      <c r="D176" s="10">
        <v>0</v>
      </c>
      <c r="E176" s="10">
        <v>0</v>
      </c>
    </row>
    <row r="177" spans="2:5" ht="15" customHeight="1">
      <c r="B177" s="12" t="s">
        <v>617</v>
      </c>
      <c r="C177" s="10">
        <v>1</v>
      </c>
      <c r="D177" s="10">
        <v>0</v>
      </c>
      <c r="E177" s="10">
        <v>0</v>
      </c>
    </row>
    <row r="178" spans="2:5" ht="15" customHeight="1">
      <c r="B178" s="12" t="s">
        <v>618</v>
      </c>
      <c r="C178" s="10">
        <v>1</v>
      </c>
      <c r="D178" s="10">
        <v>0</v>
      </c>
      <c r="E178" s="10">
        <v>0</v>
      </c>
    </row>
    <row r="179" spans="2:5" ht="15" customHeight="1">
      <c r="B179" s="12" t="s">
        <v>619</v>
      </c>
      <c r="C179" s="10">
        <v>1</v>
      </c>
      <c r="D179" s="10">
        <v>0</v>
      </c>
      <c r="E179" s="10">
        <v>0</v>
      </c>
    </row>
    <row r="180" spans="2:5" ht="15" customHeight="1">
      <c r="B180" s="12" t="s">
        <v>620</v>
      </c>
      <c r="C180" s="10">
        <v>1</v>
      </c>
      <c r="D180" s="10">
        <v>0</v>
      </c>
      <c r="E180" s="10">
        <v>0</v>
      </c>
    </row>
    <row r="181" spans="2:5" ht="15" customHeight="1">
      <c r="B181" s="12" t="s">
        <v>621</v>
      </c>
      <c r="C181" s="10">
        <v>1</v>
      </c>
      <c r="D181" s="10">
        <v>0</v>
      </c>
      <c r="E181" s="10">
        <v>0</v>
      </c>
    </row>
    <row r="182" spans="2:5" ht="15" customHeight="1">
      <c r="B182" s="12" t="s">
        <v>622</v>
      </c>
      <c r="C182" s="10">
        <v>1</v>
      </c>
      <c r="D182" s="10">
        <v>0</v>
      </c>
      <c r="E182" s="10">
        <v>0</v>
      </c>
    </row>
    <row r="183" spans="2:5" ht="15" customHeight="1">
      <c r="B183" s="12" t="s">
        <v>623</v>
      </c>
      <c r="C183" s="10">
        <v>1</v>
      </c>
      <c r="D183" s="10">
        <v>0</v>
      </c>
      <c r="E183" s="10">
        <v>0</v>
      </c>
    </row>
    <row r="184" spans="2:5" ht="15" customHeight="1">
      <c r="B184" s="12" t="s">
        <v>624</v>
      </c>
      <c r="C184" s="10">
        <v>1</v>
      </c>
      <c r="D184" s="10">
        <v>0</v>
      </c>
      <c r="E184" s="10">
        <v>0</v>
      </c>
    </row>
    <row r="185" spans="2:5" ht="15" customHeight="1">
      <c r="B185" s="12" t="s">
        <v>625</v>
      </c>
      <c r="C185" s="10">
        <v>1</v>
      </c>
      <c r="D185" s="10">
        <v>0</v>
      </c>
      <c r="E185" s="10">
        <v>0</v>
      </c>
    </row>
    <row r="186" spans="2:5" ht="15" customHeight="1">
      <c r="B186" s="12" t="s">
        <v>626</v>
      </c>
      <c r="C186" s="10">
        <v>1</v>
      </c>
      <c r="D186" s="10">
        <v>0</v>
      </c>
      <c r="E186" s="10">
        <v>0</v>
      </c>
    </row>
    <row r="187" spans="2:5" ht="15" customHeight="1">
      <c r="B187" s="12" t="s">
        <v>627</v>
      </c>
      <c r="C187" s="10">
        <v>1</v>
      </c>
      <c r="D187" s="10">
        <v>0</v>
      </c>
      <c r="E187" s="10">
        <v>0</v>
      </c>
    </row>
    <row r="188" spans="2:5" ht="15" customHeight="1">
      <c r="B188" s="12" t="s">
        <v>628</v>
      </c>
      <c r="C188" s="10">
        <v>1</v>
      </c>
      <c r="D188" s="10">
        <v>0</v>
      </c>
      <c r="E188" s="10">
        <v>0</v>
      </c>
    </row>
    <row r="189" spans="2:5" ht="15" customHeight="1">
      <c r="B189" s="12" t="s">
        <v>629</v>
      </c>
      <c r="C189" s="10">
        <v>1</v>
      </c>
      <c r="D189" s="10">
        <v>0</v>
      </c>
      <c r="E189" s="10">
        <v>0</v>
      </c>
    </row>
    <row r="190" spans="2:5" ht="15" customHeight="1">
      <c r="B190" s="12" t="s">
        <v>630</v>
      </c>
      <c r="C190" s="10">
        <v>1</v>
      </c>
      <c r="D190" s="10">
        <v>0</v>
      </c>
      <c r="E190" s="10">
        <v>0</v>
      </c>
    </row>
    <row r="191" spans="2:5" ht="15" customHeight="1">
      <c r="B191" s="12" t="s">
        <v>631</v>
      </c>
      <c r="C191" s="10">
        <v>1</v>
      </c>
      <c r="D191" s="10">
        <v>0</v>
      </c>
      <c r="E191" s="10">
        <v>0</v>
      </c>
    </row>
    <row r="192" spans="2:5" ht="15" customHeight="1">
      <c r="B192" s="12" t="s">
        <v>632</v>
      </c>
      <c r="C192" s="10">
        <v>1</v>
      </c>
      <c r="D192" s="10">
        <v>0</v>
      </c>
      <c r="E192" s="10">
        <v>0</v>
      </c>
    </row>
    <row r="193" spans="2:5" ht="15" customHeight="1">
      <c r="B193" s="12" t="s">
        <v>633</v>
      </c>
      <c r="C193" s="10">
        <v>1</v>
      </c>
      <c r="D193" s="10">
        <v>0</v>
      </c>
      <c r="E193" s="10">
        <v>0</v>
      </c>
    </row>
    <row r="194" spans="2:5" ht="15" customHeight="1">
      <c r="B194" s="12" t="s">
        <v>634</v>
      </c>
      <c r="C194" s="10">
        <v>1</v>
      </c>
      <c r="D194" s="10">
        <v>0</v>
      </c>
      <c r="E194" s="10">
        <v>0</v>
      </c>
    </row>
    <row r="195" spans="2:5" ht="15" customHeight="1">
      <c r="B195" s="12" t="s">
        <v>635</v>
      </c>
      <c r="C195" s="10">
        <v>1</v>
      </c>
      <c r="D195" s="10">
        <v>0</v>
      </c>
      <c r="E195" s="10">
        <v>0</v>
      </c>
    </row>
    <row r="196" spans="2:5" ht="15" customHeight="1">
      <c r="B196" s="12" t="s">
        <v>636</v>
      </c>
      <c r="C196" s="10">
        <v>1</v>
      </c>
      <c r="D196" s="10">
        <v>0</v>
      </c>
      <c r="E196" s="10">
        <v>0</v>
      </c>
    </row>
    <row r="197" spans="2:5" ht="15" customHeight="1">
      <c r="B197" s="12" t="s">
        <v>637</v>
      </c>
      <c r="C197" s="10">
        <v>1</v>
      </c>
      <c r="D197" s="10">
        <v>0</v>
      </c>
      <c r="E197" s="10">
        <v>0</v>
      </c>
    </row>
    <row r="198" spans="2:5" ht="15" customHeight="1">
      <c r="B198" s="12" t="s">
        <v>638</v>
      </c>
      <c r="C198" s="10">
        <v>1</v>
      </c>
      <c r="D198" s="10">
        <v>0</v>
      </c>
      <c r="E198" s="10">
        <v>0</v>
      </c>
    </row>
    <row r="199" spans="2:5" ht="15" customHeight="1">
      <c r="B199" s="12" t="s">
        <v>639</v>
      </c>
      <c r="C199" s="10">
        <v>1</v>
      </c>
      <c r="D199" s="10">
        <v>0</v>
      </c>
      <c r="E199" s="10">
        <v>0</v>
      </c>
    </row>
    <row r="200" spans="2:5" ht="15" customHeight="1">
      <c r="B200" s="12" t="s">
        <v>640</v>
      </c>
      <c r="C200" s="10">
        <v>1</v>
      </c>
      <c r="D200" s="10">
        <v>0</v>
      </c>
      <c r="E200" s="10">
        <v>0</v>
      </c>
    </row>
    <row r="201" spans="2:5" ht="15" customHeight="1">
      <c r="B201" s="12" t="s">
        <v>641</v>
      </c>
      <c r="C201" s="10">
        <v>1</v>
      </c>
      <c r="D201" s="10">
        <v>0</v>
      </c>
      <c r="E201" s="10">
        <v>0</v>
      </c>
    </row>
    <row r="202" spans="2:5" ht="15" customHeight="1">
      <c r="B202" s="12" t="s">
        <v>642</v>
      </c>
      <c r="C202" s="10">
        <v>1</v>
      </c>
      <c r="D202" s="10">
        <v>0</v>
      </c>
      <c r="E202" s="10">
        <v>0</v>
      </c>
    </row>
    <row r="203" spans="2:5" ht="15" customHeight="1">
      <c r="B203" s="12" t="s">
        <v>643</v>
      </c>
      <c r="C203" s="10">
        <v>1</v>
      </c>
      <c r="D203" s="10">
        <v>0</v>
      </c>
      <c r="E203" s="10">
        <v>0</v>
      </c>
    </row>
    <row r="204" spans="2:5" ht="15" customHeight="1">
      <c r="B204" s="12" t="s">
        <v>644</v>
      </c>
      <c r="C204" s="10">
        <v>1</v>
      </c>
      <c r="D204" s="10">
        <v>0</v>
      </c>
      <c r="E204" s="10">
        <v>0</v>
      </c>
    </row>
    <row r="205" spans="2:5" ht="15" customHeight="1">
      <c r="B205" s="12" t="s">
        <v>645</v>
      </c>
      <c r="C205" s="10">
        <v>1</v>
      </c>
      <c r="D205" s="10">
        <v>0</v>
      </c>
      <c r="E205" s="10">
        <v>0</v>
      </c>
    </row>
    <row r="206" spans="2:5" ht="15" customHeight="1">
      <c r="B206" s="12" t="s">
        <v>646</v>
      </c>
      <c r="C206" s="10">
        <v>1</v>
      </c>
      <c r="D206" s="10">
        <v>0</v>
      </c>
      <c r="E206" s="10">
        <v>0</v>
      </c>
    </row>
    <row r="207" spans="2:5" ht="15" customHeight="1">
      <c r="B207" s="12" t="s">
        <v>647</v>
      </c>
      <c r="C207" s="10">
        <v>1</v>
      </c>
      <c r="D207" s="10">
        <v>0</v>
      </c>
      <c r="E207" s="10">
        <v>0</v>
      </c>
    </row>
    <row r="208" spans="2:5" ht="15" customHeight="1">
      <c r="B208" s="12" t="s">
        <v>648</v>
      </c>
      <c r="C208" s="10">
        <v>1</v>
      </c>
      <c r="D208" s="10">
        <v>0</v>
      </c>
      <c r="E208" s="10">
        <v>0</v>
      </c>
    </row>
    <row r="209" spans="2:5" ht="15" customHeight="1">
      <c r="B209" s="12" t="s">
        <v>649</v>
      </c>
      <c r="C209" s="10">
        <v>1</v>
      </c>
      <c r="D209" s="10">
        <v>0</v>
      </c>
      <c r="E209" s="10">
        <v>0</v>
      </c>
    </row>
    <row r="210" spans="2:5" ht="15" customHeight="1">
      <c r="B210" s="12" t="s">
        <v>650</v>
      </c>
      <c r="C210" s="10">
        <v>1</v>
      </c>
      <c r="D210" s="10">
        <v>0</v>
      </c>
      <c r="E210" s="10">
        <v>0</v>
      </c>
    </row>
    <row r="211" spans="2:5" ht="15" customHeight="1">
      <c r="B211" s="12" t="s">
        <v>651</v>
      </c>
      <c r="C211" s="10">
        <v>1</v>
      </c>
      <c r="D211" s="10">
        <v>0</v>
      </c>
      <c r="E211" s="10">
        <v>0</v>
      </c>
    </row>
    <row r="212" spans="2:5" ht="15" customHeight="1">
      <c r="B212" s="12" t="s">
        <v>652</v>
      </c>
      <c r="C212" s="10">
        <v>1</v>
      </c>
      <c r="D212" s="10">
        <v>0</v>
      </c>
      <c r="E212" s="10">
        <v>0</v>
      </c>
    </row>
    <row r="213" spans="2:5" ht="15" customHeight="1">
      <c r="B213" s="12" t="s">
        <v>653</v>
      </c>
      <c r="C213" s="10">
        <v>1</v>
      </c>
      <c r="D213" s="10">
        <v>0</v>
      </c>
      <c r="E213" s="10">
        <v>0</v>
      </c>
    </row>
    <row r="214" spans="2:5" ht="15" customHeight="1">
      <c r="B214" s="12" t="s">
        <v>654</v>
      </c>
      <c r="C214" s="10">
        <v>1</v>
      </c>
      <c r="D214" s="10">
        <v>0</v>
      </c>
      <c r="E214" s="10">
        <v>0</v>
      </c>
    </row>
    <row r="215" spans="2:5" ht="15" customHeight="1">
      <c r="B215" s="12" t="s">
        <v>655</v>
      </c>
      <c r="C215" s="10">
        <v>1</v>
      </c>
      <c r="D215" s="10">
        <v>0</v>
      </c>
      <c r="E215" s="10">
        <v>0</v>
      </c>
    </row>
    <row r="216" spans="2:5" ht="15" customHeight="1">
      <c r="B216" s="12" t="s">
        <v>515</v>
      </c>
      <c r="C216" s="10">
        <v>1</v>
      </c>
      <c r="D216" s="10">
        <v>0</v>
      </c>
      <c r="E216" s="10">
        <v>0</v>
      </c>
    </row>
    <row r="217" spans="2:5" ht="15" customHeight="1">
      <c r="B217" s="12" t="s">
        <v>656</v>
      </c>
      <c r="C217" s="10">
        <v>1</v>
      </c>
      <c r="D217" s="10">
        <v>0</v>
      </c>
      <c r="E217" s="10">
        <v>0</v>
      </c>
    </row>
    <row r="218" spans="2:5" ht="15" customHeight="1">
      <c r="B218" s="12" t="s">
        <v>657</v>
      </c>
      <c r="C218" s="10">
        <v>1</v>
      </c>
      <c r="D218" s="10">
        <v>0</v>
      </c>
      <c r="E218" s="10">
        <v>0</v>
      </c>
    </row>
    <row r="219" spans="2:5" ht="15" customHeight="1">
      <c r="B219" s="12" t="s">
        <v>658</v>
      </c>
      <c r="C219" s="10">
        <v>1</v>
      </c>
      <c r="D219" s="10">
        <v>0</v>
      </c>
      <c r="E219" s="10">
        <v>0</v>
      </c>
    </row>
    <row r="220" spans="2:5" ht="15" customHeight="1">
      <c r="B220" s="12" t="s">
        <v>659</v>
      </c>
      <c r="C220" s="10">
        <v>1</v>
      </c>
      <c r="D220" s="10">
        <v>0</v>
      </c>
      <c r="E220" s="10">
        <v>0</v>
      </c>
    </row>
    <row r="221" spans="2:5" ht="15" customHeight="1">
      <c r="B221" s="12" t="s">
        <v>660</v>
      </c>
      <c r="C221" s="10">
        <v>1</v>
      </c>
      <c r="D221" s="10">
        <v>0</v>
      </c>
      <c r="E221" s="10">
        <v>0</v>
      </c>
    </row>
    <row r="222" spans="2:5" ht="15" customHeight="1">
      <c r="B222" s="12" t="s">
        <v>661</v>
      </c>
      <c r="C222" s="10">
        <v>1</v>
      </c>
      <c r="D222" s="10">
        <v>0</v>
      </c>
      <c r="E222" s="10">
        <v>0</v>
      </c>
    </row>
    <row r="223" spans="2:5" ht="15" customHeight="1">
      <c r="B223" s="12" t="s">
        <v>662</v>
      </c>
      <c r="C223" s="10">
        <v>1</v>
      </c>
      <c r="D223" s="10">
        <v>0</v>
      </c>
      <c r="E223" s="10">
        <v>0</v>
      </c>
    </row>
    <row r="224" spans="2:5" ht="15" customHeight="1">
      <c r="B224" s="12" t="s">
        <v>663</v>
      </c>
      <c r="C224" s="10">
        <v>1</v>
      </c>
      <c r="D224" s="10">
        <v>0</v>
      </c>
      <c r="E224" s="10">
        <v>0</v>
      </c>
    </row>
    <row r="225" spans="2:5" ht="15" customHeight="1">
      <c r="B225" s="12" t="s">
        <v>664</v>
      </c>
      <c r="C225" s="10">
        <v>1</v>
      </c>
      <c r="D225" s="10">
        <v>0</v>
      </c>
      <c r="E225" s="10">
        <v>0</v>
      </c>
    </row>
    <row r="226" spans="2:5" ht="15" customHeight="1">
      <c r="B226" s="12" t="s">
        <v>665</v>
      </c>
      <c r="C226" s="10">
        <v>1</v>
      </c>
      <c r="D226" s="10">
        <v>0</v>
      </c>
      <c r="E226" s="10">
        <v>0</v>
      </c>
    </row>
    <row r="227" spans="2:5" ht="15" customHeight="1">
      <c r="B227" s="12" t="s">
        <v>666</v>
      </c>
      <c r="C227" s="10">
        <v>1</v>
      </c>
      <c r="D227" s="10">
        <v>0</v>
      </c>
      <c r="E227" s="10">
        <v>0</v>
      </c>
    </row>
    <row r="228" spans="2:5" ht="15" customHeight="1">
      <c r="B228" s="12" t="s">
        <v>667</v>
      </c>
      <c r="C228" s="10">
        <v>1</v>
      </c>
      <c r="D228" s="10">
        <v>0</v>
      </c>
      <c r="E228" s="10">
        <v>0</v>
      </c>
    </row>
    <row r="229" spans="2:5" ht="15" customHeight="1">
      <c r="B229" s="12" t="s">
        <v>668</v>
      </c>
      <c r="C229" s="10">
        <v>1</v>
      </c>
      <c r="D229" s="10">
        <v>0</v>
      </c>
      <c r="E229" s="10">
        <v>0</v>
      </c>
    </row>
    <row r="230" spans="2:5" ht="15" customHeight="1">
      <c r="B230" s="12" t="s">
        <v>669</v>
      </c>
      <c r="C230" s="10">
        <v>1</v>
      </c>
      <c r="D230" s="10">
        <v>0</v>
      </c>
      <c r="E230" s="10">
        <v>0</v>
      </c>
    </row>
    <row r="231" spans="2:5" ht="15" customHeight="1">
      <c r="B231" s="12" t="s">
        <v>670</v>
      </c>
      <c r="C231" s="10">
        <v>1</v>
      </c>
      <c r="D231" s="10">
        <v>0</v>
      </c>
      <c r="E231" s="10">
        <v>0</v>
      </c>
    </row>
    <row r="232" spans="2:5" ht="15" customHeight="1">
      <c r="B232" s="12" t="s">
        <v>671</v>
      </c>
      <c r="C232" s="10">
        <v>1</v>
      </c>
      <c r="D232" s="10">
        <v>0</v>
      </c>
      <c r="E232" s="10">
        <v>0</v>
      </c>
    </row>
    <row r="233" spans="2:5" ht="15" customHeight="1">
      <c r="B233" s="12" t="s">
        <v>672</v>
      </c>
      <c r="C233" s="10">
        <v>1</v>
      </c>
      <c r="D233" s="10">
        <v>0</v>
      </c>
      <c r="E233" s="10">
        <v>0</v>
      </c>
    </row>
    <row r="234" spans="2:5" ht="15" customHeight="1">
      <c r="B234" s="12" t="s">
        <v>673</v>
      </c>
      <c r="C234" s="10">
        <v>1</v>
      </c>
      <c r="D234" s="10">
        <v>0</v>
      </c>
      <c r="E234" s="10">
        <v>0</v>
      </c>
    </row>
    <row r="235" spans="2:5" ht="15" customHeight="1">
      <c r="B235" s="12" t="s">
        <v>674</v>
      </c>
      <c r="C235" s="10">
        <v>1</v>
      </c>
      <c r="D235" s="10">
        <v>0</v>
      </c>
      <c r="E235" s="10">
        <v>0</v>
      </c>
    </row>
    <row r="236" spans="2:5" ht="15" customHeight="1">
      <c r="B236" s="12" t="s">
        <v>675</v>
      </c>
      <c r="C236" s="10">
        <v>1</v>
      </c>
      <c r="D236" s="10">
        <v>0</v>
      </c>
      <c r="E236" s="10">
        <v>0</v>
      </c>
    </row>
    <row r="237" spans="2:5" ht="15" customHeight="1">
      <c r="B237" s="12" t="s">
        <v>676</v>
      </c>
      <c r="C237" s="10">
        <v>1</v>
      </c>
      <c r="D237" s="10">
        <v>0</v>
      </c>
      <c r="E237" s="10">
        <v>0</v>
      </c>
    </row>
    <row r="238" spans="2:5" ht="15" customHeight="1">
      <c r="B238" s="12" t="s">
        <v>677</v>
      </c>
      <c r="C238" s="10">
        <v>1</v>
      </c>
      <c r="D238" s="10">
        <v>0</v>
      </c>
      <c r="E238" s="10">
        <v>0</v>
      </c>
    </row>
    <row r="239" spans="2:5" ht="15" customHeight="1">
      <c r="B239" s="12" t="s">
        <v>678</v>
      </c>
      <c r="C239" s="10">
        <v>1</v>
      </c>
      <c r="D239" s="10">
        <v>0</v>
      </c>
      <c r="E239" s="10">
        <v>0</v>
      </c>
    </row>
    <row r="240" spans="2:5" ht="15" customHeight="1">
      <c r="B240" s="12" t="s">
        <v>679</v>
      </c>
      <c r="C240" s="10">
        <v>1</v>
      </c>
      <c r="D240" s="10">
        <v>0</v>
      </c>
      <c r="E240" s="10">
        <v>0</v>
      </c>
    </row>
    <row r="241" spans="2:5" ht="15" customHeight="1">
      <c r="B241" s="12" t="s">
        <v>680</v>
      </c>
      <c r="C241" s="10">
        <v>1</v>
      </c>
      <c r="D241" s="10">
        <v>0</v>
      </c>
      <c r="E241" s="10">
        <v>0</v>
      </c>
    </row>
    <row r="242" spans="2:5" ht="15" customHeight="1">
      <c r="B242" s="12" t="s">
        <v>681</v>
      </c>
      <c r="C242" s="10">
        <v>1</v>
      </c>
      <c r="D242" s="10">
        <v>0</v>
      </c>
      <c r="E242" s="10">
        <v>0</v>
      </c>
    </row>
    <row r="243" spans="2:5" ht="15" customHeight="1">
      <c r="B243" s="12" t="s">
        <v>682</v>
      </c>
      <c r="C243" s="10">
        <v>1</v>
      </c>
      <c r="D243" s="10">
        <v>0</v>
      </c>
      <c r="E243" s="10">
        <v>0</v>
      </c>
    </row>
    <row r="244" spans="2:5" ht="15" customHeight="1">
      <c r="B244" s="12" t="s">
        <v>683</v>
      </c>
      <c r="C244" s="10">
        <v>1</v>
      </c>
      <c r="D244" s="10">
        <v>0</v>
      </c>
      <c r="E244" s="10">
        <v>0</v>
      </c>
    </row>
    <row r="245" spans="2:5" ht="15" customHeight="1">
      <c r="B245" s="12" t="s">
        <v>684</v>
      </c>
      <c r="C245" s="10">
        <v>1</v>
      </c>
      <c r="D245" s="10">
        <v>0</v>
      </c>
      <c r="E245" s="10">
        <v>0</v>
      </c>
    </row>
    <row r="246" spans="2:5" ht="15" customHeight="1">
      <c r="B246" s="12" t="s">
        <v>685</v>
      </c>
      <c r="C246" s="10">
        <v>1</v>
      </c>
      <c r="D246" s="10">
        <v>0</v>
      </c>
      <c r="E246" s="10">
        <v>0</v>
      </c>
    </row>
    <row r="247" spans="2:5" ht="15" customHeight="1">
      <c r="B247" s="12" t="s">
        <v>599</v>
      </c>
      <c r="C247" s="10">
        <v>1</v>
      </c>
      <c r="D247" s="10">
        <v>0</v>
      </c>
      <c r="E247" s="10">
        <v>0</v>
      </c>
    </row>
    <row r="248" spans="2:5" ht="15" customHeight="1">
      <c r="B248" s="12" t="s">
        <v>686</v>
      </c>
      <c r="C248" s="10">
        <v>1</v>
      </c>
      <c r="D248" s="10">
        <v>0</v>
      </c>
      <c r="E248" s="10">
        <v>0</v>
      </c>
    </row>
    <row r="249" spans="2:5" ht="15" customHeight="1">
      <c r="B249" s="12" t="s">
        <v>687</v>
      </c>
      <c r="C249" s="10">
        <v>1</v>
      </c>
      <c r="D249" s="10">
        <v>0</v>
      </c>
      <c r="E249" s="10">
        <v>0</v>
      </c>
    </row>
    <row r="250" spans="2:5" ht="15" customHeight="1">
      <c r="B250" s="12" t="s">
        <v>688</v>
      </c>
      <c r="C250" s="10">
        <v>1</v>
      </c>
      <c r="D250" s="10">
        <v>0</v>
      </c>
      <c r="E250" s="10">
        <v>0</v>
      </c>
    </row>
    <row r="251" spans="2:5" ht="15" customHeight="1">
      <c r="B251" s="12" t="s">
        <v>689</v>
      </c>
      <c r="C251" s="10">
        <v>1</v>
      </c>
      <c r="D251" s="10">
        <v>0</v>
      </c>
      <c r="E251" s="10">
        <v>0</v>
      </c>
    </row>
    <row r="252" spans="2:5" ht="15" customHeight="1">
      <c r="B252" s="12" t="s">
        <v>690</v>
      </c>
      <c r="C252" s="10">
        <v>1</v>
      </c>
      <c r="D252" s="10">
        <v>0</v>
      </c>
      <c r="E252" s="10">
        <v>0</v>
      </c>
    </row>
    <row r="253" spans="2:5" ht="15" customHeight="1">
      <c r="B253" s="12" t="s">
        <v>691</v>
      </c>
      <c r="C253" s="10">
        <v>1</v>
      </c>
      <c r="D253" s="10">
        <v>0</v>
      </c>
      <c r="E253" s="10">
        <v>0</v>
      </c>
    </row>
    <row r="254" spans="2:5" ht="15" customHeight="1">
      <c r="B254" s="12" t="s">
        <v>692</v>
      </c>
      <c r="C254" s="10">
        <v>1</v>
      </c>
      <c r="D254" s="10">
        <v>0</v>
      </c>
      <c r="E254" s="10">
        <v>0</v>
      </c>
    </row>
    <row r="255" spans="2:5" ht="15" customHeight="1">
      <c r="B255" s="12" t="s">
        <v>693</v>
      </c>
      <c r="C255" s="10">
        <v>1</v>
      </c>
      <c r="D255" s="10">
        <v>0</v>
      </c>
      <c r="E255" s="10">
        <v>0</v>
      </c>
    </row>
    <row r="256" spans="2:5" ht="15" customHeight="1">
      <c r="B256" s="12" t="s">
        <v>694</v>
      </c>
      <c r="C256" s="10">
        <v>1</v>
      </c>
      <c r="D256" s="10">
        <v>0</v>
      </c>
      <c r="E256" s="10">
        <v>0</v>
      </c>
    </row>
    <row r="257" spans="2:5" ht="15" customHeight="1">
      <c r="B257" s="12" t="s">
        <v>695</v>
      </c>
      <c r="C257" s="10">
        <v>1</v>
      </c>
      <c r="D257" s="10">
        <v>0</v>
      </c>
      <c r="E257" s="10">
        <v>0</v>
      </c>
    </row>
    <row r="258" spans="2:5" ht="15" customHeight="1">
      <c r="B258" s="12" t="s">
        <v>696</v>
      </c>
      <c r="C258" s="10">
        <v>1</v>
      </c>
      <c r="D258" s="10">
        <v>0</v>
      </c>
      <c r="E258" s="10">
        <v>0</v>
      </c>
    </row>
    <row r="259" spans="2:5" ht="15" customHeight="1">
      <c r="B259" s="12" t="s">
        <v>697</v>
      </c>
      <c r="C259" s="10">
        <v>1</v>
      </c>
      <c r="D259" s="10">
        <v>0</v>
      </c>
      <c r="E259" s="10">
        <v>0</v>
      </c>
    </row>
    <row r="260" spans="2:5" ht="15" customHeight="1">
      <c r="B260" s="12" t="s">
        <v>698</v>
      </c>
      <c r="C260" s="10">
        <v>1</v>
      </c>
      <c r="D260" s="10">
        <v>0</v>
      </c>
      <c r="E260" s="10">
        <v>0</v>
      </c>
    </row>
    <row r="261" spans="2:5" ht="15" customHeight="1">
      <c r="B261" s="12" t="s">
        <v>699</v>
      </c>
      <c r="C261" s="10">
        <v>1</v>
      </c>
      <c r="D261" s="10">
        <v>0</v>
      </c>
      <c r="E261" s="10">
        <v>0</v>
      </c>
    </row>
    <row r="262" spans="2:5" ht="15" customHeight="1">
      <c r="B262" s="12" t="s">
        <v>700</v>
      </c>
      <c r="C262" s="10">
        <v>1</v>
      </c>
      <c r="D262" s="10">
        <v>0</v>
      </c>
      <c r="E262" s="10">
        <v>0</v>
      </c>
    </row>
    <row r="263" spans="2:5" ht="15" customHeight="1">
      <c r="B263" s="12" t="s">
        <v>701</v>
      </c>
      <c r="C263" s="10">
        <v>1</v>
      </c>
      <c r="D263" s="10">
        <v>0</v>
      </c>
      <c r="E263" s="10">
        <v>0</v>
      </c>
    </row>
    <row r="264" spans="2:5" ht="15" customHeight="1">
      <c r="B264" s="12" t="s">
        <v>702</v>
      </c>
      <c r="C264" s="10">
        <v>1</v>
      </c>
      <c r="D264" s="10">
        <v>0</v>
      </c>
      <c r="E264" s="10">
        <v>0</v>
      </c>
    </row>
    <row r="265" spans="2:5" ht="15" customHeight="1">
      <c r="B265" s="12" t="s">
        <v>703</v>
      </c>
      <c r="C265" s="10">
        <v>1</v>
      </c>
      <c r="D265" s="10">
        <v>0</v>
      </c>
      <c r="E265" s="10">
        <v>0</v>
      </c>
    </row>
    <row r="266" spans="2:5" ht="15" customHeight="1">
      <c r="B266" s="12" t="s">
        <v>704</v>
      </c>
      <c r="C266" s="10">
        <v>1</v>
      </c>
      <c r="D266" s="10">
        <v>0</v>
      </c>
      <c r="E266" s="10">
        <v>0</v>
      </c>
    </row>
    <row r="267" spans="2:5" ht="15" customHeight="1">
      <c r="B267" s="12" t="s">
        <v>705</v>
      </c>
      <c r="C267" s="10">
        <v>1</v>
      </c>
      <c r="D267" s="10">
        <v>0</v>
      </c>
      <c r="E267" s="10">
        <v>0</v>
      </c>
    </row>
    <row r="268" spans="2:5" ht="15" customHeight="1">
      <c r="B268" s="12" t="s">
        <v>706</v>
      </c>
      <c r="C268" s="10">
        <v>1</v>
      </c>
      <c r="D268" s="10">
        <v>0</v>
      </c>
      <c r="E268" s="10">
        <v>0</v>
      </c>
    </row>
    <row r="269" spans="2:5" ht="15" customHeight="1">
      <c r="B269" s="12" t="s">
        <v>707</v>
      </c>
      <c r="C269" s="10">
        <v>311</v>
      </c>
      <c r="D269" s="10">
        <v>2</v>
      </c>
      <c r="E269" s="10">
        <v>1</v>
      </c>
    </row>
    <row r="271" spans="2:2" ht="15" customHeight="1">
      <c r="B271" s="27" t="s">
        <v>708</v>
      </c>
    </row>
    <row r="275" spans="2:2" ht="12.75">
      <c r="B275" s="5" t="s">
        <v>709</v>
      </c>
    </row>
    <row r="277" spans="2:2" ht="12.75"/>
    <row r="299" spans="2:5" ht="30" customHeight="1">
      <c r="B299" s="6" t="s">
        <v>474</v>
      </c>
      <c r="C299" s="7" t="s">
        <v>7</v>
      </c>
      <c r="D299" s="7" t="s">
        <v>8</v>
      </c>
      <c r="E299" s="7" t="s">
        <v>9</v>
      </c>
    </row>
    <row r="300" spans="2:5" ht="15" customHeight="1">
      <c r="B300" s="12" t="s">
        <v>93</v>
      </c>
      <c r="C300" s="10">
        <v>24707196</v>
      </c>
      <c r="D300" s="10">
        <v>3437</v>
      </c>
      <c r="E300" s="10">
        <v>0</v>
      </c>
    </row>
    <row r="301" spans="2:5" ht="15" customHeight="1">
      <c r="B301" s="12" t="s">
        <v>664</v>
      </c>
      <c r="C301" s="10">
        <v>5540245</v>
      </c>
      <c r="D301" s="10">
        <v>0</v>
      </c>
      <c r="E301" s="10">
        <v>0</v>
      </c>
    </row>
    <row r="302" spans="2:5" ht="15" customHeight="1">
      <c r="B302" s="12" t="s">
        <v>475</v>
      </c>
      <c r="C302" s="10">
        <v>3273951</v>
      </c>
      <c r="D302" s="10">
        <v>0</v>
      </c>
      <c r="E302" s="10">
        <v>0</v>
      </c>
    </row>
    <row r="303" spans="2:5" ht="15" customHeight="1">
      <c r="B303" s="12" t="s">
        <v>487</v>
      </c>
      <c r="C303" s="10">
        <v>2234098</v>
      </c>
      <c r="D303" s="10">
        <v>0</v>
      </c>
      <c r="E303" s="10">
        <v>0</v>
      </c>
    </row>
    <row r="304" spans="2:5" ht="15" customHeight="1">
      <c r="B304" s="12" t="s">
        <v>528</v>
      </c>
      <c r="C304" s="10">
        <v>1418311</v>
      </c>
      <c r="D304" s="10">
        <v>0</v>
      </c>
      <c r="E304" s="10">
        <v>0</v>
      </c>
    </row>
    <row r="305" spans="2:5" ht="15" customHeight="1">
      <c r="B305" s="12" t="s">
        <v>551</v>
      </c>
      <c r="C305" s="10">
        <v>1393810</v>
      </c>
      <c r="D305" s="10">
        <v>0</v>
      </c>
      <c r="E305" s="10">
        <v>0</v>
      </c>
    </row>
    <row r="306" spans="2:5" ht="15" customHeight="1">
      <c r="B306" s="12" t="s">
        <v>394</v>
      </c>
      <c r="C306" s="10">
        <v>1386036</v>
      </c>
      <c r="D306" s="10">
        <v>24003</v>
      </c>
      <c r="E306" s="10">
        <v>0</v>
      </c>
    </row>
    <row r="307" spans="2:5" ht="15" customHeight="1">
      <c r="B307" s="12" t="s">
        <v>535</v>
      </c>
      <c r="C307" s="10">
        <v>1302448</v>
      </c>
      <c r="D307" s="10">
        <v>0</v>
      </c>
      <c r="E307" s="10">
        <v>0</v>
      </c>
    </row>
    <row r="308" spans="2:5" ht="15" customHeight="1">
      <c r="B308" s="12" t="s">
        <v>630</v>
      </c>
      <c r="C308" s="10">
        <v>1280300</v>
      </c>
      <c r="D308" s="10">
        <v>0</v>
      </c>
      <c r="E308" s="10">
        <v>0</v>
      </c>
    </row>
    <row r="309" spans="2:5" ht="15" customHeight="1">
      <c r="B309" s="12" t="s">
        <v>477</v>
      </c>
      <c r="C309" s="10">
        <v>1067958</v>
      </c>
      <c r="D309" s="10">
        <v>0</v>
      </c>
      <c r="E309" s="10">
        <v>0</v>
      </c>
    </row>
    <row r="310" spans="2:5" ht="15" customHeight="1">
      <c r="B310" s="12" t="s">
        <v>501</v>
      </c>
      <c r="C310" s="10">
        <v>882186</v>
      </c>
      <c r="D310" s="10">
        <v>0</v>
      </c>
      <c r="E310" s="10">
        <v>0</v>
      </c>
    </row>
    <row r="311" spans="2:5" ht="15" customHeight="1">
      <c r="B311" s="12" t="s">
        <v>479</v>
      </c>
      <c r="C311" s="10">
        <v>835870</v>
      </c>
      <c r="D311" s="10">
        <v>0</v>
      </c>
      <c r="E311" s="10">
        <v>0</v>
      </c>
    </row>
    <row r="312" spans="2:5" ht="15" customHeight="1">
      <c r="B312" s="12" t="s">
        <v>489</v>
      </c>
      <c r="C312" s="10">
        <v>651763</v>
      </c>
      <c r="D312" s="10">
        <v>0</v>
      </c>
      <c r="E312" s="10">
        <v>0</v>
      </c>
    </row>
    <row r="313" spans="2:5" ht="15" customHeight="1">
      <c r="B313" s="12" t="s">
        <v>499</v>
      </c>
      <c r="C313" s="10">
        <v>625489</v>
      </c>
      <c r="D313" s="10">
        <v>0</v>
      </c>
      <c r="E313" s="10">
        <v>0</v>
      </c>
    </row>
    <row r="314" spans="2:5" ht="15" customHeight="1">
      <c r="B314" s="12" t="s">
        <v>556</v>
      </c>
      <c r="C314" s="10">
        <v>621277</v>
      </c>
      <c r="D314" s="10">
        <v>0</v>
      </c>
      <c r="E314" s="10">
        <v>0</v>
      </c>
    </row>
    <row r="315" spans="2:5" ht="15" customHeight="1">
      <c r="B315" s="12" t="s">
        <v>491</v>
      </c>
      <c r="C315" s="10">
        <v>564223</v>
      </c>
      <c r="D315" s="10">
        <v>0</v>
      </c>
      <c r="E315" s="10">
        <v>0</v>
      </c>
    </row>
    <row r="316" spans="2:5" ht="15" customHeight="1">
      <c r="B316" s="12" t="s">
        <v>481</v>
      </c>
      <c r="C316" s="10">
        <v>490153</v>
      </c>
      <c r="D316" s="10">
        <v>0</v>
      </c>
      <c r="E316" s="10">
        <v>0</v>
      </c>
    </row>
    <row r="317" spans="2:5" ht="15" customHeight="1">
      <c r="B317" s="12" t="s">
        <v>525</v>
      </c>
      <c r="C317" s="10">
        <v>478158</v>
      </c>
      <c r="D317" s="10">
        <v>0</v>
      </c>
      <c r="E317" s="10">
        <v>0</v>
      </c>
    </row>
    <row r="318" spans="2:5" ht="15" customHeight="1">
      <c r="B318" s="12" t="s">
        <v>539</v>
      </c>
      <c r="C318" s="10">
        <v>444037</v>
      </c>
      <c r="D318" s="10">
        <v>0</v>
      </c>
      <c r="E318" s="10">
        <v>0</v>
      </c>
    </row>
    <row r="319" spans="2:5" ht="15" customHeight="1">
      <c r="B319" s="12" t="s">
        <v>498</v>
      </c>
      <c r="C319" s="10">
        <v>303158</v>
      </c>
      <c r="D319" s="10">
        <v>0</v>
      </c>
      <c r="E319" s="10">
        <v>0</v>
      </c>
    </row>
    <row r="320" spans="2:5" ht="15" customHeight="1">
      <c r="B320" s="12" t="s">
        <v>544</v>
      </c>
      <c r="C320" s="10">
        <v>268176</v>
      </c>
      <c r="D320" s="10">
        <v>0</v>
      </c>
      <c r="E320" s="10">
        <v>0</v>
      </c>
    </row>
    <row r="321" spans="2:5" ht="15" customHeight="1">
      <c r="B321" s="12" t="s">
        <v>550</v>
      </c>
      <c r="C321" s="10">
        <v>263352</v>
      </c>
      <c r="D321" s="10">
        <v>0</v>
      </c>
      <c r="E321" s="10">
        <v>0</v>
      </c>
    </row>
    <row r="322" spans="2:5" ht="15" customHeight="1">
      <c r="B322" s="12" t="s">
        <v>494</v>
      </c>
      <c r="C322" s="10">
        <v>244588</v>
      </c>
      <c r="D322" s="10">
        <v>0</v>
      </c>
      <c r="E322" s="10">
        <v>0</v>
      </c>
    </row>
    <row r="323" spans="2:5" ht="15" customHeight="1">
      <c r="B323" s="12" t="s">
        <v>505</v>
      </c>
      <c r="C323" s="10">
        <v>238752</v>
      </c>
      <c r="D323" s="10">
        <v>0</v>
      </c>
      <c r="E323" s="10">
        <v>0</v>
      </c>
    </row>
    <row r="324" spans="2:5" ht="15" customHeight="1">
      <c r="B324" s="12" t="s">
        <v>478</v>
      </c>
      <c r="C324" s="10">
        <v>236880</v>
      </c>
      <c r="D324" s="10">
        <v>0</v>
      </c>
      <c r="E324" s="10">
        <v>0</v>
      </c>
    </row>
    <row r="325" spans="2:5" ht="15" customHeight="1">
      <c r="B325" s="12" t="s">
        <v>565</v>
      </c>
      <c r="C325" s="10">
        <v>230003</v>
      </c>
      <c r="D325" s="10">
        <v>0</v>
      </c>
      <c r="E325" s="10">
        <v>0</v>
      </c>
    </row>
    <row r="326" spans="2:5" ht="15" customHeight="1">
      <c r="B326" s="12" t="s">
        <v>677</v>
      </c>
      <c r="C326" s="10">
        <v>229936</v>
      </c>
      <c r="D326" s="10">
        <v>0</v>
      </c>
      <c r="E326" s="10">
        <v>0</v>
      </c>
    </row>
    <row r="327" spans="2:5" ht="15" customHeight="1">
      <c r="B327" s="12" t="s">
        <v>497</v>
      </c>
      <c r="C327" s="10">
        <v>185679</v>
      </c>
      <c r="D327" s="10">
        <v>0</v>
      </c>
      <c r="E327" s="10">
        <v>0</v>
      </c>
    </row>
    <row r="328" spans="2:5" ht="15" customHeight="1">
      <c r="B328" s="12" t="s">
        <v>695</v>
      </c>
      <c r="C328" s="10">
        <v>183185</v>
      </c>
      <c r="D328" s="10">
        <v>0</v>
      </c>
      <c r="E328" s="10">
        <v>0</v>
      </c>
    </row>
    <row r="329" spans="2:5" ht="15" customHeight="1">
      <c r="B329" s="12" t="s">
        <v>575</v>
      </c>
      <c r="C329" s="10">
        <v>178699</v>
      </c>
      <c r="D329" s="10">
        <v>0</v>
      </c>
      <c r="E329" s="10">
        <v>0</v>
      </c>
    </row>
    <row r="330" spans="2:5" ht="15" customHeight="1">
      <c r="B330" s="12" t="s">
        <v>510</v>
      </c>
      <c r="C330" s="10">
        <v>155525</v>
      </c>
      <c r="D330" s="10">
        <v>0</v>
      </c>
      <c r="E330" s="10">
        <v>0</v>
      </c>
    </row>
    <row r="331" spans="2:5" ht="15" customHeight="1">
      <c r="B331" s="12" t="s">
        <v>488</v>
      </c>
      <c r="C331" s="10">
        <v>138507</v>
      </c>
      <c r="D331" s="10">
        <v>0</v>
      </c>
      <c r="E331" s="10">
        <v>0</v>
      </c>
    </row>
    <row r="332" spans="2:5" ht="15" customHeight="1">
      <c r="B332" s="12" t="s">
        <v>483</v>
      </c>
      <c r="C332" s="10">
        <v>117963</v>
      </c>
      <c r="D332" s="10">
        <v>0</v>
      </c>
      <c r="E332" s="10">
        <v>0</v>
      </c>
    </row>
    <row r="333" spans="2:5" ht="15" customHeight="1">
      <c r="B333" s="12" t="s">
        <v>495</v>
      </c>
      <c r="C333" s="10">
        <v>110761</v>
      </c>
      <c r="D333" s="10">
        <v>0</v>
      </c>
      <c r="E333" s="10">
        <v>0</v>
      </c>
    </row>
    <row r="334" spans="2:5" ht="15" customHeight="1">
      <c r="B334" s="12" t="s">
        <v>504</v>
      </c>
      <c r="C334" s="10">
        <v>106344</v>
      </c>
      <c r="D334" s="10">
        <v>0</v>
      </c>
      <c r="E334" s="10">
        <v>0</v>
      </c>
    </row>
    <row r="335" spans="2:5" ht="15" customHeight="1">
      <c r="B335" s="12" t="s">
        <v>626</v>
      </c>
      <c r="C335" s="10">
        <v>104463</v>
      </c>
      <c r="D335" s="10">
        <v>0</v>
      </c>
      <c r="E335" s="10">
        <v>0</v>
      </c>
    </row>
    <row r="336" spans="2:5" ht="15" customHeight="1">
      <c r="B336" s="12" t="s">
        <v>490</v>
      </c>
      <c r="C336" s="10">
        <v>99603</v>
      </c>
      <c r="D336" s="10">
        <v>0</v>
      </c>
      <c r="E336" s="10">
        <v>0</v>
      </c>
    </row>
    <row r="337" spans="2:5" ht="15" customHeight="1">
      <c r="B337" s="12" t="s">
        <v>480</v>
      </c>
      <c r="C337" s="10">
        <v>99159</v>
      </c>
      <c r="D337" s="10">
        <v>0</v>
      </c>
      <c r="E337" s="10">
        <v>0</v>
      </c>
    </row>
    <row r="338" spans="2:5" ht="15" customHeight="1">
      <c r="B338" s="12" t="s">
        <v>496</v>
      </c>
      <c r="C338" s="10">
        <v>96462</v>
      </c>
      <c r="D338" s="10">
        <v>0</v>
      </c>
      <c r="E338" s="10">
        <v>0</v>
      </c>
    </row>
    <row r="339" spans="2:5" ht="15" customHeight="1">
      <c r="B339" s="12" t="s">
        <v>476</v>
      </c>
      <c r="C339" s="10">
        <v>90970</v>
      </c>
      <c r="D339" s="10">
        <v>0</v>
      </c>
      <c r="E339" s="10">
        <v>0</v>
      </c>
    </row>
    <row r="340" spans="2:5" ht="15" customHeight="1">
      <c r="B340" s="12" t="s">
        <v>521</v>
      </c>
      <c r="C340" s="10">
        <v>79377</v>
      </c>
      <c r="D340" s="10">
        <v>0</v>
      </c>
      <c r="E340" s="10">
        <v>0</v>
      </c>
    </row>
    <row r="341" spans="2:5" ht="15" customHeight="1">
      <c r="B341" s="12" t="s">
        <v>586</v>
      </c>
      <c r="C341" s="10">
        <v>75848</v>
      </c>
      <c r="D341" s="10">
        <v>0</v>
      </c>
      <c r="E341" s="10">
        <v>0</v>
      </c>
    </row>
    <row r="342" spans="2:5" ht="15" customHeight="1">
      <c r="B342" s="12" t="s">
        <v>534</v>
      </c>
      <c r="C342" s="10">
        <v>74195</v>
      </c>
      <c r="D342" s="10">
        <v>0</v>
      </c>
      <c r="E342" s="10">
        <v>0</v>
      </c>
    </row>
    <row r="343" spans="2:5" ht="15" customHeight="1">
      <c r="B343" s="12" t="s">
        <v>486</v>
      </c>
      <c r="C343" s="10">
        <v>70113</v>
      </c>
      <c r="D343" s="10">
        <v>66229</v>
      </c>
      <c r="E343" s="10">
        <v>0</v>
      </c>
    </row>
    <row r="344" spans="2:5" ht="15" customHeight="1">
      <c r="B344" s="12" t="s">
        <v>512</v>
      </c>
      <c r="C344" s="10">
        <v>69818</v>
      </c>
      <c r="D344" s="10">
        <v>22770</v>
      </c>
      <c r="E344" s="10">
        <v>0</v>
      </c>
    </row>
    <row r="345" spans="2:5" ht="15" customHeight="1">
      <c r="B345" s="12" t="s">
        <v>492</v>
      </c>
      <c r="C345" s="10">
        <v>64229</v>
      </c>
      <c r="D345" s="10">
        <v>0</v>
      </c>
      <c r="E345" s="10">
        <v>0</v>
      </c>
    </row>
    <row r="346" spans="2:5" ht="15" customHeight="1">
      <c r="B346" s="12" t="s">
        <v>587</v>
      </c>
      <c r="C346" s="10">
        <v>60638</v>
      </c>
      <c r="D346" s="10">
        <v>0</v>
      </c>
      <c r="E346" s="10">
        <v>0</v>
      </c>
    </row>
    <row r="347" spans="2:5" ht="15" customHeight="1">
      <c r="B347" s="12" t="s">
        <v>493</v>
      </c>
      <c r="C347" s="10">
        <v>59637</v>
      </c>
      <c r="D347" s="10">
        <v>42011</v>
      </c>
      <c r="E347" s="10">
        <v>0</v>
      </c>
    </row>
    <row r="348" spans="2:5" ht="15" customHeight="1">
      <c r="B348" s="12" t="s">
        <v>546</v>
      </c>
      <c r="C348" s="10">
        <v>59370</v>
      </c>
      <c r="D348" s="10">
        <v>0</v>
      </c>
      <c r="E348" s="10">
        <v>0</v>
      </c>
    </row>
    <row r="349" spans="2:5" ht="15" customHeight="1">
      <c r="B349" s="12" t="s">
        <v>669</v>
      </c>
      <c r="C349" s="10">
        <v>57379</v>
      </c>
      <c r="D349" s="10">
        <v>0</v>
      </c>
      <c r="E349" s="10">
        <v>0</v>
      </c>
    </row>
    <row r="350" spans="2:5" ht="15" customHeight="1">
      <c r="B350" s="12" t="s">
        <v>500</v>
      </c>
      <c r="C350" s="10">
        <v>49613</v>
      </c>
      <c r="D350" s="10">
        <v>0</v>
      </c>
      <c r="E350" s="10">
        <v>0</v>
      </c>
    </row>
    <row r="351" spans="2:5" ht="15" customHeight="1">
      <c r="B351" s="12" t="s">
        <v>573</v>
      </c>
      <c r="C351" s="10">
        <v>41794</v>
      </c>
      <c r="D351" s="10">
        <v>0</v>
      </c>
      <c r="E351" s="10">
        <v>0</v>
      </c>
    </row>
    <row r="352" spans="2:5" ht="15" customHeight="1">
      <c r="B352" s="12" t="s">
        <v>530</v>
      </c>
      <c r="C352" s="10">
        <v>40075</v>
      </c>
      <c r="D352" s="10">
        <v>0</v>
      </c>
      <c r="E352" s="10">
        <v>0</v>
      </c>
    </row>
    <row r="353" spans="2:5" ht="15" customHeight="1">
      <c r="B353" s="12" t="s">
        <v>508</v>
      </c>
      <c r="C353" s="10">
        <v>37890</v>
      </c>
      <c r="D353" s="10">
        <v>0</v>
      </c>
      <c r="E353" s="10">
        <v>0</v>
      </c>
    </row>
    <row r="354" spans="2:5" ht="15" customHeight="1">
      <c r="B354" s="12" t="s">
        <v>482</v>
      </c>
      <c r="C354" s="10">
        <v>36645</v>
      </c>
      <c r="D354" s="10">
        <v>0</v>
      </c>
      <c r="E354" s="10">
        <v>0</v>
      </c>
    </row>
    <row r="355" spans="2:5" ht="15" customHeight="1">
      <c r="B355" s="12" t="s">
        <v>519</v>
      </c>
      <c r="C355" s="10">
        <v>36565</v>
      </c>
      <c r="D355" s="10">
        <v>0</v>
      </c>
      <c r="E355" s="10">
        <v>0</v>
      </c>
    </row>
    <row r="356" spans="2:5" ht="15" customHeight="1">
      <c r="B356" s="12" t="s">
        <v>515</v>
      </c>
      <c r="C356" s="10">
        <v>33493</v>
      </c>
      <c r="D356" s="10">
        <v>0</v>
      </c>
      <c r="E356" s="10">
        <v>0</v>
      </c>
    </row>
    <row r="357" spans="2:5" ht="15" customHeight="1">
      <c r="B357" s="12" t="s">
        <v>507</v>
      </c>
      <c r="C357" s="10">
        <v>33348</v>
      </c>
      <c r="D357" s="10">
        <v>0</v>
      </c>
      <c r="E357" s="10">
        <v>0</v>
      </c>
    </row>
    <row r="358" spans="2:5" ht="15" customHeight="1">
      <c r="B358" s="12" t="s">
        <v>515</v>
      </c>
      <c r="C358" s="10">
        <v>30256</v>
      </c>
      <c r="D358" s="10">
        <v>0</v>
      </c>
      <c r="E358" s="10">
        <v>0</v>
      </c>
    </row>
    <row r="359" spans="2:5" ht="15" customHeight="1">
      <c r="B359" s="12" t="s">
        <v>502</v>
      </c>
      <c r="C359" s="10">
        <v>28224</v>
      </c>
      <c r="D359" s="10">
        <v>0</v>
      </c>
      <c r="E359" s="10">
        <v>0</v>
      </c>
    </row>
    <row r="360" spans="2:5" ht="15" customHeight="1">
      <c r="B360" s="12" t="s">
        <v>570</v>
      </c>
      <c r="C360" s="10">
        <v>25174</v>
      </c>
      <c r="D360" s="10">
        <v>0</v>
      </c>
      <c r="E360" s="10">
        <v>0</v>
      </c>
    </row>
    <row r="361" spans="2:5" ht="15" customHeight="1">
      <c r="B361" s="12" t="s">
        <v>665</v>
      </c>
      <c r="C361" s="10">
        <v>24350</v>
      </c>
      <c r="D361" s="10">
        <v>0</v>
      </c>
      <c r="E361" s="10">
        <v>0</v>
      </c>
    </row>
    <row r="362" spans="2:5" ht="15" customHeight="1">
      <c r="B362" s="12" t="s">
        <v>518</v>
      </c>
      <c r="C362" s="10">
        <v>24136</v>
      </c>
      <c r="D362" s="10">
        <v>0</v>
      </c>
      <c r="E362" s="10">
        <v>0</v>
      </c>
    </row>
    <row r="363" spans="2:5" ht="15" customHeight="1">
      <c r="B363" s="12" t="s">
        <v>543</v>
      </c>
      <c r="C363" s="10">
        <v>23752</v>
      </c>
      <c r="D363" s="10">
        <v>0</v>
      </c>
      <c r="E363" s="10">
        <v>0</v>
      </c>
    </row>
    <row r="364" spans="2:5" ht="15" customHeight="1">
      <c r="B364" s="12" t="s">
        <v>615</v>
      </c>
      <c r="C364" s="10">
        <v>23396</v>
      </c>
      <c r="D364" s="10">
        <v>0</v>
      </c>
      <c r="E364" s="10">
        <v>0</v>
      </c>
    </row>
    <row r="365" spans="2:5" ht="15" customHeight="1">
      <c r="B365" s="12" t="s">
        <v>701</v>
      </c>
      <c r="C365" s="10">
        <v>22191</v>
      </c>
      <c r="D365" s="10">
        <v>0</v>
      </c>
      <c r="E365" s="10">
        <v>0</v>
      </c>
    </row>
    <row r="366" spans="2:5" ht="15" customHeight="1">
      <c r="B366" s="12" t="s">
        <v>484</v>
      </c>
      <c r="C366" s="10">
        <v>19181</v>
      </c>
      <c r="D366" s="10">
        <v>0</v>
      </c>
      <c r="E366" s="10">
        <v>0</v>
      </c>
    </row>
    <row r="367" spans="2:5" ht="15" customHeight="1">
      <c r="B367" s="12" t="s">
        <v>639</v>
      </c>
      <c r="C367" s="10">
        <v>17935</v>
      </c>
      <c r="D367" s="10">
        <v>0</v>
      </c>
      <c r="E367" s="10">
        <v>0</v>
      </c>
    </row>
    <row r="368" spans="2:5" ht="15" customHeight="1">
      <c r="B368" s="12" t="s">
        <v>566</v>
      </c>
      <c r="C368" s="10">
        <v>17842</v>
      </c>
      <c r="D368" s="10">
        <v>0</v>
      </c>
      <c r="E368" s="10">
        <v>0</v>
      </c>
    </row>
    <row r="369" spans="2:5" ht="15" customHeight="1">
      <c r="B369" s="12" t="s">
        <v>608</v>
      </c>
      <c r="C369" s="10">
        <v>17335</v>
      </c>
      <c r="D369" s="10">
        <v>0</v>
      </c>
      <c r="E369" s="10">
        <v>0</v>
      </c>
    </row>
    <row r="370" spans="2:5" ht="15" customHeight="1">
      <c r="B370" s="12" t="s">
        <v>514</v>
      </c>
      <c r="C370" s="10">
        <v>15278</v>
      </c>
      <c r="D370" s="10">
        <v>0</v>
      </c>
      <c r="E370" s="10">
        <v>0</v>
      </c>
    </row>
    <row r="371" spans="2:5" ht="15" customHeight="1">
      <c r="B371" s="12" t="s">
        <v>578</v>
      </c>
      <c r="C371" s="10">
        <v>15198</v>
      </c>
      <c r="D371" s="10">
        <v>0</v>
      </c>
      <c r="E371" s="10">
        <v>0</v>
      </c>
    </row>
    <row r="372" spans="2:5" ht="15" customHeight="1">
      <c r="B372" s="12" t="s">
        <v>604</v>
      </c>
      <c r="C372" s="10">
        <v>14000</v>
      </c>
      <c r="D372" s="10">
        <v>0</v>
      </c>
      <c r="E372" s="10">
        <v>0</v>
      </c>
    </row>
    <row r="373" spans="2:5" ht="15" customHeight="1">
      <c r="B373" s="12" t="s">
        <v>553</v>
      </c>
      <c r="C373" s="10">
        <v>13961</v>
      </c>
      <c r="D373" s="10">
        <v>0</v>
      </c>
      <c r="E373" s="10">
        <v>0</v>
      </c>
    </row>
    <row r="374" spans="2:5" ht="15" customHeight="1">
      <c r="B374" s="12" t="s">
        <v>563</v>
      </c>
      <c r="C374" s="10">
        <v>13732</v>
      </c>
      <c r="D374" s="10">
        <v>0</v>
      </c>
      <c r="E374" s="10">
        <v>0</v>
      </c>
    </row>
    <row r="375" spans="2:5" ht="15" customHeight="1">
      <c r="B375" s="12" t="s">
        <v>675</v>
      </c>
      <c r="C375" s="10">
        <v>13378</v>
      </c>
      <c r="D375" s="10">
        <v>0</v>
      </c>
      <c r="E375" s="10">
        <v>0</v>
      </c>
    </row>
    <row r="376" spans="2:5" ht="15" customHeight="1">
      <c r="B376" s="12" t="s">
        <v>646</v>
      </c>
      <c r="C376" s="10">
        <v>11997</v>
      </c>
      <c r="D376" s="10">
        <v>0</v>
      </c>
      <c r="E376" s="10">
        <v>0</v>
      </c>
    </row>
    <row r="377" spans="2:5" ht="15" customHeight="1">
      <c r="B377" s="12" t="s">
        <v>531</v>
      </c>
      <c r="C377" s="10">
        <v>11773</v>
      </c>
      <c r="D377" s="10">
        <v>0</v>
      </c>
      <c r="E377" s="10">
        <v>0</v>
      </c>
    </row>
    <row r="378" spans="2:5" ht="15" customHeight="1">
      <c r="B378" s="12" t="s">
        <v>632</v>
      </c>
      <c r="C378" s="10">
        <v>11555</v>
      </c>
      <c r="D378" s="10">
        <v>0</v>
      </c>
      <c r="E378" s="10">
        <v>0</v>
      </c>
    </row>
    <row r="379" spans="2:5" ht="15" customHeight="1">
      <c r="B379" s="12" t="s">
        <v>567</v>
      </c>
      <c r="C379" s="10">
        <v>11536</v>
      </c>
      <c r="D379" s="10">
        <v>0</v>
      </c>
      <c r="E379" s="10">
        <v>0</v>
      </c>
    </row>
    <row r="380" spans="2:5" ht="15" customHeight="1">
      <c r="B380" s="12" t="s">
        <v>522</v>
      </c>
      <c r="C380" s="10">
        <v>9764</v>
      </c>
      <c r="D380" s="10">
        <v>0</v>
      </c>
      <c r="E380" s="10">
        <v>0</v>
      </c>
    </row>
    <row r="381" spans="2:5" ht="15" customHeight="1">
      <c r="B381" s="12" t="s">
        <v>647</v>
      </c>
      <c r="C381" s="10">
        <v>9698</v>
      </c>
      <c r="D381" s="10">
        <v>0</v>
      </c>
      <c r="E381" s="10">
        <v>0</v>
      </c>
    </row>
    <row r="382" spans="2:5" ht="15" customHeight="1">
      <c r="B382" s="12" t="s">
        <v>658</v>
      </c>
      <c r="C382" s="10">
        <v>9334</v>
      </c>
      <c r="D382" s="10">
        <v>0</v>
      </c>
      <c r="E382" s="10">
        <v>0</v>
      </c>
    </row>
    <row r="383" spans="2:5" ht="15" customHeight="1">
      <c r="B383" s="12" t="s">
        <v>599</v>
      </c>
      <c r="C383" s="10">
        <v>9327</v>
      </c>
      <c r="D383" s="10">
        <v>0</v>
      </c>
      <c r="E383" s="10">
        <v>0</v>
      </c>
    </row>
    <row r="384" spans="2:5" ht="15" customHeight="1">
      <c r="B384" s="12" t="s">
        <v>582</v>
      </c>
      <c r="C384" s="10">
        <v>9272</v>
      </c>
      <c r="D384" s="10">
        <v>0</v>
      </c>
      <c r="E384" s="10">
        <v>0</v>
      </c>
    </row>
    <row r="385" spans="2:5" ht="15" customHeight="1">
      <c r="B385" s="12" t="s">
        <v>485</v>
      </c>
      <c r="C385" s="10">
        <v>9098</v>
      </c>
      <c r="D385" s="10">
        <v>0</v>
      </c>
      <c r="E385" s="10">
        <v>0</v>
      </c>
    </row>
    <row r="386" spans="2:5" ht="15" customHeight="1">
      <c r="B386" s="12" t="s">
        <v>511</v>
      </c>
      <c r="C386" s="10">
        <v>8451</v>
      </c>
      <c r="D386" s="10">
        <v>0</v>
      </c>
      <c r="E386" s="10">
        <v>0</v>
      </c>
    </row>
    <row r="387" spans="2:5" ht="15" customHeight="1">
      <c r="B387" s="12" t="s">
        <v>549</v>
      </c>
      <c r="C387" s="10">
        <v>8224</v>
      </c>
      <c r="D387" s="10">
        <v>0</v>
      </c>
      <c r="E387" s="10">
        <v>0</v>
      </c>
    </row>
    <row r="388" spans="2:5" ht="15" customHeight="1">
      <c r="B388" s="12" t="s">
        <v>644</v>
      </c>
      <c r="C388" s="10">
        <v>7511</v>
      </c>
      <c r="D388" s="10">
        <v>0</v>
      </c>
      <c r="E388" s="10">
        <v>0</v>
      </c>
    </row>
    <row r="389" spans="2:5" ht="15" customHeight="1">
      <c r="B389" s="12" t="s">
        <v>517</v>
      </c>
      <c r="C389" s="10">
        <v>7445</v>
      </c>
      <c r="D389" s="10">
        <v>0</v>
      </c>
      <c r="E389" s="10">
        <v>0</v>
      </c>
    </row>
    <row r="390" spans="2:5" ht="15" customHeight="1">
      <c r="B390" s="12" t="s">
        <v>659</v>
      </c>
      <c r="C390" s="10">
        <v>7071</v>
      </c>
      <c r="D390" s="10">
        <v>0</v>
      </c>
      <c r="E390" s="10">
        <v>0</v>
      </c>
    </row>
    <row r="391" spans="2:5" ht="15" customHeight="1">
      <c r="B391" s="12" t="s">
        <v>655</v>
      </c>
      <c r="C391" s="10">
        <v>6575</v>
      </c>
      <c r="D391" s="10">
        <v>0</v>
      </c>
      <c r="E391" s="10">
        <v>0</v>
      </c>
    </row>
    <row r="392" spans="2:5" ht="15" customHeight="1">
      <c r="B392" s="12" t="s">
        <v>589</v>
      </c>
      <c r="C392" s="10">
        <v>6496</v>
      </c>
      <c r="D392" s="10">
        <v>0</v>
      </c>
      <c r="E392" s="10">
        <v>0</v>
      </c>
    </row>
    <row r="393" spans="2:5" ht="15" customHeight="1">
      <c r="B393" s="12" t="s">
        <v>668</v>
      </c>
      <c r="C393" s="10">
        <v>6454</v>
      </c>
      <c r="D393" s="10">
        <v>0</v>
      </c>
      <c r="E393" s="10">
        <v>0</v>
      </c>
    </row>
    <row r="394" spans="2:5" ht="15" customHeight="1">
      <c r="B394" s="12" t="s">
        <v>523</v>
      </c>
      <c r="C394" s="10">
        <v>6388</v>
      </c>
      <c r="D394" s="10">
        <v>0</v>
      </c>
      <c r="E394" s="10">
        <v>0</v>
      </c>
    </row>
    <row r="395" spans="2:5" ht="15" customHeight="1">
      <c r="B395" s="12" t="s">
        <v>611</v>
      </c>
      <c r="C395" s="10">
        <v>6277</v>
      </c>
      <c r="D395" s="10">
        <v>0</v>
      </c>
      <c r="E395" s="10">
        <v>0</v>
      </c>
    </row>
    <row r="396" spans="2:5" ht="15" customHeight="1">
      <c r="B396" s="12" t="s">
        <v>629</v>
      </c>
      <c r="C396" s="10">
        <v>5976</v>
      </c>
      <c r="D396" s="10">
        <v>0</v>
      </c>
      <c r="E396" s="10">
        <v>0</v>
      </c>
    </row>
    <row r="397" spans="2:5" ht="15" customHeight="1">
      <c r="B397" s="12" t="s">
        <v>641</v>
      </c>
      <c r="C397" s="10">
        <v>5806</v>
      </c>
      <c r="D397" s="10">
        <v>0</v>
      </c>
      <c r="E397" s="10">
        <v>0</v>
      </c>
    </row>
    <row r="398" spans="2:5" ht="15" customHeight="1">
      <c r="B398" s="12" t="s">
        <v>569</v>
      </c>
      <c r="C398" s="10">
        <v>5692</v>
      </c>
      <c r="D398" s="10">
        <v>0</v>
      </c>
      <c r="E398" s="10">
        <v>0</v>
      </c>
    </row>
    <row r="399" spans="2:5" ht="15" customHeight="1">
      <c r="B399" s="12" t="s">
        <v>513</v>
      </c>
      <c r="C399" s="10">
        <v>5296</v>
      </c>
      <c r="D399" s="10">
        <v>0</v>
      </c>
      <c r="E399" s="10">
        <v>0</v>
      </c>
    </row>
    <row r="400" spans="2:5" ht="15" customHeight="1">
      <c r="B400" s="12" t="s">
        <v>680</v>
      </c>
      <c r="C400" s="10">
        <v>5296</v>
      </c>
      <c r="D400" s="10">
        <v>0</v>
      </c>
      <c r="E400" s="10">
        <v>0</v>
      </c>
    </row>
    <row r="401" spans="2:5" ht="15" customHeight="1">
      <c r="B401" s="12" t="s">
        <v>648</v>
      </c>
      <c r="C401" s="10">
        <v>5136</v>
      </c>
      <c r="D401" s="10">
        <v>0</v>
      </c>
      <c r="E401" s="10">
        <v>0</v>
      </c>
    </row>
    <row r="402" spans="2:5" ht="15" customHeight="1">
      <c r="B402" s="12" t="s">
        <v>673</v>
      </c>
      <c r="C402" s="10">
        <v>4940</v>
      </c>
      <c r="D402" s="10">
        <v>0</v>
      </c>
      <c r="E402" s="10">
        <v>0</v>
      </c>
    </row>
    <row r="403" spans="2:5" ht="15" customHeight="1">
      <c r="B403" s="12" t="s">
        <v>503</v>
      </c>
      <c r="C403" s="10">
        <v>4924</v>
      </c>
      <c r="D403" s="10">
        <v>0</v>
      </c>
      <c r="E403" s="10">
        <v>0</v>
      </c>
    </row>
    <row r="404" spans="2:5" ht="15" customHeight="1">
      <c r="B404" s="12" t="s">
        <v>599</v>
      </c>
      <c r="C404" s="10">
        <v>4795</v>
      </c>
      <c r="D404" s="10">
        <v>0</v>
      </c>
      <c r="E404" s="10">
        <v>0</v>
      </c>
    </row>
    <row r="405" spans="2:5" ht="15" customHeight="1">
      <c r="B405" s="12" t="s">
        <v>572</v>
      </c>
      <c r="C405" s="10">
        <v>4610</v>
      </c>
      <c r="D405" s="10">
        <v>0</v>
      </c>
      <c r="E405" s="10">
        <v>0</v>
      </c>
    </row>
    <row r="406" spans="2:5" ht="15" customHeight="1">
      <c r="B406" s="12" t="s">
        <v>548</v>
      </c>
      <c r="C406" s="10">
        <v>4453</v>
      </c>
      <c r="D406" s="10">
        <v>0</v>
      </c>
      <c r="E406" s="10">
        <v>0</v>
      </c>
    </row>
    <row r="407" spans="2:5" ht="15" customHeight="1">
      <c r="B407" s="12" t="s">
        <v>595</v>
      </c>
      <c r="C407" s="10">
        <v>4410</v>
      </c>
      <c r="D407" s="10">
        <v>0</v>
      </c>
      <c r="E407" s="10">
        <v>0</v>
      </c>
    </row>
    <row r="408" spans="2:5" ht="15" customHeight="1">
      <c r="B408" s="12" t="s">
        <v>446</v>
      </c>
      <c r="C408" s="10">
        <v>4199</v>
      </c>
      <c r="D408" s="10">
        <v>0</v>
      </c>
      <c r="E408" s="10">
        <v>0</v>
      </c>
    </row>
    <row r="409" spans="2:5" ht="15" customHeight="1">
      <c r="B409" s="12" t="s">
        <v>532</v>
      </c>
      <c r="C409" s="10">
        <v>4077</v>
      </c>
      <c r="D409" s="10">
        <v>0</v>
      </c>
      <c r="E409" s="10">
        <v>0</v>
      </c>
    </row>
    <row r="410" spans="2:5" ht="15" customHeight="1">
      <c r="B410" s="12" t="s">
        <v>620</v>
      </c>
      <c r="C410" s="10">
        <v>4067</v>
      </c>
      <c r="D410" s="10">
        <v>0</v>
      </c>
      <c r="E410" s="10">
        <v>0</v>
      </c>
    </row>
    <row r="411" spans="2:5" ht="15" customHeight="1">
      <c r="B411" s="12" t="s">
        <v>653</v>
      </c>
      <c r="C411" s="10">
        <v>3878</v>
      </c>
      <c r="D411" s="10">
        <v>0</v>
      </c>
      <c r="E411" s="10">
        <v>0</v>
      </c>
    </row>
    <row r="412" spans="2:5" ht="15" customHeight="1">
      <c r="B412" s="12" t="s">
        <v>699</v>
      </c>
      <c r="C412" s="10">
        <v>3738</v>
      </c>
      <c r="D412" s="10">
        <v>0</v>
      </c>
      <c r="E412" s="10">
        <v>0</v>
      </c>
    </row>
    <row r="413" spans="2:5" ht="15" customHeight="1">
      <c r="B413" s="12" t="s">
        <v>577</v>
      </c>
      <c r="C413" s="10">
        <v>3464</v>
      </c>
      <c r="D413" s="10">
        <v>0</v>
      </c>
      <c r="E413" s="10">
        <v>0</v>
      </c>
    </row>
    <row r="414" spans="2:5" ht="15" customHeight="1">
      <c r="B414" s="12" t="s">
        <v>679</v>
      </c>
      <c r="C414" s="10">
        <v>3299</v>
      </c>
      <c r="D414" s="10">
        <v>0</v>
      </c>
      <c r="E414" s="10">
        <v>0</v>
      </c>
    </row>
    <row r="415" spans="2:5" ht="15" customHeight="1">
      <c r="B415" s="12" t="s">
        <v>698</v>
      </c>
      <c r="C415" s="10">
        <v>3290</v>
      </c>
      <c r="D415" s="10">
        <v>0</v>
      </c>
      <c r="E415" s="10">
        <v>0</v>
      </c>
    </row>
    <row r="416" spans="2:5" ht="15" customHeight="1">
      <c r="B416" s="12" t="s">
        <v>541</v>
      </c>
      <c r="C416" s="10">
        <v>3210</v>
      </c>
      <c r="D416" s="10">
        <v>0</v>
      </c>
      <c r="E416" s="10">
        <v>0</v>
      </c>
    </row>
    <row r="417" spans="2:5" ht="15" customHeight="1">
      <c r="B417" s="12" t="s">
        <v>526</v>
      </c>
      <c r="C417" s="10">
        <v>3183</v>
      </c>
      <c r="D417" s="10">
        <v>0</v>
      </c>
      <c r="E417" s="10">
        <v>0</v>
      </c>
    </row>
    <row r="418" spans="2:5" ht="15" customHeight="1">
      <c r="B418" s="12" t="s">
        <v>527</v>
      </c>
      <c r="C418" s="10">
        <v>3054</v>
      </c>
      <c r="D418" s="10">
        <v>0</v>
      </c>
      <c r="E418" s="10">
        <v>0</v>
      </c>
    </row>
    <row r="419" spans="2:5" ht="15" customHeight="1">
      <c r="B419" s="12" t="s">
        <v>590</v>
      </c>
      <c r="C419" s="10">
        <v>3046</v>
      </c>
      <c r="D419" s="10">
        <v>0</v>
      </c>
      <c r="E419" s="10">
        <v>0</v>
      </c>
    </row>
    <row r="420" spans="2:5" ht="15" customHeight="1">
      <c r="B420" s="12" t="s">
        <v>545</v>
      </c>
      <c r="C420" s="10">
        <v>3020</v>
      </c>
      <c r="D420" s="10">
        <v>0</v>
      </c>
      <c r="E420" s="10">
        <v>0</v>
      </c>
    </row>
    <row r="421" spans="2:5" ht="15" customHeight="1">
      <c r="B421" s="12" t="s">
        <v>506</v>
      </c>
      <c r="C421" s="10">
        <v>3018</v>
      </c>
      <c r="D421" s="10">
        <v>0</v>
      </c>
      <c r="E421" s="10">
        <v>0</v>
      </c>
    </row>
    <row r="422" spans="2:5" ht="15" customHeight="1">
      <c r="B422" s="12" t="s">
        <v>533</v>
      </c>
      <c r="C422" s="10">
        <v>2997</v>
      </c>
      <c r="D422" s="10">
        <v>0</v>
      </c>
      <c r="E422" s="10">
        <v>0</v>
      </c>
    </row>
    <row r="423" spans="2:5" ht="15" customHeight="1">
      <c r="B423" s="12" t="s">
        <v>642</v>
      </c>
      <c r="C423" s="10">
        <v>2958</v>
      </c>
      <c r="D423" s="10">
        <v>0</v>
      </c>
      <c r="E423" s="10">
        <v>0</v>
      </c>
    </row>
    <row r="424" spans="2:5" ht="15" customHeight="1">
      <c r="B424" s="12" t="s">
        <v>581</v>
      </c>
      <c r="C424" s="10">
        <v>2743</v>
      </c>
      <c r="D424" s="10">
        <v>0</v>
      </c>
      <c r="E424" s="10">
        <v>0</v>
      </c>
    </row>
    <row r="425" spans="2:5" ht="15" customHeight="1">
      <c r="B425" s="12" t="s">
        <v>663</v>
      </c>
      <c r="C425" s="10">
        <v>2555</v>
      </c>
      <c r="D425" s="10">
        <v>0</v>
      </c>
      <c r="E425" s="10">
        <v>0</v>
      </c>
    </row>
    <row r="426" spans="2:5" ht="15" customHeight="1">
      <c r="B426" s="12" t="s">
        <v>558</v>
      </c>
      <c r="C426" s="10">
        <v>2528</v>
      </c>
      <c r="D426" s="10">
        <v>0</v>
      </c>
      <c r="E426" s="10">
        <v>0</v>
      </c>
    </row>
    <row r="427" spans="2:5" ht="15" customHeight="1">
      <c r="B427" s="12" t="s">
        <v>624</v>
      </c>
      <c r="C427" s="10">
        <v>2401</v>
      </c>
      <c r="D427" s="10">
        <v>0</v>
      </c>
      <c r="E427" s="10">
        <v>0</v>
      </c>
    </row>
    <row r="428" spans="2:5" ht="15" customHeight="1">
      <c r="B428" s="12" t="s">
        <v>678</v>
      </c>
      <c r="C428" s="10">
        <v>2369</v>
      </c>
      <c r="D428" s="10">
        <v>0</v>
      </c>
      <c r="E428" s="10">
        <v>0</v>
      </c>
    </row>
    <row r="429" spans="2:5" ht="15" customHeight="1">
      <c r="B429" s="12" t="s">
        <v>685</v>
      </c>
      <c r="C429" s="10">
        <v>2308</v>
      </c>
      <c r="D429" s="10">
        <v>0</v>
      </c>
      <c r="E429" s="10">
        <v>0</v>
      </c>
    </row>
    <row r="430" spans="2:5" ht="15" customHeight="1">
      <c r="B430" s="12" t="s">
        <v>555</v>
      </c>
      <c r="C430" s="10">
        <v>2251</v>
      </c>
      <c r="D430" s="10">
        <v>0</v>
      </c>
      <c r="E430" s="10">
        <v>0</v>
      </c>
    </row>
    <row r="431" spans="2:5" ht="15" customHeight="1">
      <c r="B431" s="12" t="s">
        <v>516</v>
      </c>
      <c r="C431" s="10">
        <v>2183</v>
      </c>
      <c r="D431" s="10">
        <v>0</v>
      </c>
      <c r="E431" s="10">
        <v>0</v>
      </c>
    </row>
    <row r="432" spans="2:5" ht="15" customHeight="1">
      <c r="B432" s="12" t="s">
        <v>672</v>
      </c>
      <c r="C432" s="10">
        <v>2143</v>
      </c>
      <c r="D432" s="10">
        <v>0</v>
      </c>
      <c r="E432" s="10">
        <v>0</v>
      </c>
    </row>
    <row r="433" spans="2:5" ht="15" customHeight="1">
      <c r="B433" s="12" t="s">
        <v>693</v>
      </c>
      <c r="C433" s="10">
        <v>2102</v>
      </c>
      <c r="D433" s="10">
        <v>0</v>
      </c>
      <c r="E433" s="10">
        <v>0</v>
      </c>
    </row>
    <row r="434" spans="2:5" ht="15" customHeight="1">
      <c r="B434" s="12" t="s">
        <v>547</v>
      </c>
      <c r="C434" s="10">
        <v>1957</v>
      </c>
      <c r="D434" s="10">
        <v>0</v>
      </c>
      <c r="E434" s="10">
        <v>0</v>
      </c>
    </row>
    <row r="435" spans="2:5" ht="15" customHeight="1">
      <c r="B435" s="12" t="s">
        <v>661</v>
      </c>
      <c r="C435" s="10">
        <v>1852</v>
      </c>
      <c r="D435" s="10">
        <v>0</v>
      </c>
      <c r="E435" s="10">
        <v>0</v>
      </c>
    </row>
    <row r="436" spans="2:5" ht="15" customHeight="1">
      <c r="B436" s="12" t="s">
        <v>529</v>
      </c>
      <c r="C436" s="10">
        <v>1822</v>
      </c>
      <c r="D436" s="10">
        <v>0</v>
      </c>
      <c r="E436" s="10">
        <v>0</v>
      </c>
    </row>
    <row r="437" spans="2:5" ht="15" customHeight="1">
      <c r="B437" s="12" t="s">
        <v>562</v>
      </c>
      <c r="C437" s="10">
        <v>1818</v>
      </c>
      <c r="D437" s="10">
        <v>0</v>
      </c>
      <c r="E437" s="10">
        <v>0</v>
      </c>
    </row>
    <row r="438" spans="2:5" ht="15" customHeight="1">
      <c r="B438" s="12" t="s">
        <v>613</v>
      </c>
      <c r="C438" s="10">
        <v>1795</v>
      </c>
      <c r="D438" s="10">
        <v>0</v>
      </c>
      <c r="E438" s="10">
        <v>0</v>
      </c>
    </row>
    <row r="439" spans="2:5" ht="15" customHeight="1">
      <c r="B439" s="12" t="s">
        <v>537</v>
      </c>
      <c r="C439" s="10">
        <v>1755</v>
      </c>
      <c r="D439" s="10">
        <v>0</v>
      </c>
      <c r="E439" s="10">
        <v>0</v>
      </c>
    </row>
    <row r="440" spans="2:5" ht="15" customHeight="1">
      <c r="B440" s="12" t="s">
        <v>542</v>
      </c>
      <c r="C440" s="10">
        <v>1741</v>
      </c>
      <c r="D440" s="10">
        <v>0</v>
      </c>
      <c r="E440" s="10">
        <v>0</v>
      </c>
    </row>
    <row r="441" spans="2:5" ht="15" customHeight="1">
      <c r="B441" s="12" t="s">
        <v>609</v>
      </c>
      <c r="C441" s="10">
        <v>1668</v>
      </c>
      <c r="D441" s="10">
        <v>0</v>
      </c>
      <c r="E441" s="10">
        <v>0</v>
      </c>
    </row>
    <row r="442" spans="2:5" ht="15" customHeight="1">
      <c r="B442" s="12" t="s">
        <v>536</v>
      </c>
      <c r="C442" s="10">
        <v>1651</v>
      </c>
      <c r="D442" s="10">
        <v>0</v>
      </c>
      <c r="E442" s="10">
        <v>0</v>
      </c>
    </row>
    <row r="443" spans="2:5" ht="15" customHeight="1">
      <c r="B443" s="12" t="s">
        <v>625</v>
      </c>
      <c r="C443" s="10">
        <v>1637</v>
      </c>
      <c r="D443" s="10">
        <v>0</v>
      </c>
      <c r="E443" s="10">
        <v>0</v>
      </c>
    </row>
    <row r="444" spans="2:5" ht="15" customHeight="1">
      <c r="B444" s="12" t="s">
        <v>643</v>
      </c>
      <c r="C444" s="10">
        <v>1632</v>
      </c>
      <c r="D444" s="10">
        <v>0</v>
      </c>
      <c r="E444" s="10">
        <v>0</v>
      </c>
    </row>
    <row r="445" spans="2:5" ht="15" customHeight="1">
      <c r="B445" s="12" t="s">
        <v>650</v>
      </c>
      <c r="C445" s="10">
        <v>1590</v>
      </c>
      <c r="D445" s="10">
        <v>0</v>
      </c>
      <c r="E445" s="10">
        <v>0</v>
      </c>
    </row>
    <row r="446" spans="2:5" ht="15" customHeight="1">
      <c r="B446" s="12" t="s">
        <v>559</v>
      </c>
      <c r="C446" s="10">
        <v>1336</v>
      </c>
      <c r="D446" s="10">
        <v>0</v>
      </c>
      <c r="E446" s="10">
        <v>0</v>
      </c>
    </row>
    <row r="447" spans="2:5" ht="15" customHeight="1">
      <c r="B447" s="12" t="s">
        <v>599</v>
      </c>
      <c r="C447" s="10">
        <v>1319</v>
      </c>
      <c r="D447" s="10">
        <v>0</v>
      </c>
      <c r="E447" s="10">
        <v>0</v>
      </c>
    </row>
    <row r="448" spans="2:5" ht="15" customHeight="1">
      <c r="B448" s="12" t="s">
        <v>561</v>
      </c>
      <c r="C448" s="10">
        <v>1311</v>
      </c>
      <c r="D448" s="10">
        <v>0</v>
      </c>
      <c r="E448" s="10">
        <v>0</v>
      </c>
    </row>
    <row r="449" spans="2:5" ht="15" customHeight="1">
      <c r="B449" s="12" t="s">
        <v>640</v>
      </c>
      <c r="C449" s="10">
        <v>1304</v>
      </c>
      <c r="D449" s="10">
        <v>0</v>
      </c>
      <c r="E449" s="10">
        <v>0</v>
      </c>
    </row>
    <row r="450" spans="2:5" ht="15" customHeight="1">
      <c r="B450" s="12" t="s">
        <v>660</v>
      </c>
      <c r="C450" s="10">
        <v>1303</v>
      </c>
      <c r="D450" s="10">
        <v>0</v>
      </c>
      <c r="E450" s="10">
        <v>0</v>
      </c>
    </row>
    <row r="451" spans="2:5" ht="15" customHeight="1">
      <c r="B451" s="12" t="s">
        <v>557</v>
      </c>
      <c r="C451" s="10">
        <v>1293</v>
      </c>
      <c r="D451" s="10">
        <v>0</v>
      </c>
      <c r="E451" s="10">
        <v>0</v>
      </c>
    </row>
    <row r="452" spans="2:5" ht="15" customHeight="1">
      <c r="B452" s="12" t="s">
        <v>612</v>
      </c>
      <c r="C452" s="10">
        <v>1293</v>
      </c>
      <c r="D452" s="10">
        <v>0</v>
      </c>
      <c r="E452" s="10">
        <v>0</v>
      </c>
    </row>
    <row r="453" spans="2:5" ht="15" customHeight="1">
      <c r="B453" s="12" t="s">
        <v>584</v>
      </c>
      <c r="C453" s="10">
        <v>1257</v>
      </c>
      <c r="D453" s="10">
        <v>0</v>
      </c>
      <c r="E453" s="10">
        <v>0</v>
      </c>
    </row>
    <row r="454" spans="2:5" ht="15" customHeight="1">
      <c r="B454" s="12" t="s">
        <v>700</v>
      </c>
      <c r="C454" s="10">
        <v>1253</v>
      </c>
      <c r="D454" s="10">
        <v>0</v>
      </c>
      <c r="E454" s="10">
        <v>0</v>
      </c>
    </row>
    <row r="455" spans="2:5" ht="15" customHeight="1">
      <c r="B455" s="12" t="s">
        <v>662</v>
      </c>
      <c r="C455" s="10">
        <v>1235</v>
      </c>
      <c r="D455" s="10">
        <v>0</v>
      </c>
      <c r="E455" s="10">
        <v>0</v>
      </c>
    </row>
    <row r="456" spans="2:5" ht="15" customHeight="1">
      <c r="B456" s="12" t="s">
        <v>631</v>
      </c>
      <c r="C456" s="10">
        <v>1229</v>
      </c>
      <c r="D456" s="10">
        <v>0</v>
      </c>
      <c r="E456" s="10">
        <v>0</v>
      </c>
    </row>
    <row r="457" spans="2:5" ht="15" customHeight="1">
      <c r="B457" s="12" t="s">
        <v>706</v>
      </c>
      <c r="C457" s="10">
        <v>1228</v>
      </c>
      <c r="D457" s="10">
        <v>0</v>
      </c>
      <c r="E457" s="10">
        <v>0</v>
      </c>
    </row>
    <row r="458" spans="2:5" ht="15" customHeight="1">
      <c r="B458" s="12" t="s">
        <v>638</v>
      </c>
      <c r="C458" s="10">
        <v>1182</v>
      </c>
      <c r="D458" s="10">
        <v>0</v>
      </c>
      <c r="E458" s="10">
        <v>0</v>
      </c>
    </row>
    <row r="459" spans="2:5" ht="15" customHeight="1">
      <c r="B459" s="12" t="s">
        <v>552</v>
      </c>
      <c r="C459" s="10">
        <v>1182</v>
      </c>
      <c r="D459" s="10">
        <v>0</v>
      </c>
      <c r="E459" s="10">
        <v>0</v>
      </c>
    </row>
    <row r="460" spans="2:5" ht="15" customHeight="1">
      <c r="B460" s="12" t="s">
        <v>621</v>
      </c>
      <c r="C460" s="10">
        <v>1112</v>
      </c>
      <c r="D460" s="10">
        <v>0</v>
      </c>
      <c r="E460" s="10">
        <v>0</v>
      </c>
    </row>
    <row r="461" spans="2:5" ht="15" customHeight="1">
      <c r="B461" s="12" t="s">
        <v>691</v>
      </c>
      <c r="C461" s="10">
        <v>1072</v>
      </c>
      <c r="D461" s="10">
        <v>0</v>
      </c>
      <c r="E461" s="10">
        <v>0</v>
      </c>
    </row>
    <row r="462" spans="2:5" ht="15" customHeight="1">
      <c r="B462" s="12" t="s">
        <v>594</v>
      </c>
      <c r="C462" s="10">
        <v>1062</v>
      </c>
      <c r="D462" s="10">
        <v>0</v>
      </c>
      <c r="E462" s="10">
        <v>0</v>
      </c>
    </row>
    <row r="463" spans="2:5" ht="15" customHeight="1">
      <c r="B463" s="12" t="s">
        <v>623</v>
      </c>
      <c r="C463" s="10">
        <v>918</v>
      </c>
      <c r="D463" s="10">
        <v>0</v>
      </c>
      <c r="E463" s="10">
        <v>0</v>
      </c>
    </row>
    <row r="464" spans="2:5" ht="15" customHeight="1">
      <c r="B464" s="12" t="s">
        <v>588</v>
      </c>
      <c r="C464" s="10">
        <v>904</v>
      </c>
      <c r="D464" s="10">
        <v>0</v>
      </c>
      <c r="E464" s="10">
        <v>0</v>
      </c>
    </row>
    <row r="465" spans="2:5" ht="15" customHeight="1">
      <c r="B465" s="12" t="s">
        <v>524</v>
      </c>
      <c r="C465" s="10">
        <v>896</v>
      </c>
      <c r="D465" s="10">
        <v>0</v>
      </c>
      <c r="E465" s="10">
        <v>0</v>
      </c>
    </row>
    <row r="466" spans="2:5" ht="15" customHeight="1">
      <c r="B466" s="12" t="s">
        <v>610</v>
      </c>
      <c r="C466" s="10">
        <v>880</v>
      </c>
      <c r="D466" s="10">
        <v>0</v>
      </c>
      <c r="E466" s="10">
        <v>0</v>
      </c>
    </row>
    <row r="467" spans="2:5" ht="15" customHeight="1">
      <c r="B467" s="12" t="s">
        <v>670</v>
      </c>
      <c r="C467" s="10">
        <v>871</v>
      </c>
      <c r="D467" s="10">
        <v>0</v>
      </c>
      <c r="E467" s="10">
        <v>0</v>
      </c>
    </row>
    <row r="468" spans="2:5" ht="15" customHeight="1">
      <c r="B468" s="12" t="s">
        <v>702</v>
      </c>
      <c r="C468" s="10">
        <v>870</v>
      </c>
      <c r="D468" s="10">
        <v>0</v>
      </c>
      <c r="E468" s="10">
        <v>0</v>
      </c>
    </row>
    <row r="469" spans="2:5" ht="15" customHeight="1">
      <c r="B469" s="12" t="s">
        <v>634</v>
      </c>
      <c r="C469" s="10">
        <v>838</v>
      </c>
      <c r="D469" s="10">
        <v>0</v>
      </c>
      <c r="E469" s="10">
        <v>0</v>
      </c>
    </row>
    <row r="470" spans="2:5" ht="15" customHeight="1">
      <c r="B470" s="12" t="s">
        <v>509</v>
      </c>
      <c r="C470" s="10">
        <v>838</v>
      </c>
      <c r="D470" s="10">
        <v>0</v>
      </c>
      <c r="E470" s="10">
        <v>0</v>
      </c>
    </row>
    <row r="471" spans="2:5" ht="15" customHeight="1">
      <c r="B471" s="12" t="s">
        <v>600</v>
      </c>
      <c r="C471" s="10">
        <v>832</v>
      </c>
      <c r="D471" s="10">
        <v>0</v>
      </c>
      <c r="E471" s="10">
        <v>0</v>
      </c>
    </row>
    <row r="472" spans="2:5" ht="15" customHeight="1">
      <c r="B472" s="12" t="s">
        <v>554</v>
      </c>
      <c r="C472" s="10">
        <v>781</v>
      </c>
      <c r="D472" s="10">
        <v>0</v>
      </c>
      <c r="E472" s="10">
        <v>0</v>
      </c>
    </row>
    <row r="473" spans="2:5" ht="15" customHeight="1">
      <c r="B473" s="12" t="s">
        <v>622</v>
      </c>
      <c r="C473" s="10">
        <v>760</v>
      </c>
      <c r="D473" s="10">
        <v>0</v>
      </c>
      <c r="E473" s="10">
        <v>0</v>
      </c>
    </row>
    <row r="474" spans="2:5" ht="15" customHeight="1">
      <c r="B474" s="12" t="s">
        <v>580</v>
      </c>
      <c r="C474" s="10">
        <v>755</v>
      </c>
      <c r="D474" s="10">
        <v>0</v>
      </c>
      <c r="E474" s="10">
        <v>0</v>
      </c>
    </row>
    <row r="475" spans="2:5" ht="15" customHeight="1">
      <c r="B475" s="12" t="s">
        <v>627</v>
      </c>
      <c r="C475" s="10">
        <v>711</v>
      </c>
      <c r="D475" s="10">
        <v>0</v>
      </c>
      <c r="E475" s="10">
        <v>0</v>
      </c>
    </row>
    <row r="476" spans="2:5" ht="15" customHeight="1">
      <c r="B476" s="12" t="s">
        <v>649</v>
      </c>
      <c r="C476" s="10">
        <v>679</v>
      </c>
      <c r="D476" s="10">
        <v>0</v>
      </c>
      <c r="E476" s="10">
        <v>0</v>
      </c>
    </row>
    <row r="477" spans="2:5" ht="15" customHeight="1">
      <c r="B477" s="12" t="s">
        <v>681</v>
      </c>
      <c r="C477" s="10">
        <v>677</v>
      </c>
      <c r="D477" s="10">
        <v>0</v>
      </c>
      <c r="E477" s="10">
        <v>0</v>
      </c>
    </row>
    <row r="478" spans="2:5" ht="15" customHeight="1">
      <c r="B478" s="12" t="s">
        <v>592</v>
      </c>
      <c r="C478" s="10">
        <v>670</v>
      </c>
      <c r="D478" s="10">
        <v>0</v>
      </c>
      <c r="E478" s="10">
        <v>0</v>
      </c>
    </row>
    <row r="479" spans="2:5" ht="15" customHeight="1">
      <c r="B479" s="12" t="s">
        <v>684</v>
      </c>
      <c r="C479" s="10">
        <v>656</v>
      </c>
      <c r="D479" s="10">
        <v>0</v>
      </c>
      <c r="E479" s="10">
        <v>0</v>
      </c>
    </row>
    <row r="480" spans="2:5" ht="15" customHeight="1">
      <c r="B480" s="12" t="s">
        <v>560</v>
      </c>
      <c r="C480" s="10">
        <v>655</v>
      </c>
      <c r="D480" s="10">
        <v>0</v>
      </c>
      <c r="E480" s="10">
        <v>0</v>
      </c>
    </row>
    <row r="481" spans="2:5" ht="15" customHeight="1">
      <c r="B481" s="12" t="s">
        <v>579</v>
      </c>
      <c r="C481" s="10">
        <v>619</v>
      </c>
      <c r="D481" s="10">
        <v>0</v>
      </c>
      <c r="E481" s="10">
        <v>0</v>
      </c>
    </row>
    <row r="482" spans="2:5" ht="15" customHeight="1">
      <c r="B482" s="12" t="s">
        <v>690</v>
      </c>
      <c r="C482" s="10">
        <v>582</v>
      </c>
      <c r="D482" s="10">
        <v>0</v>
      </c>
      <c r="E482" s="10">
        <v>0</v>
      </c>
    </row>
    <row r="483" spans="2:5" ht="15" customHeight="1">
      <c r="B483" s="12" t="s">
        <v>607</v>
      </c>
      <c r="C483" s="10">
        <v>578</v>
      </c>
      <c r="D483" s="10">
        <v>0</v>
      </c>
      <c r="E483" s="10">
        <v>0</v>
      </c>
    </row>
    <row r="484" spans="2:5" ht="15" customHeight="1">
      <c r="B484" s="12" t="s">
        <v>656</v>
      </c>
      <c r="C484" s="10">
        <v>566</v>
      </c>
      <c r="D484" s="10">
        <v>0</v>
      </c>
      <c r="E484" s="10">
        <v>0</v>
      </c>
    </row>
    <row r="485" spans="2:5" ht="15" customHeight="1">
      <c r="B485" s="12" t="s">
        <v>652</v>
      </c>
      <c r="C485" s="10">
        <v>539</v>
      </c>
      <c r="D485" s="10">
        <v>0</v>
      </c>
      <c r="E485" s="10">
        <v>0</v>
      </c>
    </row>
    <row r="486" spans="2:5" ht="15" customHeight="1">
      <c r="B486" s="12" t="s">
        <v>697</v>
      </c>
      <c r="C486" s="10">
        <v>506</v>
      </c>
      <c r="D486" s="10">
        <v>0</v>
      </c>
      <c r="E486" s="10">
        <v>0</v>
      </c>
    </row>
    <row r="487" spans="2:5" ht="15" customHeight="1">
      <c r="B487" s="12" t="s">
        <v>585</v>
      </c>
      <c r="C487" s="10">
        <v>497</v>
      </c>
      <c r="D487" s="10">
        <v>0</v>
      </c>
      <c r="E487" s="10">
        <v>0</v>
      </c>
    </row>
    <row r="488" spans="2:5" ht="15" customHeight="1">
      <c r="B488" s="12" t="s">
        <v>667</v>
      </c>
      <c r="C488" s="10">
        <v>489</v>
      </c>
      <c r="D488" s="10">
        <v>0</v>
      </c>
      <c r="E488" s="10">
        <v>0</v>
      </c>
    </row>
    <row r="489" spans="2:5" ht="15" customHeight="1">
      <c r="B489" s="12" t="s">
        <v>692</v>
      </c>
      <c r="C489" s="10">
        <v>475</v>
      </c>
      <c r="D489" s="10">
        <v>0</v>
      </c>
      <c r="E489" s="10">
        <v>0</v>
      </c>
    </row>
    <row r="490" spans="2:5" ht="15" customHeight="1">
      <c r="B490" s="12" t="s">
        <v>591</v>
      </c>
      <c r="C490" s="10">
        <v>430</v>
      </c>
      <c r="D490" s="10">
        <v>0</v>
      </c>
      <c r="E490" s="10">
        <v>0</v>
      </c>
    </row>
    <row r="491" spans="2:5" ht="15" customHeight="1">
      <c r="B491" s="12" t="s">
        <v>637</v>
      </c>
      <c r="C491" s="10">
        <v>424</v>
      </c>
      <c r="D491" s="10">
        <v>0</v>
      </c>
      <c r="E491" s="10">
        <v>0</v>
      </c>
    </row>
    <row r="492" spans="2:5" ht="15" customHeight="1">
      <c r="B492" s="12" t="s">
        <v>683</v>
      </c>
      <c r="C492" s="10">
        <v>411</v>
      </c>
      <c r="D492" s="10">
        <v>0</v>
      </c>
      <c r="E492" s="10">
        <v>0</v>
      </c>
    </row>
    <row r="493" spans="2:5" ht="15" customHeight="1">
      <c r="B493" s="12" t="s">
        <v>705</v>
      </c>
      <c r="C493" s="10">
        <v>411</v>
      </c>
      <c r="D493" s="10">
        <v>0</v>
      </c>
      <c r="E493" s="10">
        <v>0</v>
      </c>
    </row>
    <row r="494" spans="2:5" ht="15" customHeight="1">
      <c r="B494" s="12" t="s">
        <v>576</v>
      </c>
      <c r="C494" s="10">
        <v>409</v>
      </c>
      <c r="D494" s="10">
        <v>0</v>
      </c>
      <c r="E494" s="10">
        <v>0</v>
      </c>
    </row>
    <row r="495" spans="2:5" ht="15" customHeight="1">
      <c r="B495" s="12" t="s">
        <v>583</v>
      </c>
      <c r="C495" s="10">
        <v>408</v>
      </c>
      <c r="D495" s="10">
        <v>0</v>
      </c>
      <c r="E495" s="10">
        <v>0</v>
      </c>
    </row>
    <row r="496" spans="2:5" ht="15" customHeight="1">
      <c r="B496" s="12" t="s">
        <v>703</v>
      </c>
      <c r="C496" s="10">
        <v>399</v>
      </c>
      <c r="D496" s="10">
        <v>0</v>
      </c>
      <c r="E496" s="10">
        <v>0</v>
      </c>
    </row>
    <row r="497" spans="2:5" ht="15" customHeight="1">
      <c r="B497" s="12" t="s">
        <v>671</v>
      </c>
      <c r="C497" s="10">
        <v>384</v>
      </c>
      <c r="D497" s="10">
        <v>0</v>
      </c>
      <c r="E497" s="10">
        <v>0</v>
      </c>
    </row>
    <row r="498" spans="2:5" ht="15" customHeight="1">
      <c r="B498" s="12" t="s">
        <v>619</v>
      </c>
      <c r="C498" s="10">
        <v>358</v>
      </c>
      <c r="D498" s="10">
        <v>0</v>
      </c>
      <c r="E498" s="10">
        <v>0</v>
      </c>
    </row>
    <row r="499" spans="2:5" ht="15" customHeight="1">
      <c r="B499" s="12" t="s">
        <v>538</v>
      </c>
      <c r="C499" s="10">
        <v>330</v>
      </c>
      <c r="D499" s="10">
        <v>0</v>
      </c>
      <c r="E499" s="10">
        <v>0</v>
      </c>
    </row>
    <row r="500" spans="2:5" ht="15" customHeight="1">
      <c r="B500" s="12" t="s">
        <v>696</v>
      </c>
      <c r="C500" s="10">
        <v>330</v>
      </c>
      <c r="D500" s="10">
        <v>0</v>
      </c>
      <c r="E500" s="10">
        <v>0</v>
      </c>
    </row>
    <row r="501" spans="2:5" ht="15" customHeight="1">
      <c r="B501" s="12" t="s">
        <v>601</v>
      </c>
      <c r="C501" s="10">
        <v>310</v>
      </c>
      <c r="D501" s="10">
        <v>0</v>
      </c>
      <c r="E501" s="10">
        <v>0</v>
      </c>
    </row>
    <row r="502" spans="2:5" ht="15" customHeight="1">
      <c r="B502" s="12" t="s">
        <v>596</v>
      </c>
      <c r="C502" s="10">
        <v>300</v>
      </c>
      <c r="D502" s="10">
        <v>0</v>
      </c>
      <c r="E502" s="10">
        <v>0</v>
      </c>
    </row>
    <row r="503" spans="2:5" ht="15" customHeight="1">
      <c r="B503" s="12" t="s">
        <v>568</v>
      </c>
      <c r="C503" s="10">
        <v>293</v>
      </c>
      <c r="D503" s="10">
        <v>0</v>
      </c>
      <c r="E503" s="10">
        <v>0</v>
      </c>
    </row>
    <row r="504" spans="2:5" ht="15" customHeight="1">
      <c r="B504" s="12" t="s">
        <v>633</v>
      </c>
      <c r="C504" s="10">
        <v>281</v>
      </c>
      <c r="D504" s="10">
        <v>0</v>
      </c>
      <c r="E504" s="10">
        <v>0</v>
      </c>
    </row>
    <row r="505" spans="2:5" ht="15" customHeight="1">
      <c r="B505" s="12" t="s">
        <v>674</v>
      </c>
      <c r="C505" s="10">
        <v>273</v>
      </c>
      <c r="D505" s="10">
        <v>0</v>
      </c>
      <c r="E505" s="10">
        <v>0</v>
      </c>
    </row>
    <row r="506" spans="2:5" ht="15" customHeight="1">
      <c r="B506" s="12" t="s">
        <v>540</v>
      </c>
      <c r="C506" s="10">
        <v>270</v>
      </c>
      <c r="D506" s="10">
        <v>0</v>
      </c>
      <c r="E506" s="10">
        <v>0</v>
      </c>
    </row>
    <row r="507" spans="2:5" ht="15" customHeight="1">
      <c r="B507" s="12" t="s">
        <v>654</v>
      </c>
      <c r="C507" s="10">
        <v>248</v>
      </c>
      <c r="D507" s="10">
        <v>0</v>
      </c>
      <c r="E507" s="10">
        <v>0</v>
      </c>
    </row>
    <row r="508" spans="2:5" ht="15" customHeight="1">
      <c r="B508" s="12" t="s">
        <v>618</v>
      </c>
      <c r="C508" s="10">
        <v>244</v>
      </c>
      <c r="D508" s="10">
        <v>0</v>
      </c>
      <c r="E508" s="10">
        <v>0</v>
      </c>
    </row>
    <row r="509" spans="2:5" ht="15" customHeight="1">
      <c r="B509" s="12" t="s">
        <v>686</v>
      </c>
      <c r="C509" s="10">
        <v>240</v>
      </c>
      <c r="D509" s="10">
        <v>0</v>
      </c>
      <c r="E509" s="10">
        <v>0</v>
      </c>
    </row>
    <row r="510" spans="2:5" ht="15" customHeight="1">
      <c r="B510" s="12" t="s">
        <v>635</v>
      </c>
      <c r="C510" s="10">
        <v>217</v>
      </c>
      <c r="D510" s="10">
        <v>0</v>
      </c>
      <c r="E510" s="10">
        <v>0</v>
      </c>
    </row>
    <row r="511" spans="2:5" ht="15" customHeight="1">
      <c r="B511" s="12" t="s">
        <v>599</v>
      </c>
      <c r="C511" s="10">
        <v>213</v>
      </c>
      <c r="D511" s="10">
        <v>0</v>
      </c>
      <c r="E511" s="10">
        <v>0</v>
      </c>
    </row>
    <row r="512" spans="2:5" ht="15" customHeight="1">
      <c r="B512" s="12" t="s">
        <v>636</v>
      </c>
      <c r="C512" s="10">
        <v>208</v>
      </c>
      <c r="D512" s="10">
        <v>0</v>
      </c>
      <c r="E512" s="10">
        <v>0</v>
      </c>
    </row>
    <row r="513" spans="2:5" ht="15" customHeight="1">
      <c r="B513" s="12" t="s">
        <v>597</v>
      </c>
      <c r="C513" s="10">
        <v>200</v>
      </c>
      <c r="D513" s="10">
        <v>0</v>
      </c>
      <c r="E513" s="10">
        <v>0</v>
      </c>
    </row>
    <row r="514" spans="2:5" ht="15" customHeight="1">
      <c r="B514" s="12" t="s">
        <v>593</v>
      </c>
      <c r="C514" s="10">
        <v>199</v>
      </c>
      <c r="D514" s="10">
        <v>0</v>
      </c>
      <c r="E514" s="10">
        <v>0</v>
      </c>
    </row>
    <row r="515" spans="2:5" ht="15" customHeight="1">
      <c r="B515" s="12" t="s">
        <v>564</v>
      </c>
      <c r="C515" s="10">
        <v>185</v>
      </c>
      <c r="D515" s="10">
        <v>0</v>
      </c>
      <c r="E515" s="10">
        <v>0</v>
      </c>
    </row>
    <row r="516" spans="2:5" ht="15" customHeight="1">
      <c r="B516" s="12" t="s">
        <v>687</v>
      </c>
      <c r="C516" s="10">
        <v>185</v>
      </c>
      <c r="D516" s="10">
        <v>0</v>
      </c>
      <c r="E516" s="10">
        <v>0</v>
      </c>
    </row>
    <row r="517" spans="2:5" ht="15" customHeight="1">
      <c r="B517" s="12" t="s">
        <v>603</v>
      </c>
      <c r="C517" s="10">
        <v>177</v>
      </c>
      <c r="D517" s="10">
        <v>0</v>
      </c>
      <c r="E517" s="10">
        <v>0</v>
      </c>
    </row>
    <row r="518" spans="2:5" ht="15" customHeight="1">
      <c r="B518" s="12" t="s">
        <v>694</v>
      </c>
      <c r="C518" s="10">
        <v>170</v>
      </c>
      <c r="D518" s="10">
        <v>0</v>
      </c>
      <c r="E518" s="10">
        <v>0</v>
      </c>
    </row>
    <row r="519" spans="2:5" ht="15" customHeight="1">
      <c r="B519" s="12" t="s">
        <v>520</v>
      </c>
      <c r="C519" s="10">
        <v>148</v>
      </c>
      <c r="D519" s="10">
        <v>0</v>
      </c>
      <c r="E519" s="10">
        <v>0</v>
      </c>
    </row>
    <row r="520" spans="2:5" ht="15" customHeight="1">
      <c r="B520" s="12" t="s">
        <v>606</v>
      </c>
      <c r="C520" s="10">
        <v>103</v>
      </c>
      <c r="D520" s="10">
        <v>0</v>
      </c>
      <c r="E520" s="10">
        <v>0</v>
      </c>
    </row>
    <row r="521" spans="2:5" ht="15" customHeight="1">
      <c r="B521" s="12" t="s">
        <v>602</v>
      </c>
      <c r="C521" s="10">
        <v>100</v>
      </c>
      <c r="D521" s="10">
        <v>0</v>
      </c>
      <c r="E521" s="10">
        <v>0</v>
      </c>
    </row>
    <row r="522" spans="2:5" ht="15" customHeight="1">
      <c r="B522" s="12" t="s">
        <v>645</v>
      </c>
      <c r="C522" s="10">
        <v>95</v>
      </c>
      <c r="D522" s="10">
        <v>0</v>
      </c>
      <c r="E522" s="10">
        <v>0</v>
      </c>
    </row>
    <row r="523" spans="2:5" ht="15" customHeight="1">
      <c r="B523" s="12" t="s">
        <v>616</v>
      </c>
      <c r="C523" s="10">
        <v>94</v>
      </c>
      <c r="D523" s="10">
        <v>0</v>
      </c>
      <c r="E523" s="10">
        <v>0</v>
      </c>
    </row>
    <row r="524" spans="2:5" ht="15" customHeight="1">
      <c r="B524" s="12" t="s">
        <v>666</v>
      </c>
      <c r="C524" s="10">
        <v>94</v>
      </c>
      <c r="D524" s="10">
        <v>0</v>
      </c>
      <c r="E524" s="10">
        <v>0</v>
      </c>
    </row>
    <row r="525" spans="2:5" ht="15" customHeight="1">
      <c r="B525" s="12" t="s">
        <v>614</v>
      </c>
      <c r="C525" s="10">
        <v>89</v>
      </c>
      <c r="D525" s="10">
        <v>0</v>
      </c>
      <c r="E525" s="10">
        <v>0</v>
      </c>
    </row>
    <row r="526" spans="2:5" ht="15" customHeight="1">
      <c r="B526" s="12" t="s">
        <v>598</v>
      </c>
      <c r="C526" s="10">
        <v>79</v>
      </c>
      <c r="D526" s="10">
        <v>0</v>
      </c>
      <c r="E526" s="10">
        <v>0</v>
      </c>
    </row>
    <row r="527" spans="2:5" ht="15" customHeight="1">
      <c r="B527" s="12" t="s">
        <v>704</v>
      </c>
      <c r="C527" s="10">
        <v>78</v>
      </c>
      <c r="D527" s="10">
        <v>0</v>
      </c>
      <c r="E527" s="10">
        <v>0</v>
      </c>
    </row>
    <row r="528" spans="2:5" ht="15" customHeight="1">
      <c r="B528" s="12" t="s">
        <v>657</v>
      </c>
      <c r="C528" s="10">
        <v>76</v>
      </c>
      <c r="D528" s="10">
        <v>0</v>
      </c>
      <c r="E528" s="10">
        <v>0</v>
      </c>
    </row>
    <row r="529" spans="2:5" ht="15" customHeight="1">
      <c r="B529" s="12" t="s">
        <v>689</v>
      </c>
      <c r="C529" s="10">
        <v>75</v>
      </c>
      <c r="D529" s="10">
        <v>0</v>
      </c>
      <c r="E529" s="10">
        <v>0</v>
      </c>
    </row>
    <row r="530" spans="2:5" ht="15" customHeight="1">
      <c r="B530" s="12" t="s">
        <v>571</v>
      </c>
      <c r="C530" s="10">
        <v>60</v>
      </c>
      <c r="D530" s="10">
        <v>0</v>
      </c>
      <c r="E530" s="10">
        <v>0</v>
      </c>
    </row>
    <row r="531" spans="2:5" ht="15" customHeight="1">
      <c r="B531" s="12" t="s">
        <v>617</v>
      </c>
      <c r="C531" s="10">
        <v>54</v>
      </c>
      <c r="D531" s="10">
        <v>0</v>
      </c>
      <c r="E531" s="10">
        <v>0</v>
      </c>
    </row>
    <row r="532" spans="2:5" ht="15" customHeight="1">
      <c r="B532" s="12" t="s">
        <v>651</v>
      </c>
      <c r="C532" s="10">
        <v>42</v>
      </c>
      <c r="D532" s="10">
        <v>0</v>
      </c>
      <c r="E532" s="10">
        <v>0</v>
      </c>
    </row>
    <row r="533" spans="2:5" ht="15" customHeight="1">
      <c r="B533" s="12" t="s">
        <v>688</v>
      </c>
      <c r="C533" s="10">
        <v>42</v>
      </c>
      <c r="D533" s="10">
        <v>0</v>
      </c>
      <c r="E533" s="10">
        <v>0</v>
      </c>
    </row>
    <row r="534" spans="2:5" ht="15" customHeight="1">
      <c r="B534" s="12" t="s">
        <v>628</v>
      </c>
      <c r="C534" s="10">
        <v>12</v>
      </c>
      <c r="D534" s="10">
        <v>0</v>
      </c>
      <c r="E534" s="10">
        <v>0</v>
      </c>
    </row>
    <row r="535" spans="2:5" ht="15" customHeight="1">
      <c r="B535" s="12" t="s">
        <v>682</v>
      </c>
      <c r="C535" s="10">
        <v>6</v>
      </c>
      <c r="D535" s="10">
        <v>0</v>
      </c>
      <c r="E535" s="10">
        <v>0</v>
      </c>
    </row>
    <row r="536" spans="2:5" ht="15" customHeight="1">
      <c r="B536" s="12" t="s">
        <v>574</v>
      </c>
      <c r="C536" s="10">
        <v>2</v>
      </c>
      <c r="D536" s="10">
        <v>0</v>
      </c>
      <c r="E536" s="10">
        <v>0</v>
      </c>
    </row>
    <row r="537" spans="2:5" ht="15" customHeight="1">
      <c r="B537" s="12" t="s">
        <v>605</v>
      </c>
      <c r="C537" s="10">
        <v>0</v>
      </c>
      <c r="D537" s="10">
        <v>0</v>
      </c>
      <c r="E537" s="10">
        <v>0</v>
      </c>
    </row>
    <row r="538" spans="2:5" ht="15" customHeight="1">
      <c r="B538" s="12" t="s">
        <v>676</v>
      </c>
      <c r="C538" s="10">
        <v>0</v>
      </c>
      <c r="D538" s="10">
        <v>0</v>
      </c>
      <c r="E538" s="10">
        <v>0</v>
      </c>
    </row>
    <row r="539" spans="2:5" ht="15" customHeight="1">
      <c r="B539" s="12" t="s">
        <v>707</v>
      </c>
      <c r="C539" s="10">
        <v>8467659</v>
      </c>
      <c r="D539" s="10">
        <v>151390</v>
      </c>
      <c r="E539" s="10">
        <v>0</v>
      </c>
    </row>
  </sheetData>
  <hyperlinks>
    <hyperlink ref="C1" location="Содержание!B4" display="К содержанию"/>
  </hyperlink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Содержание</vt:lpstr>
      <vt:lpstr>Показатели</vt:lpstr>
      <vt:lpstr>Динамика</vt:lpstr>
      <vt:lpstr>Тональность</vt:lpstr>
      <vt:lpstr>Мнения</vt:lpstr>
      <vt:lpstr>Оценки</vt:lpstr>
      <vt:lpstr>Типы площадок</vt:lpstr>
      <vt:lpstr>Площадки</vt:lpstr>
      <vt:lpstr>Эмоции</vt:lpstr>
      <vt:lpstr>Страны</vt:lpstr>
      <vt:lpstr>Федеральные округа</vt:lpstr>
      <vt:lpstr>Регионы РФ</vt:lpstr>
      <vt:lpstr>Города РФ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