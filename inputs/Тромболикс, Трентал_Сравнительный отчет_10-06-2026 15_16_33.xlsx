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Содержание" sheetId="2" r:id="rId3"/>
    <sheet name="Показатели" sheetId="3" r:id="rId4"/>
    <sheet name="Динамика" sheetId="4" r:id="rId5"/>
    <sheet name="Тональность" sheetId="5" r:id="rId6"/>
    <sheet name="Мнения" sheetId="6" r:id="rId7"/>
    <sheet name="Оценки" sheetId="7" r:id="rId8"/>
    <sheet name="Типы площадок" sheetId="8" r:id="rId9"/>
    <sheet name="Площадки" sheetId="9" r:id="rId10"/>
    <sheet name="Эмоции" sheetId="10" r:id="rId11"/>
    <sheet name="Страны" sheetId="11" r:id="rId12"/>
    <sheet name="Федеральные округа" sheetId="12" r:id="rId13"/>
    <sheet name="Регионы РФ" sheetId="13" r:id="rId14"/>
    <sheet name="Города РФ" sheetId="14" r:id="rId15"/>
  </sheets>
  <definedNames/>
  <calcPr fullCalcOnLoad="1"/>
</workbook>
</file>

<file path=xl/calcChain.xml><?xml version="1.0" encoding="utf-8"?>
<calcChain xmlns="http://schemas.openxmlformats.org/spreadsheetml/2006/main">
  <c r="F23" i="5" l="1"/>
</calcChain>
</file>

<file path=xl/sharedStrings.xml><?xml version="1.0" encoding="utf-8"?>
<sst xmlns="http://schemas.openxmlformats.org/spreadsheetml/2006/main" count="672" uniqueCount="263">
  <si>
    <t>© Медиалогия</t>
  </si>
  <si>
    <t>Содержание</t>
  </si>
  <si>
    <t>К содержанию</t>
  </si>
  <si>
    <t>Показатели</t>
  </si>
  <si>
    <t>Динамика</t>
  </si>
  <si>
    <t>Сообщения</t>
  </si>
  <si>
    <t>Дата</t>
  </si>
  <si>
    <t>Пентоксифиллин</t>
  </si>
  <si>
    <t>Трентал</t>
  </si>
  <si>
    <t>Вазонит</t>
  </si>
  <si>
    <t>Тромбообразование и полинейропатия нижних конечностей</t>
  </si>
  <si>
    <t>Вессел</t>
  </si>
  <si>
    <t>Итого</t>
  </si>
  <si>
    <t>СМ Индекс</t>
  </si>
  <si>
    <t>Аудитория</t>
  </si>
  <si>
    <t>Просмотры</t>
  </si>
  <si>
    <t>Вовлечённость</t>
  </si>
  <si>
    <t>Тональность</t>
  </si>
  <si>
    <t>Объект</t>
  </si>
  <si>
    <t>Позитивные</t>
  </si>
  <si>
    <t>Нейтральные</t>
  </si>
  <si>
    <t>Негативные</t>
  </si>
  <si>
    <t>% позитивных</t>
  </si>
  <si>
    <t>% нейтральных</t>
  </si>
  <si>
    <t>% негативных</t>
  </si>
  <si>
    <t>Мнения</t>
  </si>
  <si>
    <t>Высокая эффективность препарата</t>
  </si>
  <si>
    <t>Низкая эффективность препарата</t>
  </si>
  <si>
    <t>Доступные цены</t>
  </si>
  <si>
    <t>Оценки</t>
  </si>
  <si>
    <t>Типы площадок</t>
  </si>
  <si>
    <t>Площадки</t>
  </si>
  <si>
    <t>Эмоции</t>
  </si>
  <si>
    <t>Оценки в отзывах</t>
  </si>
  <si>
    <t>Оценка 5</t>
  </si>
  <si>
    <t>Оценка 4</t>
  </si>
  <si>
    <t>Оценка 3</t>
  </si>
  <si>
    <t>Оценка 2</t>
  </si>
  <si>
    <t>Оценка 1</t>
  </si>
  <si>
    <t>Средняя оценка</t>
  </si>
  <si>
    <t>Страны</t>
  </si>
  <si>
    <t>Федеральные округа</t>
  </si>
  <si>
    <t>Регионы РФ</t>
  </si>
  <si>
    <t>Города РФ</t>
  </si>
  <si>
    <t>Соцсети</t>
  </si>
  <si>
    <t>Меcсенджеры (Каналы)</t>
  </si>
  <si>
    <t>Мессенджеры (Чаты)</t>
  </si>
  <si>
    <t>Отзывы</t>
  </si>
  <si>
    <t>Блоги</t>
  </si>
  <si>
    <t>Форумы</t>
  </si>
  <si>
    <t>СМИ</t>
  </si>
  <si>
    <t>Всего</t>
  </si>
  <si>
    <t>Название отчета:</t>
  </si>
  <si>
    <t>Тромболикс, Трентал</t>
  </si>
  <si>
    <t>Период:</t>
  </si>
  <si>
    <t>01 - 31 мая 2026</t>
  </si>
  <si>
    <t>Контекст:</t>
  </si>
  <si>
    <t>Объекты:</t>
  </si>
  <si>
    <t>Тромболикс, Вессел, Трентал, Вазонит, Пентоксифиллин, Тромбообразование и полинейропатия нижних конечностей, Пиаскледин</t>
  </si>
  <si>
    <t>Область поиска:</t>
  </si>
  <si>
    <t>Тексты сообщений, Расшифровки видео Youtube</t>
  </si>
  <si>
    <t>Язык:</t>
  </si>
  <si>
    <t>Неизвестный, Русский</t>
  </si>
  <si>
    <t>Дополнительно:</t>
  </si>
  <si>
    <t>исключены спам и объявления</t>
  </si>
  <si>
    <t>Всего сообщений в отчёте:</t>
  </si>
  <si>
    <t>Дата подготовки:</t>
  </si>
  <si>
    <t>10 июня 2026</t>
  </si>
  <si>
    <t>Метрики</t>
  </si>
  <si>
    <t>Комментарии</t>
  </si>
  <si>
    <t>Лайки</t>
  </si>
  <si>
    <t>Репосты</t>
  </si>
  <si>
    <t>Share of voice</t>
  </si>
  <si>
    <t>Типы сообщений</t>
  </si>
  <si>
    <t>Посты</t>
  </si>
  <si>
    <t>Репосты с дополнением</t>
  </si>
  <si>
    <t>Сторис</t>
  </si>
  <si>
    <t>Публикации СМИ</t>
  </si>
  <si>
    <t>Ответы</t>
  </si>
  <si>
    <t>Вопросы</t>
  </si>
  <si>
    <t>Источники сообщений</t>
  </si>
  <si>
    <t>Группы</t>
  </si>
  <si>
    <t>Авторы</t>
  </si>
  <si>
    <t>ВКонтакте</t>
  </si>
  <si>
    <t>Telegram</t>
  </si>
  <si>
    <t>Дзен</t>
  </si>
  <si>
    <t>Facebook</t>
  </si>
  <si>
    <t>Sprosivracha.com - форум</t>
  </si>
  <si>
    <t>Одноклассники</t>
  </si>
  <si>
    <t>YouTube</t>
  </si>
  <si>
    <t>Instagram</t>
  </si>
  <si>
    <t>Threads</t>
  </si>
  <si>
    <t>Мамлайф</t>
  </si>
  <si>
    <t>Rutube.ru</t>
  </si>
  <si>
    <t>nup.ru</t>
  </si>
  <si>
    <t>hron-prostatit.ru</t>
  </si>
  <si>
    <t>БебиБлог (babyblog.ru)</t>
  </si>
  <si>
    <t>pikabu.ru</t>
  </si>
  <si>
    <t>Женский журнал Woman.ru</t>
  </si>
  <si>
    <t>Otzovik.com</t>
  </si>
  <si>
    <t>Озон</t>
  </si>
  <si>
    <t>TikTok</t>
  </si>
  <si>
    <t>BabyPlan.ru</t>
  </si>
  <si>
    <t>Forums.rusmedserv.com - форум</t>
  </si>
  <si>
    <t xml:space="preserve">Irecommend.ru </t>
  </si>
  <si>
    <t xml:space="preserve">Vashe-mnenie.com </t>
  </si>
  <si>
    <t xml:space="preserve">Otzyvru.com </t>
  </si>
  <si>
    <t>Макс</t>
  </si>
  <si>
    <t>teletype.in</t>
  </si>
  <si>
    <t>Ответы Mail.ru</t>
  </si>
  <si>
    <t>ЖЕЛЕЗНЫЙ ФАКТОР - лучший форум по бодибилдингу и ф</t>
  </si>
  <si>
    <t>Женский форум Бэби.ру</t>
  </si>
  <si>
    <t>СоюзФарма (sojuzpharma.ru)</t>
  </si>
  <si>
    <t>Да-Да Новости сегодня в России, а также со всего м</t>
  </si>
  <si>
    <t>Wildberries</t>
  </si>
  <si>
    <t>Турфорум, туристический форум</t>
  </si>
  <si>
    <t xml:space="preserve">Otzyv.pro </t>
  </si>
  <si>
    <t>Medihost.ru - форум</t>
  </si>
  <si>
    <t>Яндекс.Маркет</t>
  </si>
  <si>
    <t>Площадки по аудитории</t>
  </si>
  <si>
    <t>Площадки по вовлеченности</t>
  </si>
  <si>
    <t>Страна</t>
  </si>
  <si>
    <t>Россия</t>
  </si>
  <si>
    <t>Украина</t>
  </si>
  <si>
    <t>Соединенные Штаты</t>
  </si>
  <si>
    <t>Грузия</t>
  </si>
  <si>
    <t>Азербайджан</t>
  </si>
  <si>
    <t>Беларусь</t>
  </si>
  <si>
    <t>Испания</t>
  </si>
  <si>
    <t>Казахстан</t>
  </si>
  <si>
    <t>Без страны</t>
  </si>
  <si>
    <t>9 стран определены у 48,6% (189) сообщений</t>
  </si>
  <si>
    <t>Страны по аудитории</t>
  </si>
  <si>
    <t>Федеральный округ</t>
  </si>
  <si>
    <t>ЦФО</t>
  </si>
  <si>
    <t>СЗФО</t>
  </si>
  <si>
    <t>ПФО</t>
  </si>
  <si>
    <t>УФО</t>
  </si>
  <si>
    <t>ЮФО</t>
  </si>
  <si>
    <t>СФО</t>
  </si>
  <si>
    <t>ДФО</t>
  </si>
  <si>
    <t>Без округа</t>
  </si>
  <si>
    <t>8 округов определены у 69,5% (114) сообщения</t>
  </si>
  <si>
    <t>Федеральные округа по аудитории</t>
  </si>
  <si>
    <t>Регион</t>
  </si>
  <si>
    <t>Москва</t>
  </si>
  <si>
    <t>Санкт-Петербург</t>
  </si>
  <si>
    <t>Свердловская область</t>
  </si>
  <si>
    <t>Республика Башкортостан</t>
  </si>
  <si>
    <t>Республика Татарстан</t>
  </si>
  <si>
    <t>Республика Мордовия</t>
  </si>
  <si>
    <t>Краснодарский край</t>
  </si>
  <si>
    <t>Архангельская область</t>
  </si>
  <si>
    <t>Ивановская область</t>
  </si>
  <si>
    <t>Саратовская область</t>
  </si>
  <si>
    <t>Республика Коми</t>
  </si>
  <si>
    <t>Владимирская область</t>
  </si>
  <si>
    <t>Воронежская область</t>
  </si>
  <si>
    <t>Московская область</t>
  </si>
  <si>
    <t>Ульяновская область</t>
  </si>
  <si>
    <t>Республика Карелия</t>
  </si>
  <si>
    <t>Республика Марий Эл</t>
  </si>
  <si>
    <t>Удмуртская Республика</t>
  </si>
  <si>
    <t>Алтайский край</t>
  </si>
  <si>
    <t>Красноярский край</t>
  </si>
  <si>
    <t>Приморский край</t>
  </si>
  <si>
    <t>Брянская область</t>
  </si>
  <si>
    <t>Вологодская область</t>
  </si>
  <si>
    <t>Кировская область</t>
  </si>
  <si>
    <t>Магаданская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</si>
  <si>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</si>
  <si>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</si>
  <si>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</si>
  <si>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</si>
  <si>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Ростовская область</t>
  </si>
  <si>
    <t>Рязанская область</t>
  </si>
  <si>
    <t>Смоленская область</t>
  </si>
  <si>
    <t>Тверская область</t>
  </si>
  <si>
    <t>Забайкальский край</t>
  </si>
  <si>
    <t>Без региона</t>
  </si>
  <si>
    <t>35 регионов определены у 69,5% (114) сообщения</t>
  </si>
  <si>
    <t>Регионы по аудитории</t>
  </si>
  <si>
    <t>Город</t>
  </si>
  <si>
    <t>Екатеринбург</t>
  </si>
  <si>
    <t>Уфа</t>
  </si>
  <si>
    <t>Саратов</t>
  </si>
  <si>
    <t>Буинск</t>
  </si>
  <si>
    <t>Краснодар</t>
  </si>
  <si>
    <t>Архангельск</t>
  </si>
  <si>
    <t>Владимир</t>
  </si>
  <si>
    <t>Воронеж</t>
  </si>
  <si>
    <t>Иваново</t>
  </si>
  <si>
    <t>Ульяновск</t>
  </si>
  <si>
    <t>Явас</t>
  </si>
  <si>
    <t>Учалы</t>
  </si>
  <si>
    <t>Сыктывкар</t>
  </si>
  <si>
    <t>Йошкар-Ола</t>
  </si>
  <si>
    <t>Микунь</t>
  </si>
  <si>
    <t>Саранск</t>
  </si>
  <si>
    <t>Казань</t>
  </si>
  <si>
    <t>Набережные Челны</t>
  </si>
  <si>
    <t>Ижевск</t>
  </si>
  <si>
    <t>Барнаул</t>
  </si>
  <si>
    <t>Туапсе</t>
  </si>
  <si>
    <t>Красноярск</t>
  </si>
  <si>
    <t>Владивосток</t>
  </si>
  <si>
    <t>Котлас</t>
  </si>
  <si>
    <t>Унеча</t>
  </si>
  <si>
    <t>Череповец</t>
  </si>
  <si>
    <t>Киров</t>
  </si>
  <si>
    <t>Дубна</t>
  </si>
  <si>
    <t>Коломна</t>
  </si>
  <si>
    <t>Кандалакша</t>
  </si>
  <si>
    <t>Урень</t>
  </si>
  <si>
    <t>Великий Новгород</t>
  </si>
  <si>
    <t>Донецк</t>
  </si>
  <si>
    <t>Рязань</t>
  </si>
  <si>
    <t>Вязьма</t>
  </si>
  <si>
    <t>Тверь</t>
  </si>
  <si>
    <t>Сосновый</t>
  </si>
  <si>
    <t>Амазар</t>
  </si>
  <si>
    <t>Без города</t>
  </si>
  <si>
    <t>41 город определена у 67,7% (111) сообщение</t>
  </si>
  <si>
    <t>Города по аудитории</t>
  </si>
  <si>
    <t>Объекты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</si>
  <si>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</si>
  <si>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</si>
  <si>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</si>
  <si>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</si>
  <si>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</si>
  <si>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</si>
  <si>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</si>
  <si>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</si>
  <si>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</si>
  <si>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</si>
  <si>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👉 13</t>
  </si>
  <si>
    <t>✅ 11</t>
  </si>
  <si>
    <t>🔥 9</t>
  </si>
  <si>
    <t>✔ 6</t>
  </si>
  <si>
    <t>✍ 6</t>
  </si>
  <si>
    <t>⚠ 4</t>
  </si>
  <si>
    <t>😌 4</t>
  </si>
  <si>
    <t>🤔 4</t>
  </si>
  <si>
    <t>☝ 4</t>
  </si>
  <si>
    <t>🚑 4</t>
  </si>
  <si>
    <t>✅ 9</t>
  </si>
  <si>
    <t>😊 9</t>
  </si>
  <si>
    <t>👍🏻 8</t>
  </si>
  <si>
    <t>🔥 5</t>
  </si>
  <si>
    <t>❌ 5</t>
  </si>
  <si>
    <t>✍ 4</t>
  </si>
  <si>
    <t>☎ 3</t>
  </si>
  <si>
    <t>⚠ 2</t>
  </si>
  <si>
    <t>🏪 1</t>
  </si>
  <si>
    <t>🛒 1</t>
  </si>
  <si>
    <t>💸 1</t>
  </si>
  <si>
    <t>📝 1</t>
  </si>
  <si>
    <t/>
  </si>
  <si>
    <t>😉 1</t>
  </si>
  <si>
    <t>✅ 1</t>
  </si>
  <si>
    <t>Тромболикс</t>
  </si>
  <si>
    <t>Пиаскледин</t>
  </si>
  <si>
    <t>Внешний вид эмодзи может различаться в зависимости от используемого ПО, операционной системы и модели устройства.</t>
  </si>
</sst>
</file>

<file path=xl/styles.xml><?xml version="1.0" encoding="utf-8"?>
<styleSheet xmlns="http://schemas.openxmlformats.org/spreadsheetml/2006/main">
  <numFmts count="5">
    <numFmt numFmtId="177" formatCode="0.0%"/>
    <numFmt numFmtId="178" formatCode="dd MMMM yyyy"/>
    <numFmt numFmtId="179" formatCode="#,##0.00"/>
    <numFmt numFmtId="180" formatCode="#,#0.0"/>
    <numFmt numFmtId="181" formatCode="dd.MM.yyyy"/>
  </numFmts>
  <fonts count="10">
    <font>
      <sz val="10"/>
      <color theme="1"/>
      <name val="Arial"/>
      <family val="2"/>
    </font>
    <font>
      <sz val="8"/>
      <color rgb="FF585A5D"/>
      <name val="Arial"/>
      <family val="2"/>
    </font>
    <font>
      <sz val="11"/>
      <color rgb="FF585A5D"/>
      <name val="Arial"/>
      <family val="2"/>
    </font>
    <font>
      <b/>
      <sz val="11"/>
      <color rgb="FF585A5D"/>
      <name val="Arial"/>
      <family val="2"/>
    </font>
    <font>
      <u val="single"/>
      <sz val="10"/>
      <color rgb="FF0000FF"/>
      <name val="Arial"/>
      <family val="2"/>
    </font>
    <font>
      <u val="single"/>
      <sz val="10"/>
      <color rgb="FF005061"/>
      <name val="Arial"/>
      <family val="2"/>
    </font>
    <font>
      <b/>
      <sz val="11"/>
      <color rgb="FFFFFFFF"/>
      <name val="Arial"/>
      <family val="2"/>
    </font>
    <font>
      <b/>
      <sz val="12"/>
      <color rgb="FF044654"/>
      <name val="Arial"/>
      <family val="2"/>
    </font>
    <font>
      <b/>
      <sz val="18"/>
      <color rgb="FF585A5D"/>
      <name val="Arial"/>
      <family val="2"/>
    </font>
    <font>
      <sz val="10"/>
      <color rgb="FF447F8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EDEE"/>
        <bgColor indexed="64"/>
      </patternFill>
    </fill>
    <fill>
      <patternFill patternType="solid">
        <fgColor rgb="FF005061"/>
        <bgColor indexed="64"/>
      </patternFill>
    </fill>
  </fills>
  <borders count="2">
    <border>
      <left/>
      <right/>
      <top/>
      <bottom/>
      <diagonal/>
    </border>
    <border>
      <left style="thin">
        <color rgb="FFCCD3DB"/>
      </left>
      <right style="thin">
        <color rgb="FFCCD3DB"/>
      </right>
      <top style="thin">
        <color rgb="FFCCD3DB"/>
      </top>
      <bottom style="thin">
        <color rgb="FFCCD3DB"/>
      </bottom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4" fillId="0" borderId="0">
      <alignment/>
      <protection/>
    </xf>
  </cellStyleXfs>
  <cellXfs count="30">
    <xf numFmtId="0" fontId="0" fillId="0" borderId="0" xfId="0"/>
    <xf numFmtId="0" fontId="9" fillId="2" borderId="0" xfId="0" applyFill="1" applyAlignment="1">
      <alignment horizontal="left"/>
    </xf>
    <xf numFmtId="0" fontId="8" fillId="0" borderId="0" xfId="0" applyFont="1"/>
    <xf numFmtId="0" fontId="5" fillId="2" borderId="0" xfId="0" applyFont="1" applyFill="1" applyAlignment="1">
      <alignment horizontal="left"/>
    </xf>
    <xf numFmtId="0" fontId="4" fillId="2" borderId="0" xfId="20" applyFont="1" applyFill="1" applyAlignment="1">
      <alignment horizontal="left"/>
      <protection/>
    </xf>
    <xf numFmtId="0" fontId="7" fillId="0" borderId="0" xfId="0" applyFont="1" applyAlignment="1">
      <alignment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181" fontId="2" fillId="0" borderId="1" xfId="0" applyNumberFormat="1" applyFont="1" applyBorder="1" applyAlignment="1">
      <alignment horizontal="left" vertical="center"/>
    </xf>
    <xf numFmtId="181" fontId="3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180" fontId="3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0" fontId="5" fillId="0" borderId="0" xfId="0" applyFont="1"/>
    <xf numFmtId="0" fontId="4" fillId="0" borderId="0" xfId="20" applyFont="1">
      <alignment/>
      <protection/>
    </xf>
    <xf numFmtId="177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15" Type="http://schemas.openxmlformats.org/officeDocument/2006/relationships/worksheet" Target="worksheets/sheet13.xml" /><Relationship Id="rId17" Type="http://schemas.openxmlformats.org/officeDocument/2006/relationships/calcChain" Target="calcChain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4" Type="http://schemas.openxmlformats.org/officeDocument/2006/relationships/worksheet" Target="worksheets/sheet12.xml" /><Relationship Id="rId16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Сообщения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5CDA33"/>
              </a:solidFill>
            </c:spPr>
          </c:dPt>
          <c:dPt>
            <c:idx val="1"/>
            <c:invertIfNegative val="0"/>
            <c:spPr>
              <a:solidFill>
                <a:srgbClr val="C9E0CB"/>
              </a:solidFill>
            </c:spPr>
          </c:dPt>
          <c:dPt>
            <c:idx val="2"/>
            <c:invertIfNegative val="0"/>
            <c:spPr>
              <a:solidFill>
                <a:srgbClr val="DF7F86"/>
              </a:solidFill>
            </c:spPr>
          </c:dPt>
          <c:dPt>
            <c:idx val="3"/>
            <c:invertIfNegative val="0"/>
            <c:spPr>
              <a:solidFill>
                <a:srgbClr val="D4E6DB"/>
              </a:solidFill>
            </c:spPr>
          </c:dPt>
          <c:dPt>
            <c:idx val="4"/>
            <c:invertIfNegative val="0"/>
            <c:spPr>
              <a:solidFill>
                <a:srgbClr val="88EBE7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Показатели!$B$9:$B$13</c:f>
              <c:strCache/>
            </c:strRef>
          </c:cat>
          <c:val>
            <c:numRef>
              <c:f>Показатели!$C$9:$C$13</c:f>
              <c:numCache/>
            </c:numRef>
          </c:val>
        </c:ser>
        <c:axId val="2012046"/>
        <c:axId val="9328372"/>
      </c:barChart>
      <c:catAx>
        <c:axId val="2012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9328372"/>
        <c:crosses val="autoZero"/>
        <c:lblOffset val="100"/>
        <c:tickLblSkip val="1"/>
        <c:noMultiLvlLbl val="0"/>
      </c:catAx>
      <c:valAx>
        <c:axId val="932837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201204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СМ Индекс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5CDA33"/>
              </a:solidFill>
            </c:spPr>
          </c:dPt>
          <c:dPt>
            <c:idx val="1"/>
            <c:invertIfNegative val="0"/>
            <c:spPr>
              <a:solidFill>
                <a:srgbClr val="C9E0CB"/>
              </a:solidFill>
            </c:spPr>
          </c:dPt>
          <c:dPt>
            <c:idx val="2"/>
            <c:invertIfNegative val="0"/>
            <c:spPr>
              <a:solidFill>
                <a:srgbClr val="DF7F86"/>
              </a:solidFill>
            </c:spPr>
          </c:dPt>
          <c:dPt>
            <c:idx val="3"/>
            <c:invertIfNegative val="0"/>
            <c:spPr>
              <a:solidFill>
                <a:srgbClr val="D4E6DB"/>
              </a:solidFill>
            </c:spPr>
          </c:dPt>
          <c:dPt>
            <c:idx val="4"/>
            <c:invertIfNegative val="0"/>
            <c:spPr>
              <a:solidFill>
                <a:srgbClr val="88EBE7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Показатели!$B$9:$B$13</c:f>
              <c:strCache/>
            </c:strRef>
          </c:cat>
          <c:val>
            <c:numRef>
              <c:f>Показатели!$D$9:$D$13</c:f>
              <c:numCache/>
            </c:numRef>
          </c:val>
        </c:ser>
        <c:axId val="6520814"/>
        <c:axId val="52778887"/>
      </c:barChart>
      <c:catAx>
        <c:axId val="6520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52778887"/>
        <c:crosses val="autoZero"/>
        <c:lblOffset val="100"/>
        <c:tickLblSkip val="1"/>
        <c:noMultiLvlLbl val="0"/>
      </c:catAx>
      <c:valAx>
        <c:axId val="52778887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652081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Аудитория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5CDA33"/>
              </a:solidFill>
            </c:spPr>
          </c:dPt>
          <c:dPt>
            <c:idx val="1"/>
            <c:invertIfNegative val="0"/>
            <c:spPr>
              <a:solidFill>
                <a:srgbClr val="C9E0CB"/>
              </a:solidFill>
            </c:spPr>
          </c:dPt>
          <c:dPt>
            <c:idx val="2"/>
            <c:invertIfNegative val="0"/>
            <c:spPr>
              <a:solidFill>
                <a:srgbClr val="DF7F86"/>
              </a:solidFill>
            </c:spPr>
          </c:dPt>
          <c:dPt>
            <c:idx val="3"/>
            <c:invertIfNegative val="0"/>
            <c:spPr>
              <a:solidFill>
                <a:srgbClr val="D4E6DB"/>
              </a:solidFill>
            </c:spPr>
          </c:dPt>
          <c:dPt>
            <c:idx val="4"/>
            <c:invertIfNegative val="0"/>
            <c:spPr>
              <a:solidFill>
                <a:srgbClr val="88EBE7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Показатели!$B$9:$B$13</c:f>
              <c:strCache/>
            </c:strRef>
          </c:cat>
          <c:val>
            <c:numRef>
              <c:f>Показатели!$E$9:$E$13</c:f>
              <c:numCache/>
            </c:numRef>
          </c:val>
        </c:ser>
        <c:axId val="54516471"/>
        <c:axId val="32012938"/>
      </c:barChart>
      <c:catAx>
        <c:axId val="54516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32012938"/>
        <c:crosses val="autoZero"/>
        <c:lblOffset val="100"/>
        <c:tickLblSkip val="1"/>
        <c:noMultiLvlLbl val="0"/>
      </c:catAx>
      <c:valAx>
        <c:axId val="32012938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5451647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Вовлечённость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5CDA33"/>
              </a:solidFill>
            </c:spPr>
          </c:dPt>
          <c:dPt>
            <c:idx val="1"/>
            <c:invertIfNegative val="0"/>
            <c:spPr>
              <a:solidFill>
                <a:srgbClr val="C9E0CB"/>
              </a:solidFill>
            </c:spPr>
          </c:dPt>
          <c:dPt>
            <c:idx val="2"/>
            <c:invertIfNegative val="0"/>
            <c:spPr>
              <a:solidFill>
                <a:srgbClr val="DF7F86"/>
              </a:solidFill>
            </c:spPr>
          </c:dPt>
          <c:dPt>
            <c:idx val="3"/>
            <c:invertIfNegative val="0"/>
            <c:spPr>
              <a:solidFill>
                <a:srgbClr val="D4E6DB"/>
              </a:solidFill>
            </c:spPr>
          </c:dPt>
          <c:dPt>
            <c:idx val="4"/>
            <c:invertIfNegative val="0"/>
            <c:spPr>
              <a:solidFill>
                <a:srgbClr val="88EBE7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Показатели!$B$9:$B$13</c:f>
              <c:strCache/>
            </c:strRef>
          </c:cat>
          <c:val>
            <c:numRef>
              <c:f>Показатели!$G$9:$G$13</c:f>
              <c:numCache/>
            </c:numRef>
          </c:val>
        </c:ser>
        <c:axId val="41854011"/>
        <c:axId val="21635078"/>
      </c:barChart>
      <c:catAx>
        <c:axId val="41854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21635078"/>
        <c:crosses val="autoZero"/>
        <c:lblOffset val="100"/>
        <c:tickLblSkip val="1"/>
        <c:noMultiLvlLbl val="0"/>
      </c:catAx>
      <c:valAx>
        <c:axId val="21635078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4185401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Просмотры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5CDA33"/>
              </a:solidFill>
            </c:spPr>
          </c:dPt>
          <c:dPt>
            <c:idx val="1"/>
            <c:invertIfNegative val="0"/>
            <c:spPr>
              <a:solidFill>
                <a:srgbClr val="C9E0CB"/>
              </a:solidFill>
            </c:spPr>
          </c:dPt>
          <c:dPt>
            <c:idx val="2"/>
            <c:invertIfNegative val="0"/>
            <c:spPr>
              <a:solidFill>
                <a:srgbClr val="DF7F86"/>
              </a:solidFill>
            </c:spPr>
          </c:dPt>
          <c:dPt>
            <c:idx val="3"/>
            <c:invertIfNegative val="0"/>
            <c:spPr>
              <a:solidFill>
                <a:srgbClr val="D4E6DB"/>
              </a:solidFill>
            </c:spPr>
          </c:dPt>
          <c:dPt>
            <c:idx val="4"/>
            <c:invertIfNegative val="0"/>
            <c:spPr>
              <a:solidFill>
                <a:srgbClr val="88EBE7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Показатели!$B$9:$B$13</c:f>
              <c:strCache/>
            </c:strRef>
          </c:cat>
          <c:val>
            <c:numRef>
              <c:f>Показатели!$F$9:$F$13</c:f>
              <c:numCache/>
            </c:numRef>
          </c:val>
        </c:ser>
        <c:axId val="40475253"/>
        <c:axId val="59901909"/>
      </c:barChart>
      <c:catAx>
        <c:axId val="404752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59901909"/>
        <c:crosses val="autoZero"/>
        <c:lblOffset val="100"/>
        <c:tickLblSkip val="1"/>
        <c:noMultiLvlLbl val="0"/>
      </c:catAx>
      <c:valAx>
        <c:axId val="59901909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4047525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Share of Voice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spPr>
              <a:solidFill>
                <a:srgbClr val="5CDA33"/>
              </a:solidFill>
            </c:spPr>
          </c:dPt>
          <c:dPt>
            <c:idx val="1"/>
            <c:spPr>
              <a:solidFill>
                <a:srgbClr val="C9E0CB"/>
              </a:solidFill>
            </c:spPr>
          </c:dPt>
          <c:dPt>
            <c:idx val="2"/>
            <c:spPr>
              <a:solidFill>
                <a:srgbClr val="DF7F86"/>
              </a:solidFill>
            </c:spPr>
          </c:dPt>
          <c:dPt>
            <c:idx val="3"/>
            <c:spPr>
              <a:solidFill>
                <a:srgbClr val="D4E6DB"/>
              </a:solidFill>
            </c:spPr>
          </c:dPt>
          <c:dPt>
            <c:idx val="4"/>
            <c:spPr>
              <a:solidFill>
                <a:srgbClr val="88EBE7"/>
              </a:solidFill>
            </c:spPr>
          </c:dPt>
          <c:dLbls>
            <c:numFmt formatCode="General" sourceLinked="1"/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Показатели!$B$9:$B$13</c:f>
              <c:strCache/>
            </c:strRef>
          </c:cat>
          <c:val>
            <c:numRef>
              <c:f>Показатели!$K$9:$K$13</c:f>
              <c:numCache/>
            </c:numRef>
          </c:val>
        </c:ser>
      </c:pieChart>
      <c:spPr>
        <a:solidFill>
          <a:srgbClr val="FFFFFF"/>
        </a:solidFill>
        <a:ln w="12700">
          <a:noFill/>
        </a:ln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Тональность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Показатели!$C$56</c:f>
            </c:strRef>
          </c:tx>
          <c:spPr>
            <a:solidFill>
              <a:srgbClr val="98D497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Показатели!$B$57:$B$61</c:f>
              <c:strCache/>
            </c:strRef>
          </c:cat>
          <c:val>
            <c:numRef>
              <c:f>Показатели!$C$57:$C$61</c:f>
              <c:numCache/>
            </c:numRef>
          </c:val>
        </c:ser>
        <c:ser>
          <c:idx val="1"/>
          <c:order val="1"/>
          <c:tx>
            <c:strRef>
              <c:f>Показатели!$D$56</c:f>
            </c:strRef>
          </c:tx>
          <c:spPr>
            <a:solidFill>
              <a:srgbClr val="C6D2D9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Показатели!$B$57:$B$61</c:f>
              <c:strCache/>
            </c:strRef>
          </c:cat>
          <c:val>
            <c:numRef>
              <c:f>Показатели!$D$57:$D$61</c:f>
              <c:numCache/>
            </c:numRef>
          </c:val>
        </c:ser>
        <c:ser>
          <c:idx val="2"/>
          <c:order val="2"/>
          <c:tx>
            <c:strRef>
              <c:f>Показатели!$E$56</c:f>
            </c:strRef>
          </c:tx>
          <c:spPr>
            <a:solidFill>
              <a:srgbClr val="FC6C73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Показатели!$B$57:$B$61</c:f>
              <c:strCache/>
            </c:strRef>
          </c:cat>
          <c:val>
            <c:numRef>
              <c:f>Показатели!$E$57:$E$61</c:f>
              <c:numCache/>
            </c:numRef>
          </c:val>
        </c:ser>
        <c:overlap val="100"/>
        <c:axId val="2993870"/>
        <c:axId val="66461320"/>
      </c:barChart>
      <c:catAx>
        <c:axId val="299387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6461320"/>
        <c:crosses val="autoZero"/>
        <c:lblOffset val="100"/>
        <c:noMultiLvlLbl val="0"/>
      </c:catAx>
      <c:valAx>
        <c:axId val="66461320"/>
        <c:scaling>
          <c:orientation val="minMax"/>
        </c:scaling>
        <c:delete val="1"/>
        <c:axPos val="t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99387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Тональность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Показатели!$G$56</c:f>
            </c:strRef>
          </c:tx>
          <c:spPr>
            <a:solidFill>
              <a:srgbClr val="98D497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Показатели!$B$57:$B$61</c:f>
              <c:strCache/>
            </c:strRef>
          </c:cat>
          <c:val>
            <c:numRef>
              <c:f>Показатели!$G$57:$G$61</c:f>
              <c:numCache/>
            </c:numRef>
          </c:val>
        </c:ser>
        <c:ser>
          <c:idx val="1"/>
          <c:order val="1"/>
          <c:tx>
            <c:strRef>
              <c:f>Показатели!$H$56</c:f>
            </c:strRef>
          </c:tx>
          <c:spPr>
            <a:solidFill>
              <a:srgbClr val="C6D2D9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Показатели!$B$57:$B$61</c:f>
              <c:strCache/>
            </c:strRef>
          </c:cat>
          <c:val>
            <c:numRef>
              <c:f>Показатели!$H$57:$H$61</c:f>
              <c:numCache/>
            </c:numRef>
          </c:val>
        </c:ser>
        <c:ser>
          <c:idx val="2"/>
          <c:order val="2"/>
          <c:tx>
            <c:strRef>
              <c:f>Показатели!$I$56</c:f>
            </c:strRef>
          </c:tx>
          <c:spPr>
            <a:solidFill>
              <a:srgbClr val="FC6C73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Показатели!$B$57:$B$61</c:f>
              <c:strCache/>
            </c:strRef>
          </c:cat>
          <c:val>
            <c:numRef>
              <c:f>Показатели!$I$57:$I$61</c:f>
              <c:numCache/>
            </c:numRef>
          </c:val>
        </c:ser>
        <c:overlap val="100"/>
        <c:axId val="48622915"/>
        <c:axId val="23181521"/>
      </c:barChart>
      <c:catAx>
        <c:axId val="486229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3181521"/>
        <c:crosses val="autoZero"/>
        <c:lblOffset val="100"/>
        <c:noMultiLvlLbl val="0"/>
      </c:catAx>
      <c:valAx>
        <c:axId val="23181521"/>
        <c:scaling>
          <c:orientation val="minMax"/>
        </c:scaling>
        <c:delete val="1"/>
        <c:axPos val="t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8622915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Сообщения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Динамика!$C$9:$C$39</c:f>
              <c:numCache/>
            </c:numRef>
          </c:val>
          <c:smooth val="1"/>
        </c:ser>
        <c:ser>
          <c:idx val="1"/>
          <c:order val="1"/>
          <c:tx>
            <c:strRef>
              <c:f>Динамика!$D$8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Динамика!$D$9:$D$39</c:f>
              <c:numCache/>
            </c:numRef>
          </c:val>
          <c:smooth val="1"/>
        </c:ser>
        <c:ser>
          <c:idx val="2"/>
          <c:order val="2"/>
          <c:tx>
            <c:strRef>
              <c:f>Динамика!$E$8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Динамика!$E$9:$E$39</c:f>
              <c:numCache/>
            </c:numRef>
          </c:val>
          <c:smooth val="1"/>
        </c:ser>
        <c:ser>
          <c:idx val="3"/>
          <c:order val="3"/>
          <c:tx>
            <c:strRef>
              <c:f>Динамика!$F$8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Динамика!$F$9:$F$39</c:f>
              <c:numCache/>
            </c:numRef>
          </c:val>
          <c:smooth val="1"/>
        </c:ser>
        <c:ser>
          <c:idx val="4"/>
          <c:order val="4"/>
          <c:tx>
            <c:strRef>
              <c:f>Динамика!$G$8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Динамика!$G$9:$G$39</c:f>
              <c:numCache/>
            </c:numRef>
          </c:val>
          <c:smooth val="1"/>
        </c:ser>
        <c:marker val="1"/>
        <c:axId val="10889583"/>
        <c:axId val="11529610"/>
      </c:lineChart>
      <c:catAx>
        <c:axId val="10889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1529610"/>
        <c:crosses val="autoZero"/>
        <c:lblOffset val="100"/>
        <c:noMultiLvlLbl val="0"/>
      </c:catAx>
      <c:valAx>
        <c:axId val="11529610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10889583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СМ Индекс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Динамика!$C$45:$C$75</c:f>
              <c:numCache/>
            </c:numRef>
          </c:val>
          <c:smooth val="1"/>
        </c:ser>
        <c:ser>
          <c:idx val="1"/>
          <c:order val="1"/>
          <c:tx>
            <c:strRef>
              <c:f>Динамика!$D$44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Динамика!$D$45:$D$75</c:f>
              <c:numCache/>
            </c:numRef>
          </c:val>
          <c:smooth val="1"/>
        </c:ser>
        <c:ser>
          <c:idx val="2"/>
          <c:order val="2"/>
          <c:tx>
            <c:strRef>
              <c:f>Динамика!$E$44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Динамика!$E$45:$E$75</c:f>
              <c:numCache/>
            </c:numRef>
          </c:val>
          <c:smooth val="1"/>
        </c:ser>
        <c:ser>
          <c:idx val="3"/>
          <c:order val="3"/>
          <c:tx>
            <c:strRef>
              <c:f>Динамика!$F$44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Динамика!$F$45:$F$75</c:f>
              <c:numCache/>
            </c:numRef>
          </c:val>
          <c:smooth val="1"/>
        </c:ser>
        <c:ser>
          <c:idx val="4"/>
          <c:order val="4"/>
          <c:tx>
            <c:strRef>
              <c:f>Динамика!$G$44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Динамика!$G$45:$G$75</c:f>
              <c:numCache/>
            </c:numRef>
          </c:val>
          <c:smooth val="1"/>
        </c:ser>
        <c:marker val="1"/>
        <c:axId val="65818487"/>
        <c:axId val="24628396"/>
      </c:lineChart>
      <c:catAx>
        <c:axId val="65818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4628396"/>
        <c:crosses val="autoZero"/>
        <c:lblOffset val="100"/>
        <c:noMultiLvlLbl val="0"/>
      </c:catAx>
      <c:valAx>
        <c:axId val="24628396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65818487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Аудитория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Динамика!$C$81:$C$111</c:f>
              <c:numCache/>
            </c:numRef>
          </c:val>
          <c:smooth val="1"/>
        </c:ser>
        <c:ser>
          <c:idx val="1"/>
          <c:order val="1"/>
          <c:tx>
            <c:strRef>
              <c:f>Динамика!$D$80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Динамика!$D$81:$D$111</c:f>
              <c:numCache/>
            </c:numRef>
          </c:val>
          <c:smooth val="1"/>
        </c:ser>
        <c:ser>
          <c:idx val="2"/>
          <c:order val="2"/>
          <c:tx>
            <c:strRef>
              <c:f>Динамика!$E$80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Динамика!$E$81:$E$111</c:f>
              <c:numCache/>
            </c:numRef>
          </c:val>
          <c:smooth val="1"/>
        </c:ser>
        <c:ser>
          <c:idx val="3"/>
          <c:order val="3"/>
          <c:tx>
            <c:strRef>
              <c:f>Динамика!$F$80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Динамика!$F$81:$F$111</c:f>
              <c:numCache/>
            </c:numRef>
          </c:val>
          <c:smooth val="1"/>
        </c:ser>
        <c:ser>
          <c:idx val="4"/>
          <c:order val="4"/>
          <c:tx>
            <c:strRef>
              <c:f>Динамика!$G$80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Динамика!$G$81:$G$111</c:f>
              <c:numCache/>
            </c:numRef>
          </c:val>
          <c:smooth val="1"/>
        </c:ser>
        <c:marker val="1"/>
        <c:axId val="7788859"/>
        <c:axId val="14639801"/>
      </c:lineChart>
      <c:catAx>
        <c:axId val="77888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4639801"/>
        <c:crosses val="autoZero"/>
        <c:lblOffset val="100"/>
        <c:noMultiLvlLbl val="0"/>
      </c:catAx>
      <c:valAx>
        <c:axId val="14639801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7788859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Просмотры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Динамика!$C$117:$C$147</c:f>
              <c:numCache/>
            </c:numRef>
          </c:val>
          <c:smooth val="1"/>
        </c:ser>
        <c:ser>
          <c:idx val="1"/>
          <c:order val="1"/>
          <c:tx>
            <c:strRef>
              <c:f>Динамика!$D$116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Динамика!$D$117:$D$147</c:f>
              <c:numCache/>
            </c:numRef>
          </c:val>
          <c:smooth val="1"/>
        </c:ser>
        <c:ser>
          <c:idx val="2"/>
          <c:order val="2"/>
          <c:tx>
            <c:strRef>
              <c:f>Динамика!$E$116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Динамика!$E$117:$E$147</c:f>
              <c:numCache/>
            </c:numRef>
          </c:val>
          <c:smooth val="1"/>
        </c:ser>
        <c:ser>
          <c:idx val="3"/>
          <c:order val="3"/>
          <c:tx>
            <c:strRef>
              <c:f>Динамика!$F$116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Динамика!$F$117:$F$147</c:f>
              <c:numCache/>
            </c:numRef>
          </c:val>
          <c:smooth val="1"/>
        </c:ser>
        <c:ser>
          <c:idx val="4"/>
          <c:order val="4"/>
          <c:tx>
            <c:strRef>
              <c:f>Динамика!$G$116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Динамика!$G$117:$G$147</c:f>
              <c:numCache/>
            </c:numRef>
          </c:val>
          <c:smooth val="1"/>
        </c:ser>
        <c:marker val="1"/>
        <c:axId val="33589184"/>
        <c:axId val="54579789"/>
      </c:lineChart>
      <c:catAx>
        <c:axId val="3358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4579789"/>
        <c:crosses val="autoZero"/>
        <c:lblOffset val="100"/>
        <c:noMultiLvlLbl val="0"/>
      </c:catAx>
      <c:valAx>
        <c:axId val="54579789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33589184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Вовлечённость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Динамика!$C$153:$C$183</c:f>
              <c:numCache/>
            </c:numRef>
          </c:val>
          <c:smooth val="1"/>
        </c:ser>
        <c:ser>
          <c:idx val="1"/>
          <c:order val="1"/>
          <c:tx>
            <c:strRef>
              <c:f>Динамика!$D$152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Динамика!$D$153:$D$183</c:f>
              <c:numCache/>
            </c:numRef>
          </c:val>
          <c:smooth val="1"/>
        </c:ser>
        <c:ser>
          <c:idx val="2"/>
          <c:order val="2"/>
          <c:tx>
            <c:strRef>
              <c:f>Динамика!$E$152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Динамика!$E$153:$E$183</c:f>
              <c:numCache/>
            </c:numRef>
          </c:val>
          <c:smooth val="1"/>
        </c:ser>
        <c:ser>
          <c:idx val="3"/>
          <c:order val="3"/>
          <c:tx>
            <c:strRef>
              <c:f>Динамика!$F$152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Динамика!$F$153:$F$183</c:f>
              <c:numCache/>
            </c:numRef>
          </c:val>
          <c:smooth val="1"/>
        </c:ser>
        <c:ser>
          <c:idx val="4"/>
          <c:order val="4"/>
          <c:tx>
            <c:strRef>
              <c:f>Динамика!$G$152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Динамика!$G$153:$G$183</c:f>
              <c:numCache/>
            </c:numRef>
          </c:val>
          <c:smooth val="1"/>
        </c:ser>
        <c:marker val="1"/>
        <c:axId val="3211285"/>
        <c:axId val="63779459"/>
      </c:lineChart>
      <c:catAx>
        <c:axId val="32112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3779459"/>
        <c:crosses val="autoZero"/>
        <c:lblOffset val="100"/>
        <c:noMultiLvlLbl val="0"/>
      </c:catAx>
      <c:valAx>
        <c:axId val="63779459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3211285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Мнения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Мнения!$C$31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Мнения!$B$32:$B$34</c:f>
              <c:strCache/>
            </c:strRef>
          </c:cat>
          <c:val>
            <c:numRef>
              <c:f>Мнения!$C$32:$C$34</c:f>
              <c:numCache/>
            </c:numRef>
          </c:val>
        </c:ser>
        <c:ser>
          <c:idx val="1"/>
          <c:order val="1"/>
          <c:tx>
            <c:strRef>
              <c:f>Мнения!$D$31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Мнения!$B$32:$B$34</c:f>
              <c:strCache/>
            </c:strRef>
          </c:cat>
          <c:val>
            <c:numRef>
              <c:f>Мнения!$D$32:$D$34</c:f>
              <c:numCache/>
            </c:numRef>
          </c:val>
        </c:ser>
        <c:axId val="66085297"/>
        <c:axId val="51831115"/>
      </c:barChart>
      <c:catAx>
        <c:axId val="66085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1831115"/>
        <c:crosses val="autoZero"/>
        <c:lblOffset val="100"/>
        <c:tickLblSkip val="1"/>
        <c:noMultiLvlLbl val="0"/>
      </c:catAx>
      <c:valAx>
        <c:axId val="51831115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6085297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Оценки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Оценки!$C$31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Оценки!$C$32:$C$36</c:f>
              <c:numCache/>
            </c:numRef>
          </c:val>
        </c:ser>
        <c:ser>
          <c:idx val="1"/>
          <c:order val="1"/>
          <c:tx>
            <c:strRef>
              <c:f>Оценки!$D$31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Оценки!$D$32:$D$36</c:f>
              <c:numCache/>
            </c:numRef>
          </c:val>
        </c:ser>
        <c:ser>
          <c:idx val="2"/>
          <c:order val="2"/>
          <c:tx>
            <c:strRef>
              <c:f>Оценки!$E$31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Оценки!$E$32:$E$36</c:f>
              <c:numCache/>
            </c:numRef>
          </c:val>
        </c:ser>
        <c:ser>
          <c:idx val="3"/>
          <c:order val="3"/>
          <c:tx>
            <c:strRef>
              <c:f>Оценки!$F$31</c:f>
            </c:strRef>
          </c:tx>
          <c:spPr>
            <a:solidFill>
              <a:srgbClr val="D4E6DB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Оценки!$F$32:$F$36</c:f>
              <c:numCache/>
            </c:numRef>
          </c:val>
        </c:ser>
        <c:ser>
          <c:idx val="4"/>
          <c:order val="4"/>
          <c:tx>
            <c:strRef>
              <c:f>Оценки!$G$31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Оценки!$G$32:$G$36</c:f>
              <c:numCache/>
            </c:numRef>
          </c:val>
        </c:ser>
        <c:axId val="54723306"/>
        <c:axId val="22930196"/>
      </c:barChart>
      <c:catAx>
        <c:axId val="54723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2930196"/>
        <c:crosses val="autoZero"/>
        <c:lblOffset val="100"/>
        <c:tickLblSkip val="1"/>
        <c:noMultiLvlLbl val="0"/>
      </c:catAx>
      <c:valAx>
        <c:axId val="22930196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472330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Средняя оценка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Оценки!$C$69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Оценки!$C$70:$C$100</c:f>
              <c:numCache/>
            </c:numRef>
          </c:val>
          <c:smooth val="1"/>
        </c:ser>
        <c:ser>
          <c:idx val="1"/>
          <c:order val="1"/>
          <c:tx>
            <c:strRef>
              <c:f>Оценки!$D$69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Оценки!$D$70:$D$100</c:f>
              <c:numCache/>
            </c:numRef>
          </c:val>
          <c:smooth val="1"/>
        </c:ser>
        <c:ser>
          <c:idx val="2"/>
          <c:order val="2"/>
          <c:tx>
            <c:strRef>
              <c:f>Оценки!$E$69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Оценки!$E$70:$E$100</c:f>
              <c:numCache/>
            </c:numRef>
          </c:val>
          <c:smooth val="1"/>
        </c:ser>
        <c:ser>
          <c:idx val="3"/>
          <c:order val="3"/>
          <c:tx>
            <c:strRef>
              <c:f>Оценки!$F$69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Оценки!$F$70:$F$100</c:f>
              <c:numCache/>
            </c:numRef>
          </c:val>
          <c:smooth val="1"/>
        </c:ser>
        <c:ser>
          <c:idx val="4"/>
          <c:order val="4"/>
          <c:tx>
            <c:strRef>
              <c:f>Оценки!$G$69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Оценки!$G$70:$G$100</c:f>
              <c:numCache/>
            </c:numRef>
          </c:val>
          <c:smooth val="1"/>
        </c:ser>
        <c:marker val="1"/>
        <c:axId val="48343153"/>
        <c:axId val="55252178"/>
      </c:lineChart>
      <c:catAx>
        <c:axId val="483431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5252178"/>
        <c:crosses val="autoZero"/>
        <c:lblOffset val="100"/>
        <c:noMultiLvlLbl val="0"/>
      </c:catAx>
      <c:valAx>
        <c:axId val="55252178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0.0" sourceLinked="0"/>
        <c:majorTickMark val="out"/>
        <c:minorTickMark val="none"/>
        <c:tickLblPos val="nextTo"/>
        <c:spPr>
          <a:ln>
            <a:noFill/>
          </a:ln>
        </c:spPr>
        <c:crossAx val="48343153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Типы площадок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70AD47"/>
              </a:solidFill>
            </c:spPr>
          </c:dPt>
          <c:dPt>
            <c:idx val="2"/>
            <c:spPr>
              <a:solidFill>
                <a:srgbClr val="BC13FE"/>
              </a:solidFill>
            </c:spPr>
          </c:dPt>
          <c:dPt>
            <c:idx val="3"/>
            <c:spPr>
              <a:solidFill>
                <a:srgbClr val="A5A5A5"/>
              </a:solidFill>
            </c:spPr>
          </c:dPt>
          <c:dPt>
            <c:idx val="4"/>
            <c:spPr>
              <a:solidFill>
                <a:srgbClr val="FFC000"/>
              </a:solidFill>
            </c:spPr>
          </c:dPt>
          <c:dPt>
            <c:idx val="5"/>
            <c:spPr>
              <a:solidFill>
                <a:srgbClr val="4472C4"/>
              </a:solidFill>
            </c:spPr>
          </c:dPt>
          <c:dPt>
            <c:idx val="6"/>
            <c:spPr>
              <a:solidFill>
                <a:srgbClr val="ED7D31"/>
              </a:solidFill>
            </c:spPr>
          </c:dPt>
          <c:dLbls>
            <c:numFmt formatCode="General" sourceLinked="1"/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площадок'!$H$7:$H$13</c:f>
              <c:numCache/>
            </c:numRef>
          </c:val>
        </c:ser>
      </c:pieChart>
      <c:spPr>
        <a:solidFill>
          <a:srgbClr val="FFFFFF"/>
        </a:solidFill>
        <a:ln w="12700">
          <a:noFill/>
        </a:ln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Типы площадок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'Типы площадок'!$C$6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площадок'!$C$7:$C$13</c:f>
              <c:numCache/>
            </c:numRef>
          </c:val>
        </c:ser>
        <c:ser>
          <c:idx val="1"/>
          <c:order val="1"/>
          <c:tx>
            <c:strRef>
              <c:f>'Типы площадок'!$D$6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площадок'!$D$7:$D$13</c:f>
              <c:numCache/>
            </c:numRef>
          </c:val>
        </c:ser>
        <c:ser>
          <c:idx val="2"/>
          <c:order val="2"/>
          <c:tx>
            <c:strRef>
              <c:f>'Типы площадок'!$E$6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площадок'!$E$7:$E$13</c:f>
              <c:numCache/>
            </c:numRef>
          </c:val>
        </c:ser>
        <c:ser>
          <c:idx val="3"/>
          <c:order val="3"/>
          <c:tx>
            <c:strRef>
              <c:f>'Типы площадок'!$F$6</c:f>
            </c:strRef>
          </c:tx>
          <c:spPr>
            <a:solidFill>
              <a:srgbClr val="D4E6DB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площадок'!$F$7:$F$13</c:f>
              <c:numCache/>
            </c:numRef>
          </c:val>
        </c:ser>
        <c:ser>
          <c:idx val="4"/>
          <c:order val="4"/>
          <c:tx>
            <c:strRef>
              <c:f>'Типы площадок'!$G$6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площадок'!$G$7:$G$13</c:f>
              <c:numCache/>
            </c:numRef>
          </c:val>
        </c:ser>
        <c:axId val="34946926"/>
        <c:axId val="3598334"/>
      </c:barChart>
      <c:catAx>
        <c:axId val="34946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598334"/>
        <c:crosses val="autoZero"/>
        <c:lblOffset val="100"/>
        <c:tickLblSkip val="1"/>
        <c:noMultiLvlLbl val="0"/>
      </c:catAx>
      <c:valAx>
        <c:axId val="3598334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494692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Площадки!$C$30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Площадки!$C$31:$C$40</c:f>
              <c:numCache/>
            </c:numRef>
          </c:val>
        </c:ser>
        <c:ser>
          <c:idx val="1"/>
          <c:order val="1"/>
          <c:tx>
            <c:strRef>
              <c:f>Площадки!$D$30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Площадки!$D$31:$D$40</c:f>
              <c:numCache/>
            </c:numRef>
          </c:val>
        </c:ser>
        <c:ser>
          <c:idx val="2"/>
          <c:order val="2"/>
          <c:tx>
            <c:strRef>
              <c:f>Площадки!$E$30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Площадки!$E$31:$E$40</c:f>
              <c:numCache/>
            </c:numRef>
          </c:val>
        </c:ser>
        <c:ser>
          <c:idx val="3"/>
          <c:order val="3"/>
          <c:tx>
            <c:strRef>
              <c:f>Площадки!$F$30</c:f>
            </c:strRef>
          </c:tx>
          <c:spPr>
            <a:solidFill>
              <a:srgbClr val="D4E6D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Площадки!$F$31:$F$40</c:f>
              <c:numCache/>
            </c:numRef>
          </c:val>
        </c:ser>
        <c:ser>
          <c:idx val="4"/>
          <c:order val="4"/>
          <c:tx>
            <c:strRef>
              <c:f>Площадки!$G$30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Площадки!$G$31:$G$40</c:f>
              <c:numCache/>
            </c:numRef>
          </c:val>
        </c:ser>
        <c:axId val="29508847"/>
        <c:axId val="1894856"/>
      </c:barChart>
      <c:catAx>
        <c:axId val="295088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894856"/>
        <c:crosses val="autoZero"/>
        <c:lblOffset val="100"/>
        <c:noMultiLvlLbl val="0"/>
      </c:catAx>
      <c:valAx>
        <c:axId val="1894856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9508847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аудитории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Площадки!$C$94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Площадки!$B$95:$B$104</c:f>
              <c:strCache/>
            </c:strRef>
          </c:cat>
          <c:val>
            <c:numRef>
              <c:f>Площадки!$C$95:$C$104</c:f>
              <c:numCache/>
            </c:numRef>
          </c:val>
        </c:ser>
        <c:ser>
          <c:idx val="1"/>
          <c:order val="1"/>
          <c:tx>
            <c:strRef>
              <c:f>Площадки!$D$94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Площадки!$B$95:$B$104</c:f>
              <c:strCache/>
            </c:strRef>
          </c:cat>
          <c:val>
            <c:numRef>
              <c:f>Площадки!$D$95:$D$104</c:f>
              <c:numCache/>
            </c:numRef>
          </c:val>
        </c:ser>
        <c:ser>
          <c:idx val="2"/>
          <c:order val="2"/>
          <c:tx>
            <c:strRef>
              <c:f>Площадки!$E$94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Площадки!$B$95:$B$104</c:f>
              <c:strCache/>
            </c:strRef>
          </c:cat>
          <c:val>
            <c:numRef>
              <c:f>Площадки!$E$95:$E$104</c:f>
              <c:numCache/>
            </c:numRef>
          </c:val>
        </c:ser>
        <c:ser>
          <c:idx val="3"/>
          <c:order val="3"/>
          <c:tx>
            <c:strRef>
              <c:f>Площадки!$F$94</c:f>
            </c:strRef>
          </c:tx>
          <c:spPr>
            <a:solidFill>
              <a:srgbClr val="D4E6D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Площадки!$B$95:$B$104</c:f>
              <c:strCache/>
            </c:strRef>
          </c:cat>
          <c:val>
            <c:numRef>
              <c:f>Площадки!$F$95:$F$104</c:f>
              <c:numCache/>
            </c:numRef>
          </c:val>
        </c:ser>
        <c:ser>
          <c:idx val="4"/>
          <c:order val="4"/>
          <c:tx>
            <c:strRef>
              <c:f>Площадки!$G$94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Площадки!$B$95:$B$104</c:f>
              <c:strCache/>
            </c:strRef>
          </c:cat>
          <c:val>
            <c:numRef>
              <c:f>Площадки!$G$95:$G$104</c:f>
              <c:numCache/>
            </c:numRef>
          </c:val>
        </c:ser>
        <c:axId val="38152220"/>
        <c:axId val="63753107"/>
      </c:barChart>
      <c:catAx>
        <c:axId val="381522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3753107"/>
        <c:crosses val="autoZero"/>
        <c:lblOffset val="100"/>
        <c:noMultiLvlLbl val="0"/>
      </c:catAx>
      <c:valAx>
        <c:axId val="63753107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815222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вовлеченности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Площадки!$C$158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Площадки!$B$159:$B$168</c:f>
              <c:strCache/>
            </c:strRef>
          </c:cat>
          <c:val>
            <c:numRef>
              <c:f>Площадки!$C$159:$C$168</c:f>
              <c:numCache/>
            </c:numRef>
          </c:val>
        </c:ser>
        <c:ser>
          <c:idx val="1"/>
          <c:order val="1"/>
          <c:tx>
            <c:strRef>
              <c:f>Площадки!$D$158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Площадки!$B$159:$B$168</c:f>
              <c:strCache/>
            </c:strRef>
          </c:cat>
          <c:val>
            <c:numRef>
              <c:f>Площадки!$D$159:$D$168</c:f>
              <c:numCache/>
            </c:numRef>
          </c:val>
        </c:ser>
        <c:ser>
          <c:idx val="2"/>
          <c:order val="2"/>
          <c:tx>
            <c:strRef>
              <c:f>Площадки!$E$158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Площадки!$B$159:$B$168</c:f>
              <c:strCache/>
            </c:strRef>
          </c:cat>
          <c:val>
            <c:numRef>
              <c:f>Площадки!$E$159:$E$168</c:f>
              <c:numCache/>
            </c:numRef>
          </c:val>
        </c:ser>
        <c:ser>
          <c:idx val="3"/>
          <c:order val="3"/>
          <c:tx>
            <c:strRef>
              <c:f>Площадки!$F$158</c:f>
            </c:strRef>
          </c:tx>
          <c:spPr>
            <a:solidFill>
              <a:srgbClr val="D4E6D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Площадки!$B$159:$B$168</c:f>
              <c:strCache/>
            </c:strRef>
          </c:cat>
          <c:val>
            <c:numRef>
              <c:f>Площадки!$F$159:$F$168</c:f>
              <c:numCache/>
            </c:numRef>
          </c:val>
        </c:ser>
        <c:ser>
          <c:idx val="4"/>
          <c:order val="4"/>
          <c:tx>
            <c:strRef>
              <c:f>Площадки!$G$158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Площадки!$B$159:$B$168</c:f>
              <c:strCache/>
            </c:strRef>
          </c:cat>
          <c:val>
            <c:numRef>
              <c:f>Площадки!$G$159:$G$168</c:f>
              <c:numCache/>
            </c:numRef>
          </c:val>
        </c:ser>
        <c:axId val="50141940"/>
        <c:axId val="2667663"/>
      </c:barChart>
      <c:catAx>
        <c:axId val="501419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667663"/>
        <c:crosses val="autoZero"/>
        <c:lblOffset val="100"/>
        <c:noMultiLvlLbl val="0"/>
      </c:catAx>
      <c:valAx>
        <c:axId val="2667663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014194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Топ-5 стран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Страны!$C$24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Страны!$B$25:$B$29</c:f>
              <c:strCache/>
            </c:strRef>
          </c:cat>
          <c:val>
            <c:numRef>
              <c:f>Страны!$C$25:$C$29</c:f>
              <c:numCache/>
            </c:numRef>
          </c:val>
        </c:ser>
        <c:ser>
          <c:idx val="1"/>
          <c:order val="1"/>
          <c:tx>
            <c:strRef>
              <c:f>Страны!$D$24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Страны!$B$25:$B$29</c:f>
              <c:strCache/>
            </c:strRef>
          </c:cat>
          <c:val>
            <c:numRef>
              <c:f>Страны!$D$25:$D$29</c:f>
              <c:numCache/>
            </c:numRef>
          </c:val>
        </c:ser>
        <c:ser>
          <c:idx val="2"/>
          <c:order val="2"/>
          <c:tx>
            <c:strRef>
              <c:f>Страны!$E$24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Страны!$B$25:$B$29</c:f>
              <c:strCache/>
            </c:strRef>
          </c:cat>
          <c:val>
            <c:numRef>
              <c:f>Страны!$E$25:$E$29</c:f>
              <c:numCache/>
            </c:numRef>
          </c:val>
        </c:ser>
        <c:ser>
          <c:idx val="3"/>
          <c:order val="3"/>
          <c:tx>
            <c:strRef>
              <c:f>Страны!$F$24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Страны!$B$25:$B$29</c:f>
              <c:strCache/>
            </c:strRef>
          </c:cat>
          <c:val>
            <c:numRef>
              <c:f>Страны!$F$25:$F$29</c:f>
              <c:numCache/>
            </c:numRef>
          </c:val>
        </c:ser>
        <c:axId val="3323728"/>
        <c:axId val="64698856"/>
      </c:barChart>
      <c:catAx>
        <c:axId val="33237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4698856"/>
        <c:crosses val="autoZero"/>
        <c:lblOffset val="100"/>
        <c:noMultiLvlLbl val="0"/>
      </c:catAx>
      <c:valAx>
        <c:axId val="64698856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32372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Топ-5 стран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Страны!$C$58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Страны!$B$59:$B$63</c:f>
              <c:strCache/>
            </c:strRef>
          </c:cat>
          <c:val>
            <c:numRef>
              <c:f>Страны!$C$59:$C$63</c:f>
              <c:numCache/>
            </c:numRef>
          </c:val>
        </c:ser>
        <c:ser>
          <c:idx val="1"/>
          <c:order val="1"/>
          <c:tx>
            <c:strRef>
              <c:f>Страны!$D$58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Страны!$B$59:$B$63</c:f>
              <c:strCache/>
            </c:strRef>
          </c:cat>
          <c:val>
            <c:numRef>
              <c:f>Страны!$D$59:$D$63</c:f>
              <c:numCache/>
            </c:numRef>
          </c:val>
        </c:ser>
        <c:ser>
          <c:idx val="2"/>
          <c:order val="2"/>
          <c:tx>
            <c:strRef>
              <c:f>Страны!$E$58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Страны!$B$59:$B$63</c:f>
              <c:strCache/>
            </c:strRef>
          </c:cat>
          <c:val>
            <c:numRef>
              <c:f>Страны!$E$59:$E$63</c:f>
              <c:numCache/>
            </c:numRef>
          </c:val>
        </c:ser>
        <c:ser>
          <c:idx val="3"/>
          <c:order val="3"/>
          <c:tx>
            <c:strRef>
              <c:f>Страны!$F$58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Страны!$B$59:$B$63</c:f>
              <c:strCache/>
            </c:strRef>
          </c:cat>
          <c:val>
            <c:numRef>
              <c:f>Страны!$F$59:$F$63</c:f>
              <c:numCache/>
            </c:numRef>
          </c:val>
        </c:ser>
        <c:axId val="5537674"/>
        <c:axId val="61958509"/>
      </c:barChart>
      <c:catAx>
        <c:axId val="553767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1958509"/>
        <c:crosses val="autoZero"/>
        <c:lblOffset val="100"/>
        <c:noMultiLvlLbl val="0"/>
      </c:catAx>
      <c:valAx>
        <c:axId val="61958509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53767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 федеральных округов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'Федеральные округа'!$C$29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округа'!$B$30:$B$37</c:f>
              <c:strCache/>
            </c:strRef>
          </c:cat>
          <c:val>
            <c:numRef>
              <c:f>'Федеральные округа'!$C$30:$C$37</c:f>
              <c:numCache/>
            </c:numRef>
          </c:val>
        </c:ser>
        <c:ser>
          <c:idx val="1"/>
          <c:order val="1"/>
          <c:tx>
            <c:strRef>
              <c:f>'Федеральные округа'!$D$29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округа'!$B$30:$B$37</c:f>
              <c:strCache/>
            </c:strRef>
          </c:cat>
          <c:val>
            <c:numRef>
              <c:f>'Федеральные округа'!$D$30:$D$37</c:f>
              <c:numCache/>
            </c:numRef>
          </c:val>
        </c:ser>
        <c:ser>
          <c:idx val="2"/>
          <c:order val="2"/>
          <c:tx>
            <c:strRef>
              <c:f>'Федеральные округа'!$E$29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округа'!$B$30:$B$37</c:f>
              <c:strCache/>
            </c:strRef>
          </c:cat>
          <c:val>
            <c:numRef>
              <c:f>'Федеральные округа'!$E$30:$E$37</c:f>
              <c:numCache/>
            </c:numRef>
          </c:val>
        </c:ser>
        <c:ser>
          <c:idx val="3"/>
          <c:order val="3"/>
          <c:tx>
            <c:strRef>
              <c:f>'Федеральные округа'!$F$29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округа'!$B$30:$B$37</c:f>
              <c:strCache/>
            </c:strRef>
          </c:cat>
          <c:val>
            <c:numRef>
              <c:f>'Федеральные округа'!$F$30:$F$37</c:f>
              <c:numCache/>
            </c:numRef>
          </c:val>
        </c:ser>
        <c:axId val="7353881"/>
        <c:axId val="19913113"/>
      </c:barChart>
      <c:catAx>
        <c:axId val="735388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9913113"/>
        <c:crosses val="autoZero"/>
        <c:lblOffset val="100"/>
        <c:noMultiLvlLbl val="0"/>
      </c:catAx>
      <c:valAx>
        <c:axId val="19913113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735388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 федеральных округов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'Федеральные округа'!$C$67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округа'!$B$68:$B$75</c:f>
              <c:strCache/>
            </c:strRef>
          </c:cat>
          <c:val>
            <c:numRef>
              <c:f>'Федеральные округа'!$C$68:$C$75</c:f>
              <c:numCache/>
            </c:numRef>
          </c:val>
        </c:ser>
        <c:ser>
          <c:idx val="1"/>
          <c:order val="1"/>
          <c:tx>
            <c:strRef>
              <c:f>'Федеральные округа'!$D$67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округа'!$B$68:$B$75</c:f>
              <c:strCache/>
            </c:strRef>
          </c:cat>
          <c:val>
            <c:numRef>
              <c:f>'Федеральные округа'!$D$68:$D$75</c:f>
              <c:numCache/>
            </c:numRef>
          </c:val>
        </c:ser>
        <c:ser>
          <c:idx val="2"/>
          <c:order val="2"/>
          <c:tx>
            <c:strRef>
              <c:f>'Федеральные округа'!$E$67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округа'!$B$68:$B$75</c:f>
              <c:strCache/>
            </c:strRef>
          </c:cat>
          <c:val>
            <c:numRef>
              <c:f>'Федеральные округа'!$E$68:$E$75</c:f>
              <c:numCache/>
            </c:numRef>
          </c:val>
        </c:ser>
        <c:ser>
          <c:idx val="3"/>
          <c:order val="3"/>
          <c:tx>
            <c:strRef>
              <c:f>'Федеральные округа'!$F$67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округа'!$B$68:$B$75</c:f>
              <c:strCache/>
            </c:strRef>
          </c:cat>
          <c:val>
            <c:numRef>
              <c:f>'Федеральные округа'!$F$68:$F$75</c:f>
              <c:numCache/>
            </c:numRef>
          </c:val>
        </c:ser>
        <c:axId val="17985380"/>
        <c:axId val="9518969"/>
      </c:barChart>
      <c:catAx>
        <c:axId val="179853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9518969"/>
        <c:crosses val="autoZero"/>
        <c:lblOffset val="100"/>
        <c:noMultiLvlLbl val="0"/>
      </c:catAx>
      <c:valAx>
        <c:axId val="9518969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79853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регионов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'Регионы РФ'!$C$29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РФ'!$C$30:$C$39</c:f>
              <c:numCache/>
            </c:numRef>
          </c:val>
        </c:ser>
        <c:ser>
          <c:idx val="1"/>
          <c:order val="1"/>
          <c:tx>
            <c:strRef>
              <c:f>'Регионы РФ'!$D$29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РФ'!$D$30:$D$39</c:f>
              <c:numCache/>
            </c:numRef>
          </c:val>
        </c:ser>
        <c:ser>
          <c:idx val="2"/>
          <c:order val="2"/>
          <c:tx>
            <c:strRef>
              <c:f>'Регионы РФ'!$E$29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РФ'!$E$30:$E$39</c:f>
              <c:numCache/>
            </c:numRef>
          </c:val>
        </c:ser>
        <c:ser>
          <c:idx val="3"/>
          <c:order val="3"/>
          <c:tx>
            <c:strRef>
              <c:f>'Регионы РФ'!$F$29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РФ'!$F$30:$F$39</c:f>
              <c:numCache/>
            </c:numRef>
          </c:val>
        </c:ser>
        <c:axId val="28364117"/>
        <c:axId val="47530880"/>
      </c:barChart>
      <c:catAx>
        <c:axId val="2836411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7530880"/>
        <c:crosses val="autoZero"/>
        <c:lblOffset val="100"/>
        <c:noMultiLvlLbl val="0"/>
      </c:catAx>
      <c:valAx>
        <c:axId val="47530880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8364117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регионов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'Регионы РФ'!$C$94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РФ'!$B$95:$B$104</c:f>
              <c:strCache/>
            </c:strRef>
          </c:cat>
          <c:val>
            <c:numRef>
              <c:f>'Регионы РФ'!$C$95:$C$104</c:f>
              <c:numCache/>
            </c:numRef>
          </c:val>
        </c:ser>
        <c:ser>
          <c:idx val="1"/>
          <c:order val="1"/>
          <c:tx>
            <c:strRef>
              <c:f>'Регионы РФ'!$D$94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РФ'!$B$95:$B$104</c:f>
              <c:strCache/>
            </c:strRef>
          </c:cat>
          <c:val>
            <c:numRef>
              <c:f>'Регионы РФ'!$D$95:$D$104</c:f>
              <c:numCache/>
            </c:numRef>
          </c:val>
        </c:ser>
        <c:ser>
          <c:idx val="2"/>
          <c:order val="2"/>
          <c:tx>
            <c:strRef>
              <c:f>'Регионы РФ'!$E$94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РФ'!$B$95:$B$104</c:f>
              <c:strCache/>
            </c:strRef>
          </c:cat>
          <c:val>
            <c:numRef>
              <c:f>'Регионы РФ'!$E$95:$E$104</c:f>
              <c:numCache/>
            </c:numRef>
          </c:val>
        </c:ser>
        <c:ser>
          <c:idx val="3"/>
          <c:order val="3"/>
          <c:tx>
            <c:strRef>
              <c:f>'Регионы РФ'!$F$94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РФ'!$B$95:$B$104</c:f>
              <c:strCache/>
            </c:strRef>
          </c:cat>
          <c:val>
            <c:numRef>
              <c:f>'Регионы РФ'!$F$95:$F$104</c:f>
              <c:numCache/>
            </c:numRef>
          </c:val>
        </c:ser>
        <c:axId val="18340574"/>
        <c:axId val="23085012"/>
      </c:barChart>
      <c:catAx>
        <c:axId val="1834057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3085012"/>
        <c:crosses val="autoZero"/>
        <c:lblOffset val="100"/>
        <c:noMultiLvlLbl val="0"/>
      </c:catAx>
      <c:valAx>
        <c:axId val="2308501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834057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городов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'Города РФ'!$C$29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РФ'!$C$30:$C$39</c:f>
              <c:numCache/>
            </c:numRef>
          </c:val>
        </c:ser>
        <c:ser>
          <c:idx val="1"/>
          <c:order val="1"/>
          <c:tx>
            <c:strRef>
              <c:f>'Города РФ'!$D$29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РФ'!$D$30:$D$39</c:f>
              <c:numCache/>
            </c:numRef>
          </c:val>
        </c:ser>
        <c:ser>
          <c:idx val="2"/>
          <c:order val="2"/>
          <c:tx>
            <c:strRef>
              <c:f>'Города РФ'!$E$29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РФ'!$E$30:$E$39</c:f>
              <c:numCache/>
            </c:numRef>
          </c:val>
        </c:ser>
        <c:ser>
          <c:idx val="3"/>
          <c:order val="3"/>
          <c:tx>
            <c:strRef>
              <c:f>'Города РФ'!$F$29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РФ'!$F$30:$F$39</c:f>
              <c:numCache/>
            </c:numRef>
          </c:val>
        </c:ser>
        <c:axId val="63201180"/>
        <c:axId val="51770832"/>
      </c:barChart>
      <c:catAx>
        <c:axId val="632011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1770832"/>
        <c:crosses val="autoZero"/>
        <c:lblOffset val="100"/>
        <c:noMultiLvlLbl val="0"/>
      </c:catAx>
      <c:valAx>
        <c:axId val="5177083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320118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городов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'Города РФ'!$C$100</c:f>
            </c:strRef>
          </c:tx>
          <c:spPr>
            <a:solidFill>
              <a:srgbClr val="C9E0CB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РФ'!$B$101:$B$110</c:f>
              <c:strCache/>
            </c:strRef>
          </c:cat>
          <c:val>
            <c:numRef>
              <c:f>'Города РФ'!$C$101:$C$110</c:f>
              <c:numCache/>
            </c:numRef>
          </c:val>
        </c:ser>
        <c:ser>
          <c:idx val="1"/>
          <c:order val="1"/>
          <c:tx>
            <c:strRef>
              <c:f>'Города РФ'!$D$100</c:f>
            </c:strRef>
          </c:tx>
          <c:spPr>
            <a:solidFill>
              <a:srgbClr val="5CDA3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РФ'!$B$101:$B$110</c:f>
              <c:strCache/>
            </c:strRef>
          </c:cat>
          <c:val>
            <c:numRef>
              <c:f>'Города РФ'!$D$101:$D$110</c:f>
              <c:numCache/>
            </c:numRef>
          </c:val>
        </c:ser>
        <c:ser>
          <c:idx val="2"/>
          <c:order val="2"/>
          <c:tx>
            <c:strRef>
              <c:f>'Города РФ'!$E$100</c:f>
            </c:strRef>
          </c:tx>
          <c:spPr>
            <a:solidFill>
              <a:srgbClr val="DF7F86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РФ'!$B$101:$B$110</c:f>
              <c:strCache/>
            </c:strRef>
          </c:cat>
          <c:val>
            <c:numRef>
              <c:f>'Города РФ'!$E$101:$E$110</c:f>
              <c:numCache/>
            </c:numRef>
          </c:val>
        </c:ser>
        <c:ser>
          <c:idx val="3"/>
          <c:order val="3"/>
          <c:tx>
            <c:strRef>
              <c:f>'Города РФ'!$F$100</c:f>
            </c:strRef>
          </c:tx>
          <c:spPr>
            <a:solidFill>
              <a:srgbClr val="88EBE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РФ'!$B$101:$B$110</c:f>
              <c:strCache/>
            </c:strRef>
          </c:cat>
          <c:val>
            <c:numRef>
              <c:f>'Города РФ'!$F$101:$F$110</c:f>
              <c:numCache/>
            </c:numRef>
          </c:val>
        </c:ser>
        <c:axId val="1868583"/>
        <c:axId val="56751212"/>
      </c:barChart>
      <c:catAx>
        <c:axId val="1868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6751212"/>
        <c:crosses val="autoZero"/>
        <c:lblOffset val="100"/>
        <c:noMultiLvlLbl val="0"/>
      </c:catAx>
      <c:valAx>
        <c:axId val="5675121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86858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8" Type="http://schemas.openxmlformats.org/officeDocument/2006/relationships/chart" Target="../charts/chart8.xml" /><Relationship Id="rId5" Type="http://schemas.openxmlformats.org/officeDocument/2006/relationships/chart" Target="../charts/chart5.xml" /><Relationship Id="rId7" Type="http://schemas.openxmlformats.org/officeDocument/2006/relationships/chart" Target="../charts/chart7.xml" /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6" Type="http://schemas.openxmlformats.org/officeDocument/2006/relationships/chart" Target="../charts/chart6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 /><Relationship Id="rId5" Type="http://schemas.openxmlformats.org/officeDocument/2006/relationships/chart" Target="../charts/chart13.xml" /><Relationship Id="rId4" Type="http://schemas.openxmlformats.org/officeDocument/2006/relationships/chart" Target="../charts/chart12.xml" /><Relationship Id="rId3" Type="http://schemas.openxmlformats.org/officeDocument/2006/relationships/chart" Target="../charts/chart11.xml" /><Relationship Id="rId2" Type="http://schemas.openxmlformats.org/officeDocument/2006/relationships/chart" Target="../charts/chart10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5.xml" /><Relationship Id="rId2" Type="http://schemas.openxmlformats.org/officeDocument/2006/relationships/chart" Target="../charts/chart16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7.xml" /><Relationship Id="rId2" Type="http://schemas.openxmlformats.org/officeDocument/2006/relationships/chart" Target="../charts/chart18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19.xml" /><Relationship Id="rId3" Type="http://schemas.openxmlformats.org/officeDocument/2006/relationships/chart" Target="../charts/chart21.xml" /><Relationship Id="rId2" Type="http://schemas.openxmlformats.org/officeDocument/2006/relationships/chart" Target="../charts/chart20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22.xml" /><Relationship Id="rId2" Type="http://schemas.openxmlformats.org/officeDocument/2006/relationships/chart" Target="../charts/chart23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24.xml" /><Relationship Id="rId2" Type="http://schemas.openxmlformats.org/officeDocument/2006/relationships/chart" Target="../charts/chart25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 /><Relationship Id="rId2" Type="http://schemas.openxmlformats.org/officeDocument/2006/relationships/chart" Target="../charts/chart27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28.xml" /><Relationship Id="rId2" Type="http://schemas.openxmlformats.org/officeDocument/2006/relationships/chart" Target="../charts/chart29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304800</xdr:colOff>
      <xdr:row>15</xdr:row>
      <xdr:rowOff>0</xdr:rowOff>
    </xdr:from>
    <xdr:to>
      <xdr:col>4</xdr:col>
      <xdr:colOff>161925</xdr:colOff>
      <xdr:row>32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35a2756b-eab2-4461-8ef9-4828805f0afb}"/>
            </a:ext>
          </a:extLst>
        </xdr:cNvPr>
        <xdr:cNvGraphicFramePr/>
      </xdr:nvGraphicFramePr>
      <xdr:xfrm>
        <a:off x="304800" y="3038475"/>
        <a:ext cx="4105275" cy="27527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219075</xdr:colOff>
      <xdr:row>15</xdr:row>
      <xdr:rowOff>0</xdr:rowOff>
    </xdr:from>
    <xdr:to>
      <xdr:col>7</xdr:col>
      <xdr:colOff>695325</xdr:colOff>
      <xdr:row>32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86404ff1-9227-41d4-92cb-6284a0717303}"/>
            </a:ext>
          </a:extLst>
        </xdr:cNvPr>
        <xdr:cNvGraphicFramePr/>
      </xdr:nvGraphicFramePr>
      <xdr:xfrm>
        <a:off x="4467225" y="3038475"/>
        <a:ext cx="4105275" cy="27527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752475</xdr:colOff>
      <xdr:row>15</xdr:row>
      <xdr:rowOff>0</xdr:rowOff>
    </xdr:from>
    <xdr:to>
      <xdr:col>11</xdr:col>
      <xdr:colOff>19050</xdr:colOff>
      <xdr:row>32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55056631-fe26-4548-915a-c1efbfea385f}"/>
            </a:ext>
          </a:extLst>
        </xdr:cNvPr>
        <xdr:cNvGraphicFramePr/>
      </xdr:nvGraphicFramePr>
      <xdr:xfrm>
        <a:off x="8629650" y="3038475"/>
        <a:ext cx="4105275" cy="2752725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4</xdr:col>
      <xdr:colOff>219075</xdr:colOff>
      <xdr:row>34</xdr:row>
      <xdr:rowOff>0</xdr:rowOff>
    </xdr:from>
    <xdr:to>
      <xdr:col>7</xdr:col>
      <xdr:colOff>695325</xdr:colOff>
      <xdr:row>51</xdr:row>
      <xdr:rowOff>0</xdr:rowOff>
    </xdr:to>
    <xdr:graphicFrame>
      <xdr:nvGraphicFramePr>
        <xdr:cNvPr id="4" name="Chart 4">
          <a:extLst>
            <a:ext uri="{FF2B5EF4-FFF2-40B4-BE49-F238E27FC236}">
              <a16:creationId xmlns:a16="http://schemas.microsoft.com/office/drawing/2014/main" id="{4a690292-62c5-4a9a-8bba-a6447816792a}"/>
            </a:ext>
          </a:extLst>
        </xdr:cNvPr>
        <xdr:cNvGraphicFramePr/>
      </xdr:nvGraphicFramePr>
      <xdr:xfrm>
        <a:off x="4467225" y="6115050"/>
        <a:ext cx="4105275" cy="2752725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7</xdr:col>
      <xdr:colOff>752475</xdr:colOff>
      <xdr:row>34</xdr:row>
      <xdr:rowOff>0</xdr:rowOff>
    </xdr:from>
    <xdr:to>
      <xdr:col>11</xdr:col>
      <xdr:colOff>19050</xdr:colOff>
      <xdr:row>51</xdr:row>
      <xdr:rowOff>0</xdr:rowOff>
    </xdr:to>
    <xdr:graphicFrame>
      <xdr:nvGraphicFramePr>
        <xdr:cNvPr id="5" name="Chart 5">
          <a:extLst>
            <a:ext uri="{FF2B5EF4-FFF2-40B4-BE49-F238E27FC236}">
              <a16:creationId xmlns:a16="http://schemas.microsoft.com/office/drawing/2014/main" id="{27bcdde7-391a-427d-b599-7d8608cfd3c3}"/>
            </a:ext>
          </a:extLst>
        </xdr:cNvPr>
        <xdr:cNvGraphicFramePr/>
      </xdr:nvGraphicFramePr>
      <xdr:xfrm>
        <a:off x="8629650" y="6115050"/>
        <a:ext cx="4105275" cy="2752725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0</xdr:col>
      <xdr:colOff>304800</xdr:colOff>
      <xdr:row>34</xdr:row>
      <xdr:rowOff>0</xdr:rowOff>
    </xdr:from>
    <xdr:to>
      <xdr:col>4</xdr:col>
      <xdr:colOff>161925</xdr:colOff>
      <xdr:row>51</xdr:row>
      <xdr:rowOff>0</xdr:rowOff>
    </xdr:to>
    <xdr:graphicFrame>
      <xdr:nvGraphicFramePr>
        <xdr:cNvPr id="6" name="Chart 6">
          <a:extLst>
            <a:ext uri="{FF2B5EF4-FFF2-40B4-BE49-F238E27FC236}">
              <a16:creationId xmlns:a16="http://schemas.microsoft.com/office/drawing/2014/main" id="{5cb1be13-243b-4184-b1d1-38789936b577}"/>
            </a:ext>
          </a:extLst>
        </xdr:cNvPr>
        <xdr:cNvGraphicFramePr/>
      </xdr:nvGraphicFramePr>
      <xdr:xfrm>
        <a:off x="304800" y="6115050"/>
        <a:ext cx="4105275" cy="2752725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0</xdr:col>
      <xdr:colOff>304800</xdr:colOff>
      <xdr:row>64</xdr:row>
      <xdr:rowOff>0</xdr:rowOff>
    </xdr:from>
    <xdr:to>
      <xdr:col>4</xdr:col>
      <xdr:colOff>990600</xdr:colOff>
      <xdr:row>81</xdr:row>
      <xdr:rowOff>0</xdr:rowOff>
    </xdr:to>
    <xdr:graphicFrame>
      <xdr:nvGraphicFramePr>
        <xdr:cNvPr id="7" name="Chart 7">
          <a:extLst>
            <a:ext uri="{FF2B5EF4-FFF2-40B4-BE49-F238E27FC236}">
              <a16:creationId xmlns:a16="http://schemas.microsoft.com/office/drawing/2014/main" id="{2139b2c9-dccb-4fd2-a2ea-c39496acbc4e}"/>
            </a:ext>
          </a:extLst>
        </xdr:cNvPr>
        <xdr:cNvGraphicFramePr/>
      </xdr:nvGraphicFramePr>
      <xdr:xfrm>
        <a:off x="304800" y="11363325"/>
        <a:ext cx="4933950" cy="2752725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4</xdr:col>
      <xdr:colOff>1104900</xdr:colOff>
      <xdr:row>64</xdr:row>
      <xdr:rowOff>0</xdr:rowOff>
    </xdr:from>
    <xdr:to>
      <xdr:col>8</xdr:col>
      <xdr:colOff>1200150</xdr:colOff>
      <xdr:row>81</xdr:row>
      <xdr:rowOff>0</xdr:rowOff>
    </xdr:to>
    <xdr:graphicFrame>
      <xdr:nvGraphicFramePr>
        <xdr:cNvPr id="8" name="Chart 8">
          <a:extLst>
            <a:ext uri="{FF2B5EF4-FFF2-40B4-BE49-F238E27FC236}">
              <a16:creationId xmlns:a16="http://schemas.microsoft.com/office/drawing/2014/main" id="{282e1a23-6be4-4c9f-b093-e007c6a3b66c}"/>
            </a:ext>
          </a:extLst>
        </xdr:cNvPr>
        <xdr:cNvGraphicFramePr/>
      </xdr:nvGraphicFramePr>
      <xdr:xfrm>
        <a:off x="5353050" y="11363325"/>
        <a:ext cx="4933950" cy="2752725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0</xdr:colOff>
      <xdr:row>7</xdr:row>
      <xdr:rowOff>0</xdr:rowOff>
    </xdr:from>
    <xdr:to>
      <xdr:col>13</xdr:col>
      <xdr:colOff>0</xdr:colOff>
      <xdr:row>21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0d240212-1e4a-42f0-b540-78d624d63aff}"/>
            </a:ext>
          </a:extLst>
        </xdr:cNvPr>
        <xdr:cNvGraphicFramePr/>
      </xdr:nvGraphicFramePr>
      <xdr:xfrm>
        <a:off x="11115675" y="1352550"/>
        <a:ext cx="5238750" cy="28575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13</xdr:col>
      <xdr:colOff>0</xdr:colOff>
      <xdr:row>57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d2093fc6-ad9a-4c55-b046-cf751a389f5d}"/>
            </a:ext>
          </a:extLst>
        </xdr:cNvPr>
        <xdr:cNvGraphicFramePr/>
      </xdr:nvGraphicFramePr>
      <xdr:xfrm>
        <a:off x="11115675" y="8315325"/>
        <a:ext cx="5238750" cy="28575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8</xdr:col>
      <xdr:colOff>0</xdr:colOff>
      <xdr:row>79</xdr:row>
      <xdr:rowOff>0</xdr:rowOff>
    </xdr:from>
    <xdr:to>
      <xdr:col>13</xdr:col>
      <xdr:colOff>0</xdr:colOff>
      <xdr:row>93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07b9cc02-5558-40cf-bff8-db3101cf18d3}"/>
            </a:ext>
          </a:extLst>
        </xdr:cNvPr>
        <xdr:cNvGraphicFramePr/>
      </xdr:nvGraphicFramePr>
      <xdr:xfrm>
        <a:off x="11115675" y="15278100"/>
        <a:ext cx="5238750" cy="28575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8</xdr:col>
      <xdr:colOff>0</xdr:colOff>
      <xdr:row>115</xdr:row>
      <xdr:rowOff>0</xdr:rowOff>
    </xdr:from>
    <xdr:to>
      <xdr:col>13</xdr:col>
      <xdr:colOff>0</xdr:colOff>
      <xdr:row>129</xdr:row>
      <xdr:rowOff>0</xdr:rowOff>
    </xdr:to>
    <xdr:graphicFrame>
      <xdr:nvGraphicFramePr>
        <xdr:cNvPr id="4" name="Chart 4">
          <a:extLst>
            <a:ext uri="{FF2B5EF4-FFF2-40B4-BE49-F238E27FC236}">
              <a16:creationId xmlns:a16="http://schemas.microsoft.com/office/drawing/2014/main" id="{b9a347c2-b2af-4164-b783-dde133326b8f}"/>
            </a:ext>
          </a:extLst>
        </xdr:cNvPr>
        <xdr:cNvGraphicFramePr/>
      </xdr:nvGraphicFramePr>
      <xdr:xfrm>
        <a:off x="11115675" y="22240875"/>
        <a:ext cx="5238750" cy="28575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8</xdr:col>
      <xdr:colOff>0</xdr:colOff>
      <xdr:row>151</xdr:row>
      <xdr:rowOff>0</xdr:rowOff>
    </xdr:from>
    <xdr:to>
      <xdr:col>13</xdr:col>
      <xdr:colOff>0</xdr:colOff>
      <xdr:row>165</xdr:row>
      <xdr:rowOff>0</xdr:rowOff>
    </xdr:to>
    <xdr:graphicFrame>
      <xdr:nvGraphicFramePr>
        <xdr:cNvPr id="5" name="Chart 5">
          <a:extLst>
            <a:ext uri="{FF2B5EF4-FFF2-40B4-BE49-F238E27FC236}">
              <a16:creationId xmlns:a16="http://schemas.microsoft.com/office/drawing/2014/main" id="{0ec40f1c-2bfa-4a32-8c1b-ddb1c920ad2b}"/>
            </a:ext>
          </a:extLst>
        </xdr:cNvPr>
        <xdr:cNvGraphicFramePr/>
      </xdr:nvGraphicFramePr>
      <xdr:xfrm>
        <a:off x="11115675" y="29203650"/>
        <a:ext cx="5238750" cy="285750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7</xdr:col>
      <xdr:colOff>0</xdr:colOff>
      <xdr:row>28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a07ccb36-829a-4c68-a094-11e374fe5361}"/>
            </a:ext>
          </a:extLst>
        </xdr:cNvPr>
        <xdr:cNvGraphicFramePr/>
      </xdr:nvGraphicFramePr>
      <xdr:xfrm>
        <a:off x="314325" y="1028700"/>
        <a:ext cx="746760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7</xdr:col>
      <xdr:colOff>0</xdr:colOff>
      <xdr:row>28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fb54cbc8-9dd2-4756-9257-4d8af545cfb3}"/>
            </a:ext>
          </a:extLst>
        </xdr:cNvPr>
        <xdr:cNvGraphicFramePr/>
      </xdr:nvGraphicFramePr>
      <xdr:xfrm>
        <a:off x="314325" y="1028700"/>
        <a:ext cx="746760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7</xdr:col>
      <xdr:colOff>0</xdr:colOff>
      <xdr:row>64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979a4750-fac5-4b3d-b4f5-1c80db09a945}"/>
            </a:ext>
          </a:extLst>
        </xdr:cNvPr>
        <xdr:cNvGraphicFramePr/>
      </xdr:nvGraphicFramePr>
      <xdr:xfrm>
        <a:off x="314325" y="7077075"/>
        <a:ext cx="74676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16</xdr:row>
      <xdr:rowOff>0</xdr:rowOff>
    </xdr:from>
    <xdr:to>
      <xdr:col>7</xdr:col>
      <xdr:colOff>0</xdr:colOff>
      <xdr:row>40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75b22e3e-b494-4428-bc46-f066d8057c2e}"/>
            </a:ext>
          </a:extLst>
        </xdr:cNvPr>
        <xdr:cNvGraphicFramePr/>
      </xdr:nvGraphicFramePr>
      <xdr:xfrm>
        <a:off x="314325" y="3257550"/>
        <a:ext cx="7467600" cy="38862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7</xdr:col>
      <xdr:colOff>0</xdr:colOff>
      <xdr:row>66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aa8fadfb-6bb9-449d-b0af-e7da0edb038f}"/>
            </a:ext>
          </a:extLst>
        </xdr:cNvPr>
        <xdr:cNvGraphicFramePr/>
      </xdr:nvGraphicFramePr>
      <xdr:xfrm>
        <a:off x="314325" y="7467600"/>
        <a:ext cx="7467600" cy="3886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27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84bf9c8f-7613-490d-8e73-b6aab6297771}"/>
            </a:ext>
          </a:extLst>
        </xdr:cNvPr>
        <xdr:cNvGraphicFramePr/>
      </xdr:nvGraphicFramePr>
      <xdr:xfrm>
        <a:off x="314325" y="1028700"/>
        <a:ext cx="6276975" cy="35623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6</xdr:col>
      <xdr:colOff>0</xdr:colOff>
      <xdr:row>92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f747da5e-56b2-4b19-836f-b980fc67ac60}"/>
            </a:ext>
          </a:extLst>
        </xdr:cNvPr>
        <xdr:cNvGraphicFramePr/>
      </xdr:nvGraphicFramePr>
      <xdr:xfrm>
        <a:off x="314325" y="12801600"/>
        <a:ext cx="6276975" cy="356235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</xdr:col>
      <xdr:colOff>0</xdr:colOff>
      <xdr:row>134</xdr:row>
      <xdr:rowOff>0</xdr:rowOff>
    </xdr:from>
    <xdr:to>
      <xdr:col>6</xdr:col>
      <xdr:colOff>0</xdr:colOff>
      <xdr:row>156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f4933c39-5f7d-4583-b660-aa84ed4b063e}"/>
            </a:ext>
          </a:extLst>
        </xdr:cNvPr>
        <xdr:cNvGraphicFramePr/>
      </xdr:nvGraphicFramePr>
      <xdr:xfrm>
        <a:off x="314325" y="24412575"/>
        <a:ext cx="6276975" cy="356235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21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cd670d11-ae45-48c5-a13c-6296e74247bb}"/>
            </a:ext>
          </a:extLst>
        </xdr:cNvPr>
        <xdr:cNvGraphicFramePr/>
      </xdr:nvGraphicFramePr>
      <xdr:xfrm>
        <a:off x="314325" y="1028700"/>
        <a:ext cx="6276975" cy="25908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6</xdr:col>
      <xdr:colOff>0</xdr:colOff>
      <xdr:row>56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e88c744f-bfd7-406e-993f-bdb351ffb6b6}"/>
            </a:ext>
          </a:extLst>
        </xdr:cNvPr>
        <xdr:cNvGraphicFramePr/>
      </xdr:nvGraphicFramePr>
      <xdr:xfrm>
        <a:off x="314325" y="7200900"/>
        <a:ext cx="6276975" cy="25908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22abef42-cec8-4931-97be-0ddffe8d21b5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6</xdr:col>
      <xdr:colOff>0</xdr:colOff>
      <xdr:row>65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3ace5c8c-381c-4770-8897-d4084ebc48e6}"/>
            </a:ext>
          </a:extLst>
        </xdr:cNvPr>
        <xdr:cNvGraphicFramePr/>
      </xdr:nvGraphicFramePr>
      <xdr:xfrm>
        <a:off x="314325" y="78200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3a17430a-eba1-4652-a59f-bfbcf2ec88da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71</xdr:row>
      <xdr:rowOff>0</xdr:rowOff>
    </xdr:from>
    <xdr:to>
      <xdr:col>6</xdr:col>
      <xdr:colOff>0</xdr:colOff>
      <xdr:row>92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6414781a-6dd3-4742-8489-8b4a8cad127d}"/>
            </a:ext>
          </a:extLst>
        </xdr:cNvPr>
        <xdr:cNvGraphicFramePr/>
      </xdr:nvGraphicFramePr>
      <xdr:xfrm>
        <a:off x="314325" y="129635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439927ab-b252-4a36-9c73-daea45698bb6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6</xdr:col>
      <xdr:colOff>0</xdr:colOff>
      <xdr:row>98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88eb9a58-a411-49a6-a364-b8ce45bc93bf}"/>
            </a:ext>
          </a:extLst>
        </xdr:cNvPr>
        <xdr:cNvGraphicFramePr/>
      </xdr:nvGraphicFramePr>
      <xdr:xfrm>
        <a:off x="314325" y="141065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60110f-e801-4e9f-8110-971218292367}">
  <dimension ref="B1:C28"/>
  <sheetViews>
    <sheetView showGridLines="0" workbookViewId="0" topLeftCell="A1"/>
  </sheetViews>
  <sheetFormatPr defaultRowHeight="12.75"/>
  <cols>
    <col min="1" max="1" width="4.714285714285714" customWidth="1"/>
    <col min="2" max="2" width="30.714285714285715" customWidth="1"/>
  </cols>
  <sheetData>
    <row r="1" spans="2:2" s="1" customFormat="1" ht="30" customHeight="1">
      <c r="B1" s="1" t="s">
        <v>0</v>
      </c>
    </row>
    <row r="4" spans="2:2" ht="12.75">
      <c r="B4" s="2" t="s">
        <v>1</v>
      </c>
    </row>
    <row r="6" spans="2:3" ht="12.75">
      <c r="B6" s="18" t="s">
        <v>52</v>
      </c>
      <c r="C6" s="19" t="s">
        <v>53</v>
      </c>
    </row>
    <row r="7" spans="2:3" ht="15" customHeight="1">
      <c r="B7" s="18" t="s">
        <v>54</v>
      </c>
      <c r="C7" s="19" t="s">
        <v>55</v>
      </c>
    </row>
    <row r="8" spans="2:3" ht="15" customHeight="1">
      <c r="B8" s="18" t="s">
        <v>56</v>
      </c>
      <c r="C8" s="19"/>
    </row>
    <row r="9" spans="2:3" ht="15" customHeight="1">
      <c r="B9" s="18" t="s">
        <v>57</v>
      </c>
      <c r="C9" s="19" t="s">
        <v>58</v>
      </c>
    </row>
    <row r="10" spans="2:3" ht="15" customHeight="1">
      <c r="B10" s="18" t="s">
        <v>59</v>
      </c>
      <c r="C10" s="19" t="s">
        <v>60</v>
      </c>
    </row>
    <row r="11" spans="2:3" ht="15" customHeight="1">
      <c r="B11" s="18" t="s">
        <v>61</v>
      </c>
      <c r="C11" s="19" t="s">
        <v>62</v>
      </c>
    </row>
    <row r="12" spans="2:3" ht="15" customHeight="1">
      <c r="B12" s="18" t="s">
        <v>63</v>
      </c>
      <c r="C12" s="19" t="s">
        <v>64</v>
      </c>
    </row>
    <row r="13" spans="2:3" ht="15" customHeight="1">
      <c r="B13" s="18" t="s">
        <v>65</v>
      </c>
      <c r="C13" s="20">
        <v>3006</v>
      </c>
    </row>
    <row r="14" spans="2:3" ht="15" customHeight="1">
      <c r="B14" s="18" t="s">
        <v>66</v>
      </c>
      <c r="C14" s="21" t="s">
        <v>67</v>
      </c>
    </row>
    <row r="15" ht="15" customHeight="1"/>
    <row r="16" spans="2:2" ht="15" customHeight="1">
      <c r="B16" s="23" t="s">
        <v>3</v>
      </c>
    </row>
    <row r="17" spans="2:2" ht="15" customHeight="1">
      <c r="B17" s="23" t="s">
        <v>4</v>
      </c>
    </row>
    <row r="18" spans="2:2" ht="15" customHeight="1">
      <c r="B18" s="23" t="s">
        <v>17</v>
      </c>
    </row>
    <row r="19" spans="2:2" ht="15" customHeight="1">
      <c r="B19" s="23" t="s">
        <v>25</v>
      </c>
    </row>
    <row r="20" spans="2:2" ht="15" customHeight="1">
      <c r="B20" s="23" t="s">
        <v>29</v>
      </c>
    </row>
    <row r="21" spans="2:2" ht="15" customHeight="1">
      <c r="B21" s="23" t="s">
        <v>30</v>
      </c>
    </row>
    <row r="22" spans="2:2" ht="15" customHeight="1">
      <c r="B22" s="23" t="s">
        <v>31</v>
      </c>
    </row>
    <row r="23" spans="2:2" ht="15" customHeight="1">
      <c r="B23" s="23" t="s">
        <v>32</v>
      </c>
    </row>
    <row r="24" spans="2:2" ht="15" customHeight="1">
      <c r="B24" s="23" t="s">
        <v>40</v>
      </c>
    </row>
    <row r="25" spans="2:2" ht="15" customHeight="1">
      <c r="B25" s="23" t="s">
        <v>41</v>
      </c>
    </row>
    <row r="26" spans="2:2" ht="15" customHeight="1">
      <c r="B26" s="23" t="s">
        <v>42</v>
      </c>
    </row>
    <row r="27" spans="2:2" ht="15" customHeight="1">
      <c r="B27" s="23" t="s">
        <v>43</v>
      </c>
    </row>
    <row r="28" spans="2:2" ht="15" customHeight="1"/>
  </sheetData>
  <hyperlinks>
    <hyperlink ref="B16" location="'Показатели'!B4" display="Показатели"/>
    <hyperlink ref="B17" location="'Динамика'!B4" display="Динамика"/>
    <hyperlink ref="B18" location="'Тональность'!B4" display="Тональность"/>
    <hyperlink ref="B19" location="'Мнения'!B4" display="Мнения"/>
    <hyperlink ref="B20" location="'Оценки'!B4" display="Оценки"/>
    <hyperlink ref="B21" location="'Типы площадок'!B4" display="Типы площадок"/>
    <hyperlink ref="B22" location="'Площадки'!B4" display="Площадки"/>
    <hyperlink ref="B23" location="'Эмоции'!B4" display="Эмоции"/>
    <hyperlink ref="B24" location="'Страны'!B4" display="Страны"/>
    <hyperlink ref="B25" location="'Федеральные округа'!B4" display="Федеральные округа"/>
    <hyperlink ref="B26" location="'Регионы РФ'!B4" display="Регионы РФ"/>
    <hyperlink ref="B27" location="'Города РФ'!B4" display="Города РФ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6a84a9-8400-44e2-8b73-a8720bad2112}">
  <dimension ref="B1:K102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1" width="18.142857142857142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</v>
      </c>
    </row>
    <row r="6" spans="2:2" ht="12.75">
      <c r="B6" s="5" t="s">
        <v>68</v>
      </c>
    </row>
    <row r="8" spans="2:11" ht="30" customHeight="1">
      <c r="B8" s="6" t="s">
        <v>18</v>
      </c>
      <c r="C8" s="7" t="s">
        <v>5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69</v>
      </c>
      <c r="I8" s="7" t="s">
        <v>70</v>
      </c>
      <c r="J8" s="7" t="s">
        <v>71</v>
      </c>
      <c r="K8" s="7" t="s">
        <v>72</v>
      </c>
    </row>
    <row r="9" spans="2:11" ht="15" customHeight="1">
      <c r="B9" s="12" t="s">
        <v>7</v>
      </c>
      <c r="C9" s="10">
        <v>204</v>
      </c>
      <c r="D9" s="10">
        <v>3307</v>
      </c>
      <c r="E9" s="10">
        <v>15007673</v>
      </c>
      <c r="F9" s="10">
        <v>153062</v>
      </c>
      <c r="G9" s="10">
        <v>3439</v>
      </c>
      <c r="H9" s="10">
        <v>442</v>
      </c>
      <c r="I9" s="10">
        <v>2925</v>
      </c>
      <c r="J9" s="10">
        <v>72</v>
      </c>
      <c r="K9" s="24">
        <f>IF(SUM(C9:C13)=0,0,C9/SUM(C9:C13))</f>
      </c>
    </row>
    <row r="10" spans="2:11" ht="15" customHeight="1">
      <c r="B10" s="12" t="s">
        <v>8</v>
      </c>
      <c r="C10" s="10">
        <v>201</v>
      </c>
      <c r="D10" s="10">
        <v>1324</v>
      </c>
      <c r="E10" s="10">
        <v>20615246</v>
      </c>
      <c r="F10" s="10">
        <v>58703</v>
      </c>
      <c r="G10" s="10">
        <v>1985</v>
      </c>
      <c r="H10" s="10">
        <v>308</v>
      </c>
      <c r="I10" s="10">
        <v>1649</v>
      </c>
      <c r="J10" s="10">
        <v>28</v>
      </c>
      <c r="K10" s="24">
        <f>IF(SUM(C9:C13)=0,0,C10/SUM(C9:C13))</f>
      </c>
    </row>
    <row r="11" spans="2:11" ht="15" customHeight="1">
      <c r="B11" s="12" t="s">
        <v>9</v>
      </c>
      <c r="C11" s="10">
        <v>23</v>
      </c>
      <c r="D11" s="10">
        <v>25</v>
      </c>
      <c r="E11" s="10">
        <v>564154</v>
      </c>
      <c r="F11" s="10">
        <v>106</v>
      </c>
      <c r="G11" s="10">
        <v>13</v>
      </c>
      <c r="H11" s="10">
        <v>0</v>
      </c>
      <c r="I11" s="10">
        <v>13</v>
      </c>
      <c r="J11" s="10">
        <v>0</v>
      </c>
      <c r="K11" s="24">
        <f>IF(SUM(C9:C13)=0,0,C11/SUM(C9:C13))</f>
      </c>
    </row>
    <row r="12" spans="2:11" ht="15" customHeight="1">
      <c r="B12" s="12" t="s">
        <v>10</v>
      </c>
      <c r="C12" s="10">
        <v>3</v>
      </c>
      <c r="D12" s="10">
        <v>10</v>
      </c>
      <c r="E12" s="10">
        <v>217619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24">
        <f>IF(SUM(C9:C13)=0,0,C12/SUM(C9:C13))</f>
      </c>
    </row>
    <row r="13" spans="2:11" ht="15" customHeight="1">
      <c r="B13" s="12" t="s">
        <v>11</v>
      </c>
      <c r="C13" s="10">
        <v>1</v>
      </c>
      <c r="D13" s="10">
        <v>0</v>
      </c>
      <c r="E13" s="10">
        <v>50</v>
      </c>
      <c r="F13" s="10">
        <v>7</v>
      </c>
      <c r="G13" s="10">
        <v>0</v>
      </c>
      <c r="H13" s="10">
        <v>0</v>
      </c>
      <c r="I13" s="10">
        <v>0</v>
      </c>
      <c r="J13" s="10">
        <v>0</v>
      </c>
      <c r="K13" s="24">
        <f>IF(SUM(C9:C13)=0,0,C13/SUM(C9:C13))</f>
      </c>
    </row>
    <row r="14" spans="2:11" ht="15" customHeight="1">
      <c r="B14" s="14" t="s">
        <v>12</v>
      </c>
      <c r="C14" s="11">
        <v>389</v>
      </c>
      <c r="D14" s="11">
        <v>4119</v>
      </c>
      <c r="E14" s="11">
        <v>34222829</v>
      </c>
      <c r="F14" s="11">
        <v>160024</v>
      </c>
      <c r="G14" s="11">
        <v>3818</v>
      </c>
      <c r="H14" s="11">
        <v>490</v>
      </c>
      <c r="I14" s="11">
        <v>3235</v>
      </c>
      <c r="J14" s="11">
        <v>93</v>
      </c>
      <c r="K14" s="25">
        <f>SUM(K9:K13)</f>
      </c>
    </row>
    <row r="15" ht="13" customHeight="1"/>
    <row r="16" spans="2:8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spans="2: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spans="2:2" ht="12.75">
      <c r="B54" s="5" t="s">
        <v>17</v>
      </c>
    </row>
    <row r="56" spans="2:9" ht="30" customHeight="1">
      <c r="B56" s="6" t="s">
        <v>18</v>
      </c>
      <c r="C56" s="7" t="s">
        <v>19</v>
      </c>
      <c r="D56" s="7" t="s">
        <v>20</v>
      </c>
      <c r="E56" s="7" t="s">
        <v>21</v>
      </c>
      <c r="F56" s="7" t="s">
        <v>51</v>
      </c>
      <c r="G56" s="7" t="s">
        <v>22</v>
      </c>
      <c r="H56" s="7" t="s">
        <v>23</v>
      </c>
      <c r="I56" s="7" t="s">
        <v>24</v>
      </c>
    </row>
    <row r="57" spans="2:9" ht="15" customHeight="1">
      <c r="B57" s="12" t="s">
        <v>8</v>
      </c>
      <c r="C57" s="10">
        <v>52</v>
      </c>
      <c r="D57" s="10">
        <v>142</v>
      </c>
      <c r="E57" s="10">
        <v>7</v>
      </c>
      <c r="F57" s="10">
        <f>SUM(C57,D57,E57)</f>
      </c>
      <c r="G57" s="13">
        <f>IF(F57=0,0,C57/F57)</f>
      </c>
      <c r="H57" s="13">
        <f>IF(F57=0,0,D57/F57)</f>
      </c>
      <c r="I57" s="13">
        <f>IF(F57=0,0,E57/F57)</f>
      </c>
    </row>
    <row r="58" spans="2:9" ht="15" customHeight="1">
      <c r="B58" s="12" t="s">
        <v>7</v>
      </c>
      <c r="C58" s="10">
        <v>46</v>
      </c>
      <c r="D58" s="10">
        <v>139</v>
      </c>
      <c r="E58" s="10">
        <v>19</v>
      </c>
      <c r="F58" s="10">
        <f>SUM(C58,D58,E58)</f>
      </c>
      <c r="G58" s="13">
        <f>IF(F58=0,0,C58/F58)</f>
      </c>
      <c r="H58" s="13">
        <f>IF(F58=0,0,D58/F58)</f>
      </c>
      <c r="I58" s="13">
        <f>IF(F58=0,0,E58/F58)</f>
      </c>
    </row>
    <row r="59" spans="2:9" ht="15" customHeight="1">
      <c r="B59" s="12" t="s">
        <v>9</v>
      </c>
      <c r="C59" s="10">
        <v>4</v>
      </c>
      <c r="D59" s="10">
        <v>18</v>
      </c>
      <c r="E59" s="10">
        <v>1</v>
      </c>
      <c r="F59" s="10">
        <f>SUM(C59,D59,E59)</f>
      </c>
      <c r="G59" s="13">
        <f>IF(F59=0,0,C59/F59)</f>
      </c>
      <c r="H59" s="13">
        <f>IF(F59=0,0,D59/F59)</f>
      </c>
      <c r="I59" s="13">
        <f>IF(F59=0,0,E59/F59)</f>
      </c>
    </row>
    <row r="60" spans="2:9" ht="15" customHeight="1">
      <c r="B60" s="12" t="s">
        <v>10</v>
      </c>
      <c r="C60" s="10">
        <v>0</v>
      </c>
      <c r="D60" s="10">
        <v>3</v>
      </c>
      <c r="E60" s="10">
        <v>0</v>
      </c>
      <c r="F60" s="10">
        <f>SUM(C60,D60,E60)</f>
      </c>
      <c r="G60" s="13">
        <f>IF(F60=0,0,C60/F60)</f>
      </c>
      <c r="H60" s="13">
        <f>IF(F60=0,0,D60/F60)</f>
      </c>
      <c r="I60" s="13">
        <f>IF(F60=0,0,E60/F60)</f>
      </c>
    </row>
    <row r="61" spans="2:9" ht="15" customHeight="1">
      <c r="B61" s="12" t="s">
        <v>11</v>
      </c>
      <c r="C61" s="10">
        <v>0</v>
      </c>
      <c r="D61" s="10">
        <v>1</v>
      </c>
      <c r="E61" s="10">
        <v>0</v>
      </c>
      <c r="F61" s="10">
        <f>SUM(C61,D61,E61)</f>
      </c>
      <c r="G61" s="13">
        <f>IF(F61=0,0,C61/F61)</f>
      </c>
      <c r="H61" s="13">
        <f>IF(F61=0,0,D61/F61)</f>
      </c>
      <c r="I61" s="13">
        <f>IF(F61=0,0,E61/F61)</f>
      </c>
    </row>
    <row r="62" spans="2:9" ht="15" customHeight="1">
      <c r="B62" s="14" t="s">
        <v>12</v>
      </c>
      <c r="C62" s="11">
        <v>94</v>
      </c>
      <c r="D62" s="11">
        <v>268</v>
      </c>
      <c r="E62" s="11">
        <v>27</v>
      </c>
      <c r="F62" s="11">
        <f>SUM(F57:F61)</f>
      </c>
      <c r="G62" s="26">
        <f>SUM(G57:G61)</f>
      </c>
      <c r="H62" s="26">
        <f>SUM(H57:H61)</f>
      </c>
      <c r="I62" s="26">
        <f>SUM(I57:I61)</f>
      </c>
    </row>
    <row r="65" spans="2:5" ht="12.75"/>
    <row r="84" spans="2:2" ht="12.75">
      <c r="B84" s="5" t="s">
        <v>73</v>
      </c>
    </row>
    <row r="86" spans="2:11" ht="30" customHeight="1">
      <c r="B86" s="6" t="s">
        <v>18</v>
      </c>
      <c r="C86" s="7" t="s">
        <v>74</v>
      </c>
      <c r="D86" s="7" t="s">
        <v>47</v>
      </c>
      <c r="E86" s="7" t="s">
        <v>69</v>
      </c>
      <c r="F86" s="7" t="s">
        <v>71</v>
      </c>
      <c r="G86" s="7" t="s">
        <v>75</v>
      </c>
      <c r="H86" s="7" t="s">
        <v>76</v>
      </c>
      <c r="I86" s="7" t="s">
        <v>77</v>
      </c>
      <c r="J86" s="7" t="s">
        <v>78</v>
      </c>
      <c r="K86" s="7" t="s">
        <v>79</v>
      </c>
    </row>
    <row r="87" spans="2:11" ht="15" customHeight="1">
      <c r="B87" s="12" t="s">
        <v>7</v>
      </c>
      <c r="C87" s="10">
        <v>59</v>
      </c>
      <c r="D87" s="10">
        <v>6</v>
      </c>
      <c r="E87" s="10">
        <v>115</v>
      </c>
      <c r="F87" s="10">
        <v>12</v>
      </c>
      <c r="G87" s="10">
        <v>0</v>
      </c>
      <c r="H87" s="10">
        <v>0</v>
      </c>
      <c r="I87" s="10">
        <v>1</v>
      </c>
      <c r="J87" s="10">
        <v>9</v>
      </c>
      <c r="K87" s="10">
        <v>2</v>
      </c>
    </row>
    <row r="88" spans="2:11" ht="15" customHeight="1">
      <c r="B88" s="12" t="s">
        <v>8</v>
      </c>
      <c r="C88" s="10">
        <v>47</v>
      </c>
      <c r="D88" s="10">
        <v>11</v>
      </c>
      <c r="E88" s="10">
        <v>104</v>
      </c>
      <c r="F88" s="10">
        <v>29</v>
      </c>
      <c r="G88" s="10">
        <v>2</v>
      </c>
      <c r="H88" s="10">
        <v>0</v>
      </c>
      <c r="I88" s="10">
        <v>1</v>
      </c>
      <c r="J88" s="10">
        <v>3</v>
      </c>
      <c r="K88" s="10">
        <v>4</v>
      </c>
    </row>
    <row r="89" spans="2:11" ht="15" customHeight="1">
      <c r="B89" s="12" t="s">
        <v>9</v>
      </c>
      <c r="C89" s="10">
        <v>4</v>
      </c>
      <c r="D89" s="10">
        <v>0</v>
      </c>
      <c r="E89" s="10">
        <v>13</v>
      </c>
      <c r="F89" s="10">
        <v>0</v>
      </c>
      <c r="G89" s="10">
        <v>0</v>
      </c>
      <c r="H89" s="10">
        <v>0</v>
      </c>
      <c r="I89" s="10">
        <v>0</v>
      </c>
      <c r="J89" s="10">
        <v>6</v>
      </c>
      <c r="K89" s="10">
        <v>0</v>
      </c>
    </row>
    <row r="90" spans="2:11" ht="15" customHeight="1">
      <c r="B90" s="12" t="s">
        <v>11</v>
      </c>
      <c r="C90" s="10">
        <v>1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</row>
    <row r="91" spans="2:11" ht="15" customHeight="1">
      <c r="B91" s="12" t="s">
        <v>10</v>
      </c>
      <c r="C91" s="10">
        <v>0</v>
      </c>
      <c r="D91" s="10">
        <v>0</v>
      </c>
      <c r="E91" s="10">
        <v>3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</row>
    <row r="92" spans="2:11" ht="15" customHeight="1">
      <c r="B92" s="14" t="s">
        <v>12</v>
      </c>
      <c r="C92" s="11">
        <v>99</v>
      </c>
      <c r="D92" s="11">
        <v>15</v>
      </c>
      <c r="E92" s="11">
        <v>216</v>
      </c>
      <c r="F92" s="11">
        <v>32</v>
      </c>
      <c r="G92" s="11">
        <v>2</v>
      </c>
      <c r="H92" s="11">
        <v>0</v>
      </c>
      <c r="I92" s="11">
        <v>2</v>
      </c>
      <c r="J92" s="11">
        <v>17</v>
      </c>
      <c r="K92" s="11">
        <v>6</v>
      </c>
    </row>
    <row r="94" spans="2:2" ht="12.75">
      <c r="B94" s="5" t="s">
        <v>80</v>
      </c>
    </row>
    <row r="96" spans="2:5" ht="30" customHeight="1">
      <c r="B96" s="6" t="s">
        <v>18</v>
      </c>
      <c r="C96" s="7" t="s">
        <v>31</v>
      </c>
      <c r="D96" s="7" t="s">
        <v>81</v>
      </c>
      <c r="E96" s="7" t="s">
        <v>82</v>
      </c>
    </row>
    <row r="97" spans="2:5" ht="15" customHeight="1">
      <c r="B97" s="12" t="s">
        <v>8</v>
      </c>
      <c r="C97" s="10">
        <v>29</v>
      </c>
      <c r="D97" s="10">
        <v>158</v>
      </c>
      <c r="E97" s="10">
        <v>161</v>
      </c>
    </row>
    <row r="98" spans="2:5" ht="15" customHeight="1">
      <c r="B98" s="12" t="s">
        <v>7</v>
      </c>
      <c r="C98" s="10">
        <v>24</v>
      </c>
      <c r="D98" s="10">
        <v>150</v>
      </c>
      <c r="E98" s="10">
        <v>181</v>
      </c>
    </row>
    <row r="99" spans="2:5" ht="15" customHeight="1">
      <c r="B99" s="12" t="s">
        <v>9</v>
      </c>
      <c r="C99" s="10">
        <v>6</v>
      </c>
      <c r="D99" s="10">
        <v>20</v>
      </c>
      <c r="E99" s="10">
        <v>17</v>
      </c>
    </row>
    <row r="100" spans="2:5" ht="15" customHeight="1">
      <c r="B100" s="12" t="s">
        <v>10</v>
      </c>
      <c r="C100" s="10">
        <v>2</v>
      </c>
      <c r="D100" s="10">
        <v>3</v>
      </c>
      <c r="E100" s="10">
        <v>2</v>
      </c>
    </row>
    <row r="101" spans="2:5" ht="15" customHeight="1">
      <c r="B101" s="12" t="s">
        <v>11</v>
      </c>
      <c r="C101" s="10">
        <v>1</v>
      </c>
      <c r="D101" s="10">
        <v>1</v>
      </c>
      <c r="E101" s="10">
        <v>1</v>
      </c>
    </row>
    <row r="102" spans="2:5" ht="15" customHeight="1">
      <c r="B102" s="14" t="s">
        <v>12</v>
      </c>
      <c r="C102" s="11">
        <v>36</v>
      </c>
      <c r="D102" s="11">
        <v>285</v>
      </c>
      <c r="E102" s="11">
        <v>319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0eb15e-3d0b-437f-9132-ee94ffe470bd}">
  <dimension ref="B1:I184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24.714285714285715" customWidth="1"/>
    <col min="8" max="13" width="15.714285714285714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</v>
      </c>
    </row>
    <row r="6" spans="2:2" ht="12.75">
      <c r="B6" s="5" t="s">
        <v>5</v>
      </c>
    </row>
    <row r="8" spans="2:9" ht="30" customHeight="1">
      <c r="B8" s="6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spans="2:7" ht="15" customHeight="1">
      <c r="B9" s="8">
        <v>46143</v>
      </c>
      <c r="C9" s="10">
        <v>6</v>
      </c>
      <c r="D9" s="10">
        <v>13</v>
      </c>
      <c r="E9" s="10">
        <v>2</v>
      </c>
      <c r="F9" s="10">
        <v>0</v>
      </c>
      <c r="G9" s="10">
        <v>0</v>
      </c>
    </row>
    <row r="10" spans="2:7" ht="15" customHeight="1">
      <c r="B10" s="8">
        <v>46144</v>
      </c>
      <c r="C10" s="10">
        <v>8</v>
      </c>
      <c r="D10" s="10">
        <v>3</v>
      </c>
      <c r="E10" s="10">
        <v>0</v>
      </c>
      <c r="F10" s="10">
        <v>0</v>
      </c>
      <c r="G10" s="10">
        <v>0</v>
      </c>
    </row>
    <row r="11" spans="2:7" ht="15" customHeight="1">
      <c r="B11" s="8">
        <v>46145</v>
      </c>
      <c r="C11" s="10">
        <v>4</v>
      </c>
      <c r="D11" s="10">
        <v>2</v>
      </c>
      <c r="E11" s="10">
        <v>0</v>
      </c>
      <c r="F11" s="10">
        <v>0</v>
      </c>
      <c r="G11" s="10">
        <v>0</v>
      </c>
    </row>
    <row r="12" spans="2:7" ht="15" customHeight="1">
      <c r="B12" s="8">
        <v>46146</v>
      </c>
      <c r="C12" s="10">
        <v>2</v>
      </c>
      <c r="D12" s="10">
        <v>7</v>
      </c>
      <c r="E12" s="10">
        <v>1</v>
      </c>
      <c r="F12" s="10">
        <v>0</v>
      </c>
      <c r="G12" s="10">
        <v>0</v>
      </c>
    </row>
    <row r="13" spans="2:7" ht="15" customHeight="1">
      <c r="B13" s="8">
        <v>46147</v>
      </c>
      <c r="C13" s="10">
        <v>8</v>
      </c>
      <c r="D13" s="10">
        <v>9</v>
      </c>
      <c r="E13" s="10">
        <v>1</v>
      </c>
      <c r="F13" s="10">
        <v>1</v>
      </c>
      <c r="G13" s="10">
        <v>0</v>
      </c>
    </row>
    <row r="14" spans="2:7" ht="15" customHeight="1">
      <c r="B14" s="8">
        <v>46148</v>
      </c>
      <c r="C14" s="10">
        <v>4</v>
      </c>
      <c r="D14" s="10">
        <v>10</v>
      </c>
      <c r="E14" s="10">
        <v>2</v>
      </c>
      <c r="F14" s="10">
        <v>1</v>
      </c>
      <c r="G14" s="10">
        <v>0</v>
      </c>
    </row>
    <row r="15" spans="2:7" ht="15" customHeight="1">
      <c r="B15" s="8">
        <v>46149</v>
      </c>
      <c r="C15" s="10">
        <v>4</v>
      </c>
      <c r="D15" s="10">
        <v>4</v>
      </c>
      <c r="E15" s="10">
        <v>0</v>
      </c>
      <c r="F15" s="10">
        <v>1</v>
      </c>
      <c r="G15" s="10">
        <v>0</v>
      </c>
    </row>
    <row r="16" spans="2:7" ht="15" customHeight="1">
      <c r="B16" s="8">
        <v>46150</v>
      </c>
      <c r="C16" s="10">
        <v>13</v>
      </c>
      <c r="D16" s="10">
        <v>21</v>
      </c>
      <c r="E16" s="10">
        <v>2</v>
      </c>
      <c r="F16" s="10">
        <v>0</v>
      </c>
      <c r="G16" s="10">
        <v>0</v>
      </c>
    </row>
    <row r="17" spans="2:7" ht="15" customHeight="1">
      <c r="B17" s="8">
        <v>46151</v>
      </c>
      <c r="C17" s="10">
        <v>6</v>
      </c>
      <c r="D17" s="10">
        <v>9</v>
      </c>
      <c r="E17" s="10">
        <v>1</v>
      </c>
      <c r="F17" s="10">
        <v>0</v>
      </c>
      <c r="G17" s="10">
        <v>0</v>
      </c>
    </row>
    <row r="18" spans="2:7" ht="15" customHeight="1">
      <c r="B18" s="8">
        <v>46152</v>
      </c>
      <c r="C18" s="10">
        <v>7</v>
      </c>
      <c r="D18" s="10">
        <v>15</v>
      </c>
      <c r="E18" s="10">
        <v>0</v>
      </c>
      <c r="F18" s="10">
        <v>0</v>
      </c>
      <c r="G18" s="10">
        <v>0</v>
      </c>
    </row>
    <row r="19" spans="2:7" ht="15" customHeight="1">
      <c r="B19" s="8">
        <v>46153</v>
      </c>
      <c r="C19" s="10">
        <v>5</v>
      </c>
      <c r="D19" s="10">
        <v>6</v>
      </c>
      <c r="E19" s="10">
        <v>1</v>
      </c>
      <c r="F19" s="10">
        <v>0</v>
      </c>
      <c r="G19" s="10">
        <v>0</v>
      </c>
    </row>
    <row r="20" spans="2:7" ht="15" customHeight="1">
      <c r="B20" s="8">
        <v>46154</v>
      </c>
      <c r="C20" s="10">
        <v>9</v>
      </c>
      <c r="D20" s="10">
        <v>8</v>
      </c>
      <c r="E20" s="10">
        <v>1</v>
      </c>
      <c r="F20" s="10">
        <v>0</v>
      </c>
      <c r="G20" s="10">
        <v>0</v>
      </c>
    </row>
    <row r="21" spans="2:7" ht="15" customHeight="1">
      <c r="B21" s="8">
        <v>46155</v>
      </c>
      <c r="C21" s="10">
        <v>9</v>
      </c>
      <c r="D21" s="10">
        <v>8</v>
      </c>
      <c r="E21" s="10">
        <v>0</v>
      </c>
      <c r="F21" s="10">
        <v>0</v>
      </c>
      <c r="G21" s="10">
        <v>0</v>
      </c>
    </row>
    <row r="22" spans="2:7" ht="15" customHeight="1">
      <c r="B22" s="8">
        <v>46156</v>
      </c>
      <c r="C22" s="10">
        <v>6</v>
      </c>
      <c r="D22" s="10">
        <v>7</v>
      </c>
      <c r="E22" s="10">
        <v>1</v>
      </c>
      <c r="F22" s="10">
        <v>0</v>
      </c>
      <c r="G22" s="10">
        <v>0</v>
      </c>
    </row>
    <row r="23" spans="2:7" ht="15" customHeight="1">
      <c r="B23" s="8">
        <v>46157</v>
      </c>
      <c r="C23" s="10">
        <v>2</v>
      </c>
      <c r="D23" s="10">
        <v>2</v>
      </c>
      <c r="E23" s="10">
        <v>2</v>
      </c>
      <c r="F23" s="10">
        <v>0</v>
      </c>
      <c r="G23" s="10">
        <v>0</v>
      </c>
    </row>
    <row r="24" spans="2:7" ht="15" customHeight="1">
      <c r="B24" s="8">
        <v>46158</v>
      </c>
      <c r="C24" s="10">
        <v>8</v>
      </c>
      <c r="D24" s="10">
        <v>2</v>
      </c>
      <c r="E24" s="10">
        <v>0</v>
      </c>
      <c r="F24" s="10">
        <v>0</v>
      </c>
      <c r="G24" s="10">
        <v>0</v>
      </c>
    </row>
    <row r="25" spans="2:7" ht="15" customHeight="1">
      <c r="B25" s="8">
        <v>46159</v>
      </c>
      <c r="C25" s="10">
        <v>13</v>
      </c>
      <c r="D25" s="10">
        <v>3</v>
      </c>
      <c r="E25" s="10">
        <v>0</v>
      </c>
      <c r="F25" s="10">
        <v>0</v>
      </c>
      <c r="G25" s="10">
        <v>0</v>
      </c>
    </row>
    <row r="26" spans="2:7" ht="15" customHeight="1">
      <c r="B26" s="8">
        <v>46160</v>
      </c>
      <c r="C26" s="10">
        <v>7</v>
      </c>
      <c r="D26" s="10">
        <v>1</v>
      </c>
      <c r="E26" s="10">
        <v>0</v>
      </c>
      <c r="F26" s="10">
        <v>0</v>
      </c>
      <c r="G26" s="10">
        <v>0</v>
      </c>
    </row>
    <row r="27" spans="2:7" ht="15" customHeight="1">
      <c r="B27" s="8">
        <v>46161</v>
      </c>
      <c r="C27" s="10">
        <v>5</v>
      </c>
      <c r="D27" s="10">
        <v>3</v>
      </c>
      <c r="E27" s="10">
        <v>1</v>
      </c>
      <c r="F27" s="10">
        <v>0</v>
      </c>
      <c r="G27" s="10">
        <v>0</v>
      </c>
    </row>
    <row r="28" spans="2:7" ht="15" customHeight="1">
      <c r="B28" s="8">
        <v>46162</v>
      </c>
      <c r="C28" s="10">
        <v>5</v>
      </c>
      <c r="D28" s="10">
        <v>0</v>
      </c>
      <c r="E28" s="10">
        <v>1</v>
      </c>
      <c r="F28" s="10">
        <v>0</v>
      </c>
      <c r="G28" s="10">
        <v>0</v>
      </c>
    </row>
    <row r="29" spans="2:7" ht="15" customHeight="1">
      <c r="B29" s="8">
        <v>46163</v>
      </c>
      <c r="C29" s="10">
        <v>6</v>
      </c>
      <c r="D29" s="10">
        <v>14</v>
      </c>
      <c r="E29" s="10">
        <v>1</v>
      </c>
      <c r="F29" s="10">
        <v>0</v>
      </c>
      <c r="G29" s="10">
        <v>1</v>
      </c>
    </row>
    <row r="30" spans="2:7" ht="15" customHeight="1">
      <c r="B30" s="8">
        <v>46164</v>
      </c>
      <c r="C30" s="10">
        <v>2</v>
      </c>
      <c r="D30" s="10">
        <v>5</v>
      </c>
      <c r="E30" s="10">
        <v>0</v>
      </c>
      <c r="F30" s="10">
        <v>0</v>
      </c>
      <c r="G30" s="10">
        <v>0</v>
      </c>
    </row>
    <row r="31" spans="2:7" ht="15" customHeight="1">
      <c r="B31" s="8">
        <v>46165</v>
      </c>
      <c r="C31" s="10">
        <v>10</v>
      </c>
      <c r="D31" s="10">
        <v>8</v>
      </c>
      <c r="E31" s="10">
        <v>0</v>
      </c>
      <c r="F31" s="10">
        <v>0</v>
      </c>
      <c r="G31" s="10">
        <v>0</v>
      </c>
    </row>
    <row r="32" spans="2:7" ht="15" customHeight="1">
      <c r="B32" s="8">
        <v>46166</v>
      </c>
      <c r="C32" s="10">
        <v>9</v>
      </c>
      <c r="D32" s="10">
        <v>4</v>
      </c>
      <c r="E32" s="10">
        <v>0</v>
      </c>
      <c r="F32" s="10">
        <v>0</v>
      </c>
      <c r="G32" s="10">
        <v>0</v>
      </c>
    </row>
    <row r="33" spans="2:7" ht="15" customHeight="1">
      <c r="B33" s="8">
        <v>46167</v>
      </c>
      <c r="C33" s="10">
        <v>10</v>
      </c>
      <c r="D33" s="10">
        <v>7</v>
      </c>
      <c r="E33" s="10">
        <v>0</v>
      </c>
      <c r="F33" s="10">
        <v>0</v>
      </c>
      <c r="G33" s="10">
        <v>0</v>
      </c>
    </row>
    <row r="34" spans="2:7" ht="15" customHeight="1">
      <c r="B34" s="8">
        <v>46168</v>
      </c>
      <c r="C34" s="10">
        <v>2</v>
      </c>
      <c r="D34" s="10">
        <v>11</v>
      </c>
      <c r="E34" s="10">
        <v>1</v>
      </c>
      <c r="F34" s="10">
        <v>0</v>
      </c>
      <c r="G34" s="10">
        <v>0</v>
      </c>
    </row>
    <row r="35" spans="2:7" ht="15" customHeight="1">
      <c r="B35" s="8">
        <v>46169</v>
      </c>
      <c r="C35" s="10">
        <v>7</v>
      </c>
      <c r="D35" s="10">
        <v>4</v>
      </c>
      <c r="E35" s="10">
        <v>0</v>
      </c>
      <c r="F35" s="10">
        <v>0</v>
      </c>
      <c r="G35" s="10">
        <v>0</v>
      </c>
    </row>
    <row r="36" spans="2:7" ht="15" customHeight="1">
      <c r="B36" s="8">
        <v>46170</v>
      </c>
      <c r="C36" s="10">
        <v>5</v>
      </c>
      <c r="D36" s="10">
        <v>6</v>
      </c>
      <c r="E36" s="10">
        <v>4</v>
      </c>
      <c r="F36" s="10">
        <v>0</v>
      </c>
      <c r="G36" s="10">
        <v>0</v>
      </c>
    </row>
    <row r="37" spans="2:7" ht="15" customHeight="1">
      <c r="B37" s="8">
        <v>46171</v>
      </c>
      <c r="C37" s="10">
        <v>10</v>
      </c>
      <c r="D37" s="10">
        <v>3</v>
      </c>
      <c r="E37" s="10">
        <v>0</v>
      </c>
      <c r="F37" s="10">
        <v>0</v>
      </c>
      <c r="G37" s="10">
        <v>0</v>
      </c>
    </row>
    <row r="38" spans="2:7" ht="15" customHeight="1">
      <c r="B38" s="8">
        <v>46172</v>
      </c>
      <c r="C38" s="10">
        <v>3</v>
      </c>
      <c r="D38" s="10">
        <v>2</v>
      </c>
      <c r="E38" s="10">
        <v>0</v>
      </c>
      <c r="F38" s="10">
        <v>0</v>
      </c>
      <c r="G38" s="10">
        <v>0</v>
      </c>
    </row>
    <row r="39" spans="2:7" ht="15" customHeight="1">
      <c r="B39" s="8">
        <v>46173</v>
      </c>
      <c r="C39" s="10">
        <v>9</v>
      </c>
      <c r="D39" s="10">
        <v>4</v>
      </c>
      <c r="E39" s="10">
        <v>1</v>
      </c>
      <c r="F39" s="10">
        <v>0</v>
      </c>
      <c r="G39" s="10">
        <v>0</v>
      </c>
    </row>
    <row r="40" spans="2:7" ht="15" customHeight="1">
      <c r="B40" s="9" t="s">
        <v>12</v>
      </c>
      <c r="C40" s="11">
        <v>204</v>
      </c>
      <c r="D40" s="11">
        <v>201</v>
      </c>
      <c r="E40" s="11">
        <v>23</v>
      </c>
      <c r="F40" s="11">
        <v>3</v>
      </c>
      <c r="G40" s="11">
        <v>1</v>
      </c>
    </row>
    <row r="42" spans="2:2" ht="12.75">
      <c r="B42" s="5" t="s">
        <v>13</v>
      </c>
    </row>
    <row r="44" spans="2:9" ht="30" customHeight="1">
      <c r="B44" s="6" t="s">
        <v>6</v>
      </c>
      <c r="C44" s="7" t="s">
        <v>7</v>
      </c>
      <c r="D44" s="7" t="s">
        <v>8</v>
      </c>
      <c r="E44" s="7" t="s">
        <v>9</v>
      </c>
      <c r="F44" s="7" t="s">
        <v>10</v>
      </c>
      <c r="G44" s="7" t="s">
        <v>11</v>
      </c>
    </row>
    <row r="45" spans="2:7" ht="15" customHeight="1">
      <c r="B45" s="8">
        <v>46143</v>
      </c>
      <c r="C45" s="10">
        <v>1</v>
      </c>
      <c r="D45" s="10">
        <v>65</v>
      </c>
      <c r="E45" s="10">
        <v>0</v>
      </c>
      <c r="F45" s="10">
        <v>0</v>
      </c>
      <c r="G45" s="10">
        <v>0</v>
      </c>
    </row>
    <row r="46" spans="2:7" ht="15" customHeight="1">
      <c r="B46" s="8">
        <v>46144</v>
      </c>
      <c r="C46" s="10">
        <v>6</v>
      </c>
      <c r="D46" s="10">
        <v>2</v>
      </c>
      <c r="E46" s="10">
        <v>0</v>
      </c>
      <c r="F46" s="10">
        <v>0</v>
      </c>
      <c r="G46" s="10">
        <v>0</v>
      </c>
    </row>
    <row r="47" spans="2:7" ht="15" customHeight="1">
      <c r="B47" s="8">
        <v>46145</v>
      </c>
      <c r="C47" s="10">
        <v>1</v>
      </c>
      <c r="D47" s="10">
        <v>2</v>
      </c>
      <c r="E47" s="10">
        <v>0</v>
      </c>
      <c r="F47" s="10">
        <v>0</v>
      </c>
      <c r="G47" s="10">
        <v>0</v>
      </c>
    </row>
    <row r="48" spans="2:7" ht="15" customHeight="1">
      <c r="B48" s="8">
        <v>46146</v>
      </c>
      <c r="C48" s="10">
        <v>1</v>
      </c>
      <c r="D48" s="10">
        <v>14</v>
      </c>
      <c r="E48" s="10">
        <v>0</v>
      </c>
      <c r="F48" s="10">
        <v>0</v>
      </c>
      <c r="G48" s="10">
        <v>0</v>
      </c>
    </row>
    <row r="49" spans="2:7" ht="15" customHeight="1">
      <c r="B49" s="8">
        <v>46147</v>
      </c>
      <c r="C49" s="10">
        <v>4</v>
      </c>
      <c r="D49" s="10">
        <v>10</v>
      </c>
      <c r="E49" s="10">
        <v>0</v>
      </c>
      <c r="F49" s="10">
        <v>5</v>
      </c>
      <c r="G49" s="10">
        <v>0</v>
      </c>
    </row>
    <row r="50" spans="2:7" ht="15" customHeight="1">
      <c r="B50" s="8">
        <v>46148</v>
      </c>
      <c r="C50" s="10">
        <v>7</v>
      </c>
      <c r="D50" s="10">
        <v>3</v>
      </c>
      <c r="E50" s="10">
        <v>0</v>
      </c>
      <c r="F50" s="10">
        <v>3</v>
      </c>
      <c r="G50" s="10">
        <v>0</v>
      </c>
    </row>
    <row r="51" spans="2:7" ht="15" customHeight="1">
      <c r="B51" s="8">
        <v>46149</v>
      </c>
      <c r="C51" s="10">
        <v>11</v>
      </c>
      <c r="D51" s="10">
        <v>6</v>
      </c>
      <c r="E51" s="10">
        <v>0</v>
      </c>
      <c r="F51" s="10">
        <v>2</v>
      </c>
      <c r="G51" s="10">
        <v>0</v>
      </c>
    </row>
    <row r="52" spans="2:7" ht="15" customHeight="1">
      <c r="B52" s="8">
        <v>46150</v>
      </c>
      <c r="C52" s="10">
        <v>504</v>
      </c>
      <c r="D52" s="10">
        <v>82</v>
      </c>
      <c r="E52" s="10">
        <v>0</v>
      </c>
      <c r="F52" s="10">
        <v>0</v>
      </c>
      <c r="G52" s="10">
        <v>0</v>
      </c>
    </row>
    <row r="53" spans="2:7" ht="15" customHeight="1">
      <c r="B53" s="8">
        <v>46151</v>
      </c>
      <c r="C53" s="10">
        <v>288</v>
      </c>
      <c r="D53" s="10">
        <v>277</v>
      </c>
      <c r="E53" s="10">
        <v>0</v>
      </c>
      <c r="F53" s="10">
        <v>0</v>
      </c>
      <c r="G53" s="10">
        <v>0</v>
      </c>
    </row>
    <row r="54" spans="2:7" ht="15" customHeight="1">
      <c r="B54" s="8">
        <v>46152</v>
      </c>
      <c r="C54" s="10">
        <v>222</v>
      </c>
      <c r="D54" s="10">
        <v>495</v>
      </c>
      <c r="E54" s="10">
        <v>0</v>
      </c>
      <c r="F54" s="10">
        <v>0</v>
      </c>
      <c r="G54" s="10">
        <v>0</v>
      </c>
    </row>
    <row r="55" spans="2:7" ht="15" customHeight="1">
      <c r="B55" s="8">
        <v>46153</v>
      </c>
      <c r="C55" s="10">
        <v>8</v>
      </c>
      <c r="D55" s="10">
        <v>66</v>
      </c>
      <c r="E55" s="10">
        <v>0</v>
      </c>
      <c r="F55" s="10">
        <v>0</v>
      </c>
      <c r="G55" s="10">
        <v>0</v>
      </c>
    </row>
    <row r="56" spans="2:7" ht="15" customHeight="1">
      <c r="B56" s="8">
        <v>46154</v>
      </c>
      <c r="C56" s="10">
        <v>420</v>
      </c>
      <c r="D56" s="10">
        <v>2</v>
      </c>
      <c r="E56" s="10">
        <v>2</v>
      </c>
      <c r="F56" s="10">
        <v>0</v>
      </c>
      <c r="G56" s="10">
        <v>0</v>
      </c>
    </row>
    <row r="57" spans="2:7" ht="15" customHeight="1">
      <c r="B57" s="8">
        <v>46155</v>
      </c>
      <c r="C57" s="10">
        <v>8</v>
      </c>
      <c r="D57" s="10">
        <v>13</v>
      </c>
      <c r="E57" s="10">
        <v>0</v>
      </c>
      <c r="F57" s="10">
        <v>0</v>
      </c>
      <c r="G57" s="10">
        <v>0</v>
      </c>
    </row>
    <row r="58" spans="2:7" ht="15" customHeight="1">
      <c r="B58" s="8">
        <v>46156</v>
      </c>
      <c r="C58" s="10">
        <v>54</v>
      </c>
      <c r="D58" s="10">
        <v>16</v>
      </c>
      <c r="E58" s="10">
        <v>0</v>
      </c>
      <c r="F58" s="10">
        <v>0</v>
      </c>
      <c r="G58" s="10">
        <v>0</v>
      </c>
    </row>
    <row r="59" spans="2:7" ht="15" customHeight="1">
      <c r="B59" s="8">
        <v>46157</v>
      </c>
      <c r="C59" s="10">
        <v>364</v>
      </c>
      <c r="D59" s="10">
        <v>3</v>
      </c>
      <c r="E59" s="10">
        <v>16</v>
      </c>
      <c r="F59" s="10">
        <v>0</v>
      </c>
      <c r="G59" s="10">
        <v>0</v>
      </c>
    </row>
    <row r="60" spans="2:7" ht="15" customHeight="1">
      <c r="B60" s="8">
        <v>46158</v>
      </c>
      <c r="C60" s="10">
        <v>10</v>
      </c>
      <c r="D60" s="10">
        <v>0</v>
      </c>
      <c r="E60" s="10">
        <v>0</v>
      </c>
      <c r="F60" s="10">
        <v>0</v>
      </c>
      <c r="G60" s="10">
        <v>0</v>
      </c>
    </row>
    <row r="61" spans="2:7" ht="15" customHeight="1">
      <c r="B61" s="8">
        <v>46159</v>
      </c>
      <c r="C61" s="10">
        <v>373</v>
      </c>
      <c r="D61" s="10">
        <v>0</v>
      </c>
      <c r="E61" s="10">
        <v>0</v>
      </c>
      <c r="F61" s="10">
        <v>0</v>
      </c>
      <c r="G61" s="10">
        <v>0</v>
      </c>
    </row>
    <row r="62" spans="2:7" ht="15" customHeight="1">
      <c r="B62" s="8">
        <v>46160</v>
      </c>
      <c r="C62" s="10">
        <v>39</v>
      </c>
      <c r="D62" s="10">
        <v>0</v>
      </c>
      <c r="E62" s="10">
        <v>0</v>
      </c>
      <c r="F62" s="10">
        <v>0</v>
      </c>
      <c r="G62" s="10">
        <v>0</v>
      </c>
    </row>
    <row r="63" spans="2:7" ht="15" customHeight="1">
      <c r="B63" s="8">
        <v>46161</v>
      </c>
      <c r="C63" s="10">
        <v>40</v>
      </c>
      <c r="D63" s="10">
        <v>7</v>
      </c>
      <c r="E63" s="10">
        <v>0</v>
      </c>
      <c r="F63" s="10">
        <v>0</v>
      </c>
      <c r="G63" s="10">
        <v>0</v>
      </c>
    </row>
    <row r="64" spans="2:7" ht="15" customHeight="1">
      <c r="B64" s="8">
        <v>46162</v>
      </c>
      <c r="C64" s="10">
        <v>7</v>
      </c>
      <c r="D64" s="10">
        <v>0</v>
      </c>
      <c r="E64" s="10">
        <v>0</v>
      </c>
      <c r="F64" s="10">
        <v>0</v>
      </c>
      <c r="G64" s="10">
        <v>0</v>
      </c>
    </row>
    <row r="65" spans="2:7" ht="15" customHeight="1">
      <c r="B65" s="8">
        <v>46163</v>
      </c>
      <c r="C65" s="10">
        <v>432</v>
      </c>
      <c r="D65" s="10">
        <v>131</v>
      </c>
      <c r="E65" s="10">
        <v>0</v>
      </c>
      <c r="F65" s="10">
        <v>0</v>
      </c>
      <c r="G65" s="10">
        <v>0</v>
      </c>
    </row>
    <row r="66" spans="2:7" ht="15" customHeight="1">
      <c r="B66" s="8">
        <v>46164</v>
      </c>
      <c r="C66" s="10">
        <v>0</v>
      </c>
      <c r="D66" s="10">
        <v>50</v>
      </c>
      <c r="E66" s="10">
        <v>0</v>
      </c>
      <c r="F66" s="10">
        <v>0</v>
      </c>
      <c r="G66" s="10">
        <v>0</v>
      </c>
    </row>
    <row r="67" spans="2:7" ht="15" customHeight="1">
      <c r="B67" s="8">
        <v>46165</v>
      </c>
      <c r="C67" s="10">
        <v>15</v>
      </c>
      <c r="D67" s="10">
        <v>0</v>
      </c>
      <c r="E67" s="10">
        <v>0</v>
      </c>
      <c r="F67" s="10">
        <v>0</v>
      </c>
      <c r="G67" s="10">
        <v>0</v>
      </c>
    </row>
    <row r="68" spans="2:7" ht="15" customHeight="1">
      <c r="B68" s="8">
        <v>46166</v>
      </c>
      <c r="C68" s="10">
        <v>226</v>
      </c>
      <c r="D68" s="10">
        <v>7</v>
      </c>
      <c r="E68" s="10">
        <v>0</v>
      </c>
      <c r="F68" s="10">
        <v>0</v>
      </c>
      <c r="G68" s="10">
        <v>0</v>
      </c>
    </row>
    <row r="69" spans="2:7" ht="15" customHeight="1">
      <c r="B69" s="8">
        <v>46167</v>
      </c>
      <c r="C69" s="10">
        <v>91</v>
      </c>
      <c r="D69" s="10">
        <v>50</v>
      </c>
      <c r="E69" s="10">
        <v>0</v>
      </c>
      <c r="F69" s="10">
        <v>0</v>
      </c>
      <c r="G69" s="10">
        <v>0</v>
      </c>
    </row>
    <row r="70" spans="2:7" ht="15" customHeight="1">
      <c r="B70" s="8">
        <v>46168</v>
      </c>
      <c r="C70" s="10">
        <v>10</v>
      </c>
      <c r="D70" s="10">
        <v>15</v>
      </c>
      <c r="E70" s="10">
        <v>0</v>
      </c>
      <c r="F70" s="10">
        <v>0</v>
      </c>
      <c r="G70" s="10">
        <v>0</v>
      </c>
    </row>
    <row r="71" spans="2:7" ht="15" customHeight="1">
      <c r="B71" s="8">
        <v>46169</v>
      </c>
      <c r="C71" s="10">
        <v>4</v>
      </c>
      <c r="D71" s="10">
        <v>4</v>
      </c>
      <c r="E71" s="10">
        <v>0</v>
      </c>
      <c r="F71" s="10">
        <v>0</v>
      </c>
      <c r="G71" s="10">
        <v>0</v>
      </c>
    </row>
    <row r="72" spans="2:7" ht="15" customHeight="1">
      <c r="B72" s="8">
        <v>46170</v>
      </c>
      <c r="C72" s="10">
        <v>0</v>
      </c>
      <c r="D72" s="10">
        <v>0</v>
      </c>
      <c r="E72" s="10">
        <v>7</v>
      </c>
      <c r="F72" s="10">
        <v>0</v>
      </c>
      <c r="G72" s="10">
        <v>0</v>
      </c>
    </row>
    <row r="73" spans="2:7" ht="15" customHeight="1">
      <c r="B73" s="8">
        <v>46171</v>
      </c>
      <c r="C73" s="10">
        <v>24</v>
      </c>
      <c r="D73" s="10">
        <v>0</v>
      </c>
      <c r="E73" s="10">
        <v>0</v>
      </c>
      <c r="F73" s="10">
        <v>0</v>
      </c>
      <c r="G73" s="10">
        <v>0</v>
      </c>
    </row>
    <row r="74" spans="2:7" ht="15" customHeight="1">
      <c r="B74" s="8">
        <v>46172</v>
      </c>
      <c r="C74" s="10">
        <v>3</v>
      </c>
      <c r="D74" s="10">
        <v>4</v>
      </c>
      <c r="E74" s="10">
        <v>0</v>
      </c>
      <c r="F74" s="10">
        <v>0</v>
      </c>
      <c r="G74" s="10">
        <v>0</v>
      </c>
    </row>
    <row r="75" spans="2:7" ht="15" customHeight="1">
      <c r="B75" s="8">
        <v>46173</v>
      </c>
      <c r="C75" s="10">
        <v>134</v>
      </c>
      <c r="D75" s="10">
        <v>0</v>
      </c>
      <c r="E75" s="10">
        <v>0</v>
      </c>
      <c r="F75" s="10">
        <v>0</v>
      </c>
      <c r="G75" s="10">
        <v>0</v>
      </c>
    </row>
    <row r="76" spans="2:7" ht="15" customHeight="1">
      <c r="B76" s="9" t="s">
        <v>12</v>
      </c>
      <c r="C76" s="11">
        <v>3307</v>
      </c>
      <c r="D76" s="11">
        <v>1324</v>
      </c>
      <c r="E76" s="11">
        <v>25</v>
      </c>
      <c r="F76" s="11">
        <v>10</v>
      </c>
      <c r="G76" s="11">
        <v>0</v>
      </c>
    </row>
    <row r="78" spans="2:2" ht="12.75">
      <c r="B78" s="5" t="s">
        <v>14</v>
      </c>
    </row>
    <row r="80" spans="2:9" ht="30" customHeight="1">
      <c r="B80" s="6" t="s">
        <v>6</v>
      </c>
      <c r="C80" s="7" t="s">
        <v>7</v>
      </c>
      <c r="D80" s="7" t="s">
        <v>8</v>
      </c>
      <c r="E80" s="7" t="s">
        <v>9</v>
      </c>
      <c r="F80" s="7" t="s">
        <v>10</v>
      </c>
      <c r="G80" s="7" t="s">
        <v>11</v>
      </c>
    </row>
    <row r="81" spans="2:7" ht="15" customHeight="1">
      <c r="B81" s="8">
        <v>46143</v>
      </c>
      <c r="C81" s="10">
        <v>3608</v>
      </c>
      <c r="D81" s="10">
        <v>216350</v>
      </c>
      <c r="E81" s="10">
        <v>43</v>
      </c>
      <c r="F81" s="10">
        <v>0</v>
      </c>
      <c r="G81" s="10">
        <v>0</v>
      </c>
    </row>
    <row r="82" spans="2:7" ht="15" customHeight="1">
      <c r="B82" s="8">
        <v>46144</v>
      </c>
      <c r="C82" s="10">
        <v>314465</v>
      </c>
      <c r="D82" s="10">
        <v>252582</v>
      </c>
      <c r="E82" s="10">
        <v>0</v>
      </c>
      <c r="F82" s="10">
        <v>0</v>
      </c>
      <c r="G82" s="10">
        <v>0</v>
      </c>
    </row>
    <row r="83" spans="2:7" ht="15" customHeight="1">
      <c r="B83" s="8">
        <v>46145</v>
      </c>
      <c r="C83" s="10">
        <v>263303</v>
      </c>
      <c r="D83" s="10">
        <v>252496</v>
      </c>
      <c r="E83" s="10">
        <v>0</v>
      </c>
      <c r="F83" s="10">
        <v>0</v>
      </c>
      <c r="G83" s="10">
        <v>0</v>
      </c>
    </row>
    <row r="84" spans="2:7" ht="15" customHeight="1">
      <c r="B84" s="8">
        <v>46146</v>
      </c>
      <c r="C84" s="10">
        <v>3256</v>
      </c>
      <c r="D84" s="10">
        <v>163561</v>
      </c>
      <c r="E84" s="10">
        <v>0</v>
      </c>
      <c r="F84" s="10">
        <v>0</v>
      </c>
      <c r="G84" s="10">
        <v>0</v>
      </c>
    </row>
    <row r="85" spans="2:7" ht="15" customHeight="1">
      <c r="B85" s="8">
        <v>46147</v>
      </c>
      <c r="C85" s="10">
        <v>268824</v>
      </c>
      <c r="D85" s="10">
        <v>1091908</v>
      </c>
      <c r="E85" s="10">
        <v>0</v>
      </c>
      <c r="F85" s="10">
        <v>5845</v>
      </c>
      <c r="G85" s="10">
        <v>0</v>
      </c>
    </row>
    <row r="86" spans="2:7" ht="15" customHeight="1">
      <c r="B86" s="8">
        <v>46148</v>
      </c>
      <c r="C86" s="10">
        <v>653857</v>
      </c>
      <c r="D86" s="10">
        <v>109019</v>
      </c>
      <c r="E86" s="10">
        <v>1113</v>
      </c>
      <c r="F86" s="10">
        <v>66229</v>
      </c>
      <c r="G86" s="10">
        <v>0</v>
      </c>
    </row>
    <row r="87" spans="2:7" ht="15" customHeight="1">
      <c r="B87" s="8">
        <v>46149</v>
      </c>
      <c r="C87" s="10">
        <v>1246661</v>
      </c>
      <c r="D87" s="10">
        <v>192479</v>
      </c>
      <c r="E87" s="10">
        <v>0</v>
      </c>
      <c r="F87" s="10">
        <v>145545</v>
      </c>
      <c r="G87" s="10">
        <v>0</v>
      </c>
    </row>
    <row r="88" spans="2:7" ht="15" customHeight="1">
      <c r="B88" s="8">
        <v>46150</v>
      </c>
      <c r="C88" s="10">
        <v>890474</v>
      </c>
      <c r="D88" s="10">
        <v>2163890</v>
      </c>
      <c r="E88" s="10">
        <v>108132</v>
      </c>
      <c r="F88" s="10">
        <v>0</v>
      </c>
      <c r="G88" s="10">
        <v>0</v>
      </c>
    </row>
    <row r="89" spans="2:7" ht="15" customHeight="1">
      <c r="B89" s="8">
        <v>46151</v>
      </c>
      <c r="C89" s="10">
        <v>159173</v>
      </c>
      <c r="D89" s="10">
        <v>97765</v>
      </c>
      <c r="E89" s="10">
        <v>0</v>
      </c>
      <c r="F89" s="10">
        <v>0</v>
      </c>
      <c r="G89" s="10">
        <v>0</v>
      </c>
    </row>
    <row r="90" spans="2:7" ht="15" customHeight="1">
      <c r="B90" s="8">
        <v>46152</v>
      </c>
      <c r="C90" s="10">
        <v>143640</v>
      </c>
      <c r="D90" s="10">
        <v>1568303</v>
      </c>
      <c r="E90" s="10">
        <v>0</v>
      </c>
      <c r="F90" s="10">
        <v>0</v>
      </c>
      <c r="G90" s="10">
        <v>0</v>
      </c>
    </row>
    <row r="91" spans="2:7" ht="15" customHeight="1">
      <c r="B91" s="8">
        <v>46153</v>
      </c>
      <c r="C91" s="10">
        <v>1251782</v>
      </c>
      <c r="D91" s="10">
        <v>7503</v>
      </c>
      <c r="E91" s="10">
        <v>0</v>
      </c>
      <c r="F91" s="10">
        <v>0</v>
      </c>
      <c r="G91" s="10">
        <v>0</v>
      </c>
    </row>
    <row r="92" spans="2:7" ht="15" customHeight="1">
      <c r="B92" s="8">
        <v>46154</v>
      </c>
      <c r="C92" s="10">
        <v>794820</v>
      </c>
      <c r="D92" s="10">
        <v>74961</v>
      </c>
      <c r="E92" s="10">
        <v>3138</v>
      </c>
      <c r="F92" s="10">
        <v>0</v>
      </c>
      <c r="G92" s="10">
        <v>0</v>
      </c>
    </row>
    <row r="93" spans="2:7" ht="15" customHeight="1">
      <c r="B93" s="8">
        <v>46155</v>
      </c>
      <c r="C93" s="10">
        <v>241571</v>
      </c>
      <c r="D93" s="10">
        <v>1918601</v>
      </c>
      <c r="E93" s="10">
        <v>0</v>
      </c>
      <c r="F93" s="10">
        <v>0</v>
      </c>
      <c r="G93" s="10">
        <v>0</v>
      </c>
    </row>
    <row r="94" spans="2:7" ht="15" customHeight="1">
      <c r="B94" s="8">
        <v>46156</v>
      </c>
      <c r="C94" s="10">
        <v>47067</v>
      </c>
      <c r="D94" s="10">
        <v>9981550</v>
      </c>
      <c r="E94" s="10">
        <v>135196</v>
      </c>
      <c r="F94" s="10">
        <v>0</v>
      </c>
      <c r="G94" s="10">
        <v>0</v>
      </c>
    </row>
    <row r="95" spans="2:7" ht="15" customHeight="1">
      <c r="B95" s="8">
        <v>46157</v>
      </c>
      <c r="C95" s="10">
        <v>63557</v>
      </c>
      <c r="D95" s="10">
        <v>53526</v>
      </c>
      <c r="E95" s="10">
        <v>48555</v>
      </c>
      <c r="F95" s="10">
        <v>0</v>
      </c>
      <c r="G95" s="10">
        <v>0</v>
      </c>
    </row>
    <row r="96" spans="2:7" ht="15" customHeight="1">
      <c r="B96" s="8">
        <v>46158</v>
      </c>
      <c r="C96" s="10">
        <v>200128</v>
      </c>
      <c r="D96" s="10">
        <v>248940</v>
      </c>
      <c r="E96" s="10">
        <v>0</v>
      </c>
      <c r="F96" s="10">
        <v>0</v>
      </c>
      <c r="G96" s="10">
        <v>0</v>
      </c>
    </row>
    <row r="97" spans="2:7" ht="15" customHeight="1">
      <c r="B97" s="8">
        <v>46159</v>
      </c>
      <c r="C97" s="10">
        <v>647565</v>
      </c>
      <c r="D97" s="10">
        <v>77731</v>
      </c>
      <c r="E97" s="10">
        <v>0</v>
      </c>
      <c r="F97" s="10">
        <v>0</v>
      </c>
      <c r="G97" s="10">
        <v>0</v>
      </c>
    </row>
    <row r="98" spans="2:7" ht="15" customHeight="1">
      <c r="B98" s="8">
        <v>46160</v>
      </c>
      <c r="C98" s="10">
        <v>174096</v>
      </c>
      <c r="D98" s="10">
        <v>613</v>
      </c>
      <c r="E98" s="10">
        <v>0</v>
      </c>
      <c r="F98" s="10">
        <v>0</v>
      </c>
      <c r="G98" s="10">
        <v>0</v>
      </c>
    </row>
    <row r="99" spans="2:7" ht="15" customHeight="1">
      <c r="B99" s="8">
        <v>46161</v>
      </c>
      <c r="C99" s="10">
        <v>127922</v>
      </c>
      <c r="D99" s="10">
        <v>52783</v>
      </c>
      <c r="E99" s="10">
        <v>0</v>
      </c>
      <c r="F99" s="10">
        <v>0</v>
      </c>
      <c r="G99" s="10">
        <v>0</v>
      </c>
    </row>
    <row r="100" spans="2:7" ht="15" customHeight="1">
      <c r="B100" s="8">
        <v>46162</v>
      </c>
      <c r="C100" s="10">
        <v>114407</v>
      </c>
      <c r="D100" s="10">
        <v>0</v>
      </c>
      <c r="E100" s="10">
        <v>0</v>
      </c>
      <c r="F100" s="10">
        <v>0</v>
      </c>
      <c r="G100" s="10">
        <v>0</v>
      </c>
    </row>
    <row r="101" spans="2:7" ht="15" customHeight="1">
      <c r="B101" s="8">
        <v>46163</v>
      </c>
      <c r="C101" s="10">
        <v>2008832</v>
      </c>
      <c r="D101" s="10">
        <v>773642</v>
      </c>
      <c r="E101" s="10">
        <v>14194</v>
      </c>
      <c r="F101" s="10">
        <v>0</v>
      </c>
      <c r="G101" s="10">
        <v>50</v>
      </c>
    </row>
    <row r="102" spans="2:7" ht="15" customHeight="1">
      <c r="B102" s="8">
        <v>46164</v>
      </c>
      <c r="C102" s="10">
        <v>75079</v>
      </c>
      <c r="D102" s="10">
        <v>50785</v>
      </c>
      <c r="E102" s="10">
        <v>0</v>
      </c>
      <c r="F102" s="10">
        <v>0</v>
      </c>
      <c r="G102" s="10">
        <v>0</v>
      </c>
    </row>
    <row r="103" spans="2:7" ht="15" customHeight="1">
      <c r="B103" s="8">
        <v>46165</v>
      </c>
      <c r="C103" s="10">
        <v>205157</v>
      </c>
      <c r="D103" s="10">
        <v>274455</v>
      </c>
      <c r="E103" s="10">
        <v>0</v>
      </c>
      <c r="F103" s="10">
        <v>0</v>
      </c>
      <c r="G103" s="10">
        <v>0</v>
      </c>
    </row>
    <row r="104" spans="2:7" ht="15" customHeight="1">
      <c r="B104" s="8">
        <v>46166</v>
      </c>
      <c r="C104" s="10">
        <v>105573</v>
      </c>
      <c r="D104" s="10">
        <v>879368</v>
      </c>
      <c r="E104" s="10">
        <v>0</v>
      </c>
      <c r="F104" s="10">
        <v>0</v>
      </c>
      <c r="G104" s="10">
        <v>0</v>
      </c>
    </row>
    <row r="105" spans="2:7" ht="15" customHeight="1">
      <c r="B105" s="8">
        <v>46167</v>
      </c>
      <c r="C105" s="10">
        <v>264417</v>
      </c>
      <c r="D105" s="10">
        <v>685889</v>
      </c>
      <c r="E105" s="10">
        <v>0</v>
      </c>
      <c r="F105" s="10">
        <v>0</v>
      </c>
      <c r="G105" s="10">
        <v>0</v>
      </c>
    </row>
    <row r="106" spans="2:7" ht="15" customHeight="1">
      <c r="B106" s="8">
        <v>46168</v>
      </c>
      <c r="C106" s="10">
        <v>1168300</v>
      </c>
      <c r="D106" s="10">
        <v>180285</v>
      </c>
      <c r="E106" s="10">
        <v>1103</v>
      </c>
      <c r="F106" s="10">
        <v>0</v>
      </c>
      <c r="G106" s="10">
        <v>0</v>
      </c>
    </row>
    <row r="107" spans="2:7" ht="15" customHeight="1">
      <c r="B107" s="8">
        <v>46169</v>
      </c>
      <c r="C107" s="10">
        <v>153072</v>
      </c>
      <c r="D107" s="10">
        <v>791323</v>
      </c>
      <c r="E107" s="10">
        <v>0</v>
      </c>
      <c r="F107" s="10">
        <v>0</v>
      </c>
      <c r="G107" s="10">
        <v>0</v>
      </c>
    </row>
    <row r="108" spans="2:7" ht="15" customHeight="1">
      <c r="B108" s="8">
        <v>46170</v>
      </c>
      <c r="C108" s="10">
        <v>580</v>
      </c>
      <c r="D108" s="10">
        <v>786855</v>
      </c>
      <c r="E108" s="10">
        <v>253616</v>
      </c>
      <c r="F108" s="10">
        <v>0</v>
      </c>
      <c r="G108" s="10">
        <v>0</v>
      </c>
    </row>
    <row r="109" spans="2:7" ht="15" customHeight="1">
      <c r="B109" s="8">
        <v>46171</v>
      </c>
      <c r="C109" s="10">
        <v>2957515</v>
      </c>
      <c r="D109" s="10">
        <v>30137</v>
      </c>
      <c r="E109" s="10">
        <v>0</v>
      </c>
      <c r="F109" s="10">
        <v>0</v>
      </c>
      <c r="G109" s="10">
        <v>0</v>
      </c>
    </row>
    <row r="110" spans="2:7" ht="15" customHeight="1">
      <c r="B110" s="8">
        <v>46172</v>
      </c>
      <c r="C110" s="10">
        <v>1335967</v>
      </c>
      <c r="D110" s="10">
        <v>16683</v>
      </c>
      <c r="E110" s="10">
        <v>0</v>
      </c>
      <c r="F110" s="10">
        <v>0</v>
      </c>
      <c r="G110" s="10">
        <v>0</v>
      </c>
    </row>
    <row r="111" spans="2:7" ht="15" customHeight="1">
      <c r="B111" s="8">
        <v>46173</v>
      </c>
      <c r="C111" s="10">
        <v>91209</v>
      </c>
      <c r="D111" s="10">
        <v>76893</v>
      </c>
      <c r="E111" s="10">
        <v>167</v>
      </c>
      <c r="F111" s="10">
        <v>0</v>
      </c>
      <c r="G111" s="10">
        <v>0</v>
      </c>
    </row>
    <row r="112" spans="2:7" ht="15" customHeight="1">
      <c r="B112" s="9" t="s">
        <v>12</v>
      </c>
      <c r="C112" s="11">
        <v>15007673</v>
      </c>
      <c r="D112" s="11">
        <v>20615246</v>
      </c>
      <c r="E112" s="11">
        <v>564154</v>
      </c>
      <c r="F112" s="11">
        <v>217619</v>
      </c>
      <c r="G112" s="11">
        <v>50</v>
      </c>
    </row>
    <row r="114" spans="2:2" ht="12.75">
      <c r="B114" s="5" t="s">
        <v>15</v>
      </c>
    </row>
    <row r="116" spans="2:9" ht="30" customHeight="1">
      <c r="B116" s="6" t="s">
        <v>6</v>
      </c>
      <c r="C116" s="7" t="s">
        <v>7</v>
      </c>
      <c r="D116" s="7" t="s">
        <v>8</v>
      </c>
      <c r="E116" s="7" t="s">
        <v>9</v>
      </c>
      <c r="F116" s="7" t="s">
        <v>10</v>
      </c>
      <c r="G116" s="7" t="s">
        <v>11</v>
      </c>
    </row>
    <row r="117" spans="2:7" ht="15" customHeight="1">
      <c r="B117" s="8">
        <v>46143</v>
      </c>
      <c r="C117" s="10">
        <v>0</v>
      </c>
      <c r="D117" s="10">
        <v>2827</v>
      </c>
      <c r="E117" s="10">
        <v>0</v>
      </c>
      <c r="F117" s="10">
        <v>0</v>
      </c>
      <c r="G117" s="10">
        <v>0</v>
      </c>
    </row>
    <row r="118" spans="2:7" ht="15" customHeight="1">
      <c r="B118" s="8">
        <v>46144</v>
      </c>
      <c r="C118" s="10">
        <v>695</v>
      </c>
      <c r="D118" s="10">
        <v>0</v>
      </c>
      <c r="E118" s="10">
        <v>0</v>
      </c>
      <c r="F118" s="10">
        <v>0</v>
      </c>
      <c r="G118" s="10">
        <v>0</v>
      </c>
    </row>
    <row r="119" spans="2:7" ht="15" customHeight="1">
      <c r="B119" s="8">
        <v>46145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</row>
    <row r="120" spans="2:7" ht="15" customHeight="1">
      <c r="B120" s="8">
        <v>46146</v>
      </c>
      <c r="C120" s="10">
        <v>0</v>
      </c>
      <c r="D120" s="10">
        <v>34</v>
      </c>
      <c r="E120" s="10">
        <v>0</v>
      </c>
      <c r="F120" s="10">
        <v>0</v>
      </c>
      <c r="G120" s="10">
        <v>0</v>
      </c>
    </row>
    <row r="121" spans="2:7" ht="15" customHeight="1">
      <c r="B121" s="8">
        <v>46147</v>
      </c>
      <c r="C121" s="10">
        <v>120</v>
      </c>
      <c r="D121" s="10">
        <v>58</v>
      </c>
      <c r="E121" s="10">
        <v>0</v>
      </c>
      <c r="F121" s="10">
        <v>0</v>
      </c>
      <c r="G121" s="10">
        <v>0</v>
      </c>
    </row>
    <row r="122" spans="2:7" ht="15" customHeight="1">
      <c r="B122" s="8">
        <v>46148</v>
      </c>
      <c r="C122" s="10">
        <v>0</v>
      </c>
      <c r="D122" s="10">
        <v>23</v>
      </c>
      <c r="E122" s="10">
        <v>0</v>
      </c>
      <c r="F122" s="10">
        <v>0</v>
      </c>
      <c r="G122" s="10">
        <v>0</v>
      </c>
    </row>
    <row r="123" spans="2:7" ht="15" customHeight="1">
      <c r="B123" s="8">
        <v>46149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</row>
    <row r="124" spans="2:7" ht="15" customHeight="1">
      <c r="B124" s="8">
        <v>46150</v>
      </c>
      <c r="C124" s="10">
        <v>19043</v>
      </c>
      <c r="D124" s="10">
        <v>219</v>
      </c>
      <c r="E124" s="10">
        <v>0</v>
      </c>
      <c r="F124" s="10">
        <v>0</v>
      </c>
      <c r="G124" s="10">
        <v>0</v>
      </c>
    </row>
    <row r="125" spans="2:7" ht="15" customHeight="1">
      <c r="B125" s="8">
        <v>46151</v>
      </c>
      <c r="C125" s="10">
        <v>23391</v>
      </c>
      <c r="D125" s="10">
        <v>23332</v>
      </c>
      <c r="E125" s="10">
        <v>0</v>
      </c>
      <c r="F125" s="10">
        <v>0</v>
      </c>
      <c r="G125" s="10">
        <v>0</v>
      </c>
    </row>
    <row r="126" spans="2:7" ht="15" customHeight="1">
      <c r="B126" s="8">
        <v>46152</v>
      </c>
      <c r="C126" s="10">
        <v>735</v>
      </c>
      <c r="D126" s="10">
        <v>731</v>
      </c>
      <c r="E126" s="10">
        <v>0</v>
      </c>
      <c r="F126" s="10">
        <v>0</v>
      </c>
      <c r="G126" s="10">
        <v>0</v>
      </c>
    </row>
    <row r="127" spans="2:7" ht="15" customHeight="1">
      <c r="B127" s="8">
        <v>46153</v>
      </c>
      <c r="C127" s="10">
        <v>0</v>
      </c>
      <c r="D127" s="10">
        <v>3403</v>
      </c>
      <c r="E127" s="10">
        <v>0</v>
      </c>
      <c r="F127" s="10">
        <v>0</v>
      </c>
      <c r="G127" s="10">
        <v>0</v>
      </c>
    </row>
    <row r="128" spans="2:7" ht="15" customHeight="1">
      <c r="B128" s="8">
        <v>46154</v>
      </c>
      <c r="C128" s="10">
        <v>5079</v>
      </c>
      <c r="D128" s="10">
        <v>119</v>
      </c>
      <c r="E128" s="10">
        <v>0</v>
      </c>
      <c r="F128" s="10">
        <v>0</v>
      </c>
      <c r="G128" s="10">
        <v>0</v>
      </c>
    </row>
    <row r="129" spans="2:7" ht="15" customHeight="1">
      <c r="B129" s="8">
        <v>46155</v>
      </c>
      <c r="C129" s="10">
        <v>50</v>
      </c>
      <c r="D129" s="10">
        <v>48</v>
      </c>
      <c r="E129" s="10">
        <v>0</v>
      </c>
      <c r="F129" s="10">
        <v>0</v>
      </c>
      <c r="G129" s="10">
        <v>0</v>
      </c>
    </row>
    <row r="130" spans="2:7" ht="15" customHeight="1">
      <c r="B130" s="8">
        <v>46156</v>
      </c>
      <c r="C130" s="10">
        <v>0</v>
      </c>
      <c r="D130" s="10">
        <v>67</v>
      </c>
      <c r="E130" s="10">
        <v>0</v>
      </c>
      <c r="F130" s="10">
        <v>0</v>
      </c>
      <c r="G130" s="10">
        <v>0</v>
      </c>
    </row>
    <row r="131" spans="2:7" ht="15" customHeight="1">
      <c r="B131" s="8">
        <v>46157</v>
      </c>
      <c r="C131" s="10">
        <v>2680</v>
      </c>
      <c r="D131" s="10">
        <v>0</v>
      </c>
      <c r="E131" s="10">
        <v>0</v>
      </c>
      <c r="F131" s="10">
        <v>0</v>
      </c>
      <c r="G131" s="10">
        <v>0</v>
      </c>
    </row>
    <row r="132" spans="2:7" ht="15" customHeight="1">
      <c r="B132" s="8">
        <v>46158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 spans="2:7" ht="15" customHeight="1">
      <c r="B133" s="8">
        <v>46159</v>
      </c>
      <c r="C133" s="10">
        <v>14392</v>
      </c>
      <c r="D133" s="10">
        <v>0</v>
      </c>
      <c r="E133" s="10">
        <v>0</v>
      </c>
      <c r="F133" s="10">
        <v>0</v>
      </c>
      <c r="G133" s="10">
        <v>0</v>
      </c>
    </row>
    <row r="134" spans="2:7" ht="15" customHeight="1">
      <c r="B134" s="8">
        <v>46160</v>
      </c>
      <c r="C134" s="10">
        <v>318</v>
      </c>
      <c r="D134" s="10">
        <v>0</v>
      </c>
      <c r="E134" s="10">
        <v>0</v>
      </c>
      <c r="F134" s="10">
        <v>0</v>
      </c>
      <c r="G134" s="10">
        <v>0</v>
      </c>
    </row>
    <row r="135" spans="2:7" ht="15" customHeight="1">
      <c r="B135" s="8">
        <v>46161</v>
      </c>
      <c r="C135" s="10">
        <v>37681</v>
      </c>
      <c r="D135" s="10">
        <v>27541</v>
      </c>
      <c r="E135" s="10">
        <v>0</v>
      </c>
      <c r="F135" s="10">
        <v>0</v>
      </c>
      <c r="G135" s="10">
        <v>0</v>
      </c>
    </row>
    <row r="136" spans="2:7" ht="15" customHeight="1">
      <c r="B136" s="8">
        <v>46162</v>
      </c>
      <c r="C136" s="10">
        <v>6</v>
      </c>
      <c r="D136" s="10">
        <v>0</v>
      </c>
      <c r="E136" s="10">
        <v>0</v>
      </c>
      <c r="F136" s="10">
        <v>0</v>
      </c>
      <c r="G136" s="10">
        <v>0</v>
      </c>
    </row>
    <row r="137" spans="2:7" ht="15" customHeight="1">
      <c r="B137" s="8">
        <v>46163</v>
      </c>
      <c r="C137" s="10">
        <v>4797</v>
      </c>
      <c r="D137" s="10">
        <v>0</v>
      </c>
      <c r="E137" s="10">
        <v>0</v>
      </c>
      <c r="F137" s="10">
        <v>0</v>
      </c>
      <c r="G137" s="10">
        <v>7</v>
      </c>
    </row>
    <row r="138" spans="2:7" ht="15" customHeight="1">
      <c r="B138" s="8">
        <v>46164</v>
      </c>
      <c r="C138" s="10">
        <v>28084</v>
      </c>
      <c r="D138" s="10">
        <v>223</v>
      </c>
      <c r="E138" s="10">
        <v>0</v>
      </c>
      <c r="F138" s="10">
        <v>0</v>
      </c>
      <c r="G138" s="10">
        <v>0</v>
      </c>
    </row>
    <row r="139" spans="2:7" ht="15" customHeight="1">
      <c r="B139" s="8">
        <v>46165</v>
      </c>
      <c r="C139" s="10">
        <v>16</v>
      </c>
      <c r="D139" s="10">
        <v>16</v>
      </c>
      <c r="E139" s="10">
        <v>0</v>
      </c>
      <c r="F139" s="10">
        <v>0</v>
      </c>
      <c r="G139" s="10">
        <v>0</v>
      </c>
    </row>
    <row r="140" spans="2:7" ht="15" customHeight="1">
      <c r="B140" s="8">
        <v>46166</v>
      </c>
      <c r="C140" s="10">
        <v>512</v>
      </c>
      <c r="D140" s="10">
        <v>0</v>
      </c>
      <c r="E140" s="10">
        <v>0</v>
      </c>
      <c r="F140" s="10">
        <v>0</v>
      </c>
      <c r="G140" s="10">
        <v>0</v>
      </c>
    </row>
    <row r="141" spans="2:7" ht="15" customHeight="1">
      <c r="B141" s="8">
        <v>46167</v>
      </c>
      <c r="C141" s="10">
        <v>12935</v>
      </c>
      <c r="D141" s="10">
        <v>59</v>
      </c>
      <c r="E141" s="10">
        <v>0</v>
      </c>
      <c r="F141" s="10">
        <v>0</v>
      </c>
      <c r="G141" s="10">
        <v>0</v>
      </c>
    </row>
    <row r="142" spans="2:7" ht="15" customHeight="1">
      <c r="B142" s="8">
        <v>46168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 spans="2:7" ht="15" customHeight="1">
      <c r="B143" s="8">
        <v>46169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</row>
    <row r="144" spans="2:7" ht="15" customHeight="1">
      <c r="B144" s="8">
        <v>46170</v>
      </c>
      <c r="C144" s="10">
        <v>0</v>
      </c>
      <c r="D144" s="10">
        <v>0</v>
      </c>
      <c r="E144" s="10">
        <v>106</v>
      </c>
      <c r="F144" s="10">
        <v>0</v>
      </c>
      <c r="G144" s="10">
        <v>0</v>
      </c>
    </row>
    <row r="145" spans="2:7" ht="15" customHeight="1">
      <c r="B145" s="8">
        <v>46171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</row>
    <row r="146" spans="2:7" ht="15" customHeight="1">
      <c r="B146" s="8">
        <v>46172</v>
      </c>
      <c r="C146" s="10">
        <v>1059</v>
      </c>
      <c r="D146" s="10">
        <v>3</v>
      </c>
      <c r="E146" s="10">
        <v>0</v>
      </c>
      <c r="F146" s="10">
        <v>0</v>
      </c>
      <c r="G146" s="10">
        <v>0</v>
      </c>
    </row>
    <row r="147" spans="2:7" ht="15" customHeight="1">
      <c r="B147" s="8">
        <v>46173</v>
      </c>
      <c r="C147" s="10">
        <v>1469</v>
      </c>
      <c r="D147" s="10">
        <v>0</v>
      </c>
      <c r="E147" s="10">
        <v>0</v>
      </c>
      <c r="F147" s="10">
        <v>0</v>
      </c>
      <c r="G147" s="10">
        <v>0</v>
      </c>
    </row>
    <row r="148" spans="2:7" ht="15" customHeight="1">
      <c r="B148" s="9" t="s">
        <v>12</v>
      </c>
      <c r="C148" s="11">
        <v>153062</v>
      </c>
      <c r="D148" s="11">
        <v>58703</v>
      </c>
      <c r="E148" s="11">
        <v>106</v>
      </c>
      <c r="F148" s="11">
        <v>0</v>
      </c>
      <c r="G148" s="11">
        <v>7</v>
      </c>
    </row>
    <row r="150" spans="2:2" ht="12.75">
      <c r="B150" s="5" t="s">
        <v>16</v>
      </c>
    </row>
    <row r="152" spans="2:9" ht="30" customHeight="1">
      <c r="B152" s="6" t="s">
        <v>6</v>
      </c>
      <c r="C152" s="7" t="s">
        <v>7</v>
      </c>
      <c r="D152" s="7" t="s">
        <v>8</v>
      </c>
      <c r="E152" s="7" t="s">
        <v>9</v>
      </c>
      <c r="F152" s="7" t="s">
        <v>10</v>
      </c>
      <c r="G152" s="7" t="s">
        <v>11</v>
      </c>
    </row>
    <row r="153" spans="2:7" ht="15" customHeight="1">
      <c r="B153" s="8">
        <v>46143</v>
      </c>
      <c r="C153" s="10">
        <v>1</v>
      </c>
      <c r="D153" s="10">
        <v>10</v>
      </c>
      <c r="E153" s="10">
        <v>0</v>
      </c>
      <c r="F153" s="10">
        <v>0</v>
      </c>
      <c r="G153" s="10">
        <v>0</v>
      </c>
    </row>
    <row r="154" spans="2:7" ht="15" customHeight="1">
      <c r="B154" s="8">
        <v>46144</v>
      </c>
      <c r="C154" s="10">
        <v>11</v>
      </c>
      <c r="D154" s="10">
        <v>5</v>
      </c>
      <c r="E154" s="10">
        <v>0</v>
      </c>
      <c r="F154" s="10">
        <v>0</v>
      </c>
      <c r="G154" s="10">
        <v>0</v>
      </c>
    </row>
    <row r="155" spans="2:7" ht="15" customHeight="1">
      <c r="B155" s="8">
        <v>46145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</row>
    <row r="156" spans="2:7" ht="15" customHeight="1">
      <c r="B156" s="8">
        <v>46146</v>
      </c>
      <c r="C156" s="10">
        <v>0</v>
      </c>
      <c r="D156" s="10">
        <v>1</v>
      </c>
      <c r="E156" s="10">
        <v>0</v>
      </c>
      <c r="F156" s="10">
        <v>0</v>
      </c>
      <c r="G156" s="10">
        <v>0</v>
      </c>
    </row>
    <row r="157" spans="2:7" ht="15" customHeight="1">
      <c r="B157" s="8">
        <v>46147</v>
      </c>
      <c r="C157" s="10">
        <v>0</v>
      </c>
      <c r="D157" s="10">
        <v>9</v>
      </c>
      <c r="E157" s="10">
        <v>0</v>
      </c>
      <c r="F157" s="10">
        <v>0</v>
      </c>
      <c r="G157" s="10">
        <v>0</v>
      </c>
    </row>
    <row r="158" spans="2:7" ht="15" customHeight="1">
      <c r="B158" s="8">
        <v>46148</v>
      </c>
      <c r="C158" s="10">
        <v>0</v>
      </c>
      <c r="D158" s="10">
        <v>4</v>
      </c>
      <c r="E158" s="10">
        <v>0</v>
      </c>
      <c r="F158" s="10">
        <v>0</v>
      </c>
      <c r="G158" s="10">
        <v>0</v>
      </c>
    </row>
    <row r="159" spans="2:7" ht="15" customHeight="1">
      <c r="B159" s="8">
        <v>46149</v>
      </c>
      <c r="C159" s="10">
        <v>7</v>
      </c>
      <c r="D159" s="10">
        <v>0</v>
      </c>
      <c r="E159" s="10">
        <v>0</v>
      </c>
      <c r="F159" s="10">
        <v>0</v>
      </c>
      <c r="G159" s="10">
        <v>0</v>
      </c>
    </row>
    <row r="160" spans="2:7" ht="15" customHeight="1">
      <c r="B160" s="8">
        <v>46150</v>
      </c>
      <c r="C160" s="10">
        <v>636</v>
      </c>
      <c r="D160" s="10">
        <v>11</v>
      </c>
      <c r="E160" s="10">
        <v>4</v>
      </c>
      <c r="F160" s="10">
        <v>0</v>
      </c>
      <c r="G160" s="10">
        <v>0</v>
      </c>
    </row>
    <row r="161" spans="2:7" ht="15" customHeight="1">
      <c r="B161" s="8">
        <v>46151</v>
      </c>
      <c r="C161" s="10">
        <v>1281</v>
      </c>
      <c r="D161" s="10">
        <v>1281</v>
      </c>
      <c r="E161" s="10">
        <v>0</v>
      </c>
      <c r="F161" s="10">
        <v>0</v>
      </c>
      <c r="G161" s="10">
        <v>0</v>
      </c>
    </row>
    <row r="162" spans="2:7" ht="15" customHeight="1">
      <c r="B162" s="8">
        <v>46152</v>
      </c>
      <c r="C162" s="10">
        <v>12</v>
      </c>
      <c r="D162" s="10">
        <v>214</v>
      </c>
      <c r="E162" s="10">
        <v>0</v>
      </c>
      <c r="F162" s="10">
        <v>0</v>
      </c>
      <c r="G162" s="10">
        <v>0</v>
      </c>
    </row>
    <row r="163" spans="2:7" ht="15" customHeight="1">
      <c r="B163" s="8">
        <v>46153</v>
      </c>
      <c r="C163" s="10">
        <v>4</v>
      </c>
      <c r="D163" s="10">
        <v>27</v>
      </c>
      <c r="E163" s="10">
        <v>0</v>
      </c>
      <c r="F163" s="10">
        <v>0</v>
      </c>
      <c r="G163" s="10">
        <v>0</v>
      </c>
    </row>
    <row r="164" spans="2:7" ht="15" customHeight="1">
      <c r="B164" s="8">
        <v>46154</v>
      </c>
      <c r="C164" s="10">
        <v>169</v>
      </c>
      <c r="D164" s="10">
        <v>5</v>
      </c>
      <c r="E164" s="10">
        <v>0</v>
      </c>
      <c r="F164" s="10">
        <v>0</v>
      </c>
      <c r="G164" s="10">
        <v>0</v>
      </c>
    </row>
    <row r="165" spans="2:7" ht="15" customHeight="1">
      <c r="B165" s="8">
        <v>46155</v>
      </c>
      <c r="C165" s="10">
        <v>1</v>
      </c>
      <c r="D165" s="10">
        <v>28</v>
      </c>
      <c r="E165" s="10">
        <v>0</v>
      </c>
      <c r="F165" s="10">
        <v>0</v>
      </c>
      <c r="G165" s="10">
        <v>0</v>
      </c>
    </row>
    <row r="166" spans="2:7" ht="15" customHeight="1">
      <c r="B166" s="8">
        <v>46156</v>
      </c>
      <c r="C166" s="10">
        <v>1</v>
      </c>
      <c r="D166" s="10">
        <v>6</v>
      </c>
      <c r="E166" s="10">
        <v>0</v>
      </c>
      <c r="F166" s="10">
        <v>0</v>
      </c>
      <c r="G166" s="10">
        <v>0</v>
      </c>
    </row>
    <row r="167" spans="2:7" ht="15" customHeight="1">
      <c r="B167" s="8">
        <v>46157</v>
      </c>
      <c r="C167" s="10">
        <v>75</v>
      </c>
      <c r="D167" s="10">
        <v>0</v>
      </c>
      <c r="E167" s="10">
        <v>0</v>
      </c>
      <c r="F167" s="10">
        <v>0</v>
      </c>
      <c r="G167" s="10">
        <v>0</v>
      </c>
    </row>
    <row r="168" spans="2:7" ht="15" customHeight="1">
      <c r="B168" s="8">
        <v>46158</v>
      </c>
      <c r="C168" s="10">
        <v>0</v>
      </c>
      <c r="D168" s="10">
        <v>2</v>
      </c>
      <c r="E168" s="10">
        <v>0</v>
      </c>
      <c r="F168" s="10">
        <v>0</v>
      </c>
      <c r="G168" s="10">
        <v>0</v>
      </c>
    </row>
    <row r="169" spans="2:7" ht="15" customHeight="1">
      <c r="B169" s="8">
        <v>46159</v>
      </c>
      <c r="C169" s="10">
        <v>128</v>
      </c>
      <c r="D169" s="10">
        <v>0</v>
      </c>
      <c r="E169" s="10">
        <v>0</v>
      </c>
      <c r="F169" s="10">
        <v>0</v>
      </c>
      <c r="G169" s="10">
        <v>0</v>
      </c>
    </row>
    <row r="170" spans="2:7" ht="15" customHeight="1">
      <c r="B170" s="8">
        <v>46160</v>
      </c>
      <c r="C170" s="10">
        <v>2</v>
      </c>
      <c r="D170" s="10">
        <v>0</v>
      </c>
      <c r="E170" s="10">
        <v>0</v>
      </c>
      <c r="F170" s="10">
        <v>0</v>
      </c>
      <c r="G170" s="10">
        <v>0</v>
      </c>
    </row>
    <row r="171" spans="2:7" ht="15" customHeight="1">
      <c r="B171" s="8">
        <v>46161</v>
      </c>
      <c r="C171" s="10">
        <v>343</v>
      </c>
      <c r="D171" s="10">
        <v>303</v>
      </c>
      <c r="E171" s="10">
        <v>0</v>
      </c>
      <c r="F171" s="10">
        <v>0</v>
      </c>
      <c r="G171" s="10">
        <v>0</v>
      </c>
    </row>
    <row r="172" spans="2:7" ht="15" customHeight="1">
      <c r="B172" s="8">
        <v>46162</v>
      </c>
      <c r="C172" s="10">
        <v>8</v>
      </c>
      <c r="D172" s="10">
        <v>0</v>
      </c>
      <c r="E172" s="10">
        <v>0</v>
      </c>
      <c r="F172" s="10">
        <v>0</v>
      </c>
      <c r="G172" s="10">
        <v>0</v>
      </c>
    </row>
    <row r="173" spans="2:7" ht="15" customHeight="1">
      <c r="B173" s="8">
        <v>46163</v>
      </c>
      <c r="C173" s="10">
        <v>268</v>
      </c>
      <c r="D173" s="10">
        <v>4</v>
      </c>
      <c r="E173" s="10">
        <v>0</v>
      </c>
      <c r="F173" s="10">
        <v>0</v>
      </c>
      <c r="G173" s="10">
        <v>0</v>
      </c>
    </row>
    <row r="174" spans="2:7" ht="15" customHeight="1">
      <c r="B174" s="8">
        <v>46164</v>
      </c>
      <c r="C174" s="10">
        <v>414</v>
      </c>
      <c r="D174" s="10">
        <v>52</v>
      </c>
      <c r="E174" s="10">
        <v>0</v>
      </c>
      <c r="F174" s="10">
        <v>0</v>
      </c>
      <c r="G174" s="10">
        <v>0</v>
      </c>
    </row>
    <row r="175" spans="2:7" ht="15" customHeight="1">
      <c r="B175" s="8">
        <v>46165</v>
      </c>
      <c r="C175" s="10">
        <v>6</v>
      </c>
      <c r="D175" s="10">
        <v>1</v>
      </c>
      <c r="E175" s="10">
        <v>0</v>
      </c>
      <c r="F175" s="10">
        <v>0</v>
      </c>
      <c r="G175" s="10">
        <v>0</v>
      </c>
    </row>
    <row r="176" spans="2:7" ht="15" customHeight="1">
      <c r="B176" s="8">
        <v>46166</v>
      </c>
      <c r="C176" s="10">
        <v>8</v>
      </c>
      <c r="D176" s="10">
        <v>1</v>
      </c>
      <c r="E176" s="10">
        <v>0</v>
      </c>
      <c r="F176" s="10">
        <v>0</v>
      </c>
      <c r="G176" s="10">
        <v>0</v>
      </c>
    </row>
    <row r="177" spans="2:7" ht="15" customHeight="1">
      <c r="B177" s="8">
        <v>46167</v>
      </c>
      <c r="C177" s="10">
        <v>8</v>
      </c>
      <c r="D177" s="10">
        <v>5</v>
      </c>
      <c r="E177" s="10">
        <v>0</v>
      </c>
      <c r="F177" s="10">
        <v>0</v>
      </c>
      <c r="G177" s="10">
        <v>0</v>
      </c>
    </row>
    <row r="178" spans="2:7" ht="15" customHeight="1">
      <c r="B178" s="8">
        <v>46168</v>
      </c>
      <c r="C178" s="10">
        <v>2</v>
      </c>
      <c r="D178" s="10">
        <v>10</v>
      </c>
      <c r="E178" s="10">
        <v>0</v>
      </c>
      <c r="F178" s="10">
        <v>0</v>
      </c>
      <c r="G178" s="10">
        <v>0</v>
      </c>
    </row>
    <row r="179" spans="2:7" ht="15" customHeight="1">
      <c r="B179" s="8">
        <v>46169</v>
      </c>
      <c r="C179" s="10">
        <v>5</v>
      </c>
      <c r="D179" s="10">
        <v>0</v>
      </c>
      <c r="E179" s="10">
        <v>0</v>
      </c>
      <c r="F179" s="10">
        <v>0</v>
      </c>
      <c r="G179" s="10">
        <v>0</v>
      </c>
    </row>
    <row r="180" spans="2:7" ht="15" customHeight="1">
      <c r="B180" s="8">
        <v>46170</v>
      </c>
      <c r="C180" s="10">
        <v>7</v>
      </c>
      <c r="D180" s="10">
        <v>6</v>
      </c>
      <c r="E180" s="10">
        <v>9</v>
      </c>
      <c r="F180" s="10">
        <v>0</v>
      </c>
      <c r="G180" s="10">
        <v>0</v>
      </c>
    </row>
    <row r="181" spans="2:7" ht="15" customHeight="1">
      <c r="B181" s="8">
        <v>46171</v>
      </c>
      <c r="C181" s="10">
        <v>1</v>
      </c>
      <c r="D181" s="10">
        <v>0</v>
      </c>
      <c r="E181" s="10">
        <v>0</v>
      </c>
      <c r="F181" s="10">
        <v>0</v>
      </c>
      <c r="G181" s="10">
        <v>0</v>
      </c>
    </row>
    <row r="182" spans="2:7" ht="15" customHeight="1">
      <c r="B182" s="8">
        <v>46172</v>
      </c>
      <c r="C182" s="10">
        <v>12</v>
      </c>
      <c r="D182" s="10">
        <v>0</v>
      </c>
      <c r="E182" s="10">
        <v>0</v>
      </c>
      <c r="F182" s="10">
        <v>0</v>
      </c>
      <c r="G182" s="10">
        <v>0</v>
      </c>
    </row>
    <row r="183" spans="2:7" ht="15" customHeight="1">
      <c r="B183" s="8">
        <v>46173</v>
      </c>
      <c r="C183" s="10">
        <v>29</v>
      </c>
      <c r="D183" s="10">
        <v>0</v>
      </c>
      <c r="E183" s="10">
        <v>0</v>
      </c>
      <c r="F183" s="10">
        <v>0</v>
      </c>
      <c r="G183" s="10">
        <v>0</v>
      </c>
    </row>
    <row r="184" spans="2:7" ht="15" customHeight="1">
      <c r="B184" s="9" t="s">
        <v>12</v>
      </c>
      <c r="C184" s="11">
        <v>3439</v>
      </c>
      <c r="D184" s="11">
        <v>1985</v>
      </c>
      <c r="E184" s="11">
        <v>13</v>
      </c>
      <c r="F184" s="11">
        <v>0</v>
      </c>
      <c r="G184" s="11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f33f4c-df09-4b87-b669-191e83861657}">
  <dimension ref="B1:H27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0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17</v>
      </c>
    </row>
    <row r="6" spans="2: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spans="2:8" ht="30" customHeight="1">
      <c r="B22" s="6" t="s">
        <v>18</v>
      </c>
      <c r="C22" s="7" t="s">
        <v>19</v>
      </c>
      <c r="D22" s="7" t="s">
        <v>20</v>
      </c>
      <c r="E22" s="7" t="s">
        <v>21</v>
      </c>
      <c r="F22" s="7" t="s">
        <v>22</v>
      </c>
      <c r="G22" s="7" t="s">
        <v>23</v>
      </c>
      <c r="H22" s="7" t="s">
        <v>24</v>
      </c>
    </row>
    <row r="23" spans="2:8" ht="15" customHeight="1">
      <c r="B23" s="12" t="s">
        <v>7</v>
      </c>
      <c r="C23" s="10">
        <v>46</v>
      </c>
      <c r="D23" s="10">
        <v>139</v>
      </c>
      <c r="E23" s="10">
        <v>19</v>
      </c>
      <c r="F23" s="13">
        <f>IF(SUM(C23,D23,E23)=0,0,C23/SUM(C23,D23,E23))</f>
      </c>
      <c r="G23" s="13">
        <f>IF(SUM(C23,D23,E23)=0,0,D23/SUM(C23,D23,E23))</f>
      </c>
      <c r="H23" s="13">
        <f>IF(SUM(C23,D23,E23)=0,0,E23/SUM(C23,D23,E23))</f>
      </c>
    </row>
    <row r="24" spans="2:8" ht="15" customHeight="1">
      <c r="B24" s="12" t="s">
        <v>8</v>
      </c>
      <c r="C24" s="10">
        <v>52</v>
      </c>
      <c r="D24" s="10">
        <v>142</v>
      </c>
      <c r="E24" s="10">
        <v>7</v>
      </c>
      <c r="F24" s="13">
        <f>IF(SUM(C24,D24,E24)=0,0,C24/SUM(C24,D24,E24))</f>
      </c>
      <c r="G24" s="13">
        <f>IF(SUM(C24,D24,E24)=0,0,D24/SUM(C24,D24,E24))</f>
      </c>
      <c r="H24" s="13">
        <f>IF(SUM(C24,D24,E24)=0,0,E24/SUM(C24,D24,E24))</f>
      </c>
    </row>
    <row r="25" spans="2:8" ht="15" customHeight="1">
      <c r="B25" s="12" t="s">
        <v>9</v>
      </c>
      <c r="C25" s="10">
        <v>4</v>
      </c>
      <c r="D25" s="10">
        <v>18</v>
      </c>
      <c r="E25" s="10">
        <v>1</v>
      </c>
      <c r="F25" s="13">
        <f>IF(SUM(C25,D25,E25)=0,0,C25/SUM(C25,D25,E25))</f>
      </c>
      <c r="G25" s="13">
        <f>IF(SUM(C25,D25,E25)=0,0,D25/SUM(C25,D25,E25))</f>
      </c>
      <c r="H25" s="13">
        <f>IF(SUM(C25,D25,E25)=0,0,E25/SUM(C25,D25,E25))</f>
      </c>
    </row>
    <row r="26" spans="2:8" ht="15" customHeight="1">
      <c r="B26" s="12" t="s">
        <v>10</v>
      </c>
      <c r="C26" s="10">
        <v>0</v>
      </c>
      <c r="D26" s="10">
        <v>3</v>
      </c>
      <c r="E26" s="10">
        <v>0</v>
      </c>
      <c r="F26" s="13">
        <f>IF(SUM(C26,D26,E26)=0,0,C26/SUM(C26,D26,E26))</f>
      </c>
      <c r="G26" s="13">
        <f>IF(SUM(C26,D26,E26)=0,0,D26/SUM(C26,D26,E26))</f>
      </c>
      <c r="H26" s="13">
        <f>IF(SUM(C26,D26,E26)=0,0,E26/SUM(C26,D26,E26))</f>
      </c>
    </row>
    <row r="27" spans="2:8" ht="15" customHeight="1">
      <c r="B27" s="12" t="s">
        <v>11</v>
      </c>
      <c r="C27" s="10">
        <v>0</v>
      </c>
      <c r="D27" s="10">
        <v>1</v>
      </c>
      <c r="E27" s="10">
        <v>0</v>
      </c>
      <c r="F27" s="13">
        <f>IF(SUM(C27,D27,E27)=0,0,C27/SUM(C27,D27,E27))</f>
      </c>
      <c r="G27" s="13">
        <f>IF(SUM(C27,D27,E27)=0,0,D27/SUM(C27,D27,E27))</f>
      </c>
      <c r="H27" s="13">
        <f>IF(SUM(C27,D27,E27)=0,0,E27/SUM(C27,D27,E27))</f>
      </c>
    </row>
  </sheetData>
  <hyperlinks>
    <hyperlink ref="C1" location="Содержание!B4" display="К содержанию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c22ddb-1b96-4d20-884a-00c370e75a0b}">
  <dimension ref="B1:D35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25</v>
      </c>
    </row>
    <row r="6" spans="2:2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spans="2:4" ht="30" customHeight="1">
      <c r="B31" s="6" t="s">
        <v>25</v>
      </c>
      <c r="C31" s="7" t="s">
        <v>7</v>
      </c>
      <c r="D31" s="7" t="s">
        <v>8</v>
      </c>
    </row>
    <row r="32" spans="2:4" ht="15" customHeight="1">
      <c r="B32" s="12" t="s">
        <v>26</v>
      </c>
      <c r="C32" s="10">
        <v>6</v>
      </c>
      <c r="D32" s="10">
        <v>27</v>
      </c>
    </row>
    <row r="33" spans="2:4" ht="15" customHeight="1">
      <c r="B33" s="12" t="s">
        <v>27</v>
      </c>
      <c r="C33" s="10">
        <v>16</v>
      </c>
      <c r="D33" s="10">
        <v>16</v>
      </c>
    </row>
    <row r="34" spans="2:4" ht="15" customHeight="1">
      <c r="B34" s="12" t="s">
        <v>28</v>
      </c>
      <c r="C34" s="10">
        <v>0</v>
      </c>
      <c r="D34" s="10">
        <v>1</v>
      </c>
    </row>
    <row r="35" spans="2:4" ht="15" customHeight="1">
      <c r="B35" s="14" t="s">
        <v>12</v>
      </c>
      <c r="C35" s="11">
        <f>SUM(C32:C34)</f>
      </c>
      <c r="D35" s="11">
        <f>SUM(D32:D34)</f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cf0a39-80a9-4adb-9e7a-138166cd19ac}">
  <dimension ref="B1:G101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29</v>
      </c>
    </row>
    <row r="6" spans="2:2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spans="2:7" ht="30" customHeight="1">
      <c r="B31" s="6" t="s">
        <v>33</v>
      </c>
      <c r="C31" s="7" t="s">
        <v>7</v>
      </c>
      <c r="D31" s="7" t="s">
        <v>8</v>
      </c>
      <c r="E31" s="7" t="s">
        <v>9</v>
      </c>
      <c r="F31" s="7" t="s">
        <v>10</v>
      </c>
      <c r="G31" s="7" t="s">
        <v>11</v>
      </c>
    </row>
    <row r="32" spans="2:7" ht="12.75">
      <c r="B32" s="12" t="s">
        <v>34</v>
      </c>
      <c r="C32" s="10">
        <v>4</v>
      </c>
      <c r="D32" s="10">
        <v>10</v>
      </c>
      <c r="E32" s="10">
        <v>0</v>
      </c>
      <c r="F32" s="10">
        <v>0</v>
      </c>
      <c r="G32" s="10">
        <v>0</v>
      </c>
    </row>
    <row r="33" spans="2:7" ht="12.75">
      <c r="B33" s="12" t="s">
        <v>35</v>
      </c>
      <c r="C33" s="10">
        <v>0</v>
      </c>
      <c r="D33" s="10">
        <v>1</v>
      </c>
      <c r="E33" s="10">
        <v>0</v>
      </c>
      <c r="F33" s="10">
        <v>0</v>
      </c>
      <c r="G33" s="10">
        <v>0</v>
      </c>
    </row>
    <row r="34" spans="2:7" ht="12.75">
      <c r="B34" s="12" t="s">
        <v>36</v>
      </c>
      <c r="C34" s="10">
        <v>1</v>
      </c>
      <c r="D34" s="10">
        <v>0</v>
      </c>
      <c r="E34" s="10">
        <v>0</v>
      </c>
      <c r="F34" s="10">
        <v>0</v>
      </c>
      <c r="G34" s="10">
        <v>0</v>
      </c>
    </row>
    <row r="35" spans="2:7" ht="12.75">
      <c r="B35" s="12" t="s">
        <v>37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2:7" ht="12.75">
      <c r="B36" s="12" t="s">
        <v>38</v>
      </c>
      <c r="C36" s="10">
        <v>1</v>
      </c>
      <c r="D36" s="10">
        <v>0</v>
      </c>
      <c r="E36" s="10">
        <v>0</v>
      </c>
      <c r="F36" s="10">
        <v>0</v>
      </c>
      <c r="G36" s="10">
        <v>0</v>
      </c>
    </row>
    <row r="37" spans="2:7" ht="12.75">
      <c r="B37" s="14" t="s">
        <v>12</v>
      </c>
      <c r="C37" s="11">
        <f>SUM(C32:C36)</f>
      </c>
      <c r="D37" s="11">
        <f>SUM(D32:D36)</f>
      </c>
      <c r="E37" s="11">
        <f>SUM(E32:E36)</f>
      </c>
      <c r="F37" s="11">
        <f>SUM(F32:F36)</f>
      </c>
      <c r="G37" s="11">
        <f>SUM(G32:G36)</f>
      </c>
    </row>
    <row r="38" spans="2:7" ht="13" customHeight="1">
      <c r="B38" s="14" t="s">
        <v>39</v>
      </c>
      <c r="C38" s="15">
        <f>IF(C37=0,0,SUM(C32*5,C33*4,C34*3,C35*2,C36*1)/C37)</f>
      </c>
      <c r="D38" s="15">
        <f>IF(D37=0,0,SUM(D32*5,D33*4,D34*3,D35*2,D36*1)/D37)</f>
      </c>
      <c r="E38" s="15">
        <f>IF(E37=0,0,SUM(E32*5,E33*4,E34*3,E35*2,E36*1)/E37)</f>
      </c>
      <c r="F38" s="15">
        <f>IF(F37=0,0,SUM(F32*5,F33*4,F34*3,F35*2,F36*1)/F37)</f>
      </c>
      <c r="G38" s="15">
        <f>IF(G37=0,0,SUM(G32*5,G33*4,G34*3,G35*2,G36*1)/G37)</f>
      </c>
    </row>
    <row r="39" ht="13" customHeight="1"/>
    <row r="40" ht="13" customHeight="1"/>
    <row r="41" ht="13" customHeight="1"/>
    <row r="42" spans="2: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spans="2:2" ht="13" customHeight="1">
      <c r="B67" s="5" t="s">
        <v>39</v>
      </c>
    </row>
    <row r="68" ht="13" customHeight="1"/>
    <row r="69" spans="2:7" ht="30" customHeight="1">
      <c r="B69" s="6" t="s">
        <v>6</v>
      </c>
      <c r="C69" s="7" t="s">
        <v>7</v>
      </c>
      <c r="D69" s="7" t="s">
        <v>8</v>
      </c>
      <c r="E69" s="7" t="s">
        <v>9</v>
      </c>
      <c r="F69" s="7" t="s">
        <v>10</v>
      </c>
      <c r="G69" s="7" t="s">
        <v>11</v>
      </c>
    </row>
    <row r="70" spans="2:7" ht="15" customHeight="1">
      <c r="B70" s="8">
        <v>46143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2:7" ht="15" customHeight="1">
      <c r="B71" s="8">
        <v>46144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</row>
    <row r="72" spans="2:7" ht="15" customHeight="1">
      <c r="B72" s="8">
        <v>46145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</row>
    <row r="73" spans="2:7" ht="15" customHeight="1">
      <c r="B73" s="8">
        <v>46146</v>
      </c>
      <c r="C73" s="16">
        <v>5</v>
      </c>
      <c r="D73" s="16">
        <v>0</v>
      </c>
      <c r="E73" s="16">
        <v>0</v>
      </c>
      <c r="F73" s="16">
        <v>0</v>
      </c>
      <c r="G73" s="16">
        <v>0</v>
      </c>
    </row>
    <row r="74" spans="2:7" ht="15" customHeight="1">
      <c r="B74" s="8">
        <v>46147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</row>
    <row r="75" spans="2:7" ht="15" customHeight="1">
      <c r="B75" s="8">
        <v>46148</v>
      </c>
      <c r="C75" s="16">
        <v>0</v>
      </c>
      <c r="D75" s="16">
        <v>5</v>
      </c>
      <c r="E75" s="16">
        <v>0</v>
      </c>
      <c r="F75" s="16">
        <v>0</v>
      </c>
      <c r="G75" s="16">
        <v>0</v>
      </c>
    </row>
    <row r="76" spans="2:7" ht="15" customHeight="1">
      <c r="B76" s="8">
        <v>46149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</row>
    <row r="77" spans="2:7" ht="15" customHeight="1">
      <c r="B77" s="8">
        <v>46150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2:7" ht="15" customHeight="1">
      <c r="B78" s="8">
        <v>46151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</row>
    <row r="79" spans="2:7" ht="15" customHeight="1">
      <c r="B79" s="8">
        <v>46152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</row>
    <row r="80" spans="2:7" ht="15" customHeight="1">
      <c r="B80" s="8">
        <v>46153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2:7" ht="15" customHeight="1">
      <c r="B81" s="8">
        <v>46154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</row>
    <row r="82" spans="2:7" ht="15" customHeight="1">
      <c r="B82" s="8">
        <v>46155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</row>
    <row r="83" spans="2:7" ht="15" customHeight="1">
      <c r="B83" s="8">
        <v>46156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</row>
    <row r="84" spans="2:7" ht="15" customHeight="1">
      <c r="B84" s="8">
        <v>46157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</row>
    <row r="85" spans="2:7" ht="15" customHeight="1">
      <c r="B85" s="8">
        <v>46158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</row>
    <row r="86" spans="2:7" ht="15" customHeight="1">
      <c r="B86" s="8">
        <v>46159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</row>
    <row r="87" spans="2:7" ht="15" customHeight="1">
      <c r="B87" s="8">
        <v>46160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</row>
    <row r="88" spans="2:7" ht="15" customHeight="1">
      <c r="B88" s="8">
        <v>46161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2:7" ht="15" customHeight="1">
      <c r="B89" s="8">
        <v>46162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</row>
    <row r="90" spans="2:7" ht="15" customHeight="1">
      <c r="B90" s="8">
        <v>46163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</row>
    <row r="91" spans="2:7" ht="15" customHeight="1">
      <c r="B91" s="8">
        <v>46164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</row>
    <row r="92" spans="2:7" ht="15" customHeight="1">
      <c r="B92" s="8">
        <v>46165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</row>
    <row r="93" spans="2:7" ht="15" customHeight="1">
      <c r="B93" s="8">
        <v>46166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</row>
    <row r="94" spans="2:7" ht="15" customHeight="1">
      <c r="B94" s="8">
        <v>46167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</row>
    <row r="95" spans="2:7" ht="15" customHeight="1">
      <c r="B95" s="8">
        <v>46168</v>
      </c>
      <c r="C95" s="16">
        <v>0</v>
      </c>
      <c r="D95" s="16">
        <v>4.75</v>
      </c>
      <c r="E95" s="16">
        <v>0</v>
      </c>
      <c r="F95" s="16">
        <v>0</v>
      </c>
      <c r="G95" s="16">
        <v>0</v>
      </c>
    </row>
    <row r="96" spans="2:7" ht="15" customHeight="1">
      <c r="B96" s="8">
        <v>46169</v>
      </c>
      <c r="C96" s="16">
        <v>2</v>
      </c>
      <c r="D96" s="16">
        <v>5</v>
      </c>
      <c r="E96" s="16">
        <v>0</v>
      </c>
      <c r="F96" s="16">
        <v>0</v>
      </c>
      <c r="G96" s="16">
        <v>0</v>
      </c>
    </row>
    <row r="97" spans="2:7" ht="15" customHeight="1">
      <c r="B97" s="8">
        <v>46170</v>
      </c>
      <c r="C97" s="16">
        <v>5</v>
      </c>
      <c r="D97" s="16">
        <v>5</v>
      </c>
      <c r="E97" s="16">
        <v>0</v>
      </c>
      <c r="F97" s="16">
        <v>0</v>
      </c>
      <c r="G97" s="16">
        <v>0</v>
      </c>
    </row>
    <row r="98" spans="2:7" ht="15" customHeight="1">
      <c r="B98" s="8">
        <v>46171</v>
      </c>
      <c r="C98" s="16">
        <v>0</v>
      </c>
      <c r="D98" s="16">
        <v>5</v>
      </c>
      <c r="E98" s="16">
        <v>0</v>
      </c>
      <c r="F98" s="16">
        <v>0</v>
      </c>
      <c r="G98" s="16">
        <v>0</v>
      </c>
    </row>
    <row r="99" spans="2:7" ht="15" customHeight="1">
      <c r="B99" s="8">
        <v>46172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</row>
    <row r="100" spans="2:7" ht="15" customHeight="1">
      <c r="B100" s="8">
        <v>46173</v>
      </c>
      <c r="C100" s="16">
        <v>5</v>
      </c>
      <c r="D100" s="16">
        <v>0</v>
      </c>
      <c r="E100" s="16">
        <v>0</v>
      </c>
      <c r="F100" s="16">
        <v>0</v>
      </c>
      <c r="G100" s="16">
        <v>0</v>
      </c>
    </row>
    <row r="101" spans="2:7" ht="15" customHeight="1">
      <c r="B101" s="9" t="s">
        <v>39</v>
      </c>
      <c r="C101" s="17">
        <f>SUM(C70:C100)/31</f>
      </c>
      <c r="D101" s="17">
        <f>SUM(D70:D100)/31</f>
      </c>
      <c r="E101" s="17">
        <f>SUM(E70:E100)/31</f>
      </c>
      <c r="F101" s="17">
        <f>SUM(F70:F100)/31</f>
      </c>
      <c r="G101" s="17">
        <f>SUM(G70:G100)/31</f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196a06-7a66-4f26-b3f6-eff6591a0253}">
  <dimension ref="B1:H43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8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30</v>
      </c>
    </row>
    <row r="6" spans="2:8" ht="30" customHeight="1">
      <c r="B6" s="6" t="s">
        <v>18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</row>
    <row r="7" spans="2:8" ht="15" customHeight="1">
      <c r="B7" s="12" t="s">
        <v>44</v>
      </c>
      <c r="C7" s="10">
        <v>101</v>
      </c>
      <c r="D7" s="10">
        <v>112</v>
      </c>
      <c r="E7" s="10">
        <v>3</v>
      </c>
      <c r="F7" s="10">
        <v>2</v>
      </c>
      <c r="G7" s="10">
        <v>1</v>
      </c>
      <c r="H7" s="10">
        <f>SUM(C7:G7)</f>
      </c>
    </row>
    <row r="8" spans="2:8" ht="15" customHeight="1">
      <c r="B8" s="12" t="s">
        <v>45</v>
      </c>
      <c r="C8" s="10">
        <v>14</v>
      </c>
      <c r="D8" s="10">
        <v>5</v>
      </c>
      <c r="E8" s="10">
        <v>3</v>
      </c>
      <c r="F8" s="10">
        <v>1</v>
      </c>
      <c r="G8" s="10">
        <v>0</v>
      </c>
      <c r="H8" s="10">
        <f>SUM(C8:G8)</f>
      </c>
    </row>
    <row r="9" spans="2:8" ht="15" customHeight="1">
      <c r="B9" s="12" t="s">
        <v>46</v>
      </c>
      <c r="C9" s="10">
        <v>25</v>
      </c>
      <c r="D9" s="10">
        <v>14</v>
      </c>
      <c r="E9" s="10">
        <v>5</v>
      </c>
      <c r="F9" s="10">
        <v>0</v>
      </c>
      <c r="G9" s="10">
        <v>0</v>
      </c>
      <c r="H9" s="10">
        <f>SUM(C9:G9)</f>
      </c>
    </row>
    <row r="10" spans="2:8" ht="15" customHeight="1">
      <c r="B10" s="12" t="s">
        <v>47</v>
      </c>
      <c r="C10" s="10">
        <v>6</v>
      </c>
      <c r="D10" s="10">
        <v>11</v>
      </c>
      <c r="E10" s="10">
        <v>0</v>
      </c>
      <c r="F10" s="10">
        <v>0</v>
      </c>
      <c r="G10" s="10">
        <v>0</v>
      </c>
      <c r="H10" s="10">
        <f>SUM(C10:G10)</f>
      </c>
    </row>
    <row r="11" spans="2:8" ht="15" customHeight="1">
      <c r="B11" s="12" t="s">
        <v>48</v>
      </c>
      <c r="C11" s="10">
        <v>32</v>
      </c>
      <c r="D11" s="10">
        <v>43</v>
      </c>
      <c r="E11" s="10">
        <v>4</v>
      </c>
      <c r="F11" s="10">
        <v>0</v>
      </c>
      <c r="G11" s="10">
        <v>0</v>
      </c>
      <c r="H11" s="10">
        <f>SUM(C11:G11)</f>
      </c>
    </row>
    <row r="12" spans="2:8" ht="15" customHeight="1">
      <c r="B12" s="12" t="s">
        <v>49</v>
      </c>
      <c r="C12" s="10">
        <v>25</v>
      </c>
      <c r="D12" s="10">
        <v>15</v>
      </c>
      <c r="E12" s="10">
        <v>8</v>
      </c>
      <c r="F12" s="10">
        <v>0</v>
      </c>
      <c r="G12" s="10">
        <v>0</v>
      </c>
      <c r="H12" s="10">
        <f>SUM(C12:G12)</f>
      </c>
    </row>
    <row r="13" spans="2:8" ht="15" customHeight="1">
      <c r="B13" s="12" t="s">
        <v>50</v>
      </c>
      <c r="C13" s="10">
        <v>1</v>
      </c>
      <c r="D13" s="10">
        <v>1</v>
      </c>
      <c r="E13" s="10">
        <v>0</v>
      </c>
      <c r="F13" s="10">
        <v>0</v>
      </c>
      <c r="G13" s="10">
        <v>0</v>
      </c>
      <c r="H13" s="10">
        <f>SUM(C13:G13)</f>
      </c>
    </row>
    <row r="14" spans="2:8" ht="15" customHeight="1">
      <c r="B14" s="14" t="s">
        <v>51</v>
      </c>
      <c r="C14" s="11">
        <f>SUM(C7:C13)</f>
      </c>
      <c r="D14" s="11">
        <f>SUM(D7:D13)</f>
      </c>
      <c r="E14" s="11">
        <f>SUM(E7:E13)</f>
      </c>
      <c r="F14" s="11">
        <f>SUM(F7:F13)</f>
      </c>
      <c r="G14" s="11">
        <f>SUM(G7:G13)</f>
      </c>
      <c r="H14" s="11">
        <f>SUM(H7:H13)</f>
      </c>
    </row>
    <row r="15" ht="13" customHeight="1"/>
    <row r="16" ht="13" customHeight="1"/>
    <row r="17" spans="2:2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spans="2:2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7b5e95-c437-4c07-b7e4-9cd7b7f61ac8}">
  <dimension ref="B1:G194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31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spans="2:7" ht="30" customHeight="1">
      <c r="B30" s="6" t="s">
        <v>31</v>
      </c>
      <c r="C30" s="7" t="s">
        <v>7</v>
      </c>
      <c r="D30" s="7" t="s">
        <v>8</v>
      </c>
      <c r="E30" s="7" t="s">
        <v>9</v>
      </c>
      <c r="F30" s="7" t="s">
        <v>10</v>
      </c>
      <c r="G30" s="7" t="s">
        <v>11</v>
      </c>
    </row>
    <row r="31" spans="2:7" ht="15" customHeight="1">
      <c r="B31" s="12" t="s">
        <v>83</v>
      </c>
      <c r="C31" s="10">
        <v>70</v>
      </c>
      <c r="D31" s="10">
        <v>62</v>
      </c>
      <c r="E31" s="10">
        <v>3</v>
      </c>
      <c r="F31" s="10">
        <v>2</v>
      </c>
      <c r="G31" s="10">
        <v>1</v>
      </c>
    </row>
    <row r="32" spans="2:7" ht="15" customHeight="1">
      <c r="B32" s="12" t="s">
        <v>84</v>
      </c>
      <c r="C32" s="10">
        <v>37</v>
      </c>
      <c r="D32" s="10">
        <v>19</v>
      </c>
      <c r="E32" s="10">
        <v>8</v>
      </c>
      <c r="F32" s="10">
        <v>1</v>
      </c>
      <c r="G32" s="10">
        <v>0</v>
      </c>
    </row>
    <row r="33" spans="2:7" ht="15" customHeight="1">
      <c r="B33" s="12" t="s">
        <v>85</v>
      </c>
      <c r="C33" s="10">
        <v>13</v>
      </c>
      <c r="D33" s="10">
        <v>22</v>
      </c>
      <c r="E33" s="10">
        <v>3</v>
      </c>
      <c r="F33" s="10">
        <v>0</v>
      </c>
      <c r="G33" s="10">
        <v>0</v>
      </c>
    </row>
    <row r="34" spans="2:7" ht="15" customHeight="1">
      <c r="B34" s="12" t="s">
        <v>86</v>
      </c>
      <c r="C34" s="10">
        <v>7</v>
      </c>
      <c r="D34" s="10">
        <v>26</v>
      </c>
      <c r="E34" s="10">
        <v>0</v>
      </c>
      <c r="F34" s="10">
        <v>0</v>
      </c>
      <c r="G34" s="10">
        <v>0</v>
      </c>
    </row>
    <row r="35" spans="2:7" ht="15" customHeight="1">
      <c r="B35" s="12" t="s">
        <v>87</v>
      </c>
      <c r="C35" s="10">
        <v>13</v>
      </c>
      <c r="D35" s="10">
        <v>6</v>
      </c>
      <c r="E35" s="10">
        <v>7</v>
      </c>
      <c r="F35" s="10">
        <v>0</v>
      </c>
      <c r="G35" s="10">
        <v>0</v>
      </c>
    </row>
    <row r="36" spans="2:7" ht="15" customHeight="1">
      <c r="B36" s="12" t="s">
        <v>88</v>
      </c>
      <c r="C36" s="10">
        <v>9</v>
      </c>
      <c r="D36" s="10">
        <v>16</v>
      </c>
      <c r="E36" s="10">
        <v>0</v>
      </c>
      <c r="F36" s="10">
        <v>0</v>
      </c>
      <c r="G36" s="10">
        <v>0</v>
      </c>
    </row>
    <row r="37" spans="2:7" ht="15" customHeight="1">
      <c r="B37" s="12" t="s">
        <v>89</v>
      </c>
      <c r="C37" s="10">
        <v>12</v>
      </c>
      <c r="D37" s="10">
        <v>9</v>
      </c>
      <c r="E37" s="10">
        <v>1</v>
      </c>
      <c r="F37" s="10">
        <v>0</v>
      </c>
      <c r="G37" s="10">
        <v>0</v>
      </c>
    </row>
    <row r="38" spans="2:7" ht="15" customHeight="1">
      <c r="B38" s="12" t="s">
        <v>90</v>
      </c>
      <c r="C38" s="10">
        <v>12</v>
      </c>
      <c r="D38" s="10">
        <v>4</v>
      </c>
      <c r="E38" s="10">
        <v>0</v>
      </c>
      <c r="F38" s="10">
        <v>0</v>
      </c>
      <c r="G38" s="10">
        <v>0</v>
      </c>
    </row>
    <row r="39" spans="2:7" ht="15" customHeight="1">
      <c r="B39" s="12" t="s">
        <v>91</v>
      </c>
      <c r="C39" s="10">
        <v>5</v>
      </c>
      <c r="D39" s="10">
        <v>4</v>
      </c>
      <c r="E39" s="10">
        <v>0</v>
      </c>
      <c r="F39" s="10">
        <v>0</v>
      </c>
      <c r="G39" s="10">
        <v>0</v>
      </c>
    </row>
    <row r="40" spans="2:7" ht="15" customHeight="1">
      <c r="B40" s="12" t="s">
        <v>92</v>
      </c>
      <c r="C40" s="10">
        <v>2</v>
      </c>
      <c r="D40" s="10">
        <v>3</v>
      </c>
      <c r="E40" s="10">
        <v>0</v>
      </c>
      <c r="F40" s="10">
        <v>0</v>
      </c>
      <c r="G40" s="10">
        <v>0</v>
      </c>
    </row>
    <row r="41" spans="2:7" ht="15" customHeight="1">
      <c r="B41" s="12" t="s">
        <v>93</v>
      </c>
      <c r="C41" s="10">
        <v>1</v>
      </c>
      <c r="D41" s="10">
        <v>3</v>
      </c>
      <c r="E41" s="10">
        <v>0</v>
      </c>
      <c r="F41" s="10">
        <v>0</v>
      </c>
      <c r="G41" s="10">
        <v>0</v>
      </c>
    </row>
    <row r="42" spans="2:7" ht="15" customHeight="1">
      <c r="B42" s="12" t="s">
        <v>94</v>
      </c>
      <c r="C42" s="10">
        <v>4</v>
      </c>
      <c r="D42" s="10">
        <v>0</v>
      </c>
      <c r="E42" s="10">
        <v>0</v>
      </c>
      <c r="F42" s="10">
        <v>0</v>
      </c>
      <c r="G42" s="10">
        <v>0</v>
      </c>
    </row>
    <row r="43" spans="2:7" ht="15" customHeight="1">
      <c r="B43" s="12" t="s">
        <v>95</v>
      </c>
      <c r="C43" s="10">
        <v>0</v>
      </c>
      <c r="D43" s="10">
        <v>4</v>
      </c>
      <c r="E43" s="10">
        <v>0</v>
      </c>
      <c r="F43" s="10">
        <v>0</v>
      </c>
      <c r="G43" s="10">
        <v>0</v>
      </c>
    </row>
    <row r="44" spans="2:7" ht="15" customHeight="1">
      <c r="B44" s="12" t="s">
        <v>96</v>
      </c>
      <c r="C44" s="10">
        <v>2</v>
      </c>
      <c r="D44" s="10">
        <v>1</v>
      </c>
      <c r="E44" s="10">
        <v>0</v>
      </c>
      <c r="F44" s="10">
        <v>0</v>
      </c>
      <c r="G44" s="10">
        <v>0</v>
      </c>
    </row>
    <row r="45" spans="2:7" ht="15" customHeight="1">
      <c r="B45" s="12" t="s">
        <v>97</v>
      </c>
      <c r="C45" s="10">
        <v>2</v>
      </c>
      <c r="D45" s="10">
        <v>0</v>
      </c>
      <c r="E45" s="10">
        <v>1</v>
      </c>
      <c r="F45" s="10">
        <v>0</v>
      </c>
      <c r="G45" s="10">
        <v>0</v>
      </c>
    </row>
    <row r="46" spans="2:7" ht="15" customHeight="1">
      <c r="B46" s="12" t="s">
        <v>98</v>
      </c>
      <c r="C46" s="10">
        <v>2</v>
      </c>
      <c r="D46" s="10">
        <v>2</v>
      </c>
      <c r="E46" s="10">
        <v>0</v>
      </c>
      <c r="F46" s="10">
        <v>0</v>
      </c>
      <c r="G46" s="10">
        <v>0</v>
      </c>
    </row>
    <row r="47" spans="2:7" ht="15" customHeight="1">
      <c r="B47" s="12" t="s">
        <v>99</v>
      </c>
      <c r="C47" s="10">
        <v>3</v>
      </c>
      <c r="D47" s="10">
        <v>2</v>
      </c>
      <c r="E47" s="10">
        <v>0</v>
      </c>
      <c r="F47" s="10">
        <v>0</v>
      </c>
      <c r="G47" s="10">
        <v>0</v>
      </c>
    </row>
    <row r="48" spans="2:7" ht="15" customHeight="1">
      <c r="B48" s="12" t="s">
        <v>100</v>
      </c>
      <c r="C48" s="10">
        <v>2</v>
      </c>
      <c r="D48" s="10">
        <v>1</v>
      </c>
      <c r="E48" s="10">
        <v>0</v>
      </c>
      <c r="F48" s="10">
        <v>0</v>
      </c>
      <c r="G48" s="10">
        <v>0</v>
      </c>
    </row>
    <row r="49" spans="2:7" ht="15" customHeight="1">
      <c r="B49" s="12" t="s">
        <v>101</v>
      </c>
      <c r="C49" s="10">
        <v>1</v>
      </c>
      <c r="D49" s="10">
        <v>1</v>
      </c>
      <c r="E49" s="10">
        <v>0</v>
      </c>
      <c r="F49" s="10">
        <v>0</v>
      </c>
      <c r="G49" s="10">
        <v>0</v>
      </c>
    </row>
    <row r="50" spans="2:7" ht="15" customHeight="1">
      <c r="B50" s="12" t="s">
        <v>102</v>
      </c>
      <c r="C50" s="10">
        <v>0</v>
      </c>
      <c r="D50" s="10">
        <v>2</v>
      </c>
      <c r="E50" s="10">
        <v>0</v>
      </c>
      <c r="F50" s="10">
        <v>0</v>
      </c>
      <c r="G50" s="10">
        <v>0</v>
      </c>
    </row>
    <row r="51" spans="2:7" ht="15" customHeight="1">
      <c r="B51" s="12" t="s">
        <v>103</v>
      </c>
      <c r="C51" s="10">
        <v>0</v>
      </c>
      <c r="D51" s="10">
        <v>2</v>
      </c>
      <c r="E51" s="10">
        <v>0</v>
      </c>
      <c r="F51" s="10">
        <v>0</v>
      </c>
      <c r="G51" s="10">
        <v>0</v>
      </c>
    </row>
    <row r="52" spans="2:7" ht="15" customHeight="1">
      <c r="B52" s="12" t="s">
        <v>104</v>
      </c>
      <c r="C52" s="10">
        <v>1</v>
      </c>
      <c r="D52" s="10">
        <v>1</v>
      </c>
      <c r="E52" s="10">
        <v>0</v>
      </c>
      <c r="F52" s="10">
        <v>0</v>
      </c>
      <c r="G52" s="10">
        <v>0</v>
      </c>
    </row>
    <row r="53" spans="2:7" ht="15" customHeight="1">
      <c r="B53" s="12" t="s">
        <v>105</v>
      </c>
      <c r="C53" s="10">
        <v>0</v>
      </c>
      <c r="D53" s="10">
        <v>2</v>
      </c>
      <c r="E53" s="10">
        <v>0</v>
      </c>
      <c r="F53" s="10">
        <v>0</v>
      </c>
      <c r="G53" s="10">
        <v>0</v>
      </c>
    </row>
    <row r="54" spans="2:7" ht="15" customHeight="1">
      <c r="B54" s="12" t="s">
        <v>106</v>
      </c>
      <c r="C54" s="10">
        <v>0</v>
      </c>
      <c r="D54" s="10">
        <v>2</v>
      </c>
      <c r="E54" s="10">
        <v>0</v>
      </c>
      <c r="F54" s="10">
        <v>0</v>
      </c>
      <c r="G54" s="10">
        <v>0</v>
      </c>
    </row>
    <row r="55" spans="2:7" ht="15" customHeight="1">
      <c r="B55" s="12" t="s">
        <v>107</v>
      </c>
      <c r="C55" s="10">
        <v>2</v>
      </c>
      <c r="D55" s="10">
        <v>0</v>
      </c>
      <c r="E55" s="10">
        <v>0</v>
      </c>
      <c r="F55" s="10">
        <v>0</v>
      </c>
      <c r="G55" s="10">
        <v>0</v>
      </c>
    </row>
    <row r="56" spans="2:7" ht="15" customHeight="1">
      <c r="B56" s="12" t="s">
        <v>108</v>
      </c>
      <c r="C56" s="10">
        <v>1</v>
      </c>
      <c r="D56" s="10">
        <v>0</v>
      </c>
      <c r="E56" s="10">
        <v>0</v>
      </c>
      <c r="F56" s="10">
        <v>0</v>
      </c>
      <c r="G56" s="10">
        <v>0</v>
      </c>
    </row>
    <row r="57" spans="2:7" ht="15" customHeight="1">
      <c r="B57" s="12" t="s">
        <v>109</v>
      </c>
      <c r="C57" s="10">
        <v>1</v>
      </c>
      <c r="D57" s="10">
        <v>0</v>
      </c>
      <c r="E57" s="10">
        <v>0</v>
      </c>
      <c r="F57" s="10">
        <v>0</v>
      </c>
      <c r="G57" s="10">
        <v>0</v>
      </c>
    </row>
    <row r="58" spans="2:7" ht="15" customHeight="1">
      <c r="B58" s="12" t="s">
        <v>110</v>
      </c>
      <c r="C58" s="10">
        <v>1</v>
      </c>
      <c r="D58" s="10">
        <v>0</v>
      </c>
      <c r="E58" s="10">
        <v>0</v>
      </c>
      <c r="F58" s="10">
        <v>0</v>
      </c>
      <c r="G58" s="10">
        <v>0</v>
      </c>
    </row>
    <row r="59" spans="2:7" ht="15" customHeight="1">
      <c r="B59" s="12" t="s">
        <v>111</v>
      </c>
      <c r="C59" s="10">
        <v>0</v>
      </c>
      <c r="D59" s="10">
        <v>1</v>
      </c>
      <c r="E59" s="10">
        <v>0</v>
      </c>
      <c r="F59" s="10">
        <v>0</v>
      </c>
      <c r="G59" s="10">
        <v>0</v>
      </c>
    </row>
    <row r="60" spans="2:7" ht="15" customHeight="1">
      <c r="B60" s="12" t="s">
        <v>112</v>
      </c>
      <c r="C60" s="10">
        <v>0</v>
      </c>
      <c r="D60" s="10">
        <v>1</v>
      </c>
      <c r="E60" s="10">
        <v>0</v>
      </c>
      <c r="F60" s="10">
        <v>0</v>
      </c>
      <c r="G60" s="10">
        <v>0</v>
      </c>
    </row>
    <row r="61" spans="2:7" ht="15" customHeight="1">
      <c r="B61" s="12" t="s">
        <v>113</v>
      </c>
      <c r="C61" s="10">
        <v>1</v>
      </c>
      <c r="D61" s="10">
        <v>0</v>
      </c>
      <c r="E61" s="10">
        <v>0</v>
      </c>
      <c r="F61" s="10">
        <v>0</v>
      </c>
      <c r="G61" s="10">
        <v>0</v>
      </c>
    </row>
    <row r="62" spans="2:7" ht="15" customHeight="1">
      <c r="B62" s="12" t="s">
        <v>114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</row>
    <row r="63" spans="2:7" ht="15" customHeight="1">
      <c r="B63" s="12" t="s">
        <v>115</v>
      </c>
      <c r="C63" s="10">
        <v>0</v>
      </c>
      <c r="D63" s="10">
        <v>1</v>
      </c>
      <c r="E63" s="10">
        <v>0</v>
      </c>
      <c r="F63" s="10">
        <v>0</v>
      </c>
      <c r="G63" s="10">
        <v>0</v>
      </c>
    </row>
    <row r="64" spans="2:7" ht="15" customHeight="1">
      <c r="B64" s="12" t="s">
        <v>116</v>
      </c>
      <c r="C64" s="10">
        <v>0</v>
      </c>
      <c r="D64" s="10">
        <v>1</v>
      </c>
      <c r="E64" s="10">
        <v>0</v>
      </c>
      <c r="F64" s="10">
        <v>0</v>
      </c>
      <c r="G64" s="10">
        <v>0</v>
      </c>
    </row>
    <row r="65" spans="2:7" ht="15" customHeight="1">
      <c r="B65" s="12" t="s">
        <v>117</v>
      </c>
      <c r="C65" s="10">
        <v>0</v>
      </c>
      <c r="D65" s="10">
        <v>1</v>
      </c>
      <c r="E65" s="10">
        <v>0</v>
      </c>
      <c r="F65" s="10">
        <v>0</v>
      </c>
      <c r="G65" s="10">
        <v>0</v>
      </c>
    </row>
    <row r="66" spans="2:7" ht="15" customHeight="1">
      <c r="B66" s="12" t="s">
        <v>118</v>
      </c>
      <c r="C66" s="10">
        <v>0</v>
      </c>
      <c r="D66" s="10">
        <v>1</v>
      </c>
      <c r="E66" s="10">
        <v>0</v>
      </c>
      <c r="F66" s="10">
        <v>0</v>
      </c>
      <c r="G66" s="10">
        <v>0</v>
      </c>
    </row>
    <row r="69" spans="2:2" ht="12.75">
      <c r="B69" s="5" t="s">
        <v>119</v>
      </c>
    </row>
    <row r="70" ht="13" customHeight="1"/>
    <row r="71" spans="2:2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spans="2:7" ht="30" customHeight="1">
      <c r="B94" s="6" t="s">
        <v>31</v>
      </c>
      <c r="C94" s="7" t="s">
        <v>7</v>
      </c>
      <c r="D94" s="7" t="s">
        <v>8</v>
      </c>
      <c r="E94" s="7" t="s">
        <v>9</v>
      </c>
      <c r="F94" s="7" t="s">
        <v>10</v>
      </c>
      <c r="G94" s="7" t="s">
        <v>11</v>
      </c>
    </row>
    <row r="95" spans="2:7" ht="15" customHeight="1">
      <c r="B95" s="12" t="s">
        <v>83</v>
      </c>
      <c r="C95" s="10">
        <v>2989299</v>
      </c>
      <c r="D95" s="10">
        <v>15323731</v>
      </c>
      <c r="E95" s="10">
        <v>80428</v>
      </c>
      <c r="F95" s="10">
        <v>211774</v>
      </c>
      <c r="G95" s="10">
        <v>50</v>
      </c>
    </row>
    <row r="96" spans="2:7" ht="15" customHeight="1">
      <c r="B96" s="12" t="s">
        <v>89</v>
      </c>
      <c r="C96" s="10">
        <v>4439320</v>
      </c>
      <c r="D96" s="10">
        <v>270875</v>
      </c>
      <c r="E96" s="10">
        <v>176000</v>
      </c>
      <c r="F96" s="10">
        <v>0</v>
      </c>
      <c r="G96" s="10">
        <v>0</v>
      </c>
    </row>
    <row r="97" spans="2:7" ht="15" customHeight="1">
      <c r="B97" s="12" t="s">
        <v>85</v>
      </c>
      <c r="C97" s="10">
        <v>2034918</v>
      </c>
      <c r="D97" s="10">
        <v>1542996</v>
      </c>
      <c r="E97" s="10">
        <v>108175</v>
      </c>
      <c r="F97" s="10">
        <v>0</v>
      </c>
      <c r="G97" s="10">
        <v>0</v>
      </c>
    </row>
    <row r="98" spans="2:7" ht="15" customHeight="1">
      <c r="B98" s="12" t="s">
        <v>88</v>
      </c>
      <c r="C98" s="10">
        <v>1435431</v>
      </c>
      <c r="D98" s="10">
        <v>1806676</v>
      </c>
      <c r="E98" s="10">
        <v>0</v>
      </c>
      <c r="F98" s="10">
        <v>0</v>
      </c>
      <c r="G98" s="10">
        <v>0</v>
      </c>
    </row>
    <row r="99" spans="2:7" ht="15" customHeight="1">
      <c r="B99" s="12" t="s">
        <v>84</v>
      </c>
      <c r="C99" s="10">
        <v>2311935</v>
      </c>
      <c r="D99" s="10">
        <v>432754</v>
      </c>
      <c r="E99" s="10">
        <v>199551</v>
      </c>
      <c r="F99" s="10">
        <v>5845</v>
      </c>
      <c r="G99" s="10">
        <v>0</v>
      </c>
    </row>
    <row r="100" spans="2:7" ht="15" customHeight="1">
      <c r="B100" s="12" t="s">
        <v>90</v>
      </c>
      <c r="C100" s="10">
        <v>1540677</v>
      </c>
      <c r="D100" s="10">
        <v>1010563</v>
      </c>
      <c r="E100" s="10">
        <v>0</v>
      </c>
      <c r="F100" s="10">
        <v>0</v>
      </c>
      <c r="G100" s="10">
        <v>0</v>
      </c>
    </row>
    <row r="101" spans="2:7" ht="15" customHeight="1">
      <c r="B101" s="12" t="s">
        <v>101</v>
      </c>
      <c r="C101" s="10">
        <v>113700</v>
      </c>
      <c r="D101" s="10">
        <v>60700</v>
      </c>
      <c r="E101" s="10">
        <v>0</v>
      </c>
      <c r="F101" s="10">
        <v>0</v>
      </c>
      <c r="G101" s="10">
        <v>0</v>
      </c>
    </row>
    <row r="102" spans="2:7" ht="15" customHeight="1">
      <c r="B102" s="12" t="s">
        <v>96</v>
      </c>
      <c r="C102" s="10">
        <v>116186</v>
      </c>
      <c r="D102" s="10">
        <v>116110</v>
      </c>
      <c r="E102" s="10">
        <v>0</v>
      </c>
      <c r="F102" s="10">
        <v>0</v>
      </c>
      <c r="G102" s="10">
        <v>0</v>
      </c>
    </row>
    <row r="103" spans="2:7" ht="15" customHeight="1">
      <c r="B103" s="12" t="s">
        <v>86</v>
      </c>
      <c r="C103" s="10">
        <v>15965</v>
      </c>
      <c r="D103" s="10">
        <v>46312</v>
      </c>
      <c r="E103" s="10">
        <v>0</v>
      </c>
      <c r="F103" s="10">
        <v>0</v>
      </c>
      <c r="G103" s="10">
        <v>0</v>
      </c>
    </row>
    <row r="104" spans="2:7" ht="15" customHeight="1">
      <c r="B104" s="12" t="s">
        <v>107</v>
      </c>
      <c r="C104" s="10">
        <v>5653</v>
      </c>
      <c r="D104" s="10">
        <v>0</v>
      </c>
      <c r="E104" s="10">
        <v>0</v>
      </c>
      <c r="F104" s="10">
        <v>0</v>
      </c>
      <c r="G104" s="10">
        <v>0</v>
      </c>
    </row>
    <row r="105" spans="2:7" ht="15" customHeight="1">
      <c r="B105" s="12" t="s">
        <v>93</v>
      </c>
      <c r="C105" s="10">
        <v>2</v>
      </c>
      <c r="D105" s="10">
        <v>3272</v>
      </c>
      <c r="E105" s="10">
        <v>0</v>
      </c>
      <c r="F105" s="10">
        <v>0</v>
      </c>
      <c r="G105" s="10">
        <v>0</v>
      </c>
    </row>
    <row r="106" spans="2:7" ht="15" customHeight="1">
      <c r="B106" s="12" t="s">
        <v>113</v>
      </c>
      <c r="C106" s="10">
        <v>2520</v>
      </c>
      <c r="D106" s="10">
        <v>0</v>
      </c>
      <c r="E106" s="10">
        <v>0</v>
      </c>
      <c r="F106" s="10">
        <v>0</v>
      </c>
      <c r="G106" s="10">
        <v>0</v>
      </c>
    </row>
    <row r="107" spans="2:7" ht="15" customHeight="1">
      <c r="B107" s="12" t="s">
        <v>91</v>
      </c>
      <c r="C107" s="10">
        <v>1922</v>
      </c>
      <c r="D107" s="10">
        <v>226</v>
      </c>
      <c r="E107" s="10">
        <v>0</v>
      </c>
      <c r="F107" s="10">
        <v>0</v>
      </c>
      <c r="G107" s="10">
        <v>0</v>
      </c>
    </row>
    <row r="108" spans="2:7" ht="15" customHeight="1">
      <c r="B108" s="12" t="s">
        <v>92</v>
      </c>
      <c r="C108" s="10">
        <v>30</v>
      </c>
      <c r="D108" s="10">
        <v>613</v>
      </c>
      <c r="E108" s="10">
        <v>0</v>
      </c>
      <c r="F108" s="10">
        <v>0</v>
      </c>
      <c r="G108" s="10">
        <v>0</v>
      </c>
    </row>
    <row r="109" spans="2:7" ht="15" customHeight="1">
      <c r="B109" s="12" t="s">
        <v>112</v>
      </c>
      <c r="C109" s="10">
        <v>0</v>
      </c>
      <c r="D109" s="10">
        <v>280</v>
      </c>
      <c r="E109" s="10">
        <v>0</v>
      </c>
      <c r="F109" s="10">
        <v>0</v>
      </c>
      <c r="G109" s="10">
        <v>0</v>
      </c>
    </row>
    <row r="110" spans="2:7" ht="15" customHeight="1">
      <c r="B110" s="12" t="s">
        <v>111</v>
      </c>
      <c r="C110" s="10">
        <v>0</v>
      </c>
      <c r="D110" s="10">
        <v>138</v>
      </c>
      <c r="E110" s="10">
        <v>0</v>
      </c>
      <c r="F110" s="10">
        <v>0</v>
      </c>
      <c r="G110" s="10">
        <v>0</v>
      </c>
    </row>
    <row r="111" spans="2:7" ht="15" customHeight="1">
      <c r="B111" s="12" t="s">
        <v>108</v>
      </c>
      <c r="C111" s="10">
        <v>115</v>
      </c>
      <c r="D111" s="10">
        <v>0</v>
      </c>
      <c r="E111" s="10">
        <v>0</v>
      </c>
      <c r="F111" s="10">
        <v>0</v>
      </c>
      <c r="G111" s="10">
        <v>0</v>
      </c>
    </row>
    <row r="112" spans="2:7" ht="15" customHeight="1">
      <c r="B112" s="12" t="s">
        <v>97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</row>
    <row r="113" spans="2:7" ht="15" customHeight="1">
      <c r="B113" s="12" t="s">
        <v>102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</row>
    <row r="114" spans="2:7" ht="15" customHeight="1">
      <c r="B114" s="12" t="s">
        <v>109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</row>
    <row r="115" spans="2:7" ht="15" customHeight="1">
      <c r="B115" s="12" t="s">
        <v>110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</row>
    <row r="116" spans="2:7" ht="15" customHeight="1">
      <c r="B116" s="12" t="s">
        <v>94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</row>
    <row r="117" spans="2:7" ht="15" customHeight="1">
      <c r="B117" s="12" t="s">
        <v>114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</row>
    <row r="118" spans="2:7" ht="15" customHeight="1">
      <c r="B118" s="12" t="s">
        <v>98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 spans="2:7" ht="15" customHeight="1">
      <c r="B119" s="12" t="s">
        <v>115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</row>
    <row r="120" spans="2:7" ht="15" customHeight="1">
      <c r="B120" s="12" t="s">
        <v>103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 spans="2:7" ht="15" customHeight="1">
      <c r="B121" s="12" t="s">
        <v>99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</row>
    <row r="122" spans="2:7" ht="15" customHeight="1">
      <c r="B122" s="12" t="s">
        <v>104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</row>
    <row r="123" spans="2:7" ht="15" customHeight="1">
      <c r="B123" s="12" t="s">
        <v>116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</row>
    <row r="124" spans="2:7" ht="15" customHeight="1">
      <c r="B124" s="12" t="s">
        <v>117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 spans="2:7" ht="15" customHeight="1">
      <c r="B125" s="12" t="s">
        <v>118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</row>
    <row r="126" spans="2:7" ht="15" customHeight="1">
      <c r="B126" s="12" t="s">
        <v>100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 spans="2:7" ht="15" customHeight="1">
      <c r="B127" s="12" t="s">
        <v>105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</row>
    <row r="128" spans="2:7" ht="15" customHeight="1">
      <c r="B128" s="12" t="s">
        <v>106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 spans="2:7" ht="15" customHeight="1">
      <c r="B129" s="12" t="s">
        <v>87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</row>
    <row r="130" spans="2:7" ht="15" customHeight="1">
      <c r="B130" s="12" t="s">
        <v>95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3" spans="2:2" ht="12.75">
      <c r="B133" s="5" t="s">
        <v>120</v>
      </c>
    </row>
    <row r="134" ht="13" customHeight="1"/>
    <row r="135" spans="2:2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spans="2:7" ht="30" customHeight="1">
      <c r="B158" s="6" t="s">
        <v>31</v>
      </c>
      <c r="C158" s="7" t="s">
        <v>7</v>
      </c>
      <c r="D158" s="7" t="s">
        <v>8</v>
      </c>
      <c r="E158" s="7" t="s">
        <v>9</v>
      </c>
      <c r="F158" s="7" t="s">
        <v>10</v>
      </c>
      <c r="G158" s="7" t="s">
        <v>11</v>
      </c>
    </row>
    <row r="159" spans="2:7" ht="15" customHeight="1">
      <c r="B159" s="12" t="s">
        <v>89</v>
      </c>
      <c r="C159" s="10">
        <v>1387</v>
      </c>
      <c r="D159" s="10">
        <v>1285</v>
      </c>
      <c r="E159" s="10">
        <v>0</v>
      </c>
      <c r="F159" s="10">
        <v>0</v>
      </c>
      <c r="G159" s="10">
        <v>0</v>
      </c>
    </row>
    <row r="160" spans="2:7" ht="15" customHeight="1">
      <c r="B160" s="12" t="s">
        <v>84</v>
      </c>
      <c r="C160" s="10">
        <v>1129</v>
      </c>
      <c r="D160" s="10">
        <v>11</v>
      </c>
      <c r="E160" s="10">
        <v>1</v>
      </c>
      <c r="F160" s="10">
        <v>0</v>
      </c>
      <c r="G160" s="10">
        <v>0</v>
      </c>
    </row>
    <row r="161" spans="2:7" ht="15" customHeight="1">
      <c r="B161" s="12" t="s">
        <v>85</v>
      </c>
      <c r="C161" s="10">
        <v>719</v>
      </c>
      <c r="D161" s="10">
        <v>350</v>
      </c>
      <c r="E161" s="10">
        <v>4</v>
      </c>
      <c r="F161" s="10">
        <v>0</v>
      </c>
      <c r="G161" s="10">
        <v>0</v>
      </c>
    </row>
    <row r="162" spans="2:7" ht="15" customHeight="1">
      <c r="B162" s="12" t="s">
        <v>83</v>
      </c>
      <c r="C162" s="10">
        <v>154</v>
      </c>
      <c r="D162" s="10">
        <v>80</v>
      </c>
      <c r="E162" s="10">
        <v>8</v>
      </c>
      <c r="F162" s="10">
        <v>0</v>
      </c>
      <c r="G162" s="10">
        <v>0</v>
      </c>
    </row>
    <row r="163" spans="2:7" ht="15" customHeight="1">
      <c r="B163" s="12" t="s">
        <v>88</v>
      </c>
      <c r="C163" s="10">
        <v>6</v>
      </c>
      <c r="D163" s="10">
        <v>201</v>
      </c>
      <c r="E163" s="10">
        <v>0</v>
      </c>
      <c r="F163" s="10">
        <v>0</v>
      </c>
      <c r="G163" s="10">
        <v>0</v>
      </c>
    </row>
    <row r="164" spans="2:7" ht="15" customHeight="1">
      <c r="B164" s="12" t="s">
        <v>90</v>
      </c>
      <c r="C164" s="10">
        <v>11</v>
      </c>
      <c r="D164" s="10">
        <v>30</v>
      </c>
      <c r="E164" s="10">
        <v>0</v>
      </c>
      <c r="F164" s="10">
        <v>0</v>
      </c>
      <c r="G164" s="10">
        <v>0</v>
      </c>
    </row>
    <row r="165" spans="2:7" ht="15" customHeight="1">
      <c r="B165" s="12" t="s">
        <v>107</v>
      </c>
      <c r="C165" s="10">
        <v>16</v>
      </c>
      <c r="D165" s="10">
        <v>0</v>
      </c>
      <c r="E165" s="10">
        <v>0</v>
      </c>
      <c r="F165" s="10">
        <v>0</v>
      </c>
      <c r="G165" s="10">
        <v>0</v>
      </c>
    </row>
    <row r="166" spans="2:7" ht="15" customHeight="1">
      <c r="B166" s="12" t="s">
        <v>91</v>
      </c>
      <c r="C166" s="10">
        <v>8</v>
      </c>
      <c r="D166" s="10">
        <v>9</v>
      </c>
      <c r="E166" s="10">
        <v>0</v>
      </c>
      <c r="F166" s="10">
        <v>0</v>
      </c>
      <c r="G166" s="10">
        <v>0</v>
      </c>
    </row>
    <row r="167" spans="2:7" ht="15" customHeight="1">
      <c r="B167" s="12" t="s">
        <v>93</v>
      </c>
      <c r="C167" s="10">
        <v>1</v>
      </c>
      <c r="D167" s="10">
        <v>9</v>
      </c>
      <c r="E167" s="10">
        <v>0</v>
      </c>
      <c r="F167" s="10">
        <v>0</v>
      </c>
      <c r="G167" s="10">
        <v>0</v>
      </c>
    </row>
    <row r="168" spans="2:7" ht="15" customHeight="1">
      <c r="B168" s="12" t="s">
        <v>99</v>
      </c>
      <c r="C168" s="10">
        <v>7</v>
      </c>
      <c r="D168" s="10">
        <v>6</v>
      </c>
      <c r="E168" s="10">
        <v>0</v>
      </c>
      <c r="F168" s="10">
        <v>0</v>
      </c>
      <c r="G168" s="10">
        <v>0</v>
      </c>
    </row>
    <row r="169" spans="2:7" ht="15" customHeight="1">
      <c r="B169" s="12" t="s">
        <v>92</v>
      </c>
      <c r="C169" s="10">
        <v>1</v>
      </c>
      <c r="D169" s="10">
        <v>2</v>
      </c>
      <c r="E169" s="10">
        <v>0</v>
      </c>
      <c r="F169" s="10">
        <v>0</v>
      </c>
      <c r="G169" s="10">
        <v>0</v>
      </c>
    </row>
    <row r="170" spans="2:7" ht="15" customHeight="1">
      <c r="B170" s="12" t="s">
        <v>96</v>
      </c>
      <c r="C170" s="10">
        <v>0</v>
      </c>
      <c r="D170" s="10">
        <v>2</v>
      </c>
      <c r="E170" s="10">
        <v>0</v>
      </c>
      <c r="F170" s="10">
        <v>0</v>
      </c>
      <c r="G170" s="10">
        <v>0</v>
      </c>
    </row>
    <row r="171" spans="2:7" ht="15" customHeight="1">
      <c r="B171" s="12" t="s">
        <v>108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</row>
    <row r="172" spans="2:7" ht="15" customHeight="1">
      <c r="B172" s="12" t="s">
        <v>86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</row>
    <row r="173" spans="2:7" ht="15" customHeight="1">
      <c r="B173" s="12" t="s">
        <v>101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</row>
    <row r="174" spans="2:7" ht="15" customHeight="1">
      <c r="B174" s="12" t="s">
        <v>97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</row>
    <row r="175" spans="2:7" ht="15" customHeight="1">
      <c r="B175" s="12" t="s">
        <v>102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</row>
    <row r="176" spans="2:7" ht="15" customHeight="1">
      <c r="B176" s="12" t="s">
        <v>109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</row>
    <row r="177" spans="2:7" ht="15" customHeight="1">
      <c r="B177" s="12" t="s">
        <v>110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</row>
    <row r="178" spans="2:7" ht="15" customHeight="1">
      <c r="B178" s="12" t="s">
        <v>111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</row>
    <row r="179" spans="2:7" ht="15" customHeight="1">
      <c r="B179" s="12" t="s">
        <v>94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</row>
    <row r="180" spans="2:7" ht="15" customHeight="1">
      <c r="B180" s="12" t="s">
        <v>112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</row>
    <row r="181" spans="2:7" ht="15" customHeight="1">
      <c r="B181" s="12" t="s">
        <v>113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</row>
    <row r="182" spans="2:7" ht="15" customHeight="1">
      <c r="B182" s="12" t="s">
        <v>114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</row>
    <row r="183" spans="2:7" ht="15" customHeight="1">
      <c r="B183" s="12" t="s">
        <v>98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</row>
    <row r="184" spans="2:7" ht="15" customHeight="1">
      <c r="B184" s="12" t="s">
        <v>115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</row>
    <row r="185" spans="2:7" ht="15" customHeight="1">
      <c r="B185" s="12" t="s">
        <v>103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</row>
    <row r="186" spans="2:7" ht="15" customHeight="1">
      <c r="B186" s="12" t="s">
        <v>104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</row>
    <row r="187" spans="2:7" ht="15" customHeight="1">
      <c r="B187" s="12" t="s">
        <v>116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</row>
    <row r="188" spans="2:7" ht="15" customHeight="1">
      <c r="B188" s="12" t="s">
        <v>117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</row>
    <row r="189" spans="2:7" ht="15" customHeight="1">
      <c r="B189" s="12" t="s">
        <v>118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</row>
    <row r="190" spans="2:7" ht="15" customHeight="1">
      <c r="B190" s="12" t="s">
        <v>100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</row>
    <row r="191" spans="2:7" ht="15" customHeight="1">
      <c r="B191" s="12" t="s">
        <v>105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</row>
    <row r="192" spans="2:7" ht="15" customHeight="1">
      <c r="B192" s="12" t="s">
        <v>106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</row>
    <row r="193" spans="2:7" ht="15" customHeight="1">
      <c r="B193" s="12" t="s">
        <v>87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</row>
    <row r="194" spans="2:7" ht="15" customHeight="1">
      <c r="B194" s="12" t="s">
        <v>95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a2ca8f-e736-42e7-897e-a1da645f67a1}">
  <dimension ref="B1:L15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2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32</v>
      </c>
    </row>
    <row r="6" spans="2:12" ht="30" customHeight="1">
      <c r="B6" s="6" t="s">
        <v>224</v>
      </c>
      <c r="C6" s="6" t="s">
        <v>225</v>
      </c>
      <c r="D6" s="6" t="s">
        <v>226</v>
      </c>
      <c r="E6" s="6" t="s">
        <v>227</v>
      </c>
      <c r="F6" s="6" t="s">
        <v>228</v>
      </c>
      <c r="G6" s="6" t="s">
        <v>229</v>
      </c>
      <c r="H6" s="6" t="s">
        <v>230</v>
      </c>
      <c r="I6" s="6" t="s">
        <v>231</v>
      </c>
      <c r="J6" s="6" t="s">
        <v>232</v>
      </c>
      <c r="K6" s="6" t="s">
        <v>233</v>
      </c>
      <c r="L6" s="6" t="s">
        <v>234</v>
      </c>
    </row>
    <row r="7" spans="2:12" ht="15" customHeight="1">
      <c r="B7" s="12" t="s">
        <v>7</v>
      </c>
      <c r="C7" s="28" t="s">
        <v>235</v>
      </c>
      <c r="D7" s="28" t="s">
        <v>236</v>
      </c>
      <c r="E7" s="28" t="s">
        <v>237</v>
      </c>
      <c r="F7" s="28" t="s">
        <v>238</v>
      </c>
      <c r="G7" s="28" t="s">
        <v>239</v>
      </c>
      <c r="H7" s="28" t="s">
        <v>240</v>
      </c>
      <c r="I7" s="28" t="s">
        <v>241</v>
      </c>
      <c r="J7" s="28" t="s">
        <v>242</v>
      </c>
      <c r="K7" s="28" t="s">
        <v>243</v>
      </c>
      <c r="L7" s="28" t="s">
        <v>244</v>
      </c>
    </row>
    <row r="8" spans="2:12" ht="15" customHeight="1">
      <c r="B8" s="12" t="s">
        <v>8</v>
      </c>
      <c r="C8" s="28" t="s">
        <v>245</v>
      </c>
      <c r="D8" s="28" t="s">
        <v>246</v>
      </c>
      <c r="E8" s="28" t="s">
        <v>247</v>
      </c>
      <c r="F8" s="28" t="s">
        <v>248</v>
      </c>
      <c r="G8" s="28" t="s">
        <v>249</v>
      </c>
      <c r="H8" s="28" t="s">
        <v>244</v>
      </c>
      <c r="I8" s="28" t="s">
        <v>250</v>
      </c>
      <c r="J8" s="28" t="s">
        <v>243</v>
      </c>
      <c r="K8" s="28" t="s">
        <v>251</v>
      </c>
      <c r="L8" s="28" t="s">
        <v>252</v>
      </c>
    </row>
    <row r="9" spans="2:12" ht="15" customHeight="1">
      <c r="B9" s="12" t="s">
        <v>9</v>
      </c>
      <c r="C9" s="28" t="s">
        <v>253</v>
      </c>
      <c r="D9" s="28" t="s">
        <v>254</v>
      </c>
      <c r="E9" s="28" t="s">
        <v>255</v>
      </c>
      <c r="F9" s="28" t="s">
        <v>256</v>
      </c>
      <c r="G9" s="28" t="s">
        <v>257</v>
      </c>
      <c r="H9" s="28" t="s">
        <v>257</v>
      </c>
      <c r="I9" s="28" t="s">
        <v>257</v>
      </c>
      <c r="J9" s="28" t="s">
        <v>257</v>
      </c>
      <c r="K9" s="28" t="s">
        <v>257</v>
      </c>
      <c r="L9" s="28" t="s">
        <v>257</v>
      </c>
    </row>
    <row r="10" spans="2:12" ht="15" customHeight="1">
      <c r="B10" s="12" t="s">
        <v>11</v>
      </c>
      <c r="C10" s="28" t="s">
        <v>258</v>
      </c>
      <c r="D10" s="28" t="s">
        <v>259</v>
      </c>
      <c r="E10" s="28" t="s">
        <v>257</v>
      </c>
      <c r="F10" s="28" t="s">
        <v>257</v>
      </c>
      <c r="G10" s="28" t="s">
        <v>257</v>
      </c>
      <c r="H10" s="28" t="s">
        <v>257</v>
      </c>
      <c r="I10" s="28" t="s">
        <v>257</v>
      </c>
      <c r="J10" s="28" t="s">
        <v>257</v>
      </c>
      <c r="K10" s="28" t="s">
        <v>257</v>
      </c>
      <c r="L10" s="28" t="s">
        <v>257</v>
      </c>
    </row>
    <row r="11" spans="2:12" ht="15" customHeight="1">
      <c r="B11" s="12" t="s">
        <v>260</v>
      </c>
      <c r="C11" s="28" t="s">
        <v>257</v>
      </c>
      <c r="D11" s="28" t="s">
        <v>257</v>
      </c>
      <c r="E11" s="28" t="s">
        <v>257</v>
      </c>
      <c r="F11" s="28" t="s">
        <v>257</v>
      </c>
      <c r="G11" s="28" t="s">
        <v>257</v>
      </c>
      <c r="H11" s="28" t="s">
        <v>257</v>
      </c>
      <c r="I11" s="28" t="s">
        <v>257</v>
      </c>
      <c r="J11" s="28" t="s">
        <v>257</v>
      </c>
      <c r="K11" s="28" t="s">
        <v>257</v>
      </c>
      <c r="L11" s="28" t="s">
        <v>257</v>
      </c>
    </row>
    <row r="12" spans="2:12" ht="15" customHeight="1">
      <c r="B12" s="12" t="s">
        <v>10</v>
      </c>
      <c r="C12" s="28" t="s">
        <v>257</v>
      </c>
      <c r="D12" s="28" t="s">
        <v>257</v>
      </c>
      <c r="E12" s="28" t="s">
        <v>257</v>
      </c>
      <c r="F12" s="28" t="s">
        <v>257</v>
      </c>
      <c r="G12" s="28" t="s">
        <v>257</v>
      </c>
      <c r="H12" s="28" t="s">
        <v>257</v>
      </c>
      <c r="I12" s="28" t="s">
        <v>257</v>
      </c>
      <c r="J12" s="28" t="s">
        <v>257</v>
      </c>
      <c r="K12" s="28" t="s">
        <v>257</v>
      </c>
      <c r="L12" s="28" t="s">
        <v>257</v>
      </c>
    </row>
    <row r="13" spans="2:12" ht="15" customHeight="1">
      <c r="B13" s="12" t="s">
        <v>261</v>
      </c>
      <c r="C13" s="28" t="s">
        <v>257</v>
      </c>
      <c r="D13" s="28" t="s">
        <v>257</v>
      </c>
      <c r="E13" s="28" t="s">
        <v>257</v>
      </c>
      <c r="F13" s="28" t="s">
        <v>257</v>
      </c>
      <c r="G13" s="28" t="s">
        <v>257</v>
      </c>
      <c r="H13" s="28" t="s">
        <v>257</v>
      </c>
      <c r="I13" s="28" t="s">
        <v>257</v>
      </c>
      <c r="J13" s="28" t="s">
        <v>257</v>
      </c>
      <c r="K13" s="28" t="s">
        <v>257</v>
      </c>
      <c r="L13" s="28" t="s">
        <v>257</v>
      </c>
    </row>
    <row r="15" spans="2:2" ht="15" customHeight="1">
      <c r="B15" s="29" t="s">
        <v>262</v>
      </c>
    </row>
  </sheetData>
  <hyperlinks>
    <hyperlink ref="C1" location="Содержание!B4" display="К содержанию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3b3383-9721-4072-9f7b-85172dd6025e}">
  <dimension ref="B1:F67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40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spans="2:6" ht="30" customHeight="1">
      <c r="B24" s="6" t="s">
        <v>121</v>
      </c>
      <c r="C24" s="7" t="s">
        <v>8</v>
      </c>
      <c r="D24" s="7" t="s">
        <v>7</v>
      </c>
      <c r="E24" s="7" t="s">
        <v>9</v>
      </c>
      <c r="F24" s="7" t="s">
        <v>11</v>
      </c>
    </row>
    <row r="25" spans="2:6" ht="15" customHeight="1">
      <c r="B25" s="12" t="s">
        <v>122</v>
      </c>
      <c r="C25" s="10">
        <v>91</v>
      </c>
      <c r="D25" s="10">
        <v>68</v>
      </c>
      <c r="E25" s="10">
        <v>4</v>
      </c>
      <c r="F25" s="10">
        <v>1</v>
      </c>
    </row>
    <row r="26" spans="2:6" ht="15" customHeight="1">
      <c r="B26" s="12" t="s">
        <v>123</v>
      </c>
      <c r="C26" s="10">
        <v>9</v>
      </c>
      <c r="D26" s="10">
        <v>1</v>
      </c>
      <c r="E26" s="10">
        <v>1</v>
      </c>
      <c r="F26" s="10">
        <v>0</v>
      </c>
    </row>
    <row r="27" spans="2:6" ht="15" customHeight="1">
      <c r="B27" s="12" t="s">
        <v>124</v>
      </c>
      <c r="C27" s="10">
        <v>3</v>
      </c>
      <c r="D27" s="10">
        <v>3</v>
      </c>
      <c r="E27" s="10">
        <v>0</v>
      </c>
      <c r="F27" s="10">
        <v>0</v>
      </c>
    </row>
    <row r="28" spans="2:6" ht="15" customHeight="1">
      <c r="B28" s="12" t="s">
        <v>125</v>
      </c>
      <c r="C28" s="10">
        <v>3</v>
      </c>
      <c r="D28" s="10">
        <v>1</v>
      </c>
      <c r="E28" s="10">
        <v>0</v>
      </c>
      <c r="F28" s="10">
        <v>0</v>
      </c>
    </row>
    <row r="29" spans="2:6" ht="15" customHeight="1">
      <c r="B29" s="12" t="s">
        <v>126</v>
      </c>
      <c r="C29" s="10">
        <v>1</v>
      </c>
      <c r="D29" s="10">
        <v>0</v>
      </c>
      <c r="E29" s="10">
        <v>0</v>
      </c>
      <c r="F29" s="10">
        <v>0</v>
      </c>
    </row>
    <row r="30" spans="2:6" ht="15" customHeight="1">
      <c r="B30" s="12" t="s">
        <v>127</v>
      </c>
      <c r="C30" s="10">
        <v>1</v>
      </c>
      <c r="D30" s="10">
        <v>0</v>
      </c>
      <c r="E30" s="10">
        <v>0</v>
      </c>
      <c r="F30" s="10">
        <v>0</v>
      </c>
    </row>
    <row r="31" spans="2:6" ht="15" customHeight="1">
      <c r="B31" s="12" t="s">
        <v>128</v>
      </c>
      <c r="C31" s="10">
        <v>1</v>
      </c>
      <c r="D31" s="10">
        <v>0</v>
      </c>
      <c r="E31" s="10">
        <v>0</v>
      </c>
      <c r="F31" s="10">
        <v>0</v>
      </c>
    </row>
    <row r="32" spans="2:6" ht="15" customHeight="1">
      <c r="B32" s="12" t="s">
        <v>129</v>
      </c>
      <c r="C32" s="10">
        <v>1</v>
      </c>
      <c r="D32" s="10">
        <v>0</v>
      </c>
      <c r="E32" s="10">
        <v>0</v>
      </c>
      <c r="F32" s="10">
        <v>0</v>
      </c>
    </row>
    <row r="33" spans="2:6" ht="15" customHeight="1">
      <c r="B33" s="12" t="s">
        <v>130</v>
      </c>
      <c r="C33" s="10">
        <v>93</v>
      </c>
      <c r="D33" s="10">
        <v>91</v>
      </c>
      <c r="E33" s="10">
        <v>16</v>
      </c>
      <c r="F33" s="10">
        <v>0</v>
      </c>
    </row>
    <row r="35" spans="2:2" ht="15" customHeight="1">
      <c r="B35" s="27" t="s">
        <v>131</v>
      </c>
    </row>
    <row r="39" spans="2:2" ht="12.75">
      <c r="B39" s="5" t="s">
        <v>132</v>
      </c>
    </row>
    <row r="41" spans="2:2" ht="12.75"/>
    <row r="58" spans="2:6" ht="30" customHeight="1">
      <c r="B58" s="6" t="s">
        <v>121</v>
      </c>
      <c r="C58" s="7" t="s">
        <v>8</v>
      </c>
      <c r="D58" s="7" t="s">
        <v>7</v>
      </c>
      <c r="E58" s="7" t="s">
        <v>9</v>
      </c>
      <c r="F58" s="7" t="s">
        <v>11</v>
      </c>
    </row>
    <row r="59" spans="2:6" ht="15" customHeight="1">
      <c r="B59" s="12" t="s">
        <v>122</v>
      </c>
      <c r="C59" s="10">
        <v>15928476</v>
      </c>
      <c r="D59" s="10">
        <v>6848856</v>
      </c>
      <c r="E59" s="10">
        <v>80428</v>
      </c>
      <c r="F59" s="10">
        <v>50</v>
      </c>
    </row>
    <row r="60" spans="2:6" ht="15" customHeight="1">
      <c r="B60" s="12" t="s">
        <v>123</v>
      </c>
      <c r="C60" s="10">
        <v>37539</v>
      </c>
      <c r="D60" s="10">
        <v>1220000</v>
      </c>
      <c r="E60" s="10">
        <v>176000</v>
      </c>
      <c r="F60" s="10">
        <v>0</v>
      </c>
    </row>
    <row r="61" spans="2:6" ht="15" customHeight="1">
      <c r="B61" s="12" t="s">
        <v>128</v>
      </c>
      <c r="C61" s="10">
        <v>119000</v>
      </c>
      <c r="D61" s="10">
        <v>0</v>
      </c>
      <c r="E61" s="10">
        <v>0</v>
      </c>
      <c r="F61" s="10">
        <v>0</v>
      </c>
    </row>
    <row r="62" spans="2:6" ht="15" customHeight="1">
      <c r="B62" s="12" t="s">
        <v>124</v>
      </c>
      <c r="C62" s="10">
        <v>88100</v>
      </c>
      <c r="D62" s="10">
        <v>89868</v>
      </c>
      <c r="E62" s="10">
        <v>0</v>
      </c>
      <c r="F62" s="10">
        <v>0</v>
      </c>
    </row>
    <row r="63" spans="2:6" ht="15" customHeight="1">
      <c r="B63" s="12" t="s">
        <v>125</v>
      </c>
      <c r="C63" s="10">
        <v>36500</v>
      </c>
      <c r="D63" s="10">
        <v>36400</v>
      </c>
      <c r="E63" s="10">
        <v>0</v>
      </c>
      <c r="F63" s="10">
        <v>0</v>
      </c>
    </row>
    <row r="64" spans="2:6" ht="15" customHeight="1">
      <c r="B64" s="12" t="s">
        <v>127</v>
      </c>
      <c r="C64" s="10">
        <v>1427</v>
      </c>
      <c r="D64" s="10">
        <v>0</v>
      </c>
      <c r="E64" s="10">
        <v>0</v>
      </c>
      <c r="F64" s="10">
        <v>0</v>
      </c>
    </row>
    <row r="65" spans="2:6" ht="15" customHeight="1">
      <c r="B65" s="12" t="s">
        <v>129</v>
      </c>
      <c r="C65" s="10">
        <v>1025</v>
      </c>
      <c r="D65" s="10">
        <v>0</v>
      </c>
      <c r="E65" s="10">
        <v>0</v>
      </c>
      <c r="F65" s="10">
        <v>0</v>
      </c>
    </row>
    <row r="66" spans="2:6" ht="15" customHeight="1">
      <c r="B66" s="12" t="s">
        <v>126</v>
      </c>
      <c r="C66" s="10">
        <v>109</v>
      </c>
      <c r="D66" s="10">
        <v>0</v>
      </c>
      <c r="E66" s="10">
        <v>0</v>
      </c>
      <c r="F66" s="10">
        <v>0</v>
      </c>
    </row>
    <row r="67" spans="2:6" ht="15" customHeight="1">
      <c r="B67" s="12" t="s">
        <v>130</v>
      </c>
      <c r="C67" s="10">
        <v>6133351</v>
      </c>
      <c r="D67" s="10">
        <v>4505845</v>
      </c>
      <c r="E67" s="10">
        <v>307683</v>
      </c>
      <c r="F67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77c528-24c2-471d-87a1-de6f003aeed4}">
  <dimension ref="B1:F75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41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6" ht="30" customHeight="1">
      <c r="B29" s="6" t="s">
        <v>133</v>
      </c>
      <c r="C29" s="7" t="s">
        <v>8</v>
      </c>
      <c r="D29" s="7" t="s">
        <v>7</v>
      </c>
      <c r="E29" s="7" t="s">
        <v>9</v>
      </c>
      <c r="F29" s="7" t="s">
        <v>11</v>
      </c>
    </row>
    <row r="30" spans="2:6" ht="15" customHeight="1">
      <c r="B30" s="12" t="s">
        <v>134</v>
      </c>
      <c r="C30" s="10">
        <v>26</v>
      </c>
      <c r="D30" s="10">
        <v>17</v>
      </c>
      <c r="E30" s="10">
        <v>1</v>
      </c>
      <c r="F30" s="10">
        <v>1</v>
      </c>
    </row>
    <row r="31" spans="2:6" ht="15" customHeight="1">
      <c r="B31" s="12" t="s">
        <v>135</v>
      </c>
      <c r="C31" s="10">
        <v>20</v>
      </c>
      <c r="D31" s="10">
        <v>13</v>
      </c>
      <c r="E31" s="10">
        <v>1</v>
      </c>
      <c r="F31" s="10">
        <v>0</v>
      </c>
    </row>
    <row r="32" spans="2:6" ht="15" customHeight="1">
      <c r="B32" s="12" t="s">
        <v>136</v>
      </c>
      <c r="C32" s="10">
        <v>16</v>
      </c>
      <c r="D32" s="10">
        <v>4</v>
      </c>
      <c r="E32" s="10">
        <v>0</v>
      </c>
      <c r="F32" s="10">
        <v>0</v>
      </c>
    </row>
    <row r="33" spans="2:6" ht="15" customHeight="1">
      <c r="B33" s="12" t="s">
        <v>137</v>
      </c>
      <c r="C33" s="10">
        <v>5</v>
      </c>
      <c r="D33" s="10">
        <v>0</v>
      </c>
      <c r="E33" s="10">
        <v>0</v>
      </c>
      <c r="F33" s="10">
        <v>0</v>
      </c>
    </row>
    <row r="34" spans="2:6" ht="15" customHeight="1">
      <c r="B34" s="12" t="s">
        <v>138</v>
      </c>
      <c r="C34" s="10">
        <v>2</v>
      </c>
      <c r="D34" s="10">
        <v>2</v>
      </c>
      <c r="E34" s="10">
        <v>0</v>
      </c>
      <c r="F34" s="10">
        <v>0</v>
      </c>
    </row>
    <row r="35" spans="2:6" ht="15" customHeight="1">
      <c r="B35" s="12" t="s">
        <v>139</v>
      </c>
      <c r="C35" s="10">
        <v>2</v>
      </c>
      <c r="D35" s="10">
        <v>1</v>
      </c>
      <c r="E35" s="10">
        <v>0</v>
      </c>
      <c r="F35" s="10">
        <v>0</v>
      </c>
    </row>
    <row r="36" spans="2:6" ht="15" customHeight="1">
      <c r="B36" s="12" t="s">
        <v>140</v>
      </c>
      <c r="C36" s="10">
        <v>3</v>
      </c>
      <c r="D36" s="10">
        <v>0</v>
      </c>
      <c r="E36" s="10">
        <v>0</v>
      </c>
      <c r="F36" s="10">
        <v>0</v>
      </c>
    </row>
    <row r="37" spans="2:6" ht="15" customHeight="1">
      <c r="B37" s="12" t="s">
        <v>141</v>
      </c>
      <c r="C37" s="10">
        <v>24</v>
      </c>
      <c r="D37" s="10">
        <v>24</v>
      </c>
      <c r="E37" s="10">
        <v>2</v>
      </c>
      <c r="F37" s="10">
        <v>0</v>
      </c>
    </row>
    <row r="39" spans="2:2" ht="15" customHeight="1">
      <c r="B39" s="27" t="s">
        <v>142</v>
      </c>
    </row>
    <row r="43" spans="2:2" ht="12.75">
      <c r="B43" s="5" t="s">
        <v>143</v>
      </c>
    </row>
    <row r="45" spans="2:2" ht="12.75"/>
    <row r="67" spans="2:6" ht="30" customHeight="1">
      <c r="B67" s="6" t="s">
        <v>133</v>
      </c>
      <c r="C67" s="7" t="s">
        <v>8</v>
      </c>
      <c r="D67" s="7" t="s">
        <v>7</v>
      </c>
      <c r="E67" s="7" t="s">
        <v>9</v>
      </c>
      <c r="F67" s="7" t="s">
        <v>11</v>
      </c>
    </row>
    <row r="68" spans="2:6" ht="15" customHeight="1">
      <c r="B68" s="12" t="s">
        <v>136</v>
      </c>
      <c r="C68" s="10">
        <v>12313407</v>
      </c>
      <c r="D68" s="10">
        <v>263153</v>
      </c>
      <c r="E68" s="10">
        <v>0</v>
      </c>
      <c r="F68" s="10">
        <v>0</v>
      </c>
    </row>
    <row r="69" spans="2:6" ht="15" customHeight="1">
      <c r="B69" s="12" t="s">
        <v>134</v>
      </c>
      <c r="C69" s="10">
        <v>2557287</v>
      </c>
      <c r="D69" s="10">
        <v>1407267</v>
      </c>
      <c r="E69" s="10">
        <v>213</v>
      </c>
      <c r="F69" s="10">
        <v>50</v>
      </c>
    </row>
    <row r="70" spans="2:6" ht="15" customHeight="1">
      <c r="B70" s="12" t="s">
        <v>139</v>
      </c>
      <c r="C70" s="10">
        <v>17394</v>
      </c>
      <c r="D70" s="10">
        <v>1330588</v>
      </c>
      <c r="E70" s="10">
        <v>0</v>
      </c>
      <c r="F70" s="10">
        <v>0</v>
      </c>
    </row>
    <row r="71" spans="2:6" ht="15" customHeight="1">
      <c r="B71" s="12" t="s">
        <v>135</v>
      </c>
      <c r="C71" s="10">
        <v>32879</v>
      </c>
      <c r="D71" s="10">
        <v>557623</v>
      </c>
      <c r="E71" s="10">
        <v>3138</v>
      </c>
      <c r="F71" s="10">
        <v>0</v>
      </c>
    </row>
    <row r="72" spans="2:6" ht="15" customHeight="1">
      <c r="B72" s="12" t="s">
        <v>140</v>
      </c>
      <c r="C72" s="10">
        <v>357030</v>
      </c>
      <c r="D72" s="10">
        <v>0</v>
      </c>
      <c r="E72" s="10">
        <v>0</v>
      </c>
      <c r="F72" s="10">
        <v>0</v>
      </c>
    </row>
    <row r="73" spans="2:6" ht="15" customHeight="1">
      <c r="B73" s="12" t="s">
        <v>137</v>
      </c>
      <c r="C73" s="10">
        <v>204749</v>
      </c>
      <c r="D73" s="10">
        <v>0</v>
      </c>
      <c r="E73" s="10">
        <v>0</v>
      </c>
      <c r="F73" s="10">
        <v>0</v>
      </c>
    </row>
    <row r="74" spans="2:6" ht="15" customHeight="1">
      <c r="B74" s="12" t="s">
        <v>138</v>
      </c>
      <c r="C74" s="10">
        <v>54</v>
      </c>
      <c r="D74" s="10">
        <v>43123</v>
      </c>
      <c r="E74" s="10">
        <v>0</v>
      </c>
      <c r="F74" s="10">
        <v>0</v>
      </c>
    </row>
    <row r="75" spans="2:6" ht="15" customHeight="1">
      <c r="B75" s="12" t="s">
        <v>141</v>
      </c>
      <c r="C75" s="10">
        <v>3814915</v>
      </c>
      <c r="D75" s="10">
        <v>580754</v>
      </c>
      <c r="E75" s="10">
        <v>77077</v>
      </c>
      <c r="F75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316c93-4fe8-4edf-b372-a4f04d8ebf96}">
  <dimension ref="B1:F129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42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6" ht="30" customHeight="1">
      <c r="B29" s="6" t="s">
        <v>144</v>
      </c>
      <c r="C29" s="7" t="s">
        <v>8</v>
      </c>
      <c r="D29" s="7" t="s">
        <v>7</v>
      </c>
      <c r="E29" s="7" t="s">
        <v>9</v>
      </c>
      <c r="F29" s="7" t="s">
        <v>11</v>
      </c>
    </row>
    <row r="30" spans="2:6" ht="15" customHeight="1">
      <c r="B30" s="12" t="s">
        <v>145</v>
      </c>
      <c r="C30" s="10">
        <v>16</v>
      </c>
      <c r="D30" s="10">
        <v>14</v>
      </c>
      <c r="E30" s="10">
        <v>1</v>
      </c>
      <c r="F30" s="10">
        <v>1</v>
      </c>
    </row>
    <row r="31" spans="2:6" ht="15" customHeight="1">
      <c r="B31" s="12" t="s">
        <v>146</v>
      </c>
      <c r="C31" s="10">
        <v>18</v>
      </c>
      <c r="D31" s="10">
        <v>6</v>
      </c>
      <c r="E31" s="10">
        <v>1</v>
      </c>
      <c r="F31" s="10">
        <v>0</v>
      </c>
    </row>
    <row r="32" spans="2:6" ht="15" customHeight="1">
      <c r="B32" s="12" t="s">
        <v>147</v>
      </c>
      <c r="C32" s="10">
        <v>5</v>
      </c>
      <c r="D32" s="10">
        <v>0</v>
      </c>
      <c r="E32" s="10">
        <v>0</v>
      </c>
      <c r="F32" s="10">
        <v>0</v>
      </c>
    </row>
    <row r="33" spans="2:6" ht="15" customHeight="1">
      <c r="B33" s="12" t="s">
        <v>148</v>
      </c>
      <c r="C33" s="10">
        <v>3</v>
      </c>
      <c r="D33" s="10">
        <v>1</v>
      </c>
      <c r="E33" s="10">
        <v>0</v>
      </c>
      <c r="F33" s="10">
        <v>0</v>
      </c>
    </row>
    <row r="34" spans="2:6" ht="15" customHeight="1">
      <c r="B34" s="12" t="s">
        <v>149</v>
      </c>
      <c r="C34" s="10">
        <v>4</v>
      </c>
      <c r="D34" s="10">
        <v>0</v>
      </c>
      <c r="E34" s="10">
        <v>0</v>
      </c>
      <c r="F34" s="10">
        <v>0</v>
      </c>
    </row>
    <row r="35" spans="2:6" ht="15" customHeight="1">
      <c r="B35" s="12" t="s">
        <v>150</v>
      </c>
      <c r="C35" s="10">
        <v>2</v>
      </c>
      <c r="D35" s="10">
        <v>1</v>
      </c>
      <c r="E35" s="10">
        <v>0</v>
      </c>
      <c r="F35" s="10">
        <v>0</v>
      </c>
    </row>
    <row r="36" spans="2:6" ht="15" customHeight="1">
      <c r="B36" s="12" t="s">
        <v>151</v>
      </c>
      <c r="C36" s="10">
        <v>2</v>
      </c>
      <c r="D36" s="10">
        <v>1</v>
      </c>
      <c r="E36" s="10">
        <v>0</v>
      </c>
      <c r="F36" s="10">
        <v>0</v>
      </c>
    </row>
    <row r="37" spans="2:6" ht="15" customHeight="1">
      <c r="B37" s="12" t="s">
        <v>152</v>
      </c>
      <c r="C37" s="10">
        <v>3</v>
      </c>
      <c r="D37" s="10">
        <v>0</v>
      </c>
      <c r="E37" s="10">
        <v>0</v>
      </c>
      <c r="F37" s="10">
        <v>0</v>
      </c>
    </row>
    <row r="38" spans="2:6" ht="15" customHeight="1">
      <c r="B38" s="12" t="s">
        <v>153</v>
      </c>
      <c r="C38" s="10">
        <v>3</v>
      </c>
      <c r="D38" s="10">
        <v>0</v>
      </c>
      <c r="E38" s="10">
        <v>0</v>
      </c>
      <c r="F38" s="10">
        <v>0</v>
      </c>
    </row>
    <row r="39" spans="2:6" ht="15" customHeight="1">
      <c r="B39" s="12" t="s">
        <v>154</v>
      </c>
      <c r="C39" s="10">
        <v>3</v>
      </c>
      <c r="D39" s="10">
        <v>0</v>
      </c>
      <c r="E39" s="10">
        <v>0</v>
      </c>
      <c r="F39" s="10">
        <v>0</v>
      </c>
    </row>
    <row r="40" spans="2:6" ht="15" customHeight="1">
      <c r="B40" s="12" t="s">
        <v>155</v>
      </c>
      <c r="C40" s="10">
        <v>1</v>
      </c>
      <c r="D40" s="10">
        <v>1</v>
      </c>
      <c r="E40" s="10">
        <v>0</v>
      </c>
      <c r="F40" s="10">
        <v>0</v>
      </c>
    </row>
    <row r="41" spans="2:6" ht="15" customHeight="1">
      <c r="B41" s="12" t="s">
        <v>156</v>
      </c>
      <c r="C41" s="10">
        <v>2</v>
      </c>
      <c r="D41" s="10">
        <v>0</v>
      </c>
      <c r="E41" s="10">
        <v>0</v>
      </c>
      <c r="F41" s="10">
        <v>0</v>
      </c>
    </row>
    <row r="42" spans="2:6" ht="15" customHeight="1">
      <c r="B42" s="12" t="s">
        <v>157</v>
      </c>
      <c r="C42" s="10">
        <v>2</v>
      </c>
      <c r="D42" s="10">
        <v>0</v>
      </c>
      <c r="E42" s="10">
        <v>0</v>
      </c>
      <c r="F42" s="10">
        <v>0</v>
      </c>
    </row>
    <row r="43" spans="2:6" ht="15" customHeight="1">
      <c r="B43" s="12" t="s">
        <v>158</v>
      </c>
      <c r="C43" s="10">
        <v>2</v>
      </c>
      <c r="D43" s="10">
        <v>0</v>
      </c>
      <c r="E43" s="10">
        <v>0</v>
      </c>
      <c r="F43" s="10">
        <v>0</v>
      </c>
    </row>
    <row r="44" spans="2:6" ht="15" customHeight="1">
      <c r="B44" s="12" t="s">
        <v>159</v>
      </c>
      <c r="C44" s="10">
        <v>2</v>
      </c>
      <c r="D44" s="10">
        <v>0</v>
      </c>
      <c r="E44" s="10">
        <v>0</v>
      </c>
      <c r="F44" s="10">
        <v>0</v>
      </c>
    </row>
    <row r="45" spans="2:6" ht="15" customHeight="1">
      <c r="B45" s="12" t="s">
        <v>160</v>
      </c>
      <c r="C45" s="10">
        <v>1</v>
      </c>
      <c r="D45" s="10">
        <v>0</v>
      </c>
      <c r="E45" s="10">
        <v>0</v>
      </c>
      <c r="F45" s="10">
        <v>0</v>
      </c>
    </row>
    <row r="46" spans="2:6" ht="15" customHeight="1">
      <c r="B46" s="12" t="s">
        <v>161</v>
      </c>
      <c r="C46" s="10">
        <v>1</v>
      </c>
      <c r="D46" s="10">
        <v>0</v>
      </c>
      <c r="E46" s="10">
        <v>0</v>
      </c>
      <c r="F46" s="10">
        <v>0</v>
      </c>
    </row>
    <row r="47" spans="2:6" ht="15" customHeight="1">
      <c r="B47" s="12" t="s">
        <v>162</v>
      </c>
      <c r="C47" s="10">
        <v>1</v>
      </c>
      <c r="D47" s="10">
        <v>0</v>
      </c>
      <c r="E47" s="10">
        <v>0</v>
      </c>
      <c r="F47" s="10">
        <v>0</v>
      </c>
    </row>
    <row r="48" spans="2:6" ht="15" customHeight="1">
      <c r="B48" s="12" t="s">
        <v>163</v>
      </c>
      <c r="C48" s="10">
        <v>1</v>
      </c>
      <c r="D48" s="10">
        <v>0</v>
      </c>
      <c r="E48" s="10">
        <v>0</v>
      </c>
      <c r="F48" s="10">
        <v>0</v>
      </c>
    </row>
    <row r="49" spans="2:6" ht="15" customHeight="1">
      <c r="B49" s="12" t="s">
        <v>164</v>
      </c>
      <c r="C49" s="10">
        <v>1</v>
      </c>
      <c r="D49" s="10">
        <v>0</v>
      </c>
      <c r="E49" s="10">
        <v>0</v>
      </c>
      <c r="F49" s="10">
        <v>0</v>
      </c>
    </row>
    <row r="50" spans="2:6" ht="15" customHeight="1">
      <c r="B50" s="12" t="s">
        <v>165</v>
      </c>
      <c r="C50" s="10">
        <v>1</v>
      </c>
      <c r="D50" s="10">
        <v>0</v>
      </c>
      <c r="E50" s="10">
        <v>0</v>
      </c>
      <c r="F50" s="10">
        <v>0</v>
      </c>
    </row>
    <row r="51" spans="2:6" ht="15" customHeight="1">
      <c r="B51" s="12" t="s">
        <v>166</v>
      </c>
      <c r="C51" s="10">
        <v>1</v>
      </c>
      <c r="D51" s="10">
        <v>0</v>
      </c>
      <c r="E51" s="10">
        <v>0</v>
      </c>
      <c r="F51" s="10">
        <v>0</v>
      </c>
    </row>
    <row r="52" spans="2:6" ht="15" customHeight="1">
      <c r="B52" s="12" t="s">
        <v>167</v>
      </c>
      <c r="C52" s="10">
        <v>1</v>
      </c>
      <c r="D52" s="10">
        <v>0</v>
      </c>
      <c r="E52" s="10">
        <v>0</v>
      </c>
      <c r="F52" s="10">
        <v>0</v>
      </c>
    </row>
    <row r="53" spans="2:6" ht="15" customHeight="1">
      <c r="B53" s="12" t="s">
        <v>168</v>
      </c>
      <c r="C53" s="10">
        <v>1</v>
      </c>
      <c r="D53" s="10">
        <v>0</v>
      </c>
      <c r="E53" s="10">
        <v>0</v>
      </c>
      <c r="F53" s="10">
        <v>0</v>
      </c>
    </row>
    <row r="54" spans="2:6" ht="15" customHeight="1">
      <c r="B54" s="12" t="s">
        <v>169</v>
      </c>
      <c r="C54" s="10">
        <v>1</v>
      </c>
      <c r="D54" s="10">
        <v>0</v>
      </c>
      <c r="E54" s="10">
        <v>0</v>
      </c>
      <c r="F54" s="10">
        <v>0</v>
      </c>
    </row>
    <row r="55" spans="2:6" ht="15" customHeight="1">
      <c r="B55" s="12" t="s">
        <v>170</v>
      </c>
      <c r="C55" s="10">
        <v>1</v>
      </c>
      <c r="D55" s="10">
        <v>0</v>
      </c>
      <c r="E55" s="10">
        <v>0</v>
      </c>
      <c r="F55" s="10">
        <v>0</v>
      </c>
    </row>
    <row r="56" spans="2:6" ht="15" customHeight="1">
      <c r="B56" s="12" t="s">
        <v>171</v>
      </c>
      <c r="C56" s="10">
        <v>1</v>
      </c>
      <c r="D56" s="10">
        <v>0</v>
      </c>
      <c r="E56" s="10">
        <v>0</v>
      </c>
      <c r="F56" s="10">
        <v>0</v>
      </c>
    </row>
    <row r="57" spans="2:6" ht="15" customHeight="1">
      <c r="B57" s="12" t="s">
        <v>172</v>
      </c>
      <c r="C57" s="10">
        <v>1</v>
      </c>
      <c r="D57" s="10">
        <v>0</v>
      </c>
      <c r="E57" s="10">
        <v>0</v>
      </c>
      <c r="F57" s="10">
        <v>0</v>
      </c>
    </row>
    <row r="58" spans="2:6" ht="15" customHeight="1">
      <c r="B58" s="12" t="s">
        <v>173</v>
      </c>
      <c r="C58" s="10">
        <v>1</v>
      </c>
      <c r="D58" s="10">
        <v>0</v>
      </c>
      <c r="E58" s="10">
        <v>0</v>
      </c>
      <c r="F58" s="10">
        <v>0</v>
      </c>
    </row>
    <row r="59" spans="2:6" ht="15" customHeight="1">
      <c r="B59" s="12" t="s">
        <v>174</v>
      </c>
      <c r="C59" s="10">
        <v>1</v>
      </c>
      <c r="D59" s="10">
        <v>0</v>
      </c>
      <c r="E59" s="10">
        <v>0</v>
      </c>
      <c r="F59" s="10">
        <v>0</v>
      </c>
    </row>
    <row r="60" spans="2:6" ht="15" customHeight="1">
      <c r="B60" s="12" t="s">
        <v>175</v>
      </c>
      <c r="C60" s="10">
        <v>1</v>
      </c>
      <c r="D60" s="10">
        <v>0</v>
      </c>
      <c r="E60" s="10">
        <v>0</v>
      </c>
      <c r="F60" s="10">
        <v>0</v>
      </c>
    </row>
    <row r="61" spans="2:6" ht="15" customHeight="1">
      <c r="B61" s="12" t="s">
        <v>176</v>
      </c>
      <c r="C61" s="10">
        <v>1</v>
      </c>
      <c r="D61" s="10">
        <v>0</v>
      </c>
      <c r="E61" s="10">
        <v>0</v>
      </c>
      <c r="F61" s="10">
        <v>0</v>
      </c>
    </row>
    <row r="62" spans="2:6" ht="15" customHeight="1">
      <c r="B62" s="12" t="s">
        <v>177</v>
      </c>
      <c r="C62" s="10">
        <v>1</v>
      </c>
      <c r="D62" s="10">
        <v>0</v>
      </c>
      <c r="E62" s="10">
        <v>0</v>
      </c>
      <c r="F62" s="10">
        <v>0</v>
      </c>
    </row>
    <row r="63" spans="2:6" ht="15" customHeight="1">
      <c r="B63" s="12" t="s">
        <v>178</v>
      </c>
      <c r="C63" s="10">
        <v>1</v>
      </c>
      <c r="D63" s="10">
        <v>0</v>
      </c>
      <c r="E63" s="10">
        <v>0</v>
      </c>
      <c r="F63" s="10">
        <v>0</v>
      </c>
    </row>
    <row r="64" spans="2:6" ht="15" customHeight="1">
      <c r="B64" s="12" t="s">
        <v>179</v>
      </c>
      <c r="C64" s="10">
        <v>24</v>
      </c>
      <c r="D64" s="10">
        <v>24</v>
      </c>
      <c r="E64" s="10">
        <v>2</v>
      </c>
      <c r="F64" s="10">
        <v>0</v>
      </c>
    </row>
    <row r="66" spans="2:2" ht="15" customHeight="1">
      <c r="B66" s="27" t="s">
        <v>180</v>
      </c>
    </row>
    <row r="70" spans="2:2" ht="12.75">
      <c r="B70" s="5" t="s">
        <v>181</v>
      </c>
    </row>
    <row r="72" spans="2:2" ht="12.75"/>
    <row r="94" spans="2:6" ht="30" customHeight="1">
      <c r="B94" s="6" t="s">
        <v>144</v>
      </c>
      <c r="C94" s="7" t="s">
        <v>8</v>
      </c>
      <c r="D94" s="7" t="s">
        <v>7</v>
      </c>
      <c r="E94" s="7" t="s">
        <v>9</v>
      </c>
      <c r="F94" s="7" t="s">
        <v>11</v>
      </c>
    </row>
    <row r="95" spans="2:6" ht="15" customHeight="1">
      <c r="B95" s="12" t="s">
        <v>162</v>
      </c>
      <c r="C95" s="10">
        <v>9871561</v>
      </c>
      <c r="D95" s="10">
        <v>0</v>
      </c>
      <c r="E95" s="10">
        <v>0</v>
      </c>
      <c r="F95" s="10">
        <v>0</v>
      </c>
    </row>
    <row r="96" spans="2:6" ht="15" customHeight="1">
      <c r="B96" s="12" t="s">
        <v>149</v>
      </c>
      <c r="C96" s="10">
        <v>1985398</v>
      </c>
      <c r="D96" s="10">
        <v>0</v>
      </c>
      <c r="E96" s="10">
        <v>0</v>
      </c>
      <c r="F96" s="10">
        <v>0</v>
      </c>
    </row>
    <row r="97" spans="2:6" ht="15" customHeight="1">
      <c r="B97" s="12" t="s">
        <v>177</v>
      </c>
      <c r="C97" s="10">
        <v>1770722</v>
      </c>
      <c r="D97" s="10">
        <v>0</v>
      </c>
      <c r="E97" s="10">
        <v>0</v>
      </c>
      <c r="F97" s="10">
        <v>0</v>
      </c>
    </row>
    <row r="98" spans="2:6" ht="15" customHeight="1">
      <c r="B98" s="12" t="s">
        <v>145</v>
      </c>
      <c r="C98" s="10">
        <v>395607</v>
      </c>
      <c r="D98" s="10">
        <v>1327502</v>
      </c>
      <c r="E98" s="10">
        <v>213</v>
      </c>
      <c r="F98" s="10">
        <v>50</v>
      </c>
    </row>
    <row r="99" spans="2:6" ht="15" customHeight="1">
      <c r="B99" s="12" t="s">
        <v>164</v>
      </c>
      <c r="C99" s="10">
        <v>1330588</v>
      </c>
      <c r="D99" s="10">
        <v>0</v>
      </c>
      <c r="E99" s="10">
        <v>0</v>
      </c>
      <c r="F99" s="10">
        <v>0</v>
      </c>
    </row>
    <row r="100" spans="2:6" ht="15" customHeight="1">
      <c r="B100" s="12" t="s">
        <v>146</v>
      </c>
      <c r="C100" s="10">
        <v>4435</v>
      </c>
      <c r="D100" s="10">
        <v>447736</v>
      </c>
      <c r="E100" s="10">
        <v>3138</v>
      </c>
      <c r="F100" s="10">
        <v>0</v>
      </c>
    </row>
    <row r="101" spans="2:6" ht="15" customHeight="1">
      <c r="B101" s="12" t="s">
        <v>150</v>
      </c>
      <c r="C101" s="10">
        <v>254265</v>
      </c>
      <c r="D101" s="10">
        <v>252496</v>
      </c>
      <c r="E101" s="10">
        <v>0</v>
      </c>
      <c r="F101" s="10">
        <v>0</v>
      </c>
    </row>
    <row r="102" spans="2:6" ht="15" customHeight="1">
      <c r="B102" s="12" t="s">
        <v>159</v>
      </c>
      <c r="C102" s="10">
        <v>252496</v>
      </c>
      <c r="D102" s="10">
        <v>0</v>
      </c>
      <c r="E102" s="10">
        <v>0</v>
      </c>
      <c r="F102" s="10">
        <v>0</v>
      </c>
    </row>
    <row r="103" spans="2:6" ht="15" customHeight="1">
      <c r="B103" s="12" t="s">
        <v>178</v>
      </c>
      <c r="C103" s="10">
        <v>252487</v>
      </c>
      <c r="D103" s="10">
        <v>0</v>
      </c>
      <c r="E103" s="10">
        <v>0</v>
      </c>
      <c r="F103" s="10">
        <v>0</v>
      </c>
    </row>
    <row r="104" spans="2:6" ht="15" customHeight="1">
      <c r="B104" s="12" t="s">
        <v>157</v>
      </c>
      <c r="C104" s="10">
        <v>242006</v>
      </c>
      <c r="D104" s="10">
        <v>0</v>
      </c>
      <c r="E104" s="10">
        <v>0</v>
      </c>
      <c r="F104" s="10">
        <v>0</v>
      </c>
    </row>
    <row r="105" spans="2:6" ht="15" customHeight="1">
      <c r="B105" s="12" t="s">
        <v>147</v>
      </c>
      <c r="C105" s="10">
        <v>204749</v>
      </c>
      <c r="D105" s="10">
        <v>0</v>
      </c>
      <c r="E105" s="10">
        <v>0</v>
      </c>
      <c r="F105" s="10">
        <v>0</v>
      </c>
    </row>
    <row r="106" spans="2:6" ht="15" customHeight="1">
      <c r="B106" s="12" t="s">
        <v>165</v>
      </c>
      <c r="C106" s="10">
        <v>104543</v>
      </c>
      <c r="D106" s="10">
        <v>0</v>
      </c>
      <c r="E106" s="10">
        <v>0</v>
      </c>
      <c r="F106" s="10">
        <v>0</v>
      </c>
    </row>
    <row r="107" spans="2:6" ht="15" customHeight="1">
      <c r="B107" s="12" t="s">
        <v>148</v>
      </c>
      <c r="C107" s="10">
        <v>10657</v>
      </c>
      <c r="D107" s="10">
        <v>80790</v>
      </c>
      <c r="E107" s="10">
        <v>0</v>
      </c>
      <c r="F107" s="10">
        <v>0</v>
      </c>
    </row>
    <row r="108" spans="2:6" ht="15" customHeight="1">
      <c r="B108" s="12" t="s">
        <v>152</v>
      </c>
      <c r="C108" s="10">
        <v>88210</v>
      </c>
      <c r="D108" s="10">
        <v>0</v>
      </c>
      <c r="E108" s="10">
        <v>0</v>
      </c>
      <c r="F108" s="10">
        <v>0</v>
      </c>
    </row>
    <row r="109" spans="2:6" ht="15" customHeight="1">
      <c r="B109" s="12" t="s">
        <v>153</v>
      </c>
      <c r="C109" s="10">
        <v>72090</v>
      </c>
      <c r="D109" s="10">
        <v>0</v>
      </c>
      <c r="E109" s="10">
        <v>0</v>
      </c>
      <c r="F109" s="10">
        <v>0</v>
      </c>
    </row>
    <row r="110" spans="2:6" ht="15" customHeight="1">
      <c r="B110" s="12" t="s">
        <v>154</v>
      </c>
      <c r="C110" s="10">
        <v>66349</v>
      </c>
      <c r="D110" s="10">
        <v>0</v>
      </c>
      <c r="E110" s="10">
        <v>0</v>
      </c>
      <c r="F110" s="10">
        <v>0</v>
      </c>
    </row>
    <row r="111" spans="2:6" ht="15" customHeight="1">
      <c r="B111" s="12" t="s">
        <v>175</v>
      </c>
      <c r="C111" s="10">
        <v>55177</v>
      </c>
      <c r="D111" s="10">
        <v>0</v>
      </c>
      <c r="E111" s="10">
        <v>0</v>
      </c>
      <c r="F111" s="10">
        <v>0</v>
      </c>
    </row>
    <row r="112" spans="2:6" ht="15" customHeight="1">
      <c r="B112" s="12" t="s">
        <v>176</v>
      </c>
      <c r="C112" s="10">
        <v>45156</v>
      </c>
      <c r="D112" s="10">
        <v>0</v>
      </c>
      <c r="E112" s="10">
        <v>0</v>
      </c>
      <c r="F112" s="10">
        <v>0</v>
      </c>
    </row>
    <row r="113" spans="2:6" ht="15" customHeight="1">
      <c r="B113" s="12" t="s">
        <v>174</v>
      </c>
      <c r="C113" s="10">
        <v>33519</v>
      </c>
      <c r="D113" s="10">
        <v>0</v>
      </c>
      <c r="E113" s="10">
        <v>0</v>
      </c>
      <c r="F113" s="10">
        <v>0</v>
      </c>
    </row>
    <row r="114" spans="2:6" ht="15" customHeight="1">
      <c r="B114" s="12" t="s">
        <v>168</v>
      </c>
      <c r="C114" s="10">
        <v>28622</v>
      </c>
      <c r="D114" s="10">
        <v>0</v>
      </c>
      <c r="E114" s="10">
        <v>0</v>
      </c>
      <c r="F114" s="10">
        <v>0</v>
      </c>
    </row>
    <row r="115" spans="2:6" ht="15" customHeight="1">
      <c r="B115" s="12" t="s">
        <v>167</v>
      </c>
      <c r="C115" s="10">
        <v>27983</v>
      </c>
      <c r="D115" s="10">
        <v>0</v>
      </c>
      <c r="E115" s="10">
        <v>0</v>
      </c>
      <c r="F115" s="10">
        <v>0</v>
      </c>
    </row>
    <row r="116" spans="2:6" ht="15" customHeight="1">
      <c r="B116" s="12" t="s">
        <v>161</v>
      </c>
      <c r="C116" s="10">
        <v>26134</v>
      </c>
      <c r="D116" s="10">
        <v>0</v>
      </c>
      <c r="E116" s="10">
        <v>0</v>
      </c>
      <c r="F116" s="10">
        <v>0</v>
      </c>
    </row>
    <row r="117" spans="2:6" ht="15" customHeight="1">
      <c r="B117" s="12" t="s">
        <v>156</v>
      </c>
      <c r="C117" s="10">
        <v>24588</v>
      </c>
      <c r="D117" s="10">
        <v>0</v>
      </c>
      <c r="E117" s="10">
        <v>0</v>
      </c>
      <c r="F117" s="10">
        <v>0</v>
      </c>
    </row>
    <row r="118" spans="2:6" ht="15" customHeight="1">
      <c r="B118" s="12" t="s">
        <v>170</v>
      </c>
      <c r="C118" s="10">
        <v>19153</v>
      </c>
      <c r="D118" s="10">
        <v>0</v>
      </c>
      <c r="E118" s="10">
        <v>0</v>
      </c>
      <c r="F118" s="10">
        <v>0</v>
      </c>
    </row>
    <row r="119" spans="2:6" ht="15" customHeight="1">
      <c r="B119" s="12" t="s">
        <v>158</v>
      </c>
      <c r="C119" s="10">
        <v>17956</v>
      </c>
      <c r="D119" s="10">
        <v>0</v>
      </c>
      <c r="E119" s="10">
        <v>0</v>
      </c>
      <c r="F119" s="10">
        <v>0</v>
      </c>
    </row>
    <row r="120" spans="2:6" ht="15" customHeight="1">
      <c r="B120" s="12" t="s">
        <v>173</v>
      </c>
      <c r="C120" s="10">
        <v>17394</v>
      </c>
      <c r="D120" s="10">
        <v>0</v>
      </c>
      <c r="E120" s="10">
        <v>0</v>
      </c>
      <c r="F120" s="10">
        <v>0</v>
      </c>
    </row>
    <row r="121" spans="2:6" ht="15" customHeight="1">
      <c r="B121" s="12" t="s">
        <v>166</v>
      </c>
      <c r="C121" s="10">
        <v>13750</v>
      </c>
      <c r="D121" s="10">
        <v>0</v>
      </c>
      <c r="E121" s="10">
        <v>0</v>
      </c>
      <c r="F121" s="10">
        <v>0</v>
      </c>
    </row>
    <row r="122" spans="2:6" ht="15" customHeight="1">
      <c r="B122" s="12" t="s">
        <v>151</v>
      </c>
      <c r="C122" s="10">
        <v>54</v>
      </c>
      <c r="D122" s="10">
        <v>9604</v>
      </c>
      <c r="E122" s="10">
        <v>0</v>
      </c>
      <c r="F122" s="10">
        <v>0</v>
      </c>
    </row>
    <row r="123" spans="2:6" ht="15" customHeight="1">
      <c r="B123" s="12" t="s">
        <v>160</v>
      </c>
      <c r="C123" s="10">
        <v>2267</v>
      </c>
      <c r="D123" s="10">
        <v>0</v>
      </c>
      <c r="E123" s="10">
        <v>0</v>
      </c>
      <c r="F123" s="10">
        <v>0</v>
      </c>
    </row>
    <row r="124" spans="2:6" ht="15" customHeight="1">
      <c r="B124" s="12" t="s">
        <v>155</v>
      </c>
      <c r="C124" s="10">
        <v>461</v>
      </c>
      <c r="D124" s="10">
        <v>257</v>
      </c>
      <c r="E124" s="10">
        <v>0</v>
      </c>
      <c r="F124" s="10">
        <v>0</v>
      </c>
    </row>
    <row r="125" spans="2:6" ht="15" customHeight="1">
      <c r="B125" s="12" t="s">
        <v>171</v>
      </c>
      <c r="C125" s="10">
        <v>279</v>
      </c>
      <c r="D125" s="10">
        <v>0</v>
      </c>
      <c r="E125" s="10">
        <v>0</v>
      </c>
      <c r="F125" s="10">
        <v>0</v>
      </c>
    </row>
    <row r="126" spans="2:6" ht="15" customHeight="1">
      <c r="B126" s="12" t="s">
        <v>163</v>
      </c>
      <c r="C126" s="10">
        <v>0</v>
      </c>
      <c r="D126" s="10">
        <v>0</v>
      </c>
      <c r="E126" s="10">
        <v>0</v>
      </c>
      <c r="F126" s="10">
        <v>0</v>
      </c>
    </row>
    <row r="127" spans="2:6" ht="15" customHeight="1">
      <c r="B127" s="12" t="s">
        <v>169</v>
      </c>
      <c r="C127" s="10">
        <v>0</v>
      </c>
      <c r="D127" s="10">
        <v>0</v>
      </c>
      <c r="E127" s="10">
        <v>0</v>
      </c>
      <c r="F127" s="10">
        <v>0</v>
      </c>
    </row>
    <row r="128" spans="2:6" ht="15" customHeight="1">
      <c r="B128" s="12" t="s">
        <v>172</v>
      </c>
      <c r="C128" s="10">
        <v>0</v>
      </c>
      <c r="D128" s="10">
        <v>0</v>
      </c>
      <c r="E128" s="10">
        <v>0</v>
      </c>
      <c r="F128" s="10">
        <v>0</v>
      </c>
    </row>
    <row r="129" spans="2:6" ht="15" customHeight="1">
      <c r="B129" s="12" t="s">
        <v>179</v>
      </c>
      <c r="C129" s="10">
        <v>3814915</v>
      </c>
      <c r="D129" s="10">
        <v>580754</v>
      </c>
      <c r="E129" s="10">
        <v>77077</v>
      </c>
      <c r="F129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aa7273-28ef-4f6a-8507-703517f0a36c}">
  <dimension ref="B1:F141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43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6" ht="30" customHeight="1">
      <c r="B29" s="6" t="s">
        <v>182</v>
      </c>
      <c r="C29" s="7" t="s">
        <v>8</v>
      </c>
      <c r="D29" s="7" t="s">
        <v>7</v>
      </c>
      <c r="E29" s="7" t="s">
        <v>9</v>
      </c>
      <c r="F29" s="7" t="s">
        <v>11</v>
      </c>
    </row>
    <row r="30" spans="2:6" ht="15" customHeight="1">
      <c r="B30" s="12" t="s">
        <v>145</v>
      </c>
      <c r="C30" s="10">
        <v>16</v>
      </c>
      <c r="D30" s="10">
        <v>14</v>
      </c>
      <c r="E30" s="10">
        <v>1</v>
      </c>
      <c r="F30" s="10">
        <v>1</v>
      </c>
    </row>
    <row r="31" spans="2:6" ht="15" customHeight="1">
      <c r="B31" s="12" t="s">
        <v>146</v>
      </c>
      <c r="C31" s="10">
        <v>18</v>
      </c>
      <c r="D31" s="10">
        <v>6</v>
      </c>
      <c r="E31" s="10">
        <v>1</v>
      </c>
      <c r="F31" s="10">
        <v>0</v>
      </c>
    </row>
    <row r="32" spans="2:6" ht="15" customHeight="1">
      <c r="B32" s="12" t="s">
        <v>183</v>
      </c>
      <c r="C32" s="10">
        <v>5</v>
      </c>
      <c r="D32" s="10">
        <v>0</v>
      </c>
      <c r="E32" s="10">
        <v>0</v>
      </c>
      <c r="F32" s="10">
        <v>0</v>
      </c>
    </row>
    <row r="33" spans="2:6" ht="15" customHeight="1">
      <c r="B33" s="12" t="s">
        <v>184</v>
      </c>
      <c r="C33" s="10">
        <v>2</v>
      </c>
      <c r="D33" s="10">
        <v>1</v>
      </c>
      <c r="E33" s="10">
        <v>0</v>
      </c>
      <c r="F33" s="10">
        <v>0</v>
      </c>
    </row>
    <row r="34" spans="2:6" ht="15" customHeight="1">
      <c r="B34" s="12" t="s">
        <v>185</v>
      </c>
      <c r="C34" s="10">
        <v>3</v>
      </c>
      <c r="D34" s="10">
        <v>0</v>
      </c>
      <c r="E34" s="10">
        <v>0</v>
      </c>
      <c r="F34" s="10">
        <v>0</v>
      </c>
    </row>
    <row r="35" spans="2:6" ht="15" customHeight="1">
      <c r="B35" s="12" t="s">
        <v>186</v>
      </c>
      <c r="C35" s="10">
        <v>2</v>
      </c>
      <c r="D35" s="10">
        <v>0</v>
      </c>
      <c r="E35" s="10">
        <v>0</v>
      </c>
      <c r="F35" s="10">
        <v>0</v>
      </c>
    </row>
    <row r="36" spans="2:6" ht="15" customHeight="1">
      <c r="B36" s="12" t="s">
        <v>187</v>
      </c>
      <c r="C36" s="10">
        <v>1</v>
      </c>
      <c r="D36" s="10">
        <v>1</v>
      </c>
      <c r="E36" s="10">
        <v>0</v>
      </c>
      <c r="F36" s="10">
        <v>0</v>
      </c>
    </row>
    <row r="37" spans="2:6" ht="15" customHeight="1">
      <c r="B37" s="12" t="s">
        <v>188</v>
      </c>
      <c r="C37" s="10">
        <v>2</v>
      </c>
      <c r="D37" s="10">
        <v>0</v>
      </c>
      <c r="E37" s="10">
        <v>0</v>
      </c>
      <c r="F37" s="10">
        <v>0</v>
      </c>
    </row>
    <row r="38" spans="2:6" ht="15" customHeight="1">
      <c r="B38" s="12" t="s">
        <v>189</v>
      </c>
      <c r="C38" s="10">
        <v>2</v>
      </c>
      <c r="D38" s="10">
        <v>0</v>
      </c>
      <c r="E38" s="10">
        <v>0</v>
      </c>
      <c r="F38" s="10">
        <v>0</v>
      </c>
    </row>
    <row r="39" spans="2:6" ht="15" customHeight="1">
      <c r="B39" s="12" t="s">
        <v>190</v>
      </c>
      <c r="C39" s="10">
        <v>2</v>
      </c>
      <c r="D39" s="10">
        <v>0</v>
      </c>
      <c r="E39" s="10">
        <v>0</v>
      </c>
      <c r="F39" s="10">
        <v>0</v>
      </c>
    </row>
    <row r="40" spans="2:6" ht="15" customHeight="1">
      <c r="B40" s="12" t="s">
        <v>191</v>
      </c>
      <c r="C40" s="10">
        <v>2</v>
      </c>
      <c r="D40" s="10">
        <v>0</v>
      </c>
      <c r="E40" s="10">
        <v>0</v>
      </c>
      <c r="F40" s="10">
        <v>0</v>
      </c>
    </row>
    <row r="41" spans="2:6" ht="15" customHeight="1">
      <c r="B41" s="12" t="s">
        <v>192</v>
      </c>
      <c r="C41" s="10">
        <v>2</v>
      </c>
      <c r="D41" s="10">
        <v>0</v>
      </c>
      <c r="E41" s="10">
        <v>0</v>
      </c>
      <c r="F41" s="10">
        <v>0</v>
      </c>
    </row>
    <row r="42" spans="2:6" ht="15" customHeight="1">
      <c r="B42" s="12" t="s">
        <v>193</v>
      </c>
      <c r="C42" s="10">
        <v>1</v>
      </c>
      <c r="D42" s="10">
        <v>1</v>
      </c>
      <c r="E42" s="10">
        <v>0</v>
      </c>
      <c r="F42" s="10">
        <v>0</v>
      </c>
    </row>
    <row r="43" spans="2:6" ht="15" customHeight="1">
      <c r="B43" s="12" t="s">
        <v>194</v>
      </c>
      <c r="C43" s="10">
        <v>1</v>
      </c>
      <c r="D43" s="10">
        <v>0</v>
      </c>
      <c r="E43" s="10">
        <v>0</v>
      </c>
      <c r="F43" s="10">
        <v>0</v>
      </c>
    </row>
    <row r="44" spans="2:6" ht="15" customHeight="1">
      <c r="B44" s="12" t="s">
        <v>195</v>
      </c>
      <c r="C44" s="10">
        <v>1</v>
      </c>
      <c r="D44" s="10">
        <v>0</v>
      </c>
      <c r="E44" s="10">
        <v>0</v>
      </c>
      <c r="F44" s="10">
        <v>0</v>
      </c>
    </row>
    <row r="45" spans="2:6" ht="15" customHeight="1">
      <c r="B45" s="12" t="s">
        <v>196</v>
      </c>
      <c r="C45" s="10">
        <v>1</v>
      </c>
      <c r="D45" s="10">
        <v>0</v>
      </c>
      <c r="E45" s="10">
        <v>0</v>
      </c>
      <c r="F45" s="10">
        <v>0</v>
      </c>
    </row>
    <row r="46" spans="2:6" ht="15" customHeight="1">
      <c r="B46" s="12" t="s">
        <v>197</v>
      </c>
      <c r="C46" s="10">
        <v>1</v>
      </c>
      <c r="D46" s="10">
        <v>0</v>
      </c>
      <c r="E46" s="10">
        <v>0</v>
      </c>
      <c r="F46" s="10">
        <v>0</v>
      </c>
    </row>
    <row r="47" spans="2:6" ht="15" customHeight="1">
      <c r="B47" s="12" t="s">
        <v>198</v>
      </c>
      <c r="C47" s="10">
        <v>1</v>
      </c>
      <c r="D47" s="10">
        <v>0</v>
      </c>
      <c r="E47" s="10">
        <v>0</v>
      </c>
      <c r="F47" s="10">
        <v>0</v>
      </c>
    </row>
    <row r="48" spans="2:6" ht="15" customHeight="1">
      <c r="B48" s="12" t="s">
        <v>199</v>
      </c>
      <c r="C48" s="10">
        <v>1</v>
      </c>
      <c r="D48" s="10">
        <v>0</v>
      </c>
      <c r="E48" s="10">
        <v>0</v>
      </c>
      <c r="F48" s="10">
        <v>0</v>
      </c>
    </row>
    <row r="49" spans="2:6" ht="15" customHeight="1">
      <c r="B49" s="12" t="s">
        <v>200</v>
      </c>
      <c r="C49" s="10">
        <v>1</v>
      </c>
      <c r="D49" s="10">
        <v>0</v>
      </c>
      <c r="E49" s="10">
        <v>0</v>
      </c>
      <c r="F49" s="10">
        <v>0</v>
      </c>
    </row>
    <row r="50" spans="2:6" ht="15" customHeight="1">
      <c r="B50" s="12" t="s">
        <v>201</v>
      </c>
      <c r="C50" s="10">
        <v>1</v>
      </c>
      <c r="D50" s="10">
        <v>0</v>
      </c>
      <c r="E50" s="10">
        <v>0</v>
      </c>
      <c r="F50" s="10">
        <v>0</v>
      </c>
    </row>
    <row r="51" spans="2:6" ht="15" customHeight="1">
      <c r="B51" s="12" t="s">
        <v>202</v>
      </c>
      <c r="C51" s="10">
        <v>1</v>
      </c>
      <c r="D51" s="10">
        <v>0</v>
      </c>
      <c r="E51" s="10">
        <v>0</v>
      </c>
      <c r="F51" s="10">
        <v>0</v>
      </c>
    </row>
    <row r="52" spans="2:6" ht="15" customHeight="1">
      <c r="B52" s="12" t="s">
        <v>203</v>
      </c>
      <c r="C52" s="10">
        <v>1</v>
      </c>
      <c r="D52" s="10">
        <v>0</v>
      </c>
      <c r="E52" s="10">
        <v>0</v>
      </c>
      <c r="F52" s="10">
        <v>0</v>
      </c>
    </row>
    <row r="53" spans="2:6" ht="15" customHeight="1">
      <c r="B53" s="12" t="s">
        <v>204</v>
      </c>
      <c r="C53" s="10">
        <v>1</v>
      </c>
      <c r="D53" s="10">
        <v>0</v>
      </c>
      <c r="E53" s="10">
        <v>0</v>
      </c>
      <c r="F53" s="10">
        <v>0</v>
      </c>
    </row>
    <row r="54" spans="2:6" ht="15" customHeight="1">
      <c r="B54" s="12" t="s">
        <v>205</v>
      </c>
      <c r="C54" s="10">
        <v>1</v>
      </c>
      <c r="D54" s="10">
        <v>0</v>
      </c>
      <c r="E54" s="10">
        <v>0</v>
      </c>
      <c r="F54" s="10">
        <v>0</v>
      </c>
    </row>
    <row r="55" spans="2:6" ht="15" customHeight="1">
      <c r="B55" s="12" t="s">
        <v>206</v>
      </c>
      <c r="C55" s="10">
        <v>1</v>
      </c>
      <c r="D55" s="10">
        <v>0</v>
      </c>
      <c r="E55" s="10">
        <v>0</v>
      </c>
      <c r="F55" s="10">
        <v>0</v>
      </c>
    </row>
    <row r="56" spans="2:6" ht="15" customHeight="1">
      <c r="B56" s="12" t="s">
        <v>207</v>
      </c>
      <c r="C56" s="10">
        <v>1</v>
      </c>
      <c r="D56" s="10">
        <v>0</v>
      </c>
      <c r="E56" s="10">
        <v>0</v>
      </c>
      <c r="F56" s="10">
        <v>0</v>
      </c>
    </row>
    <row r="57" spans="2:6" ht="15" customHeight="1">
      <c r="B57" s="12" t="s">
        <v>208</v>
      </c>
      <c r="C57" s="10">
        <v>1</v>
      </c>
      <c r="D57" s="10">
        <v>0</v>
      </c>
      <c r="E57" s="10">
        <v>0</v>
      </c>
      <c r="F57" s="10">
        <v>0</v>
      </c>
    </row>
    <row r="58" spans="2:6" ht="15" customHeight="1">
      <c r="B58" s="12" t="s">
        <v>209</v>
      </c>
      <c r="C58" s="10">
        <v>1</v>
      </c>
      <c r="D58" s="10">
        <v>0</v>
      </c>
      <c r="E58" s="10">
        <v>0</v>
      </c>
      <c r="F58" s="10">
        <v>0</v>
      </c>
    </row>
    <row r="59" spans="2:6" ht="15" customHeight="1">
      <c r="B59" s="12" t="s">
        <v>210</v>
      </c>
      <c r="C59" s="10">
        <v>1</v>
      </c>
      <c r="D59" s="10">
        <v>0</v>
      </c>
      <c r="E59" s="10">
        <v>0</v>
      </c>
      <c r="F59" s="10">
        <v>0</v>
      </c>
    </row>
    <row r="60" spans="2:6" ht="15" customHeight="1">
      <c r="B60" s="12" t="s">
        <v>211</v>
      </c>
      <c r="C60" s="10">
        <v>1</v>
      </c>
      <c r="D60" s="10">
        <v>0</v>
      </c>
      <c r="E60" s="10">
        <v>0</v>
      </c>
      <c r="F60" s="10">
        <v>0</v>
      </c>
    </row>
    <row r="61" spans="2:6" ht="15" customHeight="1">
      <c r="B61" s="12" t="s">
        <v>212</v>
      </c>
      <c r="C61" s="10">
        <v>1</v>
      </c>
      <c r="D61" s="10">
        <v>0</v>
      </c>
      <c r="E61" s="10">
        <v>0</v>
      </c>
      <c r="F61" s="10">
        <v>0</v>
      </c>
    </row>
    <row r="62" spans="2:6" ht="15" customHeight="1">
      <c r="B62" s="12" t="s">
        <v>213</v>
      </c>
      <c r="C62" s="10">
        <v>1</v>
      </c>
      <c r="D62" s="10">
        <v>0</v>
      </c>
      <c r="E62" s="10">
        <v>0</v>
      </c>
      <c r="F62" s="10">
        <v>0</v>
      </c>
    </row>
    <row r="63" spans="2:6" ht="15" customHeight="1">
      <c r="B63" s="12" t="s">
        <v>214</v>
      </c>
      <c r="C63" s="10">
        <v>1</v>
      </c>
      <c r="D63" s="10">
        <v>0</v>
      </c>
      <c r="E63" s="10">
        <v>0</v>
      </c>
      <c r="F63" s="10">
        <v>0</v>
      </c>
    </row>
    <row r="64" spans="2:6" ht="15" customHeight="1">
      <c r="B64" s="12" t="s">
        <v>215</v>
      </c>
      <c r="C64" s="10">
        <v>1</v>
      </c>
      <c r="D64" s="10">
        <v>0</v>
      </c>
      <c r="E64" s="10">
        <v>0</v>
      </c>
      <c r="F64" s="10">
        <v>0</v>
      </c>
    </row>
    <row r="65" spans="2:6" ht="15" customHeight="1">
      <c r="B65" s="12" t="s">
        <v>216</v>
      </c>
      <c r="C65" s="10">
        <v>1</v>
      </c>
      <c r="D65" s="10">
        <v>0</v>
      </c>
      <c r="E65" s="10">
        <v>0</v>
      </c>
      <c r="F65" s="10">
        <v>0</v>
      </c>
    </row>
    <row r="66" spans="2:6" ht="15" customHeight="1">
      <c r="B66" s="12" t="s">
        <v>217</v>
      </c>
      <c r="C66" s="10">
        <v>1</v>
      </c>
      <c r="D66" s="10">
        <v>0</v>
      </c>
      <c r="E66" s="10">
        <v>0</v>
      </c>
      <c r="F66" s="10">
        <v>0</v>
      </c>
    </row>
    <row r="67" spans="2:6" ht="15" customHeight="1">
      <c r="B67" s="12" t="s">
        <v>218</v>
      </c>
      <c r="C67" s="10">
        <v>1</v>
      </c>
      <c r="D67" s="10">
        <v>0</v>
      </c>
      <c r="E67" s="10">
        <v>0</v>
      </c>
      <c r="F67" s="10">
        <v>0</v>
      </c>
    </row>
    <row r="68" spans="2:6" ht="15" customHeight="1">
      <c r="B68" s="12" t="s">
        <v>219</v>
      </c>
      <c r="C68" s="10">
        <v>1</v>
      </c>
      <c r="D68" s="10">
        <v>0</v>
      </c>
      <c r="E68" s="10">
        <v>0</v>
      </c>
      <c r="F68" s="10">
        <v>0</v>
      </c>
    </row>
    <row r="69" spans="2:6" ht="15" customHeight="1">
      <c r="B69" s="12" t="s">
        <v>220</v>
      </c>
      <c r="C69" s="10">
        <v>1</v>
      </c>
      <c r="D69" s="10">
        <v>0</v>
      </c>
      <c r="E69" s="10">
        <v>0</v>
      </c>
      <c r="F69" s="10">
        <v>0</v>
      </c>
    </row>
    <row r="70" spans="2:6" ht="15" customHeight="1">
      <c r="B70" s="12" t="s">
        <v>221</v>
      </c>
      <c r="C70" s="10">
        <v>27</v>
      </c>
      <c r="D70" s="10">
        <v>24</v>
      </c>
      <c r="E70" s="10">
        <v>2</v>
      </c>
      <c r="F70" s="10">
        <v>0</v>
      </c>
    </row>
    <row r="72" spans="2:2" ht="15" customHeight="1">
      <c r="B72" s="27" t="s">
        <v>222</v>
      </c>
    </row>
    <row r="76" spans="2:2" ht="12.75">
      <c r="B76" s="5" t="s">
        <v>223</v>
      </c>
    </row>
    <row r="78" spans="2:2" ht="12.75"/>
    <row r="100" spans="2:6" ht="30" customHeight="1">
      <c r="B100" s="6" t="s">
        <v>182</v>
      </c>
      <c r="C100" s="7" t="s">
        <v>8</v>
      </c>
      <c r="D100" s="7" t="s">
        <v>7</v>
      </c>
      <c r="E100" s="7" t="s">
        <v>9</v>
      </c>
      <c r="F100" s="7" t="s">
        <v>11</v>
      </c>
    </row>
    <row r="101" spans="2:6" ht="15" customHeight="1">
      <c r="B101" s="12" t="s">
        <v>201</v>
      </c>
      <c r="C101" s="10">
        <v>9871561</v>
      </c>
      <c r="D101" s="10">
        <v>0</v>
      </c>
      <c r="E101" s="10">
        <v>0</v>
      </c>
      <c r="F101" s="10">
        <v>0</v>
      </c>
    </row>
    <row r="102" spans="2:6" ht="15" customHeight="1">
      <c r="B102" s="12" t="s">
        <v>218</v>
      </c>
      <c r="C102" s="10">
        <v>1770722</v>
      </c>
      <c r="D102" s="10">
        <v>0</v>
      </c>
      <c r="E102" s="10">
        <v>0</v>
      </c>
      <c r="F102" s="10">
        <v>0</v>
      </c>
    </row>
    <row r="103" spans="2:6" ht="15" customHeight="1">
      <c r="B103" s="12" t="s">
        <v>145</v>
      </c>
      <c r="C103" s="10">
        <v>395607</v>
      </c>
      <c r="D103" s="10">
        <v>1327502</v>
      </c>
      <c r="E103" s="10">
        <v>213</v>
      </c>
      <c r="F103" s="10">
        <v>50</v>
      </c>
    </row>
    <row r="104" spans="2:6" ht="15" customHeight="1">
      <c r="B104" s="12" t="s">
        <v>200</v>
      </c>
      <c r="C104" s="10">
        <v>1599305</v>
      </c>
      <c r="D104" s="10">
        <v>0</v>
      </c>
      <c r="E104" s="10">
        <v>0</v>
      </c>
      <c r="F104" s="10">
        <v>0</v>
      </c>
    </row>
    <row r="105" spans="2:6" ht="15" customHeight="1">
      <c r="B105" s="12" t="s">
        <v>204</v>
      </c>
      <c r="C105" s="10">
        <v>1330588</v>
      </c>
      <c r="D105" s="10">
        <v>0</v>
      </c>
      <c r="E105" s="10">
        <v>0</v>
      </c>
      <c r="F105" s="10">
        <v>0</v>
      </c>
    </row>
    <row r="106" spans="2:6" ht="15" customHeight="1">
      <c r="B106" s="12" t="s">
        <v>146</v>
      </c>
      <c r="C106" s="10">
        <v>4435</v>
      </c>
      <c r="D106" s="10">
        <v>447736</v>
      </c>
      <c r="E106" s="10">
        <v>3138</v>
      </c>
      <c r="F106" s="10">
        <v>0</v>
      </c>
    </row>
    <row r="107" spans="2:6" ht="15" customHeight="1">
      <c r="B107" s="12" t="s">
        <v>192</v>
      </c>
      <c r="C107" s="10">
        <v>252496</v>
      </c>
      <c r="D107" s="10">
        <v>0</v>
      </c>
      <c r="E107" s="10">
        <v>0</v>
      </c>
      <c r="F107" s="10">
        <v>0</v>
      </c>
    </row>
    <row r="108" spans="2:6" ht="15" customHeight="1">
      <c r="B108" s="12" t="s">
        <v>193</v>
      </c>
      <c r="C108" s="10">
        <v>252496</v>
      </c>
      <c r="D108" s="10">
        <v>252487</v>
      </c>
      <c r="E108" s="10">
        <v>0</v>
      </c>
      <c r="F108" s="10">
        <v>0</v>
      </c>
    </row>
    <row r="109" spans="2:6" ht="15" customHeight="1">
      <c r="B109" s="12" t="s">
        <v>220</v>
      </c>
      <c r="C109" s="10">
        <v>252487</v>
      </c>
      <c r="D109" s="10">
        <v>0</v>
      </c>
      <c r="E109" s="10">
        <v>0</v>
      </c>
      <c r="F109" s="10">
        <v>0</v>
      </c>
    </row>
    <row r="110" spans="2:6" ht="15" customHeight="1">
      <c r="B110" s="12" t="s">
        <v>190</v>
      </c>
      <c r="C110" s="10">
        <v>242006</v>
      </c>
      <c r="D110" s="10">
        <v>0</v>
      </c>
      <c r="E110" s="10">
        <v>0</v>
      </c>
      <c r="F110" s="10">
        <v>0</v>
      </c>
    </row>
    <row r="111" spans="2:6" ht="15" customHeight="1">
      <c r="B111" s="12" t="s">
        <v>183</v>
      </c>
      <c r="C111" s="10">
        <v>204749</v>
      </c>
      <c r="D111" s="10">
        <v>0</v>
      </c>
      <c r="E111" s="10">
        <v>0</v>
      </c>
      <c r="F111" s="10">
        <v>0</v>
      </c>
    </row>
    <row r="112" spans="2:6" ht="15" customHeight="1">
      <c r="B112" s="12" t="s">
        <v>186</v>
      </c>
      <c r="C112" s="10">
        <v>197908</v>
      </c>
      <c r="D112" s="10">
        <v>0</v>
      </c>
      <c r="E112" s="10">
        <v>0</v>
      </c>
      <c r="F112" s="10">
        <v>0</v>
      </c>
    </row>
    <row r="113" spans="2:6" ht="15" customHeight="1">
      <c r="B113" s="12" t="s">
        <v>199</v>
      </c>
      <c r="C113" s="10">
        <v>188185</v>
      </c>
      <c r="D113" s="10">
        <v>0</v>
      </c>
      <c r="E113" s="10">
        <v>0</v>
      </c>
      <c r="F113" s="10">
        <v>0</v>
      </c>
    </row>
    <row r="114" spans="2:6" ht="15" customHeight="1">
      <c r="B114" s="12" t="s">
        <v>205</v>
      </c>
      <c r="C114" s="10">
        <v>104543</v>
      </c>
      <c r="D114" s="10">
        <v>0</v>
      </c>
      <c r="E114" s="10">
        <v>0</v>
      </c>
      <c r="F114" s="10">
        <v>0</v>
      </c>
    </row>
    <row r="115" spans="2:6" ht="15" customHeight="1">
      <c r="B115" s="12" t="s">
        <v>184</v>
      </c>
      <c r="C115" s="10">
        <v>6620</v>
      </c>
      <c r="D115" s="10">
        <v>80790</v>
      </c>
      <c r="E115" s="10">
        <v>0</v>
      </c>
      <c r="F115" s="10">
        <v>0</v>
      </c>
    </row>
    <row r="116" spans="2:6" ht="15" customHeight="1">
      <c r="B116" s="12" t="s">
        <v>188</v>
      </c>
      <c r="C116" s="10">
        <v>84954</v>
      </c>
      <c r="D116" s="10">
        <v>0</v>
      </c>
      <c r="E116" s="10">
        <v>0</v>
      </c>
      <c r="F116" s="10">
        <v>0</v>
      </c>
    </row>
    <row r="117" spans="2:6" ht="15" customHeight="1">
      <c r="B117" s="12" t="s">
        <v>185</v>
      </c>
      <c r="C117" s="10">
        <v>66349</v>
      </c>
      <c r="D117" s="10">
        <v>0</v>
      </c>
      <c r="E117" s="10">
        <v>0</v>
      </c>
      <c r="F117" s="10">
        <v>0</v>
      </c>
    </row>
    <row r="118" spans="2:6" ht="15" customHeight="1">
      <c r="B118" s="12" t="s">
        <v>191</v>
      </c>
      <c r="C118" s="10">
        <v>66245</v>
      </c>
      <c r="D118" s="10">
        <v>0</v>
      </c>
      <c r="E118" s="10">
        <v>0</v>
      </c>
      <c r="F118" s="10">
        <v>0</v>
      </c>
    </row>
    <row r="119" spans="2:6" ht="15" customHeight="1">
      <c r="B119" s="12" t="s">
        <v>216</v>
      </c>
      <c r="C119" s="10">
        <v>55177</v>
      </c>
      <c r="D119" s="10">
        <v>0</v>
      </c>
      <c r="E119" s="10">
        <v>0</v>
      </c>
      <c r="F119" s="10">
        <v>0</v>
      </c>
    </row>
    <row r="120" spans="2:6" ht="15" customHeight="1">
      <c r="B120" s="12" t="s">
        <v>217</v>
      </c>
      <c r="C120" s="10">
        <v>45156</v>
      </c>
      <c r="D120" s="10">
        <v>0</v>
      </c>
      <c r="E120" s="10">
        <v>0</v>
      </c>
      <c r="F120" s="10">
        <v>0</v>
      </c>
    </row>
    <row r="121" spans="2:6" ht="15" customHeight="1">
      <c r="B121" s="12" t="s">
        <v>215</v>
      </c>
      <c r="C121" s="10">
        <v>33519</v>
      </c>
      <c r="D121" s="10">
        <v>0</v>
      </c>
      <c r="E121" s="10">
        <v>0</v>
      </c>
      <c r="F121" s="10">
        <v>0</v>
      </c>
    </row>
    <row r="122" spans="2:6" ht="15" customHeight="1">
      <c r="B122" s="12" t="s">
        <v>209</v>
      </c>
      <c r="C122" s="10">
        <v>28622</v>
      </c>
      <c r="D122" s="10">
        <v>0</v>
      </c>
      <c r="E122" s="10">
        <v>0</v>
      </c>
      <c r="F122" s="10">
        <v>0</v>
      </c>
    </row>
    <row r="123" spans="2:6" ht="15" customHeight="1">
      <c r="B123" s="12" t="s">
        <v>208</v>
      </c>
      <c r="C123" s="10">
        <v>27983</v>
      </c>
      <c r="D123" s="10">
        <v>0</v>
      </c>
      <c r="E123" s="10">
        <v>0</v>
      </c>
      <c r="F123" s="10">
        <v>0</v>
      </c>
    </row>
    <row r="124" spans="2:6" ht="15" customHeight="1">
      <c r="B124" s="12" t="s">
        <v>196</v>
      </c>
      <c r="C124" s="10">
        <v>26134</v>
      </c>
      <c r="D124" s="10">
        <v>0</v>
      </c>
      <c r="E124" s="10">
        <v>0</v>
      </c>
      <c r="F124" s="10">
        <v>0</v>
      </c>
    </row>
    <row r="125" spans="2:6" ht="15" customHeight="1">
      <c r="B125" s="12" t="s">
        <v>189</v>
      </c>
      <c r="C125" s="10">
        <v>24588</v>
      </c>
      <c r="D125" s="10">
        <v>0</v>
      </c>
      <c r="E125" s="10">
        <v>0</v>
      </c>
      <c r="F125" s="10">
        <v>0</v>
      </c>
    </row>
    <row r="126" spans="2:6" ht="15" customHeight="1">
      <c r="B126" s="12" t="s">
        <v>212</v>
      </c>
      <c r="C126" s="10">
        <v>19153</v>
      </c>
      <c r="D126" s="10">
        <v>0</v>
      </c>
      <c r="E126" s="10">
        <v>0</v>
      </c>
      <c r="F126" s="10">
        <v>0</v>
      </c>
    </row>
    <row r="127" spans="2:6" ht="15" customHeight="1">
      <c r="B127" s="12" t="s">
        <v>210</v>
      </c>
      <c r="C127" s="10">
        <v>17935</v>
      </c>
      <c r="D127" s="10">
        <v>0</v>
      </c>
      <c r="E127" s="10">
        <v>0</v>
      </c>
      <c r="F127" s="10">
        <v>0</v>
      </c>
    </row>
    <row r="128" spans="2:6" ht="15" customHeight="1">
      <c r="B128" s="12" t="s">
        <v>207</v>
      </c>
      <c r="C128" s="10">
        <v>13750</v>
      </c>
      <c r="D128" s="10">
        <v>0</v>
      </c>
      <c r="E128" s="10">
        <v>0</v>
      </c>
      <c r="F128" s="10">
        <v>0</v>
      </c>
    </row>
    <row r="129" spans="2:6" ht="15" customHeight="1">
      <c r="B129" s="12" t="s">
        <v>187</v>
      </c>
      <c r="C129" s="10">
        <v>47</v>
      </c>
      <c r="D129" s="10">
        <v>9604</v>
      </c>
      <c r="E129" s="10">
        <v>0</v>
      </c>
      <c r="F129" s="10">
        <v>0</v>
      </c>
    </row>
    <row r="130" spans="2:6" ht="15" customHeight="1">
      <c r="B130" s="12" t="s">
        <v>194</v>
      </c>
      <c r="C130" s="10">
        <v>4037</v>
      </c>
      <c r="D130" s="10">
        <v>0</v>
      </c>
      <c r="E130" s="10">
        <v>0</v>
      </c>
      <c r="F130" s="10">
        <v>0</v>
      </c>
    </row>
    <row r="131" spans="2:6" ht="15" customHeight="1">
      <c r="B131" s="12" t="s">
        <v>206</v>
      </c>
      <c r="C131" s="10">
        <v>3256</v>
      </c>
      <c r="D131" s="10">
        <v>0</v>
      </c>
      <c r="E131" s="10">
        <v>0</v>
      </c>
      <c r="F131" s="10">
        <v>0</v>
      </c>
    </row>
    <row r="132" spans="2:6" ht="15" customHeight="1">
      <c r="B132" s="12" t="s">
        <v>219</v>
      </c>
      <c r="C132" s="10">
        <v>2267</v>
      </c>
      <c r="D132" s="10">
        <v>0</v>
      </c>
      <c r="E132" s="10">
        <v>0</v>
      </c>
      <c r="F132" s="10">
        <v>0</v>
      </c>
    </row>
    <row r="133" spans="2:6" ht="15" customHeight="1">
      <c r="B133" s="12" t="s">
        <v>198</v>
      </c>
      <c r="C133" s="10">
        <v>1778</v>
      </c>
      <c r="D133" s="10">
        <v>0</v>
      </c>
      <c r="E133" s="10">
        <v>0</v>
      </c>
      <c r="F133" s="10">
        <v>0</v>
      </c>
    </row>
    <row r="134" spans="2:6" ht="15" customHeight="1">
      <c r="B134" s="12" t="s">
        <v>195</v>
      </c>
      <c r="C134" s="10">
        <v>461</v>
      </c>
      <c r="D134" s="10">
        <v>0</v>
      </c>
      <c r="E134" s="10">
        <v>0</v>
      </c>
      <c r="F134" s="10">
        <v>0</v>
      </c>
    </row>
    <row r="135" spans="2:6" ht="15" customHeight="1">
      <c r="B135" s="12" t="s">
        <v>213</v>
      </c>
      <c r="C135" s="10">
        <v>279</v>
      </c>
      <c r="D135" s="10">
        <v>0</v>
      </c>
      <c r="E135" s="10">
        <v>0</v>
      </c>
      <c r="F135" s="10">
        <v>0</v>
      </c>
    </row>
    <row r="136" spans="2:6" ht="15" customHeight="1">
      <c r="B136" s="12" t="s">
        <v>197</v>
      </c>
      <c r="C136" s="10">
        <v>257</v>
      </c>
      <c r="D136" s="10">
        <v>0</v>
      </c>
      <c r="E136" s="10">
        <v>0</v>
      </c>
      <c r="F136" s="10">
        <v>0</v>
      </c>
    </row>
    <row r="137" spans="2:6" ht="15" customHeight="1">
      <c r="B137" s="12" t="s">
        <v>211</v>
      </c>
      <c r="C137" s="10">
        <v>21</v>
      </c>
      <c r="D137" s="10">
        <v>0</v>
      </c>
      <c r="E137" s="10">
        <v>0</v>
      </c>
      <c r="F137" s="10">
        <v>0</v>
      </c>
    </row>
    <row r="138" spans="2:6" ht="15" customHeight="1">
      <c r="B138" s="12" t="s">
        <v>203</v>
      </c>
      <c r="C138" s="10">
        <v>7</v>
      </c>
      <c r="D138" s="10">
        <v>0</v>
      </c>
      <c r="E138" s="10">
        <v>0</v>
      </c>
      <c r="F138" s="10">
        <v>0</v>
      </c>
    </row>
    <row r="139" spans="2:6" ht="15" customHeight="1">
      <c r="B139" s="12" t="s">
        <v>202</v>
      </c>
      <c r="C139" s="10">
        <v>0</v>
      </c>
      <c r="D139" s="10">
        <v>0</v>
      </c>
      <c r="E139" s="10">
        <v>0</v>
      </c>
      <c r="F139" s="10">
        <v>0</v>
      </c>
    </row>
    <row r="140" spans="2:6" ht="15" customHeight="1">
      <c r="B140" s="12" t="s">
        <v>214</v>
      </c>
      <c r="C140" s="10">
        <v>0</v>
      </c>
      <c r="D140" s="10">
        <v>0</v>
      </c>
      <c r="E140" s="10">
        <v>0</v>
      </c>
      <c r="F140" s="10">
        <v>0</v>
      </c>
    </row>
    <row r="141" spans="2:6" ht="15" customHeight="1">
      <c r="B141" s="12" t="s">
        <v>221</v>
      </c>
      <c r="C141" s="10">
        <v>603993</v>
      </c>
      <c r="D141" s="10">
        <v>3814915</v>
      </c>
      <c r="E141" s="10">
        <v>77077</v>
      </c>
      <c r="F141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Содержание</vt:lpstr>
      <vt:lpstr>Показатели</vt:lpstr>
      <vt:lpstr>Динамика</vt:lpstr>
      <vt:lpstr>Тональность</vt:lpstr>
      <vt:lpstr>Мнения</vt:lpstr>
      <vt:lpstr>Оценки</vt:lpstr>
      <vt:lpstr>Типы площадок</vt:lpstr>
      <vt:lpstr>Площадки</vt:lpstr>
      <vt:lpstr>Эмоции</vt:lpstr>
      <vt:lpstr>Страны</vt:lpstr>
      <vt:lpstr>Федеральные округа</vt:lpstr>
      <vt:lpstr>Регионы РФ</vt:lpstr>
      <vt:lpstr>Города РФ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