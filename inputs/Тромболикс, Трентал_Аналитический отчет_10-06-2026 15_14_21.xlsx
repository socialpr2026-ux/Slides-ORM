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xml" ContentType="application/vnd.openxmlformats-officedocument.drawing+xml"/>
  <Override PartName="/xl/worksheets/sheet6.xml" ContentType="application/vnd.openxmlformats-officedocument.spreadsheetml.worksheet+xml"/>
  <Override PartName="/xl/charts/chart9.xml" ContentType="application/vnd.openxmlformats-officedocument.drawingml.chart+xml"/>
  <Override PartName="/xl/drawings/drawing3.xml" ContentType="application/vnd.openxmlformats-officedocument.drawing+xml"/>
  <Override PartName="/xl/worksheets/sheet7.xml" ContentType="application/vnd.openxmlformats-officedocument.spreadsheetml.worksheet+xml"/>
  <Override PartName="/xl/charts/chart10.xml" ContentType="application/vnd.openxmlformats-officedocument.drawingml.chart+xml"/>
  <Override PartName="/xl/charts/chart11.xml" ContentType="application/vnd.openxmlformats-officedocument.drawingml.chart+xml"/>
  <Override PartName="/xl/drawings/drawing4.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5.xml" ContentType="application/vnd.openxmlformats-officedocument.drawing+xml"/>
  <Override PartName="/xl/worksheets/sheet11.xml" ContentType="application/vnd.openxmlformats-officedocument.spreadsheetml.worksheet+xml"/>
  <Override PartName="/xl/charts/chart15.xml" ContentType="application/vnd.openxmlformats-officedocument.drawingml.chart+xml"/>
  <Override PartName="/xl/drawings/drawing6.xml" ContentType="application/vnd.openxmlformats-officedocument.drawing+xml"/>
  <Override PartName="/xl/worksheets/sheet12.xml" ContentType="application/vnd.openxmlformats-officedocument.spreadsheetml.worksheet+xml"/>
  <Override PartName="/xl/charts/chart16.xml" ContentType="application/vnd.openxmlformats-officedocument.drawingml.chart+xml"/>
  <Override PartName="/xl/drawings/drawing7.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charts/chart17.xml" ContentType="application/vnd.openxmlformats-officedocument.drawingml.chart+xml"/>
  <Override PartName="/xl/drawings/drawing8.xml" ContentType="application/vnd.openxmlformats-officedocument.drawing+xml"/>
  <Override PartName="/xl/worksheets/sheet15.xml" ContentType="application/vnd.openxmlformats-officedocument.spreadsheetml.worksheet+xml"/>
  <Override PartName="/xl/charts/chart18.xml" ContentType="application/vnd.openxmlformats-officedocument.drawingml.chart+xml"/>
  <Override PartName="/xl/drawings/drawing9.xml" ContentType="application/vnd.openxmlformats-officedocument.drawing+xml"/>
  <Override PartName="/xl/worksheets/sheet16.xml" ContentType="application/vnd.openxmlformats-officedocument.spreadsheetml.workshee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drawings/drawing10.xml" ContentType="application/vnd.openxmlformats-officedocument.drawing+xml"/>
  <Override PartName="/xl/worksheets/sheet17.xml" ContentType="application/vnd.openxmlformats-officedocument.spreadsheetml.worksheet+xml"/>
  <Override PartName="/xl/charts/chart27.xml" ContentType="application/vnd.openxmlformats-officedocument.drawingml.chart+xml"/>
  <Override PartName="/xl/drawings/drawing11.xml" ContentType="application/vnd.openxmlformats-officedocument.drawing+xml"/>
  <Override PartName="/xl/worksheets/sheet18.xml" ContentType="application/vnd.openxmlformats-officedocument.spreadsheetml.worksheet+xml"/>
  <Override PartName="/xl/charts/chart28.xml" ContentType="application/vnd.openxmlformats-officedocument.drawingml.chart+xml"/>
  <Override PartName="/xl/drawings/drawing12.xml" ContentType="application/vnd.openxmlformats-officedocument.drawing+xml"/>
  <Override PartName="/xl/worksheets/sheet19.xml" ContentType="application/vnd.openxmlformats-officedocument.spreadsheetml.worksheet+xml"/>
  <Override PartName="/xl/charts/chart29.xml" ContentType="application/vnd.openxmlformats-officedocument.drawingml.chart+xml"/>
  <Override PartName="/xl/drawings/drawing13.xml" ContentType="application/vnd.openxmlformats-officedocument.drawing+xml"/>
  <Override PartName="/xl/worksheets/sheet20.xml" ContentType="application/vnd.openxmlformats-officedocument.spreadsheetml.worksheet+xml"/>
  <Override PartName="/xl/charts/chart30.xml" ContentType="application/vnd.openxmlformats-officedocument.drawingml.chart+xml"/>
  <Override PartName="/xl/drawings/drawing14.xml" ContentType="application/vnd.openxmlformats-officedocument.drawing+xml"/>
  <Override PartName="/xl/worksheets/sheet21.xml" ContentType="application/vnd.openxmlformats-officedocument.spreadsheetml.worksheet+xml"/>
  <Override PartName="/xl/charts/chart31.xml" ContentType="application/vnd.openxmlformats-officedocument.drawingml.chart+xml"/>
  <Override PartName="/xl/drawings/drawing15.xml" ContentType="application/vnd.openxmlformats-officedocument.drawing+xml"/>
  <Override PartName="/xl/worksheets/sheet22.xml" ContentType="application/vnd.openxmlformats-officedocument.spreadsheetml.worksheet+xml"/>
  <Override PartName="/xl/charts/chart32.xml" ContentType="application/vnd.openxmlformats-officedocument.drawingml.chart+xml"/>
  <Override PartName="/xl/drawings/drawing16.xml" ContentType="application/vnd.openxmlformats-officedocument.drawing+xml"/>
  <Override PartName="/xl/worksheets/sheet23.xml" ContentType="application/vnd.openxmlformats-officedocument.spreadsheetml.worksheet+xml"/>
  <Override PartName="/xl/charts/chart33.xml" ContentType="application/vnd.openxmlformats-officedocument.drawingml.chart+xml"/>
  <Override PartName="/xl/drawings/drawing17.xml" ContentType="application/vnd.openxmlformats-officedocument.drawing+xml"/>
  <Override PartName="/xl/worksheets/sheet24.xml" ContentType="application/vnd.openxmlformats-officedocument.spreadsheetml.worksheet+xml"/>
  <Override PartName="/xl/charts/chart34.xml" ContentType="application/vnd.openxmlformats-officedocument.drawingml.chart+xml"/>
  <Override PartName="/xl/drawings/drawing18.xml" ContentType="application/vnd.openxmlformats-officedocument.drawing+xml"/>
  <Override PartName="/xl/worksheets/sheet25.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Содержание" sheetId="2" r:id="rId3"/>
    <sheet name="Показатели" sheetId="3" r:id="rId4"/>
    <sheet name="Динамика" sheetId="4" r:id="rId5"/>
    <sheet name="Сообщения" sheetId="5" r:id="rId6"/>
    <sheet name="События СМИ" sheetId="6" r:id="rId7"/>
    <sheet name="Тональность" sheetId="7" r:id="rId8"/>
    <sheet name="Мнения" sheetId="8" r:id="rId9"/>
    <sheet name="Теги" sheetId="9" r:id="rId10"/>
    <sheet name="Промо" sheetId="10" r:id="rId11"/>
    <sheet name="Заказчики" sheetId="11" r:id="rId12"/>
    <sheet name="Оценки" sheetId="12" r:id="rId13"/>
    <sheet name="Типы площадок" sheetId="13" r:id="rId14"/>
    <sheet name="Площадки" sheetId="14" r:id="rId15"/>
    <sheet name="Тематики" sheetId="15" r:id="rId16"/>
    <sheet name="Группы" sheetId="16" r:id="rId17"/>
    <sheet name="Авторы" sheetId="17" r:id="rId18"/>
    <sheet name="Соцдем авторов" sheetId="18" r:id="rId19"/>
    <sheet name="Эмоции" sheetId="19" r:id="rId20"/>
    <sheet name="Реакции" sheetId="20" r:id="rId21"/>
    <sheet name="Слова" sheetId="21" r:id="rId22"/>
    <sheet name="Хэштеги" sheetId="22" r:id="rId23"/>
    <sheet name="Страны" sheetId="23" r:id="rId24"/>
    <sheet name="Федеральные округа" sheetId="24" r:id="rId25"/>
    <sheet name="Регионы РФ" sheetId="25" r:id="rId26"/>
    <sheet name="Города РФ" sheetId="26" r:id="rId27"/>
  </sheets>
  <definedNames>
    <definedName name="_xlnm._FilterDatabase" localSheetId="3" hidden="1">Сообщения!$B$6:$AV$6</definedName>
    <definedName name="_xlnm._FilterDatabase" localSheetId="12" hidden="1">Площадки!$B$27:$O$27</definedName>
    <definedName name="_xlnm._FilterDatabase" localSheetId="13" hidden="1">Тематики!$B$6:$K$6</definedName>
    <definedName name="_xlnm._FilterDatabase" localSheetId="14" hidden="1">Группы!$B$27:$W$27</definedName>
    <definedName name="_xlnm._FilterDatabase" localSheetId="15" hidden="1">Авторы!$B$27:$Z$27</definedName>
    <definedName name="_xlnm._FilterDatabase" localSheetId="21" hidden="1">Страны!$B$26:$I$26</definedName>
    <definedName name="_xlnm._FilterDatabase" localSheetId="22" hidden="1">'Федеральные округа'!$B$26:$I$26</definedName>
    <definedName name="_xlnm._FilterDatabase" localSheetId="23" hidden="1">'Регионы РФ'!$B$26:$I$26</definedName>
    <definedName name="_xlnm._FilterDatabase" localSheetId="24" hidden="1">'Города РФ'!$B$26:$I$26</definedName>
  </definedNames>
  <calcPr fullCalcOnLoad="1"/>
</workbook>
</file>

<file path=xl/calcChain.xml><?xml version="1.0" encoding="utf-8"?>
<calcChain xmlns="http://schemas.openxmlformats.org/spreadsheetml/2006/main">
  <c r="J32" i="13" l="1"/>
</calcChain>
</file>

<file path=xl/sharedStrings.xml><?xml version="1.0" encoding="utf-8"?>
<sst xmlns="http://schemas.openxmlformats.org/spreadsheetml/2006/main" count="20050" uniqueCount="3042">
  <si>
    <t>© Медиалогия</t>
  </si>
  <si>
    <t>Содержание</t>
  </si>
  <si>
    <t>К содержанию</t>
  </si>
  <si>
    <t>Показатели</t>
  </si>
  <si>
    <t>Динамика</t>
  </si>
  <si>
    <t>Сообщения</t>
  </si>
  <si>
    <t>События СМИ</t>
  </si>
  <si>
    <t>Тональность</t>
  </si>
  <si>
    <t>Мнения</t>
  </si>
  <si>
    <t>Теги</t>
  </si>
  <si>
    <t>Промо</t>
  </si>
  <si>
    <t>Заказчики</t>
  </si>
  <si>
    <t>Оценки</t>
  </si>
  <si>
    <t>Типы площадок</t>
  </si>
  <si>
    <t>Оценки в отзывах</t>
  </si>
  <si>
    <t>Количество сообщений</t>
  </si>
  <si>
    <t>Оценка 5</t>
  </si>
  <si>
    <t>Оценка 4</t>
  </si>
  <si>
    <t>Оценка 3</t>
  </si>
  <si>
    <t>Оценка 2</t>
  </si>
  <si>
    <t>Оценка 1</t>
  </si>
  <si>
    <t>Итого</t>
  </si>
  <si>
    <t>Средняя оценка</t>
  </si>
  <si>
    <t>Площадки</t>
  </si>
  <si>
    <t>Тематики</t>
  </si>
  <si>
    <t>Оценка по дням</t>
  </si>
  <si>
    <t>Дата</t>
  </si>
  <si>
    <t>Группы</t>
  </si>
  <si>
    <t>Авторы</t>
  </si>
  <si>
    <t>Соцдем авторов</t>
  </si>
  <si>
    <t>Эмоции</t>
  </si>
  <si>
    <t>Мнение</t>
  </si>
  <si>
    <t>Тип</t>
  </si>
  <si>
    <t>Аудитория</t>
  </si>
  <si>
    <t>Вовлечённость</t>
  </si>
  <si>
    <t>Высокая эффективность препарата</t>
  </si>
  <si>
    <t>Позитивные</t>
  </si>
  <si>
    <t>Низкая эффективность препарата</t>
  </si>
  <si>
    <t>Негативные</t>
  </si>
  <si>
    <t>Доступные цены</t>
  </si>
  <si>
    <t>Реакции</t>
  </si>
  <si>
    <t>Слова</t>
  </si>
  <si>
    <t>Хэштеги</t>
  </si>
  <si>
    <t>Страны</t>
  </si>
  <si>
    <t>Федеральные округа</t>
  </si>
  <si>
    <t>Регионы РФ</t>
  </si>
  <si>
    <t>Города РФ</t>
  </si>
  <si>
    <t>Сообщения по площадкам</t>
  </si>
  <si>
    <t>Площадка</t>
  </si>
  <si>
    <t>Ссылка</t>
  </si>
  <si>
    <t/>
  </si>
  <si>
    <t>Просмотры</t>
  </si>
  <si>
    <t>Соцсети</t>
  </si>
  <si>
    <t>Меcсенджеры (Каналы)</t>
  </si>
  <si>
    <t>СМ Индекс</t>
  </si>
  <si>
    <t>Мессенджеры (Чаты)</t>
  </si>
  <si>
    <t>Отзывы</t>
  </si>
  <si>
    <t>Нейтральные</t>
  </si>
  <si>
    <t>Блоги</t>
  </si>
  <si>
    <t>Форумы</t>
  </si>
  <si>
    <t>СМИ</t>
  </si>
  <si>
    <t>Всего</t>
  </si>
  <si>
    <t>ВКонтакте</t>
  </si>
  <si>
    <t>http://vk.com</t>
  </si>
  <si>
    <t>Соцсеть</t>
  </si>
  <si>
    <t>Telegram</t>
  </si>
  <si>
    <t>http://telegram.org</t>
  </si>
  <si>
    <t>Мессенджер (Чат)</t>
  </si>
  <si>
    <t>Дзен</t>
  </si>
  <si>
    <t>http://dzen.ru</t>
  </si>
  <si>
    <t>Блог</t>
  </si>
  <si>
    <t>Facebook</t>
  </si>
  <si>
    <t>http://facebook.com</t>
  </si>
  <si>
    <t>Sprosivracha.com - форум</t>
  </si>
  <si>
    <t>http://sprosivracha.com</t>
  </si>
  <si>
    <t>Форум</t>
  </si>
  <si>
    <t>Одноклассники</t>
  </si>
  <si>
    <t>http://ok.ru</t>
  </si>
  <si>
    <t>YouTube</t>
  </si>
  <si>
    <t>http://youtube.com</t>
  </si>
  <si>
    <t>Мессенджер (Канал)</t>
  </si>
  <si>
    <t>Instagram</t>
  </si>
  <si>
    <t>http://instagram.com</t>
  </si>
  <si>
    <t>Threads</t>
  </si>
  <si>
    <t>http://threads.com</t>
  </si>
  <si>
    <t>Мамлайф</t>
  </si>
  <si>
    <t>http://mom.life</t>
  </si>
  <si>
    <t>Rutube.ru</t>
  </si>
  <si>
    <t>http://rutube.ru</t>
  </si>
  <si>
    <t>nup.ru</t>
  </si>
  <si>
    <t>http://nup.ru</t>
  </si>
  <si>
    <t>hron-prostatit.ru</t>
  </si>
  <si>
    <t>http://hron-prostatit.ru</t>
  </si>
  <si>
    <t>БебиБлог (babyblog.ru)</t>
  </si>
  <si>
    <t>http://babyblog.ru</t>
  </si>
  <si>
    <t>pikabu.ru</t>
  </si>
  <si>
    <t>http://pikabu.ru</t>
  </si>
  <si>
    <t>Женский журнал Woman.ru</t>
  </si>
  <si>
    <t>http://woman.ru</t>
  </si>
  <si>
    <t>Otzovik.com</t>
  </si>
  <si>
    <t>http://otzovik.com</t>
  </si>
  <si>
    <t>—</t>
  </si>
  <si>
    <t>Озон</t>
  </si>
  <si>
    <t>http://ozon.ru</t>
  </si>
  <si>
    <t>TikTok</t>
  </si>
  <si>
    <t>http://tiktok.com</t>
  </si>
  <si>
    <t>BabyPlan.ru</t>
  </si>
  <si>
    <t>http://babyplan.ru</t>
  </si>
  <si>
    <t>Forums.rusmedserv.com - форум</t>
  </si>
  <si>
    <t>http://forums.rusmedserv.com</t>
  </si>
  <si>
    <t xml:space="preserve">Irecommend.ru </t>
  </si>
  <si>
    <t>http://irecommend.ru</t>
  </si>
  <si>
    <t xml:space="preserve">Vashe-mnenie.com </t>
  </si>
  <si>
    <t>http://vashe-mnenie.com</t>
  </si>
  <si>
    <t xml:space="preserve">Otzyvru.com </t>
  </si>
  <si>
    <t>http://otzyvru.com</t>
  </si>
  <si>
    <t>Макс</t>
  </si>
  <si>
    <t>http://max.ru</t>
  </si>
  <si>
    <t>teletype.in</t>
  </si>
  <si>
    <t>http://teletype.in</t>
  </si>
  <si>
    <t>Ответы Mail.ru</t>
  </si>
  <si>
    <t>http://otvet.mail.ru</t>
  </si>
  <si>
    <t>ЖЕЛЕЗНЫЙ ФАКТОР - лучший форум по бодибилдингу и ф</t>
  </si>
  <si>
    <t>http://forum.steelfactor.ru</t>
  </si>
  <si>
    <t>Женский форум Бэби.ру</t>
  </si>
  <si>
    <t>http://forum.baby.ru</t>
  </si>
  <si>
    <t>СоюзФарма (sojuzpharma.ru)</t>
  </si>
  <si>
    <t>http://sojuzpharma.ru</t>
  </si>
  <si>
    <t>Да-Да Новости сегодня в России, а также со всего м</t>
  </si>
  <si>
    <t>http://dadanews.ru</t>
  </si>
  <si>
    <t>Wildberries</t>
  </si>
  <si>
    <t>http://wildberries.ru</t>
  </si>
  <si>
    <t>Турфорум, туристический форум</t>
  </si>
  <si>
    <t>http://ftour.otzyv.ru</t>
  </si>
  <si>
    <t xml:space="preserve">Otzyv.pro </t>
  </si>
  <si>
    <t>http://otzyv.pro</t>
  </si>
  <si>
    <t>Medihost.ru - форум</t>
  </si>
  <si>
    <t>http://medihost.ru</t>
  </si>
  <si>
    <t>Яндекс.Маркет</t>
  </si>
  <si>
    <t>http://market.yandex.ru</t>
  </si>
  <si>
    <t>% позитивных</t>
  </si>
  <si>
    <t>% нейтральных</t>
  </si>
  <si>
    <t>% негативных</t>
  </si>
  <si>
    <t>Заказчик</t>
  </si>
  <si>
    <t>Вовлеченность</t>
  </si>
  <si>
    <t>Теги / Показатель</t>
  </si>
  <si>
    <t>розыгрыш</t>
  </si>
  <si>
    <t>ТОП маркетплейсов</t>
  </si>
  <si>
    <t>!цена | !рублей | !"цена за все"</t>
  </si>
  <si>
    <t>Дата / Теги</t>
  </si>
  <si>
    <t>Тематика</t>
  </si>
  <si>
    <t>Медицина и здоровье</t>
  </si>
  <si>
    <t>Знакомство и общение</t>
  </si>
  <si>
    <t>Еда</t>
  </si>
  <si>
    <t>Спорт</t>
  </si>
  <si>
    <t>Прочее</t>
  </si>
  <si>
    <t>Шоу-бизнес</t>
  </si>
  <si>
    <t>Наука и техника</t>
  </si>
  <si>
    <t>-</t>
  </si>
  <si>
    <t>Политика</t>
  </si>
  <si>
    <t>Дом и дача</t>
  </si>
  <si>
    <t>Госуправление</t>
  </si>
  <si>
    <t>Семья и дети</t>
  </si>
  <si>
    <t>Юмор</t>
  </si>
  <si>
    <t>Эзотерика</t>
  </si>
  <si>
    <t>Религия</t>
  </si>
  <si>
    <t>Развлечения</t>
  </si>
  <si>
    <t>Образование</t>
  </si>
  <si>
    <t>Музыка</t>
  </si>
  <si>
    <t>Красота и мода</t>
  </si>
  <si>
    <t>Кино и сериалы</t>
  </si>
  <si>
    <t>Игры</t>
  </si>
  <si>
    <t>Домашние животные</t>
  </si>
  <si>
    <t>It/telecom</t>
  </si>
  <si>
    <t>Сообщения по группам</t>
  </si>
  <si>
    <t>Группа</t>
  </si>
  <si>
    <t>SM Influence</t>
  </si>
  <si>
    <t>Лайки</t>
  </si>
  <si>
    <t>Комментарии</t>
  </si>
  <si>
    <t>Репосты</t>
  </si>
  <si>
    <t>Страна</t>
  </si>
  <si>
    <t>Регион</t>
  </si>
  <si>
    <t>Город</t>
  </si>
  <si>
    <t>САРКОИДОЗ</t>
  </si>
  <si>
    <t>Не определено</t>
  </si>
  <si>
    <t>http://vk.com/club17990792</t>
  </si>
  <si>
    <t>Сообщество</t>
  </si>
  <si>
    <t>Россия</t>
  </si>
  <si>
    <t xml:space="preserve">Санкт-Петербург </t>
  </si>
  <si>
    <t>Санкт-Петербург</t>
  </si>
  <si>
    <t>Советы для здоровья</t>
  </si>
  <si>
    <t>https://dzen.ru/id/5eaafa59cf77ee27c9421287</t>
  </si>
  <si>
    <t>Другое</t>
  </si>
  <si>
    <t>Подслушано ОК ☑️</t>
  </si>
  <si>
    <t>Прочее, Шоу-бизнес</t>
  </si>
  <si>
    <t>http://ok.ru/group/70000001016930</t>
  </si>
  <si>
    <t>Забайкальский край</t>
  </si>
  <si>
    <t>Амазар</t>
  </si>
  <si>
    <t>Максим Абасов | Врач-флеболог, кмн</t>
  </si>
  <si>
    <t>http://vk.com/club171736200</t>
  </si>
  <si>
    <t xml:space="preserve">Москва </t>
  </si>
  <si>
    <t>Москва</t>
  </si>
  <si>
    <t>ИВАН МАКАРОВ</t>
  </si>
  <si>
    <t>http://www.youtube.com/channel/UCWaPTBsDgQ84bQQDBykfgsw</t>
  </si>
  <si>
    <t>Газета.Ru</t>
  </si>
  <si>
    <t>https://dzen.ru/id/59c4d5894bf161c6efdacbb0</t>
  </si>
  <si>
    <t>Хамовники - полезный чатик</t>
  </si>
  <si>
    <t>https://web.telegram.org/#/im?p=@hamovnikipoleznychatik</t>
  </si>
  <si>
    <t>03 - Помогите!</t>
  </si>
  <si>
    <t>https://hron-prostatit.ru/forum/viewforum.php?f=4</t>
  </si>
  <si>
    <t>ViDen - "3-я попытка"</t>
  </si>
  <si>
    <t>https://nup.ru/topic/10258-viden-3-ja-popytka</t>
  </si>
  <si>
    <t>Консультации Врачей Онлайн</t>
  </si>
  <si>
    <t>http://vk.com/club118324715</t>
  </si>
  <si>
    <t>Медицинская Россия</t>
  </si>
  <si>
    <t>http://vk.com/club131908471</t>
  </si>
  <si>
    <t>Женский Саратов</t>
  </si>
  <si>
    <t>http://vk.com/club149047382</t>
  </si>
  <si>
    <t>Саратовская область</t>
  </si>
  <si>
    <t>Саратов</t>
  </si>
  <si>
    <t>Павел Попов|Эндокринология и спорт</t>
  </si>
  <si>
    <t>https://instagram.com/ps.popov</t>
  </si>
  <si>
    <t>Пользователь</t>
  </si>
  <si>
    <t>NAGAEV SPORT</t>
  </si>
  <si>
    <t>http://www.youtube.com/channel/UCxOrMcy80l0areWExDLFgaA</t>
  </si>
  <si>
    <t>Игорь Ботоговский</t>
  </si>
  <si>
    <t>https://dzen.ru/id/5ea3fd8b22b6bd32eecb63f5</t>
  </si>
  <si>
    <t>REAL STEEL</t>
  </si>
  <si>
    <t>http://www.youtube.com/channel/UCvaXsE0Uokmax_yXrG2sjYA</t>
  </si>
  <si>
    <t>Благополучная беременность</t>
  </si>
  <si>
    <t>https://www.babyblog.ru/community/happypregn</t>
  </si>
  <si>
    <t>Кардиолог д.м.н. Виталий Зафираки</t>
  </si>
  <si>
    <t>https://dzen.ru/id/622275bf78e29463273cba64</t>
  </si>
  <si>
    <t>Сергей Малоземов</t>
  </si>
  <si>
    <t>Еда, ЗОЖ, Наука и техника</t>
  </si>
  <si>
    <t>http://vk.com/club217589574</t>
  </si>
  <si>
    <t>Свердловская область</t>
  </si>
  <si>
    <t>Екатеринбург</t>
  </si>
  <si>
    <t>ecoterina_blog</t>
  </si>
  <si>
    <t>https://web.telegram.org/#/im?p=@ecoterina_blog</t>
  </si>
  <si>
    <t>Комментарий к вопросу</t>
  </si>
  <si>
    <t>https://sprosivracha.com/questions/4318945-povyshennyy-gemoglobin-u-muzhchiny</t>
  </si>
  <si>
    <t>Гипотиреоз. Группа для пациентов и врачей</t>
  </si>
  <si>
    <t>http://vk.com/club50079856</t>
  </si>
  <si>
    <t>ПСОРИАЗ и лечение</t>
  </si>
  <si>
    <t>http://vk.com/club49066148</t>
  </si>
  <si>
    <t>Неврология - консультации,доказательная медицина</t>
  </si>
  <si>
    <t>http://vk.com/club119027</t>
  </si>
  <si>
    <t>Правительство Санкт-Петербурга</t>
  </si>
  <si>
    <t>http://vk.com/club25882042</t>
  </si>
  <si>
    <t>Помощь врачей</t>
  </si>
  <si>
    <t>http://vk.com/club15752015</t>
  </si>
  <si>
    <t>Типичный первостольник</t>
  </si>
  <si>
    <t>http://vk.com/club61570233</t>
  </si>
  <si>
    <t>Неврология | Психотерапия | Консультации</t>
  </si>
  <si>
    <t>http://vk.com/club88570414</t>
  </si>
  <si>
    <t>Приморский край</t>
  </si>
  <si>
    <t>Владивосток</t>
  </si>
  <si>
    <t>Доктор на работе | Истории от врачей</t>
  </si>
  <si>
    <t>http://vk.com/club42224436</t>
  </si>
  <si>
    <t>Женский Архангельск</t>
  </si>
  <si>
    <t>http://vk.com/club117764704</t>
  </si>
  <si>
    <t>Архангельская область</t>
  </si>
  <si>
    <t>Архангельск</t>
  </si>
  <si>
    <t>MIND WORKOUT. РАЗВИТИЕ МОЗГА! На основе ТРИЗ. +373-68-066-800</t>
  </si>
  <si>
    <t>http://www.facebook.com/profile.php?id=458554734265709</t>
  </si>
  <si>
    <t>Ревматоидный артрит не приговор!</t>
  </si>
  <si>
    <t>http://vk.com/club177710119</t>
  </si>
  <si>
    <t>Доктор Епифанов | Невролог| Все о позвоночнике</t>
  </si>
  <si>
    <t>ЗОЖ, Медицина и здоровье</t>
  </si>
  <si>
    <t>https://web.telegram.org/#/im?p=@epifanovnews</t>
  </si>
  <si>
    <t>Онкология. Форум для общения</t>
  </si>
  <si>
    <t>http://vk.com/club213272284</t>
  </si>
  <si>
    <t>Владимирская область</t>
  </si>
  <si>
    <t>Владимир</t>
  </si>
  <si>
    <t>Вагин Игорь Олегович</t>
  </si>
  <si>
    <t>https://dzen.ru/id/5e6f8929a238dc1744a2e67f</t>
  </si>
  <si>
    <t>Revmofactor (ревматоидный артрит, псориатический артрит, анкилозирующий спондилит, СКВ, БШ, ССД и другие РЗ)</t>
  </si>
  <si>
    <t>https://web.telegram.org/#/im?p=@revmomoscow</t>
  </si>
  <si>
    <t>Дмитрий Огнерубов | Кардиохирург</t>
  </si>
  <si>
    <t>http://vk.com/club223258406</t>
  </si>
  <si>
    <t>Пентоксифиллин, таблетки покрыт. плен. об. кишечнорастворимые 100 мг, 60 шт. 2 уп</t>
  </si>
  <si>
    <t>https://www.ozon.ru/context/detail/id/711343209</t>
  </si>
  <si>
    <t>Mobile Legends | Информчане</t>
  </si>
  <si>
    <t>https://web.telegram.org/#/im?p=@informchane</t>
  </si>
  <si>
    <t>Форум, отзывы: семаглутид, тирзепатид, Оземпик, Квинсента, Семавик, Велгия...</t>
  </si>
  <si>
    <t>https://web.telegram.org/#/im?p=@semaglu</t>
  </si>
  <si>
    <t>Do4a_aac / Чат</t>
  </si>
  <si>
    <t>https://web.telegram.org/#/im?p=@d04a_chat</t>
  </si>
  <si>
    <t>ЧАТ Актуальная Флебология</t>
  </si>
  <si>
    <t>https://web.telegram.org/#/im?p=@actualphlebology</t>
  </si>
  <si>
    <t>МУЖСКОЕ ЗДОРОВЬЕ ТАЗОВОЕ ДНО | ЛИБИДО</t>
  </si>
  <si>
    <t>https://instagram.com/pavel_chukhnov</t>
  </si>
  <si>
    <t>LEONOV.FIT | Блог для мужиков</t>
  </si>
  <si>
    <t>http://vk.com/club231508037</t>
  </si>
  <si>
    <t>ДГДС ЧАТ</t>
  </si>
  <si>
    <t>https://web.telegram.org/#/im?p=@dgdschat</t>
  </si>
  <si>
    <t>Заметки ЭКО мамы. Чат общения и поддержки МЦФ</t>
  </si>
  <si>
    <t>https://web.telegram.org/#/im?p=@chatmcf</t>
  </si>
  <si>
    <t>Трентал</t>
  </si>
  <si>
    <t>https://www.otzyvru.com/trental</t>
  </si>
  <si>
    <t>https://www.vashe-mnenie.com/reviews.php?name=trental</t>
  </si>
  <si>
    <t>Tatyana Alekseeva</t>
  </si>
  <si>
    <t>https://rutube.ru/video/person/41619480</t>
  </si>
  <si>
    <t>Чат Беременных РФ | Беременность</t>
  </si>
  <si>
    <t>https://web.telegram.org/#/im?p=@beremennost_pregnancy</t>
  </si>
  <si>
    <t>Повторяющиеся бхб</t>
  </si>
  <si>
    <t>https://www.babyplan.ru/forums/topic/139903-povtorjajushhiesja-bhb</t>
  </si>
  <si>
    <t>TenTen Фарма Тендеры</t>
  </si>
  <si>
    <t>http://vk.com/club236733457</t>
  </si>
  <si>
    <t>Одышка после АКШ</t>
  </si>
  <si>
    <t>https://sprosivracha.com/questions/4304858-odyshka-posle-aksh</t>
  </si>
  <si>
    <t>Болезнь Пертеса у девочки 8 лет под ?</t>
  </si>
  <si>
    <t>https://forums.rusmedserv.com/showthread.php?t=501236</t>
  </si>
  <si>
    <t>ФОРУМ | НА МАСЛЕ</t>
  </si>
  <si>
    <t>https://web.telegram.org/#/im?p=@1407442894</t>
  </si>
  <si>
    <t>Почему внизу ног жжение и кровоподтеки</t>
  </si>
  <si>
    <t>https://sprosivracha.com/questions/4323146-pochemu-vnizu-nog-zhzhenie-i-krovopodteki</t>
  </si>
  <si>
    <t>Ответ на вопрос</t>
  </si>
  <si>
    <t>https://sprosivracha.com/questions/4345843-bolezn-byurgera</t>
  </si>
  <si>
    <t>https://sprosivracha.com/questions/4346985-sovmestnyy-priem-lekarstv</t>
  </si>
  <si>
    <t>Трентал СОТЕКС</t>
  </si>
  <si>
    <t>https://otzovik.com/reviews/trental_soteks</t>
  </si>
  <si>
    <t>Андрей Бертыш</t>
  </si>
  <si>
    <t>http://www.facebook.com/profile.php?id=100001058827965</t>
  </si>
  <si>
    <t>флора игисенова</t>
  </si>
  <si>
    <t>http://www.facebook.com/profile.php?id=100000821827539</t>
  </si>
  <si>
    <t>Ольга Малькова</t>
  </si>
  <si>
    <t>http://vk.com/id193966433</t>
  </si>
  <si>
    <t>Карелия республика</t>
  </si>
  <si>
    <t>Сосновый</t>
  </si>
  <si>
    <t>Владислав Дроздовский</t>
  </si>
  <si>
    <t>http://www.facebook.com/profile.php?id=100002108655362</t>
  </si>
  <si>
    <t>Лента новостей Екатеринбурга</t>
  </si>
  <si>
    <t>http://vk.com/club64593569</t>
  </si>
  <si>
    <t>Подслушано Иваново и область</t>
  </si>
  <si>
    <t>Знакомство и общение, Новости, Прочее</t>
  </si>
  <si>
    <t>http://vk.com/club61391520</t>
  </si>
  <si>
    <t>Ивановская область</t>
  </si>
  <si>
    <t>Иваново</t>
  </si>
  <si>
    <t>Подслушано в Донецке Россия</t>
  </si>
  <si>
    <t>Новости, Прочее</t>
  </si>
  <si>
    <t>http://vk.com/club64697447</t>
  </si>
  <si>
    <t>Ростовская область</t>
  </si>
  <si>
    <t>Донецк</t>
  </si>
  <si>
    <t>Доктор на работе | Клинические публикации</t>
  </si>
  <si>
    <t>http://vk.com/club29445319</t>
  </si>
  <si>
    <t>Евгений Шиньев</t>
  </si>
  <si>
    <t>http://www.facebook.com/profile.php?id=100001690301142</t>
  </si>
  <si>
    <t>ГУФ | FANS</t>
  </si>
  <si>
    <t>Музыка, Шоу-бизнес</t>
  </si>
  <si>
    <t>http://vk.com/club32572053</t>
  </si>
  <si>
    <t>Рассеяный Рассеянный Склероз</t>
  </si>
  <si>
    <t>http://vk.com/club74822124</t>
  </si>
  <si>
    <t>ERID</t>
  </si>
  <si>
    <t>Текст сообщения</t>
  </si>
  <si>
    <t>Татьяна Бойко(ващенко)</t>
  </si>
  <si>
    <t>http://vk.com/id123313021</t>
  </si>
  <si>
    <t>Коми республика</t>
  </si>
  <si>
    <t>Микунь</t>
  </si>
  <si>
    <t>Григорий Кандыба</t>
  </si>
  <si>
    <t>http://vk.com/id13041644</t>
  </si>
  <si>
    <t>Александр Лаговский</t>
  </si>
  <si>
    <t>http://vk.com/id2084950</t>
  </si>
  <si>
    <t>Светлана Чернова</t>
  </si>
  <si>
    <t>http://www.youtube.com/channel/UC_C5Vm1gvOBo8vlSYY4MnmA</t>
  </si>
  <si>
    <t>КиноКайф - Лучшие фильмы</t>
  </si>
  <si>
    <t>Кино и сериалы, Шоу-бизнес</t>
  </si>
  <si>
    <t>http://vk.com/club58170807</t>
  </si>
  <si>
    <t xml:space="preserve">Удмуртская Республика </t>
  </si>
  <si>
    <t>Ижевск</t>
  </si>
  <si>
    <t>Доктор на работе</t>
  </si>
  <si>
    <t>http://vk.com/club25201586</t>
  </si>
  <si>
    <t>Доктор на работе | Новости</t>
  </si>
  <si>
    <t>http://vk.com/club30913680</t>
  </si>
  <si>
    <t>Смартфарма</t>
  </si>
  <si>
    <t>http://vk.com/club35402404</t>
  </si>
  <si>
    <t>Доктор на работе | Медицинский атлас</t>
  </si>
  <si>
    <t>http://vk.com/club42217841</t>
  </si>
  <si>
    <t>ОС: Ищу тебя в Лесном и Нижней Туре</t>
  </si>
  <si>
    <t>http://vk.com/club99694181</t>
  </si>
  <si>
    <t>Мария Бебигуд</t>
  </si>
  <si>
    <t>http://vk.com/id318581728</t>
  </si>
  <si>
    <t>Вячеслав Кольцов</t>
  </si>
  <si>
    <t>http://vk.com/id207151277</t>
  </si>
  <si>
    <t>Нижегородская область</t>
  </si>
  <si>
    <t>Урень</t>
  </si>
  <si>
    <t>Комсомольская правда</t>
  </si>
  <si>
    <t>Новости, Политика, СМИ</t>
  </si>
  <si>
    <t>http://ok.ru/group/50657161838784</t>
  </si>
  <si>
    <t>Valeriy Voitenko</t>
  </si>
  <si>
    <t>http://www.facebook.com/profile.php?id=100001816816435</t>
  </si>
  <si>
    <t>Украина</t>
  </si>
  <si>
    <t>Одесская область</t>
  </si>
  <si>
    <t>Одесса</t>
  </si>
  <si>
    <t>Natallia Smarodinava</t>
  </si>
  <si>
    <t>http://www.facebook.com/profile.php?id=694726573</t>
  </si>
  <si>
    <t>http://ok.ru/group/51625046769845</t>
  </si>
  <si>
    <t>Детское развитие</t>
  </si>
  <si>
    <t>http://vk.com/club110220095</t>
  </si>
  <si>
    <t>Башкортостан республика</t>
  </si>
  <si>
    <t>Уфа</t>
  </si>
  <si>
    <t>Дерматология Консультации</t>
  </si>
  <si>
    <t>http://vk.com/club112497291</t>
  </si>
  <si>
    <t>http://ok.ru/group/52171764269129</t>
  </si>
  <si>
    <t>http://ok.ru/group/52161146519625</t>
  </si>
  <si>
    <t>Система Тела</t>
  </si>
  <si>
    <t>http://www.youtube.com/channel/UCksniXe-K1I7NC8tmNDGNjA</t>
  </si>
  <si>
    <t>Наталия Хмельницкая</t>
  </si>
  <si>
    <t>http://www.facebook.com/profile.php?id=100004823103752</t>
  </si>
  <si>
    <t>Житомирская область</t>
  </si>
  <si>
    <t>Бердичев</t>
  </si>
  <si>
    <t>Женская Рязань</t>
  </si>
  <si>
    <t>Знакомство и общение, Красота и мода</t>
  </si>
  <si>
    <t>http://vk.com/club118474860</t>
  </si>
  <si>
    <t>Рязанская область</t>
  </si>
  <si>
    <t>Рязань</t>
  </si>
  <si>
    <t>Разрыв ахилла (16+)</t>
  </si>
  <si>
    <t>http://vk.com/club55541786</t>
  </si>
  <si>
    <t>Мамы Мурино</t>
  </si>
  <si>
    <t>Знакомство и общение, Семья и дети</t>
  </si>
  <si>
    <t>http://vk.com/club37094416</t>
  </si>
  <si>
    <t>Andrii Kovalenko</t>
  </si>
  <si>
    <t>http://www.facebook.com/profile.php?id=100005165671504</t>
  </si>
  <si>
    <t>Днепропетровская область</t>
  </si>
  <si>
    <t>Днепр</t>
  </si>
  <si>
    <t>Гломерулонефрит, можно ли от этого избавиться?</t>
  </si>
  <si>
    <t>http://vk.com/club5626752</t>
  </si>
  <si>
    <t>Котлас</t>
  </si>
  <si>
    <t>Мамы | Йошкар-Ола</t>
  </si>
  <si>
    <t>http://vk.com/club126883252</t>
  </si>
  <si>
    <t xml:space="preserve">Республика Марий Эл </t>
  </si>
  <si>
    <t>Йошкар-Ола</t>
  </si>
  <si>
    <t>Иван Ганиев</t>
  </si>
  <si>
    <t>http://ok.ru/profile/523027629056</t>
  </si>
  <si>
    <t>Краснодарский край</t>
  </si>
  <si>
    <t>Краснодар</t>
  </si>
  <si>
    <t>АнтиПодслушано | Дубна</t>
  </si>
  <si>
    <t>http://vk.com/club132664992</t>
  </si>
  <si>
    <t>Московская область</t>
  </si>
  <si>
    <t>Дубна</t>
  </si>
  <si>
    <t>• ЛУЛИ | РЕДИЗАЙН МЕБЕЛИ | ДЕКОР МЕБЕЛИ •</t>
  </si>
  <si>
    <t>https://instagram.com/luly_abdula</t>
  </si>
  <si>
    <t>Mila Fomina English</t>
  </si>
  <si>
    <t>https://instagram.com/mila.fomina</t>
  </si>
  <si>
    <t>http://ok.ru/group/55695437463587</t>
  </si>
  <si>
    <t>Наталья Огорыльцевская-Мусинская</t>
  </si>
  <si>
    <t>http://vk.com/id199272441</t>
  </si>
  <si>
    <t>Сыктывкар</t>
  </si>
  <si>
    <t>Agnessa Kessaeva</t>
  </si>
  <si>
    <t>http://www.facebook.com/profile.php?id=799794627</t>
  </si>
  <si>
    <t>Виктория Кушнаренко-Савчук</t>
  </si>
  <si>
    <t>http://www.facebook.com/profile.php?id=100012674343660</t>
  </si>
  <si>
    <t>Харьковская область</t>
  </si>
  <si>
    <t>Харьков</t>
  </si>
  <si>
    <t>БД</t>
  </si>
  <si>
    <t>http://vk.com/club58175895</t>
  </si>
  <si>
    <t>Ольга Павловна</t>
  </si>
  <si>
    <t>http://www.facebook.com/profile.php?id=100011353800327</t>
  </si>
  <si>
    <t>Киев</t>
  </si>
  <si>
    <t>Ольга Кукченко</t>
  </si>
  <si>
    <t>http://www.facebook.com/profile.php?id=100001525526292</t>
  </si>
  <si>
    <t>Наталья Каландия</t>
  </si>
  <si>
    <t>http://www.facebook.com/profile.php?id=100003398325503</t>
  </si>
  <si>
    <t>Алмас Сакатов</t>
  </si>
  <si>
    <t>http://www.facebook.com/profile.php?id=100004399958144</t>
  </si>
  <si>
    <t>Казахстан</t>
  </si>
  <si>
    <t>Алматы город</t>
  </si>
  <si>
    <t>Алматы</t>
  </si>
  <si>
    <t>Унеча</t>
  </si>
  <si>
    <t>http://vk.com/club149695687</t>
  </si>
  <si>
    <t>Брянская область</t>
  </si>
  <si>
    <t>Tina Yudis</t>
  </si>
  <si>
    <t>http://www.facebook.com/profile.php?id=100000609345114</t>
  </si>
  <si>
    <t>доктор Малиновский</t>
  </si>
  <si>
    <t>http://www.youtube.com/channel/UCiXRoPtKroEsb7LRL-8esHg</t>
  </si>
  <si>
    <t>ГБУЗ РМ "Республиканская клиническая больница №5</t>
  </si>
  <si>
    <t>http://vk.com/club153134547</t>
  </si>
  <si>
    <t>Мордовия республика</t>
  </si>
  <si>
    <t>Саранск</t>
  </si>
  <si>
    <t>Nikolay Poluektov</t>
  </si>
  <si>
    <t>http://www.facebook.com/profile.php?id=100006312763962</t>
  </si>
  <si>
    <t>Анна Прутт</t>
  </si>
  <si>
    <t>http://vk.com/id450124649</t>
  </si>
  <si>
    <t>Ирина Пащенко</t>
  </si>
  <si>
    <t>http://www.facebook.com/profile.php?id=100022147444966</t>
  </si>
  <si>
    <t>Тамара Тишківська</t>
  </si>
  <si>
    <t>http://www.facebook.com/profile.php?id=100023342230421</t>
  </si>
  <si>
    <t>Винницкая область</t>
  </si>
  <si>
    <t>Винница</t>
  </si>
  <si>
    <t>Переломы лодыжек</t>
  </si>
  <si>
    <t>http://vk.com/club15967739</t>
  </si>
  <si>
    <t>Учалы</t>
  </si>
  <si>
    <t>Козлова Антонина, к.м.н | Репродуктолог | Москва</t>
  </si>
  <si>
    <t>https://instagram.com/dr_kozlova_antonina</t>
  </si>
  <si>
    <t>Азад Муталлимов</t>
  </si>
  <si>
    <t>http://www.facebook.com/profile.php?id=100007215365532</t>
  </si>
  <si>
    <t>Баку</t>
  </si>
  <si>
    <t>Ларіса Шуляк</t>
  </si>
  <si>
    <t>http://www.facebook.com/profile.php?id=100024259613570</t>
  </si>
  <si>
    <t>Киевская область</t>
  </si>
  <si>
    <t>Белая Церковь</t>
  </si>
  <si>
    <t>Подслушано | Иваново</t>
  </si>
  <si>
    <t>https://web.telegram.org/#/im?p=@ivnvo</t>
  </si>
  <si>
    <t>РЕН ТВ</t>
  </si>
  <si>
    <t>https://dzen.ru/id/5a0b09f2a936f43df63f4406</t>
  </si>
  <si>
    <t>Medikforum</t>
  </si>
  <si>
    <t>https://dzen.ru/id/5959e452d7d0a6883223aee1</t>
  </si>
  <si>
    <t>sputnik.by</t>
  </si>
  <si>
    <t>https://dzen.ru/id/595f6ede3c50f7579cfcac0c</t>
  </si>
  <si>
    <t>Steroidex (Бодибилдинг, Фитнес, Стероиды)</t>
  </si>
  <si>
    <t>http://ok.ru/group/55077875286120</t>
  </si>
  <si>
    <t>Оперативные сводки!</t>
  </si>
  <si>
    <t>Развлечения, Юмор</t>
  </si>
  <si>
    <t>http://vk.com/club169469876</t>
  </si>
  <si>
    <t>Тверская область</t>
  </si>
  <si>
    <t>Тверь</t>
  </si>
  <si>
    <t>Виктор Корнеев</t>
  </si>
  <si>
    <t>http://ok.ru/profile/575282624141</t>
  </si>
  <si>
    <t>АХМЕД КАХИДОВ | ВРАЧ-КАРДИОЛОГ | СЕМЕЙНЫЙ ВРАЧ | МОСКВА</t>
  </si>
  <si>
    <t>https://instagram.com/kahidov</t>
  </si>
  <si>
    <t>ЖК – Ж КИРОВ - значит ЖЕНСКИЙ</t>
  </si>
  <si>
    <t>http://vk.com/club172880205</t>
  </si>
  <si>
    <t>Кировская область</t>
  </si>
  <si>
    <t>Киров</t>
  </si>
  <si>
    <t>Владимир Ларионов</t>
  </si>
  <si>
    <t>http://www.facebook.com/profile.php?id=100005065122372</t>
  </si>
  <si>
    <t>Владимир Самуэлевич "doctor.eni"</t>
  </si>
  <si>
    <t>https://instagram.com/doctor.eni</t>
  </si>
  <si>
    <t>⚒ Психиатр 🧠 Геронтопсихиатр 🛠</t>
  </si>
  <si>
    <t>https://instagram.com/doctor.kean</t>
  </si>
  <si>
    <t>НМИЦ онкологии им. Н.Н. Блохина Минздрава России</t>
  </si>
  <si>
    <t>http://vk.com/club175752600</t>
  </si>
  <si>
    <t>Вазодилатирующее средство Sanofi aventis Трентал— отзыв</t>
  </si>
  <si>
    <t>https://irecommend.ru/content/vazodilatiruyushchee-sredstvo-sanofi-aventis-trental</t>
  </si>
  <si>
    <t>О здоровье с доктором Жуковым.</t>
  </si>
  <si>
    <t>ЗОЖ, Медицина и здоровье, Персональный блог</t>
  </si>
  <si>
    <t>http://vk.com/club182515813</t>
  </si>
  <si>
    <t>Вологодская область</t>
  </si>
  <si>
    <t>Череповец</t>
  </si>
  <si>
    <t>Галина Лукавецкая</t>
  </si>
  <si>
    <t>http://www.facebook.com/profile.php?id=100035378387882</t>
  </si>
  <si>
    <t>Популярная наука</t>
  </si>
  <si>
    <t>https://dzen.ru/id/5935bc1cd7d0a62756e9cd78</t>
  </si>
  <si>
    <t>Белые халаты.</t>
  </si>
  <si>
    <t>http://www.facebook.com/profile.php?id=180047975857924</t>
  </si>
  <si>
    <t>Записки репетитора</t>
  </si>
  <si>
    <t>https://dzen.ru/id/5b5f6cb0320be700acd65bfe</t>
  </si>
  <si>
    <t>Здоровым вход не ЗАПРЕЩЕН!</t>
  </si>
  <si>
    <t>http://vk.com/club192553540</t>
  </si>
  <si>
    <t>Кулинарoff</t>
  </si>
  <si>
    <t>http://ok.ru/group/62637872906275</t>
  </si>
  <si>
    <t>Священник Владислав Береговой</t>
  </si>
  <si>
    <t>https://web.telegram.org/#/im?p=@pravoslavievtelege</t>
  </si>
  <si>
    <t>Доктор Света. Врач с опытом 40 лет</t>
  </si>
  <si>
    <t>ЗОЖ</t>
  </si>
  <si>
    <t>http://vk.com/club193354828</t>
  </si>
  <si>
    <t>Воронежская область</t>
  </si>
  <si>
    <t>Воронеж</t>
  </si>
  <si>
    <t>http://ok.ru/group/54782456954971</t>
  </si>
  <si>
    <t>Моя любимая дача</t>
  </si>
  <si>
    <t>http://vk.com/club166491509</t>
  </si>
  <si>
    <t>Татарстан республика</t>
  </si>
  <si>
    <t>Набережные Челны</t>
  </si>
  <si>
    <t>Галина Пронько</t>
  </si>
  <si>
    <t>https://instagram.com/pro_talina</t>
  </si>
  <si>
    <t>Гель для экспресс-удаления синяков Биокон Синяк-OFF с тонирующим эффектом— отзыв</t>
  </si>
  <si>
    <t>https://irecommend.ru/content/gel-doktor-biokon-sinyak-dlya-ekspress-udaleniya-sinyakov-s-toniruyushchim-effektom</t>
  </si>
  <si>
    <t>Подслушано Кандалакша</t>
  </si>
  <si>
    <t>http://vk.com/club197092538</t>
  </si>
  <si>
    <t>Мурманская область</t>
  </si>
  <si>
    <t>Кандалакша</t>
  </si>
  <si>
    <t>АВРОРА 2</t>
  </si>
  <si>
    <t>https://dzen.ru/id/5d9a22f96f5f6f00adf62457</t>
  </si>
  <si>
    <t>ОТС-Горсайт – новости Новосибирска и области</t>
  </si>
  <si>
    <t>https://dzen.ru/id/5e3d24f28103b13abd405c70</t>
  </si>
  <si>
    <t>Поварёнок🍕</t>
  </si>
  <si>
    <t>http://ok.ru/group/64968977350691</t>
  </si>
  <si>
    <t>РАДИУС АППЕТИТА</t>
  </si>
  <si>
    <t>http://ok.ru/group/65890095595555</t>
  </si>
  <si>
    <t>Дискуссионный Клуб Русского Медицинского Сервера</t>
  </si>
  <si>
    <t>http://ok.ru/group/55780516757702</t>
  </si>
  <si>
    <t>🥩Сытый муж!</t>
  </si>
  <si>
    <t>http://ok.ru/group/65900379045923</t>
  </si>
  <si>
    <t>🍳Давай приготовим!</t>
  </si>
  <si>
    <t>http://ok.ru/group/66285485228067</t>
  </si>
  <si>
    <t>🥩БЫСТРЫЕ РЕЦЕПТЫ🍗</t>
  </si>
  <si>
    <t>http://ok.ru/group/66453854027811</t>
  </si>
  <si>
    <t>Высокий гематокрит на курсе ААС</t>
  </si>
  <si>
    <t>https://forum.steelfactor.ru/index.php?showtopic=46978</t>
  </si>
  <si>
    <t>Клиника Доктора Длина</t>
  </si>
  <si>
    <t>http://www.youtube.com/channel/UCACxYUqXai-PhTBwBJEBB7g</t>
  </si>
  <si>
    <t>Dadanews.ru</t>
  </si>
  <si>
    <t>Covid-19 | Постковид | Грипп | Форум</t>
  </si>
  <si>
    <t>http://vk.com/club206214408</t>
  </si>
  <si>
    <t>Федерация анестезиологов и реаниматологов</t>
  </si>
  <si>
    <t>http://www.youtube.com/channel/UCKuzqICdyXvnNNGPkbQivnw</t>
  </si>
  <si>
    <t>Дариханалар тармагы</t>
  </si>
  <si>
    <t>https://web.telegram.org/#/im?p=@darixana_nukus</t>
  </si>
  <si>
    <t>Чат The Dark Side</t>
  </si>
  <si>
    <t>https://web.telegram.org/#/im?p=@1699667973</t>
  </si>
  <si>
    <t>За добавкой!</t>
  </si>
  <si>
    <t>http://ok.ru/group/68602594918435</t>
  </si>
  <si>
    <t>ПВО - Поствакцинальные осложнения</t>
  </si>
  <si>
    <t>http://vk.com/club209406938</t>
  </si>
  <si>
    <t>Hikikomori Chat</t>
  </si>
  <si>
    <t>https://web.telegram.org/#/im?p=@1395655902</t>
  </si>
  <si>
    <t>Живая Сталь. PHL news</t>
  </si>
  <si>
    <t>https://web.telegram.org/#/im?p=@pharmacomlabsnews</t>
  </si>
  <si>
    <t>Евгений Немченко</t>
  </si>
  <si>
    <t>http://vk.com/id708630637</t>
  </si>
  <si>
    <t>Заметки невролога - Овсянникова К.С.</t>
  </si>
  <si>
    <t>http://vk.com/club211243521</t>
  </si>
  <si>
    <t>Казань</t>
  </si>
  <si>
    <t>УСПЕХИ СПОРТА | ГОРМОН РОСТА | ПЕПТИДЫ | СТЕРОИДЫ | ЧАТ</t>
  </si>
  <si>
    <t>https://web.telegram.org/#/im?p=@1455776108</t>
  </si>
  <si>
    <t>Хочу и Буду!</t>
  </si>
  <si>
    <t>https://dzen.ru/id/62107cb555365a370a816f80</t>
  </si>
  <si>
    <t>Грыжа, протрузия и друзья | Сообщество</t>
  </si>
  <si>
    <t>https://web.telegram.org/#/im?p=@grizhapro</t>
  </si>
  <si>
    <t>Комментарии Доктор Епифанов</t>
  </si>
  <si>
    <t>https://web.telegram.org/#/im?p=@epifanovnews1</t>
  </si>
  <si>
    <t>Советы Профессора</t>
  </si>
  <si>
    <t>http://vk.com/club213047982</t>
  </si>
  <si>
    <t>Kris_theme | дневник | нутрициолог | NSP</t>
  </si>
  <si>
    <t>https://web.telegram.org/#/im?p=@kristheme</t>
  </si>
  <si>
    <t>Бренды и организации, Медицина и здоровье</t>
  </si>
  <si>
    <t>https://web.telegram.org/#/im?p=@nmic_blokhina</t>
  </si>
  <si>
    <t>Евгения Калашник</t>
  </si>
  <si>
    <t>http://www.facebook.com/profile.php?id=100004009910617</t>
  </si>
  <si>
    <t>Консультации по вопросам МСЭ</t>
  </si>
  <si>
    <t>https://web.telegram.org/#/im?p=@mseshnyichat</t>
  </si>
  <si>
    <t>Доктор Света. Опыт 40 лет ☘️</t>
  </si>
  <si>
    <t>https://web.telegram.org/#/im?p=@dr_sveta</t>
  </si>
  <si>
    <t>Елена и Ко.</t>
  </si>
  <si>
    <t>https://dzen.ru/id/5f10c2705b8c597418428eae</t>
  </si>
  <si>
    <t>Физиотерапия - тесты с ответами</t>
  </si>
  <si>
    <t>http://vk.com/club215871371</t>
  </si>
  <si>
    <t>Дмитрий Огнерубов | О сердце и здоровье</t>
  </si>
  <si>
    <t>https://dzen.ru/id/614adc4dfebd966f417ce21b</t>
  </si>
  <si>
    <t>Стамбул. 🇹🇷 Чат TravelAsk</t>
  </si>
  <si>
    <t>https://web.telegram.org/#/im?p=@1610051836</t>
  </si>
  <si>
    <t>Марина Акимушкина</t>
  </si>
  <si>
    <t>http://vk.com/id753636546</t>
  </si>
  <si>
    <t>ИНФЕКЦИИ-ВОЕНМЕД 1.0</t>
  </si>
  <si>
    <t>https://web.telegram.org/#/im?p=@infect_voenmed</t>
  </si>
  <si>
    <t>Доктор Тамара Михайловна Колесова</t>
  </si>
  <si>
    <t>http://vk.com/club218277808</t>
  </si>
  <si>
    <t>Вопрос? = Ответ!</t>
  </si>
  <si>
    <t>https://dzen.ru/id/63d576d904f91437db4f6079</t>
  </si>
  <si>
    <t>MSM 1000 мг, для суставов и связок, 90 таблеток</t>
  </si>
  <si>
    <t>https://www.wildberries.ru/catalog/138992242/detail.aspx</t>
  </si>
  <si>
    <t>Женский юмор</t>
  </si>
  <si>
    <t>http://vk.com/club219255672</t>
  </si>
  <si>
    <t>Красноярский край</t>
  </si>
  <si>
    <t>Красноярск</t>
  </si>
  <si>
    <t>ОнкоЧат (Ольга Гордеева)</t>
  </si>
  <si>
    <t>https://web.telegram.org/#/im?p=@oncolyachat</t>
  </si>
  <si>
    <t>Гемосидероз кожи. Болезнь Шамберга</t>
  </si>
  <si>
    <t>https://www.woman.ru/health/medley7/thread/4982316</t>
  </si>
  <si>
    <t>Хорошая кухня</t>
  </si>
  <si>
    <t>Дом и дача, Еда</t>
  </si>
  <si>
    <t>http://ok.ru/group/70000002368282</t>
  </si>
  <si>
    <t>УНГАН КИЛЕН</t>
  </si>
  <si>
    <t>http://vk.com/club221308444</t>
  </si>
  <si>
    <t>Амина Гаджаева</t>
  </si>
  <si>
    <t>https://instagram.com/pro_vizor888</t>
  </si>
  <si>
    <t>Вязьма</t>
  </si>
  <si>
    <t>http://vk.com/club222205353</t>
  </si>
  <si>
    <t>Смоленская область</t>
  </si>
  <si>
    <t>БАБАХАЛО</t>
  </si>
  <si>
    <t>http://www.youtube.com/channel/UCosNTG9GrBdebSefMoeGRcg</t>
  </si>
  <si>
    <t>♀°ᜥᝪᜧ ᜥᢗᜨᝯᜬ°♀</t>
  </si>
  <si>
    <t>https://web.telegram.org/#/im?p=@koikchan</t>
  </si>
  <si>
    <t>КиберТопор</t>
  </si>
  <si>
    <t>Игры, ИТ/Телеком</t>
  </si>
  <si>
    <t>https://web.telegram.org/#/im?p=@cybers</t>
  </si>
  <si>
    <t>REHAB.YOU</t>
  </si>
  <si>
    <t>https://dzen.ru/id/64a2e86494176c3852e42e53</t>
  </si>
  <si>
    <t>Daria Pluzhnikova Chat</t>
  </si>
  <si>
    <t>https://web.telegram.org/#/im?p=@dariashuer_chat</t>
  </si>
  <si>
    <t>ВСД-Невроз-КПТ-Панические атаки</t>
  </si>
  <si>
    <t>https://web.telegram.org/#/im?p=@menyanakrilo</t>
  </si>
  <si>
    <t>Умный Lemur</t>
  </si>
  <si>
    <t>https://dzen.ru/id/65d0c3e1762e4434e05212bf</t>
  </si>
  <si>
    <t>Эмилия</t>
  </si>
  <si>
    <t>https://forum.baby.ru/u/usr2132532</t>
  </si>
  <si>
    <t>Милана в стране чудес</t>
  </si>
  <si>
    <t>http://www.youtube.com/channel/UCKOzubpp5HC1t7-cUjrGlIg</t>
  </si>
  <si>
    <t>Анна 🌸</t>
  </si>
  <si>
    <t>https://mom.life/user/65205d9de7d91d4302481a33</t>
  </si>
  <si>
    <t>МедАкадем</t>
  </si>
  <si>
    <t>http://vk.com/club226248434</t>
  </si>
  <si>
    <t>Клиническая фармакология - тесты с ответами</t>
  </si>
  <si>
    <t>http://vk.com/club226278715</t>
  </si>
  <si>
    <t>Ирина</t>
  </si>
  <si>
    <t>https://mom.life/user/5d92597f47da0052e87d2560</t>
  </si>
  <si>
    <t>Эндокринология - тесты с ответами</t>
  </si>
  <si>
    <t>http://vk.com/club226299499</t>
  </si>
  <si>
    <t>Москва сегодня чат</t>
  </si>
  <si>
    <t>https://web.telegram.org/#/im?p=@mostodaychat</t>
  </si>
  <si>
    <t>Доктор Колесова Т.М.</t>
  </si>
  <si>
    <t>https://web.telegram.org/#/im?p=@zdorovie_i_me</t>
  </si>
  <si>
    <t>https://web.telegram.org/#/im?p=@forums_rms</t>
  </si>
  <si>
    <t>Клиника "ЗдравКлиник" (Россия, Москва)</t>
  </si>
  <si>
    <t>https://otzovik.com/reviews/klinika_zdravklinik_russia_moscow</t>
  </si>
  <si>
    <t>Трентал таблетки п/о плен. кишечнораст. 100мг 60шт</t>
  </si>
  <si>
    <t>https://www.ozon.ru/context/detail/id/754700631</t>
  </si>
  <si>
    <t>Dok.kirillova</t>
  </si>
  <si>
    <t>https://www.tiktok.com/@dok.kirillova</t>
  </si>
  <si>
    <t>Батр и бодибилдинг</t>
  </si>
  <si>
    <t>https://web.telegram.org/#/im?p=@batr_fit</t>
  </si>
  <si>
    <t>тг : imstrong505</t>
  </si>
  <si>
    <t>ЗОЖ, Спорт</t>
  </si>
  <si>
    <t>https://www.tiktok.com/@makarov_batumi</t>
  </si>
  <si>
    <t>Александр Кузнецов | Спортивная медицина</t>
  </si>
  <si>
    <t>http://vk.com/club228862181</t>
  </si>
  <si>
    <t>Алиса Державная</t>
  </si>
  <si>
    <t>http://vk.com/club229000699</t>
  </si>
  <si>
    <t>Доктор Без Галстука</t>
  </si>
  <si>
    <t>http://www.youtube.com/channel/UCxLwhz0ILbvCiWhSYe3jPeg</t>
  </si>
  <si>
    <t>Криолазерная склеротерапия (CLaCS) в Уфе</t>
  </si>
  <si>
    <t>http://vk.com/club227669108</t>
  </si>
  <si>
    <t>АПРЕЛЯТА-НОЯБРЯТА/ДЕКАБРЯТА 2025 (МАЛЫШИ ПДР 2025) и МАМОЧКИ! | ЧАТ ПЛАНИРУЮЩИХ И БЕРЕМЕННЫХ</t>
  </si>
  <si>
    <t>https://web.telegram.org/#/im?p=@babiesinjune_andmoms</t>
  </si>
  <si>
    <t>Беременность</t>
  </si>
  <si>
    <t>https://mom.life/channel/5d4811d6ebdb000de72653af</t>
  </si>
  <si>
    <t>Моральная поддержка</t>
  </si>
  <si>
    <t>https://mom.life/channel/55d0e592853983ed068b456a</t>
  </si>
  <si>
    <t>Азамат Половников</t>
  </si>
  <si>
    <t>https://otvet.mail.ru/profile/id317415007</t>
  </si>
  <si>
    <t>Трентал-400 таб. пролонг. высв. п/о плен.</t>
  </si>
  <si>
    <t>https://market.yandex.ru/product/1401075805</t>
  </si>
  <si>
    <t>Доминанта Здоровья</t>
  </si>
  <si>
    <t>https://teletype.in/@dominantazdorovja</t>
  </si>
  <si>
    <t>Доктор Чемерис - ваш нефролог +</t>
  </si>
  <si>
    <t>http://vk.com/club232208667</t>
  </si>
  <si>
    <t>Бостон Терьер Чат 🇷🇺</t>
  </si>
  <si>
    <t>https://web.telegram.org/#/im?p=@boston_terrier_here</t>
  </si>
  <si>
    <t>https://web.telegram.org/#/im?p=@2214211507</t>
  </si>
  <si>
    <t>Артём Анатольевич</t>
  </si>
  <si>
    <t>https://threads.com/@artem1983m</t>
  </si>
  <si>
    <t>veterinary dermatologist</t>
  </si>
  <si>
    <t>https://threads.com/@tatjana.onufrieva</t>
  </si>
  <si>
    <t>Гломерулонефрит, ИгА нефропатия (чат)</t>
  </si>
  <si>
    <t>https://web.telegram.org/#/im?p=@glomerulonefritiga</t>
  </si>
  <si>
    <t>Гид по маркетплейсам | Скидки WB/Ozon и др.</t>
  </si>
  <si>
    <t>https://web.telegram.org/#/im?p=@like_in_cash</t>
  </si>
  <si>
    <t>Dmitry Grebenkin</t>
  </si>
  <si>
    <t>https://threads.com/@dimasikdoc</t>
  </si>
  <si>
    <t>Tes Nina</t>
  </si>
  <si>
    <t>https://threads.com/@madame_cle_</t>
  </si>
  <si>
    <t>Ответы о человеке</t>
  </si>
  <si>
    <t>http://vk.com/club233198825</t>
  </si>
  <si>
    <t>Оксана Дерунец</t>
  </si>
  <si>
    <t>https://threads.com/@oksanaderunets</t>
  </si>
  <si>
    <t>𝔾𝕣𝕚𝕘𝕠𝕣 ᛋ Dr.𝐆𝐫𝐢𝐳𝐳𝐥𝐢 ᛋ ℙ𝕠𝕟𝕠𝕞𝕒𝕣𝕖𝕎</t>
  </si>
  <si>
    <t>https://instagram.com/arm_buller</t>
  </si>
  <si>
    <t>Андрей Морозов | Фарма и тренировки</t>
  </si>
  <si>
    <t>https://instagram.com/morozov.andrei.official</t>
  </si>
  <si>
    <t>OXYTEAM | OXYSHOP CHAT</t>
  </si>
  <si>
    <t>https://web.telegram.org/#/im?p=@2605536942</t>
  </si>
  <si>
    <t>Мир Atomy | Красота и партнёрство со Светланой</t>
  </si>
  <si>
    <t>http://vk.com/club185694161</t>
  </si>
  <si>
    <t>Туапсе</t>
  </si>
  <si>
    <t>channel73643784</t>
  </si>
  <si>
    <t>https://rutube.ru/video/person/73643784</t>
  </si>
  <si>
    <t>kirill19720708</t>
  </si>
  <si>
    <t>https://threads.com/@kirill19720708</t>
  </si>
  <si>
    <t>Александр</t>
  </si>
  <si>
    <t>https://threads.com/@gnomic8801</t>
  </si>
  <si>
    <t>Nsp-Витамины и минералы для здоровья</t>
  </si>
  <si>
    <t>http://vk.com/club235865439</t>
  </si>
  <si>
    <t>ПП РЕЦЕПТЫ / ЕДА ДЛЯ ЗДОРОВЬЯ</t>
  </si>
  <si>
    <t>http://vk.com/club235912791</t>
  </si>
  <si>
    <t>Коломна</t>
  </si>
  <si>
    <t>Мадам Интрига</t>
  </si>
  <si>
    <t>https://dzen.ru/id/698d829de5a6106bda5a3db0</t>
  </si>
  <si>
    <t>http://vk.com/club235949966</t>
  </si>
  <si>
    <t>BioPulseEnergy | Твой личный биохакинг</t>
  </si>
  <si>
    <t>https://max.ru/clariryofmind</t>
  </si>
  <si>
    <t>Elina</t>
  </si>
  <si>
    <t>https://mom.life/user/699a006386aa2543640a2ece</t>
  </si>
  <si>
    <t>Дерматология в России</t>
  </si>
  <si>
    <t>https://max.ru/id7730183173_biz</t>
  </si>
  <si>
    <t>Матрикс - Путь Нео 2.0</t>
  </si>
  <si>
    <t>https://web.telegram.org/#/im?p=@1572358258</t>
  </si>
  <si>
    <t>Капельница</t>
  </si>
  <si>
    <t>http://vk.com/club237474828</t>
  </si>
  <si>
    <t>КиноманияHD</t>
  </si>
  <si>
    <t>http://vk.com/club237610432</t>
  </si>
  <si>
    <t>Трентал - отзыв</t>
  </si>
  <si>
    <t>https://otzyv.pro/category/nootropnyie-preparatyi/25346-trental.html</t>
  </si>
  <si>
    <t>Ординаторская Тляшева</t>
  </si>
  <si>
    <t>http://www.youtube.com/channel/UCxRnwT5qacpzhJx1JR-8Gbg</t>
  </si>
  <si>
    <t>Лекарства из Турции - часть 10</t>
  </si>
  <si>
    <t>https://ftour.otzyv.ru/tema/269515/1340</t>
  </si>
  <si>
    <t>https://sprosivracha.com/questions/4302256-rasseyanyy-skleroz-vozmozhno-obostrenie</t>
  </si>
  <si>
    <t>Доказательная Мама</t>
  </si>
  <si>
    <t>https://threads.com/@mommycine</t>
  </si>
  <si>
    <t>https://sprosivracha.com/questions/4306509-boli-pri-mocheispuskanii</t>
  </si>
  <si>
    <t>https://sprosivracha.com/questions/4308352-prolezhni-na-pyatke</t>
  </si>
  <si>
    <t>Жалуюсь</t>
  </si>
  <si>
    <t>https://pikabu.ru/story/_13943619</t>
  </si>
  <si>
    <t>https://sprosivracha.com/questions/4308136-gzt-v-38-let-nizkiy-testosteron</t>
  </si>
  <si>
    <t>https://sprosivracha.com/questions/4315220-oslozhneniya-posle-operacii-na-pozvonochnike</t>
  </si>
  <si>
    <t>Александр Кузнецов</t>
  </si>
  <si>
    <t>https://rutube.ru/video/person/78253766</t>
  </si>
  <si>
    <t>Болит стопа</t>
  </si>
  <si>
    <t>https://sprosivracha.com/questions/4321477-bolit-stopa</t>
  </si>
  <si>
    <t>Перелом Джонса</t>
  </si>
  <si>
    <t>https://sprosivracha.com/questions/4323707-perelom-dzhonsa</t>
  </si>
  <si>
    <t>Ульяновская область</t>
  </si>
  <si>
    <t>Ульяновск</t>
  </si>
  <si>
    <t>Онемение в области пяток и тяжесть в ногах после операции</t>
  </si>
  <si>
    <t>https://sprosivracha.com/questions/4326468-onemenie-v-oblasti-pyatok-i-tyazhest-v-nogah-posle-operacii</t>
  </si>
  <si>
    <t>Головные боли, проблемы с сосудами</t>
  </si>
  <si>
    <t>https://medihost.ru/questions?id=342170</t>
  </si>
  <si>
    <t>Девочки посоветуйте наш возбудитель</t>
  </si>
  <si>
    <t>https://www.woman.ru/forum/3/relations/sex/thread-devochki-posovetuyte-nash-vozbuditel-id6424968</t>
  </si>
  <si>
    <t>Капилляроскопия. Метод Длина</t>
  </si>
  <si>
    <t>http://vk.com/club238438025</t>
  </si>
  <si>
    <t>Немеет рука</t>
  </si>
  <si>
    <t>https://sprosivracha.com/questions/4342996-nemeet-ruka</t>
  </si>
  <si>
    <t>Немеет губа и нос после ушиба глаза</t>
  </si>
  <si>
    <t>https://sprosivracha.com/questions/4343588-nemeet-guba-i-nos-posle-ushiba-glaza</t>
  </si>
  <si>
    <t>Про варикоз</t>
  </si>
  <si>
    <t>https://pikabu.ru/story/_13999811</t>
  </si>
  <si>
    <t>Ишемический правосторонний инсульт у дедушки 90 лет</t>
  </si>
  <si>
    <t>https://sprosivracha.com/questions/4352389-ishemicheskiy-pravostoronniy-insult-u-dedushki-90-let</t>
  </si>
  <si>
    <t>Новгородская область</t>
  </si>
  <si>
    <t>Великий Новгород</t>
  </si>
  <si>
    <t>Храм Прекрасного Пана</t>
  </si>
  <si>
    <t>https://www.woman.ru/forum/all/chat-room/thread-khram-prekrasnogo-pana-id6425242/88</t>
  </si>
  <si>
    <t>https://sprosivracha.com/questions/4361026-sineyu-na-holode</t>
  </si>
  <si>
    <t>Как не потерять ноги?</t>
  </si>
  <si>
    <t>https://pikabu.ru/story/_14011323</t>
  </si>
  <si>
    <t>https://sprosivracha.com/questions/4368183-rozha-otek-nogi-infekciya</t>
  </si>
  <si>
    <t>https://sprosivracha.com/questions/4368061-babushka-stala-sovsem-ploho-hodit</t>
  </si>
  <si>
    <t>Алтайский край</t>
  </si>
  <si>
    <t>Барнаул</t>
  </si>
  <si>
    <t>№</t>
  </si>
  <si>
    <t>Событие СМИ</t>
  </si>
  <si>
    <t>Сообщения по авторам</t>
  </si>
  <si>
    <t>Автор</t>
  </si>
  <si>
    <t>Аудитория автора</t>
  </si>
  <si>
    <t>Аудитория блога</t>
  </si>
  <si>
    <t>Пол</t>
  </si>
  <si>
    <t>Возраст</t>
  </si>
  <si>
    <t>Семейное положение</t>
  </si>
  <si>
    <t>Эмилия Герасимова</t>
  </si>
  <si>
    <t>http://vk.com/id1111874705</t>
  </si>
  <si>
    <t>Ж</t>
  </si>
  <si>
    <t>Кн М</t>
  </si>
  <si>
    <t>http://vk.com/id1209585</t>
  </si>
  <si>
    <t>М</t>
  </si>
  <si>
    <t>Алена Маркина</t>
  </si>
  <si>
    <t>http://vk.com/id861782734</t>
  </si>
  <si>
    <t>Лилия Акбашева</t>
  </si>
  <si>
    <t>https://sprosivracha.com/authors/Лилия Акбашева</t>
  </si>
  <si>
    <t>Катрина Юрикова</t>
  </si>
  <si>
    <t>https://dzen.ru/user/edef6s10opi3ve84lz63es7gr1u</t>
  </si>
  <si>
    <t>Александра Климова</t>
  </si>
  <si>
    <t>http://vk.com/id1115732629</t>
  </si>
  <si>
    <t>Холост</t>
  </si>
  <si>
    <t>наталия</t>
  </si>
  <si>
    <t>https://web.telegram.org/#/im?p=@nataliya_1</t>
  </si>
  <si>
    <t>Света Дега</t>
  </si>
  <si>
    <t>http://vk.com/id244938783</t>
  </si>
  <si>
    <t>Среднее</t>
  </si>
  <si>
    <t>Елена Кулакова</t>
  </si>
  <si>
    <t>http://vk.com/id2123550</t>
  </si>
  <si>
    <t>Северодвинск</t>
  </si>
  <si>
    <t>Николай Ерусланов</t>
  </si>
  <si>
    <t>http://vk.com/id165307226</t>
  </si>
  <si>
    <t>Буинск</t>
  </si>
  <si>
    <t>В браке</t>
  </si>
  <si>
    <t>Алина Диброва</t>
  </si>
  <si>
    <t>http://vk.com/id160392480</t>
  </si>
  <si>
    <t>Анастасия Егоричева</t>
  </si>
  <si>
    <t>http://vk.com/id110659096</t>
  </si>
  <si>
    <t>Тульская область</t>
  </si>
  <si>
    <t>Ревякино</t>
  </si>
  <si>
    <t>Высшее</t>
  </si>
  <si>
    <t>Анастасия Васильева</t>
  </si>
  <si>
    <t>http://vk.com/id7627055</t>
  </si>
  <si>
    <t>Глазов</t>
  </si>
  <si>
    <t>Татьяна Лаврухина</t>
  </si>
  <si>
    <t>http://ok.ru/profile/557381638366</t>
  </si>
  <si>
    <t>Явас</t>
  </si>
  <si>
    <t>Татьяна Данилова</t>
  </si>
  <si>
    <t>http://vk.com/id383835053</t>
  </si>
  <si>
    <t>Гость</t>
  </si>
  <si>
    <t>https://www.vashe-mnenie.com/authors/Гость</t>
  </si>
  <si>
    <t>https://www.otzyvru.com/authors/Гость</t>
  </si>
  <si>
    <t>Adel Gabdrafikova</t>
  </si>
  <si>
    <t>http://vk.com/id708739638</t>
  </si>
  <si>
    <t>Тимур</t>
  </si>
  <si>
    <t>https://web.telegram.org/#/im?p=@zovkredit</t>
  </si>
  <si>
    <t>Вика</t>
  </si>
  <si>
    <t>https://sprosivracha.com/authors/Вика</t>
  </si>
  <si>
    <t>Мария Кирьянова</t>
  </si>
  <si>
    <t>http://vk.com/id773113250</t>
  </si>
  <si>
    <t>Лариса Stepanova</t>
  </si>
  <si>
    <t>https://web.telegram.org/#/im?p=@lp_stepanida</t>
  </si>
  <si>
    <t>ViDen</t>
  </si>
  <si>
    <t>https://nup.ru/#ViDen</t>
  </si>
  <si>
    <t>Эвелина Семенова</t>
  </si>
  <si>
    <t>http://vk.com/id719231073</t>
  </si>
  <si>
    <t>Челябинская область</t>
  </si>
  <si>
    <t>Челябинск</t>
  </si>
  <si>
    <t>...</t>
  </si>
  <si>
    <t>https://web.telegram.org/#/im?p=@penesyer</t>
  </si>
  <si>
    <t>Андрей Кулешов</t>
  </si>
  <si>
    <t>https://sprosivracha.com/authors/Андрей Кулешов</t>
  </si>
  <si>
    <t>Serghei Sicicorez</t>
  </si>
  <si>
    <t>http://www.facebook.com/profile.php?id=61587142363160</t>
  </si>
  <si>
    <t>Kate</t>
  </si>
  <si>
    <t>https://web.telegram.org/#/im?p=@1053760904</t>
  </si>
  <si>
    <t>@mirzaev.186</t>
  </si>
  <si>
    <t>https://instagram.com/mirzaev.186</t>
  </si>
  <si>
    <t>Alina</t>
  </si>
  <si>
    <t>https://web.telegram.org/#/im?p=@1030201087</t>
  </si>
  <si>
    <t>Наталия Иванова</t>
  </si>
  <si>
    <t>https://dzen.ru/user/widz-9ttzstlu5wquzbaljwtnka</t>
  </si>
  <si>
    <t>Алла Егорова</t>
  </si>
  <si>
    <t>http://vk.com/id3789070</t>
  </si>
  <si>
    <t>Тамара Гуркова-Смолина</t>
  </si>
  <si>
    <t>http://vk.com/id170936222</t>
  </si>
  <si>
    <t>Светлана Вечтомова</t>
  </si>
  <si>
    <t>http://vk.com/id260441521</t>
  </si>
  <si>
    <t>Алексей Тамчук</t>
  </si>
  <si>
    <t>http://vk.com/id17552547</t>
  </si>
  <si>
    <t>Новосибирская область</t>
  </si>
  <si>
    <t>Новосибирск</t>
  </si>
  <si>
    <t>Сумбуль Галина</t>
  </si>
  <si>
    <t>http://vk.com/id171254440</t>
  </si>
  <si>
    <t>Сергей Губанов</t>
  </si>
  <si>
    <t>http://vk.com/id15401333</t>
  </si>
  <si>
    <t>Липецкая область</t>
  </si>
  <si>
    <t>Липецк</t>
  </si>
  <si>
    <t>Елена Мингалеева</t>
  </si>
  <si>
    <t>http://vk.com/id208945354</t>
  </si>
  <si>
    <t>Анастасия Шульгина</t>
  </si>
  <si>
    <t>http://vk.com/id5286837</t>
  </si>
  <si>
    <t>Нижний Новгород</t>
  </si>
  <si>
    <t>Беларусь</t>
  </si>
  <si>
    <t>Гродненская область</t>
  </si>
  <si>
    <t>Римма Римина</t>
  </si>
  <si>
    <t>http://vk.com/id268284622</t>
  </si>
  <si>
    <t>Алексей Медведев</t>
  </si>
  <si>
    <t>http://vk.com/id228593450</t>
  </si>
  <si>
    <t>Айгуль Ахмадуллина-Гумерова</t>
  </si>
  <si>
    <t>http://vk.com/id204487094</t>
  </si>
  <si>
    <t>Анастасия Дубовицкая</t>
  </si>
  <si>
    <t>http://vk.com/id110528668</t>
  </si>
  <si>
    <t>Оренбургская область</t>
  </si>
  <si>
    <t>Бузулук</t>
  </si>
  <si>
    <t>STOM-Я</t>
  </si>
  <si>
    <t>https://otvet.mail.ru/profile/id22388379</t>
  </si>
  <si>
    <t>Ирина Ушакова</t>
  </si>
  <si>
    <t>http://vk.com/id235493743</t>
  </si>
  <si>
    <t>Тула</t>
  </si>
  <si>
    <t>Михаил Молотков</t>
  </si>
  <si>
    <t>http://www.facebook.com/profile.php?id=100007192570040</t>
  </si>
  <si>
    <t>@Mila Fomina English</t>
  </si>
  <si>
    <t>Юлия Голосова</t>
  </si>
  <si>
    <t>http://vk.com/id67152682</t>
  </si>
  <si>
    <t>Курская область</t>
  </si>
  <si>
    <t>Тим</t>
  </si>
  <si>
    <t>@нина</t>
  </si>
  <si>
    <t>https://instagram.com/pigasovanina</t>
  </si>
  <si>
    <t>андрей енютин</t>
  </si>
  <si>
    <t>http://www.youtube.com/channel/UC3gDRwAdO7J1D4wTRuW3IDg</t>
  </si>
  <si>
    <t>Александра Авдеева</t>
  </si>
  <si>
    <t>http://vk.com/id3364355</t>
  </si>
  <si>
    <t>Самарская область</t>
  </si>
  <si>
    <t>Самара</t>
  </si>
  <si>
    <t>Магаданская область</t>
  </si>
  <si>
    <t>Людмила Савельева</t>
  </si>
  <si>
    <t>http://ok.ru/profile/572835117014</t>
  </si>
  <si>
    <t>@Козлова Антонина, к.м.н | Репродуктолог | Москва</t>
  </si>
  <si>
    <t>Полина Дьяконова-Телегина</t>
  </si>
  <si>
    <t>http://vk.com/id264045142</t>
  </si>
  <si>
    <t>Галина Сергеева</t>
  </si>
  <si>
    <t>http://vk.com/id330920114</t>
  </si>
  <si>
    <t>@Алексей Тишко</t>
  </si>
  <si>
    <t>https://instagram.com/alexey_t18</t>
  </si>
  <si>
    <t>Валентина Яковлева</t>
  </si>
  <si>
    <t>http://vk.com/id441154094</t>
  </si>
  <si>
    <t>https://web.telegram.org/#/im?p=@sanechekk</t>
  </si>
  <si>
    <t>Соединенные Штаты</t>
  </si>
  <si>
    <t>@Michael Udaltsov 🇷🇺</t>
  </si>
  <si>
    <t>https://instagram.com/m.u.life</t>
  </si>
  <si>
    <t>FFSet</t>
  </si>
  <si>
    <t>https://pikabu.ru/@FFSet</t>
  </si>
  <si>
    <t>𝔑𝔞𝔱𝔞𝔩𝔦𝔞 𝔈𝔳𝔱𝔲𝔰𝔥𝔢𝔫𝔨𝔬</t>
  </si>
  <si>
    <t>https://web.telegram.org/#/im?p=@natem_sam</t>
  </si>
  <si>
    <t>Вера Поврезнюк (Полухина)</t>
  </si>
  <si>
    <t>http://ok.ru/profile/418187866754</t>
  </si>
  <si>
    <t>@❤️💚❤️💚❤️💚❤️</t>
  </si>
  <si>
    <t>https://instagram.com/svetik_kiss_13</t>
  </si>
  <si>
    <t>@⚒ Психиатр 🧠 Геронтопсихиатр 🛠</t>
  </si>
  <si>
    <t>svlads</t>
  </si>
  <si>
    <t>https://pikabu.ru/@svlads</t>
  </si>
  <si>
    <t>Irina Ivanova</t>
  </si>
  <si>
    <t>http://vk.com/id370695184</t>
  </si>
  <si>
    <t>Комитет по здравоохранению Санкт-Петербурга</t>
  </si>
  <si>
    <t>http://vk.com/club179849289</t>
  </si>
  <si>
    <t>Оксана Неизвестная</t>
  </si>
  <si>
    <t>http://vk.com/id206129022</t>
  </si>
  <si>
    <t>Добрый Вечер</t>
  </si>
  <si>
    <t>http://www.youtube.com/channel/UCzcBeIBDmIi3AoSEEiVsXVA</t>
  </si>
  <si>
    <t>LaBelle</t>
  </si>
  <si>
    <t>https://www.babyplan.ru/profile/127076-la-belle</t>
  </si>
  <si>
    <t>Trean</t>
  </si>
  <si>
    <t>https://web.telegram.org/#/im?p=@trean_den</t>
  </si>
  <si>
    <t>нви</t>
  </si>
  <si>
    <t>https://medihost.ru/authors/нви</t>
  </si>
  <si>
    <t>@РОСТОВСКИЙ</t>
  </si>
  <si>
    <t>https://instagram.com/leharostovskii</t>
  </si>
  <si>
    <t>Ольга Киселева</t>
  </si>
  <si>
    <t>http://vk.com/id534244568</t>
  </si>
  <si>
    <t>Петушки</t>
  </si>
  <si>
    <t>paranoidLynx</t>
  </si>
  <si>
    <t>https://pikabu.ru/@paranoidLynx</t>
  </si>
  <si>
    <t>Лидия Л</t>
  </si>
  <si>
    <t>http://ok.ru/profile/572037868304</t>
  </si>
  <si>
    <t>Елец</t>
  </si>
  <si>
    <t>Вадим</t>
  </si>
  <si>
    <t>http://www.youtube.com/channel/UC8rCPm9QZMfOBgR1c5bMpYQ</t>
  </si>
  <si>
    <t>Nika North</t>
  </si>
  <si>
    <t>http://vk.com/id501949024</t>
  </si>
  <si>
    <t>Мухарам Ранжибари</t>
  </si>
  <si>
    <t>http://www.youtube.com/channel/UCFNfF6U3o-Z8BBpc0bSbfCA</t>
  </si>
  <si>
    <t>Шёпот Ветра</t>
  </si>
  <si>
    <t>http://vk.com/id602488614</t>
  </si>
  <si>
    <t>@Галина Пронько</t>
  </si>
  <si>
    <t>Sea Moor See</t>
  </si>
  <si>
    <t>http://www.youtube.com/channel/UCCLQw9Y_QMNz6aWEU3CsnbQ</t>
  </si>
  <si>
    <t>Рома</t>
  </si>
  <si>
    <t>https://web.telegram.org/#/im?p=@beketovrk</t>
  </si>
  <si>
    <t>@r_e_a_l_b_o_y_58</t>
  </si>
  <si>
    <t>https://instagram.com/r_e_a_l_b_o_y_58</t>
  </si>
  <si>
    <t>Алексей</t>
  </si>
  <si>
    <t>https://web.telegram.org/#/im?p=@499174279</t>
  </si>
  <si>
    <t>Сытый муж!</t>
  </si>
  <si>
    <t>@Киреева</t>
  </si>
  <si>
    <t>https://instagram.com/kireeva2879</t>
  </si>
  <si>
    <t>фыр пыр</t>
  </si>
  <si>
    <t>https://web.telegram.org/#/im?p=@yougurtripper</t>
  </si>
  <si>
    <t>Ноунейм228</t>
  </si>
  <si>
    <t>http://www.youtube.com/channel/UC9lwQ7VwYPMndl94Yatb7Ww</t>
  </si>
  <si>
    <t>Галина Галина</t>
  </si>
  <si>
    <t>http://vk.com/id653692873</t>
  </si>
  <si>
    <t>Boreas</t>
  </si>
  <si>
    <t>https://web.telegram.org/#/im?p=@770870676</t>
  </si>
  <si>
    <t>ДарьяСмирнова</t>
  </si>
  <si>
    <t>https://www.babyplan.ru/profile/361817-darja-smirnova</t>
  </si>
  <si>
    <t>Людмила Сысина</t>
  </si>
  <si>
    <t>http://vk.com/id201751826</t>
  </si>
  <si>
    <t>Ставропольский край</t>
  </si>
  <si>
    <t>Ставрополь</t>
  </si>
  <si>
    <t>Helen Sanders</t>
  </si>
  <si>
    <t>http://vk.com/id715304648</t>
  </si>
  <si>
    <t>Алексей Колесник</t>
  </si>
  <si>
    <t>https://web.telegram.org/#/im?p=@doc_kolesnik</t>
  </si>
  <si>
    <t>Елена@777</t>
  </si>
  <si>
    <t>http://www.youtube.com/channel/UCzSNNl6SMjzeqk2505Oeq4A</t>
  </si>
  <si>
    <t>Алла</t>
  </si>
  <si>
    <t>https://web.telegram.org/#/im?p=@1798766867</t>
  </si>
  <si>
    <t>Larisa Asseva</t>
  </si>
  <si>
    <t>http://www.youtube.com/channel/UCwNb5iZXBZsjwon0FacVTMQ</t>
  </si>
  <si>
    <t>Анна Карпунина</t>
  </si>
  <si>
    <t>http://vk.com/id678931674</t>
  </si>
  <si>
    <t>Maker</t>
  </si>
  <si>
    <t>https://web.telegram.org/#/im?p=@maker072</t>
  </si>
  <si>
    <t>https://dzen.ru/id/6252046f5fa8243b3e3fa422</t>
  </si>
  <si>
    <t>Наталья Рассадина</t>
  </si>
  <si>
    <t>https://dzen.ru/id/615dfcc3ca7ecd0395063799</t>
  </si>
  <si>
    <t>Elena Blokhina</t>
  </si>
  <si>
    <t>https://web.telegram.org/#/im?p=@angiodoc</t>
  </si>
  <si>
    <t>Архитектор</t>
  </si>
  <si>
    <t>https://dzen.ru/id/5f72066cba91764cb5da7d65</t>
  </si>
  <si>
    <t>AlpenTour</t>
  </si>
  <si>
    <t>https://web.telegram.org/#/im?p=@alpentour</t>
  </si>
  <si>
    <t>мандарин [402992561]</t>
  </si>
  <si>
    <t>https://www.woman.ru/forum/user-statuses/editorial/#gold_message</t>
  </si>
  <si>
    <t>Марина Сизова</t>
  </si>
  <si>
    <t>http://vk.com/id760792914</t>
  </si>
  <si>
    <t>shamulba</t>
  </si>
  <si>
    <t>https://www.tiktok.com/@shamulba</t>
  </si>
  <si>
    <t>Екатерина</t>
  </si>
  <si>
    <t>https://sprosivracha.com/authors/Екатерина</t>
  </si>
  <si>
    <t>Юлия</t>
  </si>
  <si>
    <t>https://sprosivracha.com/authors/Юлия</t>
  </si>
  <si>
    <t>Сергей</t>
  </si>
  <si>
    <t>https://sprosivracha.com/authors/Сергей</t>
  </si>
  <si>
    <t>Анастасия</t>
  </si>
  <si>
    <t>https://sprosivracha.com/authors/Анастасия</t>
  </si>
  <si>
    <t>Мария</t>
  </si>
  <si>
    <t>https://sprosivracha.com/authors/Мария</t>
  </si>
  <si>
    <t>Людмила</t>
  </si>
  <si>
    <t>https://sprosivracha.com/authors/Людмила</t>
  </si>
  <si>
    <t>Оксана</t>
  </si>
  <si>
    <t>https://sprosivracha.com/authors/Оксана</t>
  </si>
  <si>
    <t>Жанна</t>
  </si>
  <si>
    <t>https://sprosivracha.com/authors/Жанна</t>
  </si>
  <si>
    <t>Даниил Раков</t>
  </si>
  <si>
    <t>http://vk.com/id766994370</t>
  </si>
  <si>
    <t>Жизнь в Руанде</t>
  </si>
  <si>
    <t>https://dzen.ru/id/63986528ad3abc63a232847f</t>
  </si>
  <si>
    <t>Виктор Белкин</t>
  </si>
  <si>
    <t>http://vk.com/id772168005</t>
  </si>
  <si>
    <t>11126 Katerina</t>
  </si>
  <si>
    <t>https://web.telegram.org/#/im?p=@5305078907</t>
  </si>
  <si>
    <t>https://web.telegram.org/#/im?p=@airpumpservice</t>
  </si>
  <si>
    <t>A Ts</t>
  </si>
  <si>
    <t>https://web.telegram.org/#/im?p=@1647708250</t>
  </si>
  <si>
    <t>Ekaterina</t>
  </si>
  <si>
    <t>https://web.telegram.org/#/im?p=@podkotik</t>
  </si>
  <si>
    <t>Надежда Аксенович</t>
  </si>
  <si>
    <t>http://www.youtube.com/channel/UCeJzEuWiO54RfOaCMk71yKA</t>
  </si>
  <si>
    <t>Лика</t>
  </si>
  <si>
    <t>https://dzen.ru/id/5d394fc5e4f39f00ae200d32</t>
  </si>
  <si>
    <t>Нелли</t>
  </si>
  <si>
    <t>https://dzen.ru/id/64d3745696905b12eb226804</t>
  </si>
  <si>
    <t>Гроза Райисполкома</t>
  </si>
  <si>
    <t>https://www.babyblog.ru/user/blackparazittt</t>
  </si>
  <si>
    <t>vacation</t>
  </si>
  <si>
    <t>Отзыв.ru (otzyv.ru)</t>
  </si>
  <si>
    <t>https://otzyv.ru/profile.php?id=75489</t>
  </si>
  <si>
    <t>Катерина</t>
  </si>
  <si>
    <t>https://www.babyblog.ru/user/id2295545</t>
  </si>
  <si>
    <t>Дождик</t>
  </si>
  <si>
    <t>https://www.babyblog.ru/user/onalesya1</t>
  </si>
  <si>
    <t>Ярославская область</t>
  </si>
  <si>
    <t>Ярославль</t>
  </si>
  <si>
    <t>https://dzen.ru/user/1678962437</t>
  </si>
  <si>
    <t>Татьяна Гаврилина (Мясникова)</t>
  </si>
  <si>
    <t>http://ok.ru/profile/594299744169</t>
  </si>
  <si>
    <t>Людмила Манвелян</t>
  </si>
  <si>
    <t>http://vk.com/id833615399</t>
  </si>
  <si>
    <t>Феруза</t>
  </si>
  <si>
    <t>http://www.youtube.com/channel/UCBnIG6SKJyBAeP5Mvz-_U7Q</t>
  </si>
  <si>
    <t>L</t>
  </si>
  <si>
    <t>https://web.telegram.org/#/im?p=@7062911248</t>
  </si>
  <si>
    <t>Татьяна Александрова</t>
  </si>
  <si>
    <t>http://vk.com/id741139354</t>
  </si>
  <si>
    <t>Vinto</t>
  </si>
  <si>
    <t>https://forums.rusmedserv.com/authors/Vinto</t>
  </si>
  <si>
    <t>Ольга Валерьевна</t>
  </si>
  <si>
    <t>http://vk.com/id851594044</t>
  </si>
  <si>
    <t>Светлана Телегина</t>
  </si>
  <si>
    <t>http://www.youtube.com/channel/UClJhxoTP2ELanup9QKcst3w</t>
  </si>
  <si>
    <t>rina067</t>
  </si>
  <si>
    <t>https://mom.life/user/6691732f883d963458177ce6</t>
  </si>
  <si>
    <t>Ксения</t>
  </si>
  <si>
    <t>https://web.telegram.org/#/im?p=@xeniatu</t>
  </si>
  <si>
    <t>channel24179634</t>
  </si>
  <si>
    <t>https://rutube.ru/video/person/24179634</t>
  </si>
  <si>
    <t>Ольга Владимировна Черненко</t>
  </si>
  <si>
    <t>https://market.yandex.ru/user/0n8c3nhne2au0fdbvvqxctkq4g</t>
  </si>
  <si>
    <t>Алиса</t>
  </si>
  <si>
    <t>https://dzen.ru/id/66fedf8396beda649868a689</t>
  </si>
  <si>
    <t>Paprika</t>
  </si>
  <si>
    <t>https://web.telegram.org/#/im?p=@papri_ka</t>
  </si>
  <si>
    <t>@@</t>
  </si>
  <si>
    <t>https://instagram.com/kiira_satu</t>
  </si>
  <si>
    <t>Роман Николаевич</t>
  </si>
  <si>
    <t>http://vk.com/id890364807</t>
  </si>
  <si>
    <t>channel28404014</t>
  </si>
  <si>
    <t>https://rutube.ru/video/person/28404014</t>
  </si>
  <si>
    <t>Marina</t>
  </si>
  <si>
    <t>https://web.telegram.org/#/im?p=@5277775963</t>
  </si>
  <si>
    <t>Кас</t>
  </si>
  <si>
    <t>https://hron-prostatit.ru/authors/Кас</t>
  </si>
  <si>
    <t>pollightman</t>
  </si>
  <si>
    <t>https://nup.ru/#pollightman</t>
  </si>
  <si>
    <t>Bermuda Triangle</t>
  </si>
  <si>
    <t>http://vk.com/id1023616008</t>
  </si>
  <si>
    <t>Анастасия Шпадарева</t>
  </si>
  <si>
    <t>https://web.telegram.org/#/im?p=@anastasiyaspadareva</t>
  </si>
  <si>
    <t>Анюта Муклаева</t>
  </si>
  <si>
    <t>https://web.telegram.org/#/im?p=@annamuklaeva</t>
  </si>
  <si>
    <t>deni4</t>
  </si>
  <si>
    <t>https://hron-prostatit.ru/authors/deni4</t>
  </si>
  <si>
    <t>Ирина Гер</t>
  </si>
  <si>
    <t>https://dzen.ru/id/61d0906bf5cf2400b384a3a3</t>
  </si>
  <si>
    <t>ZIMMA208</t>
  </si>
  <si>
    <t>https://irecommend.ru/users/zimma208</t>
  </si>
  <si>
    <t>vito54</t>
  </si>
  <si>
    <t>https://hron-prostatit.ru/authors/vito54</t>
  </si>
  <si>
    <t>PEALbHOCTb</t>
  </si>
  <si>
    <t>https://www.tiktok.com/@laizan02</t>
  </si>
  <si>
    <t>Павел Р.</t>
  </si>
  <si>
    <t>https://www.ozon.ru/context/client_opinion/ClientGuid/00000000-0000-0000-0000-000000000000#Павел Р.</t>
  </si>
  <si>
    <t>Михаил К.</t>
  </si>
  <si>
    <t>https://www.ozon.ru/context/client_opinion/ClientGuid/00000000-0000-0000-0000-000000000000#Михаил К.</t>
  </si>
  <si>
    <t>Юлия Р.</t>
  </si>
  <si>
    <t>https://www.ozon.ru/context/client_opinion/ClientGuid/00000000-0000-0000-0000-000000000000#Юлия Р.</t>
  </si>
  <si>
    <t>@МУЖСКОЕ ЗДОРОВЬЕ ТАЗОВОЕ ДНО | ЛИБИДО</t>
  </si>
  <si>
    <t>Оксана Чубарова</t>
  </si>
  <si>
    <t>https://dzen.ru/user/77lhfkslznwclbekteqdvvxx_fm</t>
  </si>
  <si>
    <t>Нина Езенкова</t>
  </si>
  <si>
    <t>https://dzen.ru/user/zy8xn3v5arsgfi8gpyu_asblbeq</t>
  </si>
  <si>
    <t>Дед российский</t>
  </si>
  <si>
    <t>https://dzen.ru/id/683a5da203a9ab31d4266a8b</t>
  </si>
  <si>
    <t>♡♡♡♡♡♡</t>
  </si>
  <si>
    <t>https://web.telegram.org/#/im?p=@2141007721</t>
  </si>
  <si>
    <t>Светлана Нилова</t>
  </si>
  <si>
    <t>https://dzen.ru/user/tthloi0zbn4jpz9s_9jo3kpk8zi</t>
  </si>
  <si>
    <t>К.Марина Ю.2025</t>
  </si>
  <si>
    <t>https://web.telegram.org/#/im?p=@mska2025</t>
  </si>
  <si>
    <t>rewet</t>
  </si>
  <si>
    <t>https://nup.ru/#rewet</t>
  </si>
  <si>
    <t>STR [401270608]</t>
  </si>
  <si>
    <t>https://www.woman.ru/user/str-id401270608</t>
  </si>
  <si>
    <t>💎 𝒩𝒶𝓈𝓉𝓎𝓊𝓈𝒽𝓀𝒶 𝟥𝒟 𝒟𝓊𝓈𝒽𝓀𝒶 💎</t>
  </si>
  <si>
    <t>https://web.telegram.org/#/im?p=@nastyadushk</t>
  </si>
  <si>
    <t>Любовь Сурина</t>
  </si>
  <si>
    <t>http://vk.com/id1072210181</t>
  </si>
  <si>
    <t>Denis Desdesmes</t>
  </si>
  <si>
    <t>http://www.youtube.com/channel/UCNGqyR3VwHyjJidsmfdw6Pw</t>
  </si>
  <si>
    <t>Алена Шейпук</t>
  </si>
  <si>
    <t>https://sprosivracha.com/authors/Алена Шейпук</t>
  </si>
  <si>
    <t>Александр Жуков</t>
  </si>
  <si>
    <t>https://sprosivracha.com/authors/Александр Жуков</t>
  </si>
  <si>
    <t>Нина Извозчикова</t>
  </si>
  <si>
    <t>https://sprosivracha.com/authors/Нина Извозчикова</t>
  </si>
  <si>
    <t>Юлия Рудоманова</t>
  </si>
  <si>
    <t>https://sprosivracha.com/authors/Юлия Рудоманова</t>
  </si>
  <si>
    <t>Екатерина Ежова</t>
  </si>
  <si>
    <t>https://sprosivracha.com/authors/Екатерина Ежова</t>
  </si>
  <si>
    <t>Екатерина Плотникова</t>
  </si>
  <si>
    <t>https://sprosivracha.com/authors/Екатерина Плотникова</t>
  </si>
  <si>
    <t>День Юрка</t>
  </si>
  <si>
    <t>http://www.youtube.com/channel/UCdbCk6qf4f4yYyit8_9U5cQ</t>
  </si>
  <si>
    <t>Руслан Сабиров</t>
  </si>
  <si>
    <t>http://vk.com/id1087103557</t>
  </si>
  <si>
    <t>Нюся Р.</t>
  </si>
  <si>
    <t>https://dzen.ru/id/69424d3d4f8ad6248027232e</t>
  </si>
  <si>
    <t>Mika</t>
  </si>
  <si>
    <t>https://mom.life/user/691c555d258168052e026ef0</t>
  </si>
  <si>
    <t>Алиса Г</t>
  </si>
  <si>
    <t>https://dzen.ru/id/69673fb99ddcd57294641e04</t>
  </si>
  <si>
    <t>Публикатор</t>
  </si>
  <si>
    <t>https://web.telegram.org/#/im?p=@parser_part_bot</t>
  </si>
  <si>
    <t>Николай Андреев</t>
  </si>
  <si>
    <t>https://web.telegram.org/#/im?p=@nikolai198726</t>
  </si>
  <si>
    <t>Нурлан Иманов</t>
  </si>
  <si>
    <t>https://sprosivracha.com/authors/Нурлан Иманов</t>
  </si>
  <si>
    <t>Наталия</t>
  </si>
  <si>
    <t>http://www.youtube.com/channel/UCZ1RK8q-3ekd6Lv090ui_Mg</t>
  </si>
  <si>
    <t>Анатолий Анатолий</t>
  </si>
  <si>
    <t>https://web.telegram.org/#/im?p=@bigmegabong</t>
  </si>
  <si>
    <t>aleksafomina</t>
  </si>
  <si>
    <t>https://otzyv.pro/user/aleksafomina</t>
  </si>
  <si>
    <t>НАТАЛИЯ</t>
  </si>
  <si>
    <t>https://mom.life/user/69dfa987d0b306af410c0268</t>
  </si>
  <si>
    <t>Дивная Полина</t>
  </si>
  <si>
    <t>https://otzovik.com/profile/Дивная+Полина</t>
  </si>
  <si>
    <t>Юджин</t>
  </si>
  <si>
    <t>https://web.telegram.org/#/im?p=@udzhin80</t>
  </si>
  <si>
    <t>Bevel</t>
  </si>
  <si>
    <t>https://hron-prostatit.ru/authors/Bevel</t>
  </si>
  <si>
    <t>https://dzen.ru/user/1669098787</t>
  </si>
  <si>
    <t>Nataliya0401</t>
  </si>
  <si>
    <t>https://forums.rusmedserv.com/authors/Nataliya0401</t>
  </si>
  <si>
    <t>Гость [3614837798]</t>
  </si>
  <si>
    <t>https://www.woman.ru/authors/Гость [3614837798]</t>
  </si>
  <si>
    <t>Юрикова Катрина</t>
  </si>
  <si>
    <t>https://forum.baby.ru/u/usr2231337</t>
  </si>
  <si>
    <t>faster</t>
  </si>
  <si>
    <t>https://forum.steelfactor.ru/index.php?showuser=61513</t>
  </si>
  <si>
    <t>Валерия</t>
  </si>
  <si>
    <t>https://mom.life/user/6a03e35a7e15d5832e0a91d0</t>
  </si>
  <si>
    <t>P</t>
  </si>
  <si>
    <t>https://web.telegram.org/#/im?p=@8865043918</t>
  </si>
  <si>
    <t>Татьяна Морозова</t>
  </si>
  <si>
    <t>https://dzen.ru/user/2356853477</t>
  </si>
  <si>
    <t>Андриановна</t>
  </si>
  <si>
    <t>https://otzovik.com/profile/Андриановна</t>
  </si>
  <si>
    <t>Mamalama</t>
  </si>
  <si>
    <t>https://mom.life/user/6a14345a8a40cc102e0bb78d</t>
  </si>
  <si>
    <t>AlisSia27</t>
  </si>
  <si>
    <t>https://otzovik.com/profile/AlisSia27</t>
  </si>
  <si>
    <t>Полялуговая</t>
  </si>
  <si>
    <t>https://irecommend.ru/users/polyalugovaya</t>
  </si>
  <si>
    <t>Аноним</t>
  </si>
  <si>
    <t>https://www.wildberries.ru/profile/RWHbm5SgopupK0XLs4SjDklqX5rw1br0U6tZx3UOisaz</t>
  </si>
  <si>
    <t>Без страны</t>
  </si>
  <si>
    <t>Грузия</t>
  </si>
  <si>
    <t>Азербайджан</t>
  </si>
  <si>
    <t>Испания</t>
  </si>
  <si>
    <t>9 стран определены у 48,6% (189) сообщений</t>
  </si>
  <si>
    <t>Федеральный округ</t>
  </si>
  <si>
    <t>Без округа</t>
  </si>
  <si>
    <t>ЦФО</t>
  </si>
  <si>
    <t>СЗФО</t>
  </si>
  <si>
    <t>ПФО</t>
  </si>
  <si>
    <t>УФО</t>
  </si>
  <si>
    <t>ЮФО</t>
  </si>
  <si>
    <t>СФО</t>
  </si>
  <si>
    <t>ДФО</t>
  </si>
  <si>
    <t>8 округов определены у 69,5% (114) сообщения</t>
  </si>
  <si>
    <t>Регион РФ</t>
  </si>
  <si>
    <t>Без региона</t>
  </si>
  <si>
    <t>Республика Марий Эл</t>
  </si>
  <si>
    <t>Удмуртская Республика</t>
  </si>
  <si>
    <t>35 регионов определены у 69,5% (114) сообщения</t>
  </si>
  <si>
    <t>Город РФ</t>
  </si>
  <si>
    <t>Без города</t>
  </si>
  <si>
    <t>41 город определена у 67,7% (111) сообщение</t>
  </si>
  <si>
    <t>Доля</t>
  </si>
  <si>
    <t>Мужчина</t>
  </si>
  <si>
    <t>Женщина</t>
  </si>
  <si>
    <t>Данные по полу имеются у 53,9 % авторов</t>
  </si>
  <si>
    <t>≤ 17</t>
  </si>
  <si>
    <t>18 - 24</t>
  </si>
  <si>
    <t>25 - 39</t>
  </si>
  <si>
    <t>40 - 59</t>
  </si>
  <si>
    <t>≥ 60</t>
  </si>
  <si>
    <t>Данные по возрасту имеются у 13,5 % авторов</t>
  </si>
  <si>
    <t>Семейный статус</t>
  </si>
  <si>
    <t>Холостые</t>
  </si>
  <si>
    <t>Данные по семейному положению имеются у 8,2 % авторов</t>
  </si>
  <si>
    <t>Неоконченное</t>
  </si>
  <si>
    <t>Данные по образованию имеются у 3,4 % авторов</t>
  </si>
  <si>
    <t>Подписчики</t>
  </si>
  <si>
    <t>≤ 99</t>
  </si>
  <si>
    <t>100 - 499</t>
  </si>
  <si>
    <t>500 - 999</t>
  </si>
  <si>
    <t>1000 - 4999</t>
  </si>
  <si>
    <t>5000 - 9999</t>
  </si>
  <si>
    <t>≥ 10000</t>
  </si>
  <si>
    <t>Данные по аудитории имеются у 100,0 % авторов</t>
  </si>
  <si>
    <t>Интересы</t>
  </si>
  <si>
    <t>Фильмы</t>
  </si>
  <si>
    <t>Телешоу</t>
  </si>
  <si>
    <t>Книги</t>
  </si>
  <si>
    <t>Другие</t>
  </si>
  <si>
    <t>Данные по интересам имеются у 4,4 % авторов</t>
  </si>
  <si>
    <t>Данные по странам имеются у 27,3 % авторов</t>
  </si>
  <si>
    <t>Регионы</t>
  </si>
  <si>
    <t>Данные по регионам имеются у 21,9 % авторов</t>
  </si>
  <si>
    <t>Города</t>
  </si>
  <si>
    <t>Данные по городам имеются у 21,6 % авторов</t>
  </si>
  <si>
    <t>Метрики</t>
  </si>
  <si>
    <t>Типы сообщений</t>
  </si>
  <si>
    <t>Посты</t>
  </si>
  <si>
    <t>Репосты с дополнением</t>
  </si>
  <si>
    <t>Сторис</t>
  </si>
  <si>
    <t>Публикации СМИ</t>
  </si>
  <si>
    <t>Ответы</t>
  </si>
  <si>
    <t>Вопросы</t>
  </si>
  <si>
    <t>Источники сообщений</t>
  </si>
  <si>
    <t>Количество реакции</t>
  </si>
  <si>
    <t>❤</t>
  </si>
  <si>
    <t>🙏</t>
  </si>
  <si>
    <t>🔥</t>
  </si>
  <si>
    <t>👍</t>
  </si>
  <si>
    <t>👏</t>
  </si>
  <si>
    <t>🤗</t>
  </si>
  <si>
    <t>🆒</t>
  </si>
  <si>
    <t>🕊</t>
  </si>
  <si>
    <t>🥰</t>
  </si>
  <si>
    <t>⚡</t>
  </si>
  <si>
    <t>🍌</t>
  </si>
  <si>
    <t>трентал</t>
  </si>
  <si>
    <t>пентоксифиллин</t>
  </si>
  <si>
    <t>препарат</t>
  </si>
  <si>
    <t>врач</t>
  </si>
  <si>
    <t>раз</t>
  </si>
  <si>
    <t>лечение</t>
  </si>
  <si>
    <t>посол</t>
  </si>
  <si>
    <t>кровь</t>
  </si>
  <si>
    <t>сосуд</t>
  </si>
  <si>
    <t>кровообращение</t>
  </si>
  <si>
    <t>улучшение</t>
  </si>
  <si>
    <t>год</t>
  </si>
  <si>
    <t>курс</t>
  </si>
  <si>
    <t>нога</t>
  </si>
  <si>
    <t>боль</t>
  </si>
  <si>
    <t>неделя</t>
  </si>
  <si>
    <t>микроциркуляция</t>
  </si>
  <si>
    <t>день</t>
  </si>
  <si>
    <t>прием</t>
  </si>
  <si>
    <t>месяц</t>
  </si>
  <si>
    <t>время</t>
  </si>
  <si>
    <t>анализ</t>
  </si>
  <si>
    <t>таблетка</t>
  </si>
  <si>
    <t>лета</t>
  </si>
  <si>
    <t>витамин</t>
  </si>
  <si>
    <t>лекарство</t>
  </si>
  <si>
    <t>болезнь</t>
  </si>
  <si>
    <t>вопрос</t>
  </si>
  <si>
    <t>мозг</t>
  </si>
  <si>
    <t>изменение</t>
  </si>
  <si>
    <t>рука</t>
  </si>
  <si>
    <t>эффект</t>
  </si>
  <si>
    <t>невролог</t>
  </si>
  <si>
    <t>атеросклероз</t>
  </si>
  <si>
    <t>терапия</t>
  </si>
  <si>
    <t>человек</t>
  </si>
  <si>
    <t>мрт</t>
  </si>
  <si>
    <t>жизнь</t>
  </si>
  <si>
    <t>кислород</t>
  </si>
  <si>
    <t>конечность</t>
  </si>
  <si>
    <t>кровоток</t>
  </si>
  <si>
    <t>проблема</t>
  </si>
  <si>
    <t>доза</t>
  </si>
  <si>
    <t>контроль</t>
  </si>
  <si>
    <t>актовегин</t>
  </si>
  <si>
    <t>группа</t>
  </si>
  <si>
    <t>назначение</t>
  </si>
  <si>
    <t>обследование</t>
  </si>
  <si>
    <t>рост</t>
  </si>
  <si>
    <t>ткань</t>
  </si>
  <si>
    <t>норма</t>
  </si>
  <si>
    <t>питание</t>
  </si>
  <si>
    <t>мексидол</t>
  </si>
  <si>
    <t>заболевание</t>
  </si>
  <si>
    <t>канал</t>
  </si>
  <si>
    <t>сон</t>
  </si>
  <si>
    <t>утро</t>
  </si>
  <si>
    <t>костя</t>
  </si>
  <si>
    <t>масса</t>
  </si>
  <si>
    <t>мышца</t>
  </si>
  <si>
    <t>организм</t>
  </si>
  <si>
    <t>сустав</t>
  </si>
  <si>
    <t>процесс</t>
  </si>
  <si>
    <t>база</t>
  </si>
  <si>
    <t>результат</t>
  </si>
  <si>
    <t>артерия</t>
  </si>
  <si>
    <t>голова</t>
  </si>
  <si>
    <t>ночь</t>
  </si>
  <si>
    <t>система</t>
  </si>
  <si>
    <t>онемение</t>
  </si>
  <si>
    <t>большинство</t>
  </si>
  <si>
    <t>гормон</t>
  </si>
  <si>
    <t>действие</t>
  </si>
  <si>
    <t>поддержка</t>
  </si>
  <si>
    <t>причина</t>
  </si>
  <si>
    <t>диагностика</t>
  </si>
  <si>
    <t>дозировка</t>
  </si>
  <si>
    <t>магний</t>
  </si>
  <si>
    <t>часов</t>
  </si>
  <si>
    <t>остеохондроз</t>
  </si>
  <si>
    <t>применение</t>
  </si>
  <si>
    <t>состав</t>
  </si>
  <si>
    <t>чаща</t>
  </si>
  <si>
    <t>период</t>
  </si>
  <si>
    <t>случай</t>
  </si>
  <si>
    <t>час</t>
  </si>
  <si>
    <t>внимание</t>
  </si>
  <si>
    <t>истощение</t>
  </si>
  <si>
    <t>кислота</t>
  </si>
  <si>
    <t>нагрузка</t>
  </si>
  <si>
    <t>нарушение</t>
  </si>
  <si>
    <t>пациент</t>
  </si>
  <si>
    <t>риск</t>
  </si>
  <si>
    <t>тело</t>
  </si>
  <si>
    <t>форма</t>
  </si>
  <si>
    <t>воды</t>
  </si>
  <si>
    <t>возраст</t>
  </si>
  <si>
    <t>диагноз</t>
  </si>
  <si>
    <t>операция</t>
  </si>
  <si>
    <t>список</t>
  </si>
  <si>
    <t>#нормативка</t>
  </si>
  <si>
    <t>#забраковка</t>
  </si>
  <si>
    <t>#бодибилдинг</t>
  </si>
  <si>
    <t>#здоровье</t>
  </si>
  <si>
    <t>#путин</t>
  </si>
  <si>
    <t>#спорт</t>
  </si>
  <si>
    <t>#фитнес</t>
  </si>
  <si>
    <t>#выносливость</t>
  </si>
  <si>
    <t>#качалка</t>
  </si>
  <si>
    <t>#сушка</t>
  </si>
  <si>
    <t>#диабет</t>
  </si>
  <si>
    <t>#активность</t>
  </si>
  <si>
    <t>#депрессия</t>
  </si>
  <si>
    <t>#эндокринология</t>
  </si>
  <si>
    <t>#интервью</t>
  </si>
  <si>
    <t>#память</t>
  </si>
  <si>
    <t>#аптека</t>
  </si>
  <si>
    <t>#мозг</t>
  </si>
  <si>
    <t>#хирургия</t>
  </si>
  <si>
    <t>#холестерин</t>
  </si>
  <si>
    <t>#аккредитация</t>
  </si>
  <si>
    <t>#биохимическийанализкрови</t>
  </si>
  <si>
    <t>#допинг</t>
  </si>
  <si>
    <t>#вены</t>
  </si>
  <si>
    <t>#эндокринолог</t>
  </si>
  <si>
    <t>#тестостерон</t>
  </si>
  <si>
    <t>#набормассы</t>
  </si>
  <si>
    <t>#фармацевт</t>
  </si>
  <si>
    <t>#артерии</t>
  </si>
  <si>
    <t>#фармакология</t>
  </si>
  <si>
    <t>#живаясталь</t>
  </si>
  <si>
    <t>#подкаст</t>
  </si>
  <si>
    <t>#физиотерапия</t>
  </si>
  <si>
    <t>#фармация</t>
  </si>
  <si>
    <t>#деменция</t>
  </si>
  <si>
    <t>#набормышц</t>
  </si>
  <si>
    <t>#атеросклероз</t>
  </si>
  <si>
    <t>#трентал</t>
  </si>
  <si>
    <t>#тромбоз</t>
  </si>
  <si>
    <t>#физиотерапевт</t>
  </si>
  <si>
    <t>#гзт</t>
  </si>
  <si>
    <t>#гармоны</t>
  </si>
  <si>
    <t>#триглицериды</t>
  </si>
  <si>
    <t>#детралекс</t>
  </si>
  <si>
    <t>#лечениеатеросклероза</t>
  </si>
  <si>
    <t>#хиломикроны</t>
  </si>
  <si>
    <t>#розамира</t>
  </si>
  <si>
    <t>#гематокрит</t>
  </si>
  <si>
    <t>#облитерирующийатеросклероз</t>
  </si>
  <si>
    <t>#липопротеидынизкойплотности</t>
  </si>
  <si>
    <t>#павелпопов</t>
  </si>
  <si>
    <t>#кавинтон</t>
  </si>
  <si>
    <t>#вопросхирургу</t>
  </si>
  <si>
    <t>#потеряжира</t>
  </si>
  <si>
    <t>#спортфарма</t>
  </si>
  <si>
    <t>#аптечныепрепараты</t>
  </si>
  <si>
    <t>#винпоцетин</t>
  </si>
  <si>
    <t>#флебавен</t>
  </si>
  <si>
    <t>#пентоксифиллин</t>
  </si>
  <si>
    <t>#анаболическийбодибилдинг</t>
  </si>
  <si>
    <t>#холестеринснизить</t>
  </si>
  <si>
    <t>#аналитиказдоровья</t>
  </si>
  <si>
    <t>#липопротеина</t>
  </si>
  <si>
    <t>#чисткаартерий</t>
  </si>
  <si>
    <t>#пнмк</t>
  </si>
  <si>
    <t>#аполипопротеины</t>
  </si>
  <si>
    <t>#троксактив</t>
  </si>
  <si>
    <t>#большойпол</t>
  </si>
  <si>
    <t>#surgeryhealthcare</t>
  </si>
  <si>
    <t>#какизбежатьатеросклероз</t>
  </si>
  <si>
    <t>#гаинмихаилюрьевич</t>
  </si>
  <si>
    <t>#липопротеиныбиохимия</t>
  </si>
  <si>
    <t>#steroidex</t>
  </si>
  <si>
    <t>#вопросыиответыпободибилдингу</t>
  </si>
  <si>
    <t>#легальнаяфармакология</t>
  </si>
  <si>
    <t>#гормонрыба</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</si>
  <si>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</si>
  <si>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</si>
  <si>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</si>
  <si>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</si>
  <si>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</si>
  <si>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</si>
  <si>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</si>
  <si>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</si>
  <si>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</si>
  <si>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</si>
  <si>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</si>
  <si>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</si>
  <si>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</si>
  <si>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</si>
  <si>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</si>
  <si>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</si>
  <si>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</si>
  <si>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</si>
  <si>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</si>
  <si>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</si>
  <si>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</si>
  <si>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</si>
  <si>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</si>
  <si>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</si>
  <si>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</si>
  <si>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</si>
  <si>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</si>
  <si>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</si>
  <si>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</si>
  <si>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</si>
  <si>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</si>
  <si>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</si>
  <si>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</si>
  <si>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</si>
  <si>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</si>
  <si>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</si>
  <si>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</si>
  <si>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</si>
  <si>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</si>
  <si>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</si>
  <si>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</si>
  <si>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</si>
  <si>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</si>
  <si>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</si>
  <si>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</si>
  <si>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</si>
  <si>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</si>
  <si>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</si>
  <si>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</si>
  <si>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</si>
  <si>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</si>
  <si>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</si>
  <si>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</si>
  <si>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</si>
  <si>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</si>
  <si>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</si>
  <si>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</si>
  <si>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</si>
  <si>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</si>
  <si>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</si>
  <si>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</si>
  <si>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</si>
  <si>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</si>
  <si>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</si>
  <si>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</si>
  <si>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</si>
  <si>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</si>
  <si>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</si>
  <si>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</si>
  <si>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</si>
  <si>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</si>
  <si>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</si>
  <si>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</si>
  <si>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</si>
  <si>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</si>
  <si>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</si>
  <si>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</si>
  <si>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</si>
  <si>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</si>
  <si>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</si>
  <si>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</si>
  <si>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</si>
  <si>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</si>
  <si>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</si>
  <si>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</si>
  <si>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</si>
  <si>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</si>
  <si>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</si>
  <si>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</si>
  <si>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</si>
  <si>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</si>
  <si>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</si>
  <si>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</si>
  <si>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</si>
  <si>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</si>
  <si>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</si>
  <si>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</si>
  <si>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Время публикации</t>
  </si>
  <si>
    <t>Заголовок</t>
  </si>
  <si>
    <t>Распознанный текст</t>
  </si>
  <si>
    <t>Ссылка на сообщение</t>
  </si>
  <si>
    <t>Кто пишет</t>
  </si>
  <si>
    <t>Ссылка на автора</t>
  </si>
  <si>
    <t>Где пишет</t>
  </si>
  <si>
    <t>Ссылка на блог</t>
  </si>
  <si>
    <t>Оценка от 1 до 5</t>
  </si>
  <si>
    <t>Количество дублей</t>
  </si>
  <si>
    <t>Тип площадки</t>
  </si>
  <si>
    <t>Тип блога</t>
  </si>
  <si>
    <t>Тип автора</t>
  </si>
  <si>
    <t>Статус на площадке</t>
  </si>
  <si>
    <t>Обработано</t>
  </si>
  <si>
    <t>Примечание</t>
  </si>
  <si>
    <t>Язык</t>
  </si>
  <si>
    <t>WOM</t>
  </si>
  <si>
    <t>Спам</t>
  </si>
  <si>
    <t>Объявления</t>
  </si>
  <si>
    <t>Категории</t>
  </si>
  <si>
    <t>Токсичность</t>
  </si>
  <si>
    <t>Избранное</t>
  </si>
  <si>
    <t>Объекты</t>
  </si>
  <si>
    <t>Id сообщения</t>
  </si>
  <si>
    <t>31.05.2026 23:13</t>
  </si>
  <si>
    <t>Помогите Липкая крайняя плоть, особенно после душа</t>
  </si>
  <si>
    <t>03 - Помогите!
adrei.belousov, кареву сдайся, в Морфолаб, только после хорошей провокации, и желательно несколько раз, Лонгидаза 5 дней, трентал, детралекс, пиво в течении 5дн 3 литра вечер, рыба, острое, перед днем сдачи, можешь себе простату промять хорошо, сначала у уролога стекла сделаешь, и можешь в морфолаб сдать. Иммуномодуляторов если не боишься, то можешь циклоферон проколоть.</t>
  </si>
  <si>
    <t>https://hron-prostatit.ru/forum/viewtopic.php?p=445520#p445520</t>
  </si>
  <si>
    <t>Пост</t>
  </si>
  <si>
    <t>нейтральная</t>
  </si>
  <si>
    <t>Русский</t>
  </si>
  <si>
    <t>31.05.2026 23:08</t>
  </si>
  <si>
    <t>Отзыв о Пентоксифиллин, таблетки покрыт. плен. об. кишечнорастворимые 100 мг, 60 шт. 2 уп</t>
  </si>
  <si>
    <t>Оценка 5 из 5</t>
  </si>
  <si>
    <t>https://www.ozon.ru/product/711343209/reviews?ruuid=019e7ecb-9eff-789f-a6ed-b6758e8a2c4f</t>
  </si>
  <si>
    <t>Отзыв</t>
  </si>
  <si>
    <t>позитивная</t>
  </si>
  <si>
    <t>5</t>
  </si>
  <si>
    <t>да</t>
  </si>
  <si>
    <t>Пентоксифиллин</t>
  </si>
  <si>
    <t>31.05.2026 21:24</t>
  </si>
  <si>
    <t>Бабушка стала совсем плохо ходить</t>
  </si>
  <si>
    <t>Здравствуйте. Бабушка 77 лет, диабет второго типа уже 20 лет. В прошлом году отрезали один палец ноги. Было улучшение после капельниц октолипена. Невролог назначала трентал, обезболивающие, от деменции таблетки, но улучшений нет. Сейчас совсем плохо ходит, периодически падает. Чем можно помочь? Как улучшить состояние? В больницу ложиться на капельницы не хочет, сказала устала и совсем там одна не справится.</t>
  </si>
  <si>
    <t>Вопрос</t>
  </si>
  <si>
    <t>Алтайский</t>
  </si>
  <si>
    <t>31.05.2026 17:31</t>
  </si>
  <si>
    <t>🏃‍♂️ ☀️ 🍃 Доброго дня и замечательного настроения ❗️
✍️ ЧЕМ ЗАМЕНИТЬ ХИМИЮ И СИНТЕТИКУ.. ⁉️
Приблизительная схема замены лекарств, назначаемых при ОРВИ и не только, в традиционной медицине и БАД компании НСП:
✔️ ПАРАЦЕТАМОЛ
🍃 СОК НОНИ
✔️ ГРОПРИНОСИН
🍃 ПО ДАРКО
✔️ АЦИКЛОВИР
🍃 ЛИСТЬЯ ОЛИВЫ
✔️ Антибиотик
🍃 КОЛЛОИДНОЕ СЕРЕБРО
✔️ Преднизолон
🍃 БУПЛЕРУМ ПЛЮС
✔️ НПВС(найз)
🍃 БОСВЕЛИЯ
✔️ Лаферон
🍃 ПО Д’АРКО, ЛИСТЬЯ ОЛИВЫ
✔️ Омепразол
🍃 СТОМАК КОМФОРТ
✔️ Мезим , панкреатин, панзинорм и др можно заменить их все вместе взятые
🍃 на АГ-Х
✔️ Алмиба
🍃 ПЕПТОВИТ
✔️ Циннаризин, пирацетам
🍃 на ГОТУКОЛА, Гинкго Готу Кола , Чеснок.
✔️ Соннекс
🍃 на ЭЙЧ ВИ ПИ
✔️ Кардиомагнил
🍃 на БИ ПИ СИ
Омега3 + Чеснок или,
хорошие дозировки
Витамин Е 400мг в сутки
или Протеза
или Вери гон
или Листья Оливы
✔️ Адаптол
🍃 на СОК АЛОЕ
или СОК НОНИ
✔️ Антидепрессанты
🍃 на 5- ЭЙЧ ТИ ПИ ПАУЭР
✔️ Актавегин, сермион, пентоксифиллин
🍃 на МАЙНД МАХ.
✔️ Урсасан
🍃 на РЕПЕЙНИК
✔️ Фенкарол , парлазин
🍃 на ГИСТА БЛОК
✔️ Линекс
🍃 на БИФИДОФИЛУС ФЛОРА ФОРС
✔️ Фурамаг (
🍃 на КОЛЛОИДНОЕ СЕРЕБРО (особенно детям)
✔️ Йодомарин
🍃 на КЕЛП
✔️ Аскорбинку на
🍃 Витамин С НСП ,
‼️
А ТАК ЖЕ
Витамин Е синтетический даже не СРАВНИВАЕТСЯ с Витамином Е от НСП.
Это касается Лецитина, Омега3, Кораллового Кальция и Коллоидных Минералов .
🔥 🔥 ИМ РАВНЫХ НЕТ ( запатентованные формулы и выведенные дозировки ) - доказанное терапевтическое действие
https://naturessunshine.ru/catalog/
naturessunshine.ru
Продукция › Nature’s Sunshine
Официальный сайт Nature’s Sunshine — высококачественные биологически активные добавки</t>
  </si>
  <si>
    <t>https://telegram.me/kristheme/2387</t>
  </si>
  <si>
    <t>https://telegram.me/kristheme</t>
  </si>
  <si>
    <t>31.05.2026 17:17</t>
  </si>
  <si>
    <t>С мин поддержкой с эстражелем, пила еще пентоксифилин, в цикле переноса был спорт активный, просто так сошлись звезды</t>
  </si>
  <si>
    <t>https://telegram.me/chatmcf/839298</t>
  </si>
  <si>
    <t>https://telegram.me/7062911248</t>
  </si>
  <si>
    <t>https://telegram.me/chatmcf</t>
  </si>
  <si>
    <t>Комментарий</t>
  </si>
  <si>
    <t>31.05.2026 16:00</t>
  </si>
  <si>
    <t>Первый курс стероидов - какая дозировка? Cимптомы низкого тестостерона. Эффективная доза Тадалафила.</t>
  </si>
  <si>
    <t>Консультации, составление курсов фармакологии, ПКТ, ГЗТ, терапии по повышению тестостерона, ведение по курсу.
По поводу консультаций писать сюда - https://t.me/kuznetsovgzt либо https://vk.com/kuznetsov_gzt
Отзывы - https://vk.com/wall486501687_96
Тикток - https://www.tiktok.com/@alexander_cuznetsov
0:00 Стоит ли гасить эстрадиол, если он выше нормы?
0:39 Александр здравствуйте!гемотакрит 53,принимаю аспирин в малых дозах,соблюдаю жидкостный баланс,плюс подходящие продукты чеснок,куркума,авокадо и т.п.стоит ли делать эритроцитоферез,если самочувствие в норме,дискомфорт не испытываю.что можете посоветовать допом к вышеперечисленному?спасибо!
1:33 Почему все говорят, что на первый курс надо использовать 250 мг тестостерона в неделю? Разве это не мало?
4:00 Какие симптомы у гипогонадизма?
4:10 Здравствуйте, Александр. Чисто теоритически, можно ли строить свои курсы только из оральных препаратов? Как на ваш взгляд лучше выстроить такой курс? Например 4 недели Оксиметолон и 4 недели Метандростенолон.
P.S. Про вред для печени знаю.
5:00 Здравствуйте, сижу на курсе тест в соло почти год, хгч не колол, планируем с женой детей. В каких дозировках и когда начинать колоть хгч ? Без отмены курса получится зачать ребенка?
5:58 Какой должны быть тренировка у большинства?</t>
  </si>
  <si>
    <t xml:space="preserve">Тексты с изображений_x000d_
вопрос первый курс какая сказ дозировках вопрос симптомы низкого тестостерона вопрос эффективная дозировка тадалафила_x000d_
Расшифровки_x000d_
Здравствуйте, дорогие друзья, в этом видео я отвечаю на ваши вопросы, также напоминаю, что если вас интересует терапия по повышению тестостерона, Гзт, курсы стероидов или разбор анализов, то можете обращаться ко мне по ссылкам в описании. Стоит ли гасить эстрадиол, если он выше нормы, если от высокого эстрадиола, у вас нет никаких побочек, по типу повышенного давления, низкого либидо, гинекомастии, отеков, то можно эстрадиол не гасить. Переходим к следующему вопросу: Александр, здравствуйте, гематокрит 53, принимаю аспирину в малых дозах, соблюдая жидкостный баланс, плюс подходящие продукты: чеснок, куркума, авокадо и тому подобное. Стоит ли делать эритроцитферес, если самочувствие в норме, в норме, дискомфорт, не испытываю, что можете посоветовать, допом, к вышеперечисленному, спасибо, ну, можно добавить на такиназу, где то от 2 -4 тысяч единиц в день, еще пентоксифиллин, до 600 мг в день. Аспирин: я смысла не вижу никакого принимать, он никак не влияет на густоту крови, то есть, и плюс ко всему, от него, может быть язва желудка, поэтому смысла никакого нет принимать аспирин, стоит ли делать эритроцит ферэс, если это нормальное самочувствие, при таких показаниях, я считаю, что нет, но если у вас дальше будет увеличиваться, гематокрит, то тогда да, желательно сделать эритроцит феррес. Почему все говорят, что на первый курс надо использовать 250 мг тесдрона в неделю, разве это не мало? Ну, во первых, не все говорят, а во вторых, для большинства действительно это будет мало, почему? Потому что большинства. Нормальный уровень тестостерона, то есть 250 мг в неделю, подойдут только для тех, у кого низкий общий тестостерон и низкий Гспг, такие люди действительно хорошо почувствуют эту дозировку, но большинство особо не будут чувствовать 250 мг тестостерона в неделю, то есть первый курс, лучше, всегда. Начинать с 500 мг тестостерона в неделю, если у вас нормальный уровень тестостерона, тогда да, действительно будет хороший профит. Плюс ко всему, так как курс первый, он обычно короткий, то есть два три месяца, и потом вы уходите на Пкт, то надо максимальное количество пользы для себя поиметь за этот срок, поэтому, тем более не вижу смысла 250 мг ставить, для некоторых, возможно, актуально будет низкая дозировка тестостерона, если у них лезут андрогенные побочки, в таком случае можно добавить какие то другие стероиды, которых, у которых низкоандрогенная активность, но все таки для большинства, оптимальный курс будет это тестостерон. Соло. Почему? Потому что надо понять, как организм реагирует у вас на тестостерон, потому что тестостерон у вас всегда будет присутствовать в дальнейших курсах, и уже исходя из того, как у вас организм будет реагировать на тестостерон в дальнейшем, подбирать его дозировку при комбинации с другими стероидами? Поэтому на первый курс, 500 мг в неделю, чтобы минимизировать побочки от этой дозировки, лучше разделить ее на прием в два три раза в неделю, то есть, например, вы ставите 250 мг тестостерона, какого нибудь длинного, в понедельник и в четверг, например, либо можете даже разделить эту дозировку на три раза в неделю, в таком случае, так как у вас не будет сильных пиков, фон будет более ровным ниже, будет вероятность того, что у вас полезут, какие то андрогенные побочки, или повысятся гематокрит, или будут какие то там скачки эстрадиола. Переходим к следующему вопросу, какие симптомы у гипогонодизма? Основные симптомы, это низкая либидо, апатия и ожирение переходим к следующему вопросу: Здравствуйте, Александр, чисто теоретически, можно ли строить свои курсы только из оральных препаратов, как на ваш взгляд, лучше выстроить такой курс, например, четыре недели оксиметаллон и 4 недели метандростиалон. Про вред для печени, знаю, ну то есть это получается два месяца, только на вот этих оральных стероидах, да, ну, вы можете на этом посидеть, тем более, если там будут какие то умеренные дозировки, скорее всего, печень у вас не отвалится, но будьте готовы к тому, что у вас может появиться низкая либидо и апатия, и вы в принципе, даже не захотите ходить в тренажерный зал, или вообще что либо делать, но накачаться, да, действительно на этом можно, поэтому думайте, можно попробовать, никто собственно, вам не запрещает. Переходим к следующему вопросу, здравствуйте, я сижу на курсе, тест в соло почти год, Хгч не калул, планируем с женой детей, в каких дозировках, и когда начинать колоть Хгч без отмены курса, получится зачать ребенка, ну если вы изначально не были бесплодны, то скорее всего, получится зачать ребенка, Хгч надо будет принимать в дозировке от 1000 до полутора тысяч единиц, раз в два дня. Если этой дозировки не хватает, то тогда надо будет вместо Хгч принимать фалетропин, по 150 300 международных единиц через день, обычно этого хватает, для того, чтобы произошло зачатие. Переходим к следующему вопросу, какая минимальная дозировка тодовофила будет эффективной, 2,5 мг в день? Переходим к следующему вопросу, какой должна быть тренировка? У большинства? На мой взгляд, тренировка должна быть среднеобъемной и среднеинтенсивной, то есть от 8 -12 повторений, и 8,12 подходов на, мышечную группу? Интервал между подходами, от полутора до 3 минут, я считаю, что это самый оптимальный вариант для большинства, но это не значит, что это подойдет именно вам на этом все, дорогие друзья, если вас интересует терапия по повышению тестрона гзт, или вам необходимо составить курс стюродов, то можете обращаться ко мне по ссылкам в описании, спасибо за внимание, до свидания_x000d_
</t>
  </si>
  <si>
    <t>http://vk.com/video-228862181_456240079</t>
  </si>
  <si>
    <t>31.05.2026 15:53</t>
  </si>
  <si>
    <t>@Trean_den Ден, привет!👋🏻
Посмотри пожалуйста анализы. Курс:
Тест 300, маст 300, прима 300, нфп 150, болд 150.
Аптека: розувастатин 5мг, пентоксифилин 400 на ночь, ликферр 200 ( 1 капельница неделю назад).</t>
  </si>
  <si>
    <t>https://telegram.me/c/1699667973/125321</t>
  </si>
  <si>
    <t>https://telegram.me/499174279</t>
  </si>
  <si>
    <t>https://telegram.me/1699667973</t>
  </si>
  <si>
    <t>31.05.2026 15:50</t>
  </si>
  <si>
    <t>Хочу и Буду!, по факторам роста👇
1-Медленные приседания (статодинамика): тягучий темп (3 секунды вниз, 3 секунды вверх) с легким весом, который намертво пережимает сосуды, создавая локальную гипоксию (кислородное голодание мышц) и заставляя гипофиз тоннами выбрасывать Гормон Роста (ГР) ради сжигания жира.
2-Силовые приседания (5–6 повторений): тяжелая суровая штанга (80–85% от максимума), которая будит высокопороговые мышечные волокна и заставляет надпочечники выделять ДГЭА, коя «ягодичный мрамор» и плотность.
3-Пампинг с коротким отдыхом: 15–20 повторений до дикого жжения и минутные паузы, затапливающие тело лактатом (молочной кислотой) ради безумного притока крови к проблемным зонам, но взрывающие стрессовый кортизол.
Под каждый пункт нужен правильный спортпит👇
1-Милдронат (Мельдоний) (500–1000 мг): Статодинамика — это адское удушение клеток нехваткой кислорода. Мельдоний перестраивает энергообмен миокарда и мышц на экономичное потребление O₂, защищая сердце от перегрузки на фоне высокого пульса лютеиновой фазы.
Жидкий коллаген (высокие дозы) + Витамин С (1000 мг): Принимается за 1 час до тренировки. В условиях высокого прогестерона связки «плывут». Медленный присед стимулирует выработку ГР, который мгновенно подхватывает этот строительный материал и направляет его на укрепление коленных сухожилий
2-Креатина гидрохлорид или Микронизированный моногидрат (5–10 г): Главный легальный анаболический агент для силовой работы. Он напрямую увеличивает запасы креатинфосфата в миофибриллах. Это дает ту самую «вспышку» энергии на 5–6 повторений, позволяя поднять рабочий вес на 10–15% без вмешательства в репродуктивную систему.
Пентоксифиллин (Трентал) (200–400 мг): Продается в любой аптеке. Снижает вязкость крови и повышает эластичность эритроцитов. Тяжелый присед требует идеальной микроциркуляции в ЦНС, чтобы избежать скачков внутричерепного давления и головных болей натуживания
3-Бета-Аланин (3–5 г): Главный буфер карнозина в мышцах ног. Он искусственно сдвигает порог закисления. Девушка успевает сделать не 15, а 22 повторения в подходе до того, как ионы водорода начнут разрушать клетки. Больше повторений — сильнее памп и выше выброс системного Гормона Роста.
Цитруллин Малат (6–8 г) или Аргинин (AAKG): Донаторы азота. Принимаются за 30 минут до приседаний. Расширяют капиллярную сеть в жировых депо бедер до максимума, устраивая ту самую «реактивную гиперемию», которая вымывает упрямый жир в системный кровоток для сжигания.</t>
  </si>
  <si>
    <t>https://dzen.ru/a/ahMaswHUETd2nlLV?comment-request=1#comment_3336411963</t>
  </si>
  <si>
    <t>Пентоксифиллин, Трентал</t>
  </si>
  <si>
    <t>31.05.2026 14:54</t>
  </si>
  <si>
    <t>Показания по УЗИ?) Пентоксифиллин какой-нибудь?</t>
  </si>
  <si>
    <t>https://www.threads.com/@mommycine/post/DY_tECnjoMo</t>
  </si>
  <si>
    <t>31.05.2026 13:09</t>
  </si>
  <si>
    <t>Здравствуйте! Я врач инфекционист кмн Извозчикова Нина Владиславовна.
По результатам клинико-лабораторных данных острая стадия рожи прошла, воспалительные проявления стихли, нормализовалась температура, исчезла гиперемия, регрессировали воспалительные изменения в крови.
Сейчас остаются остаточные изменения в виде лимфостаза, микроциркуляторных нарушений.
Для купирования этих проявлений используют препараты из группы венотоников и средств, способствующих улучшению текучести крови. Возможно применение в течение месяца Детралекс, трентал (пентоксифиллин) или других препаратов, обладающих подобным действием.
По возможности делают исследование сосудов нижних конечностей и по результатам советуются с сосудистым хирургом.</t>
  </si>
  <si>
    <t>https://sprosivracha.com/questions/4368183-rozha-otek-nogi-infekciya#a28013838</t>
  </si>
  <si>
    <t>Ответ</t>
  </si>
  <si>
    <t>31.05.2026 12:31</t>
  </si>
  <si>
    <t>🛒 Вазонит таб. п/о пролонг 600мг №20
🏪 Aloeapteka
💸 685₽
📝 Показания Нарушение периферического кровообращения на фоне атеросклеротических, диабетических и воспалительных процессов (в том числе при "перемежающейся" хромоте, обусловленной атеросклерозом, диабетической ангиопатией, облитерирующим энда…
Не забываем ставить лайк, если публикация понравилась</t>
  </si>
  <si>
    <t xml:space="preserve">Тексты с изображений_x000d_
таблетож вазонит поолоргированного диваютская пойратью #barking оболочкой пентоксифиллин таблетки пролонгированного дойствия покрытые пленочной обопочкой. 600 мг lanna(her_x000d_
</t>
  </si>
  <si>
    <t>https://telegram.me/like_in_cash/48668</t>
  </si>
  <si>
    <t>https://telegram.me/parser_part_bot</t>
  </si>
  <si>
    <t>https://telegram.me/like_in_cash</t>
  </si>
  <si>
    <t>Вазонит, Пентоксифиллин</t>
  </si>
  <si>
    <t>30.05.2026 20:00</t>
  </si>
  <si>
    <t>💊 Пентоксифиллин: что нужно знать?
Суть: Препарат, который улучшает текучесть крови и микроциркуляцию. Он делает эритроциты более «гибкими», позволяя им легче проходить через самые узкие сосуды.
Для чего применяется:
Нарушения кровообращения (в головном мозге, конечностях).
Последствия инсульта или атеросклероза.
Улучшение кислородного обмена в тканях.
⚠️ Важно:
Не является «волшебной таблеткой» от всех проблем с сосудами.
Имеет противопоказания (серьезные нарушения ритма сердца, активные кровотечения).
Может вызвать побочные эффекты: головокружение, тошноту, сердцебиение.
BioPulseEnergy | Твой личный биохакинг</t>
  </si>
  <si>
    <t xml:space="preserve">Тексты с изображений_x000d_
pentoxifylline пентоксифиллин разжижает кровь, расширяет капилляры. через 1 недели кровоток в малом тазу уже другой._x000d_
</t>
  </si>
  <si>
    <t>https://max.ru/clariryofmind/AZ54-FYTc8k</t>
  </si>
  <si>
    <t>30.05.2026 19:36</t>
  </si>
  <si>
    <t>Какие сосудистые препараты можно при онкологии? В лечении онкологических заболеваний часто возникает необходимость в использовании сосудистых препаратов, которые могут помочь в управлении симптомами и снизить риск осложнений. В зависимости от конкретной ситуации и состояния пациента, врач может рекомендовать различные группы препаратов. Например, антикоагулянты, такие как варфарин или апиксабан, часто применяются для профилактики тромбообразования у пациентов с раком, особенно у тех, кто имеет повышенные риски. Другой группой могут быть препараты, улучшающие микроциркуляцию и трофику тканей, такие как пентоксифиллин или трентал. Также в некоторых случаях применяются сосудорасширяющие препараты, например, нифедипин или амиодарон, чтобы улучшить кровоснабжение. Важно помнить, что все назначения должны проводиться врачом с учетом индивидуальных показателей здоровья пациента и особенностей онкологического процесса.</t>
  </si>
  <si>
    <t xml:space="preserve">Тексты с изображений_x000d_
#porinataraman 8.1 «котокому» #justionta d lol л f(e #доборовической_x000d_
</t>
  </si>
  <si>
    <t>http://vk.com/wall-233198825_737</t>
  </si>
  <si>
    <t>30.05.2026 18:43</t>
  </si>
  <si>
    <t>[id711673264|Наталья], пила, октолипен аналог берлитиона, всё пила витамины гр В, пентоксифиллин, Ипидакрин и прочее..иглоукалывание прошла, наверное зря не пойму!ощущения неприятные до жути, вероятно после ковид прошлым летом, сильно кашляла, но температуры не было 🤞</t>
  </si>
  <si>
    <t>http://vk.com/wall-219255672_263846?reply=266019&amp;thread=263911</t>
  </si>
  <si>
    <t>Красноярский</t>
  </si>
  <si>
    <t>30.05.2026 13:35</t>
  </si>
  <si>
    <t>Добрый день. У меня РА и глаукома. Принимаю от РА араву с преднизолоном, периодически НВСП. Вне обострения колю курсами два раза в год хондрогард, мильгамму. От глаукомы капаю дорзотимол, от сухости слизистой капаю хилопарин комод, систейн ультра, пью или прокапываю сосудистые препараты разные, которые периодически назначает офтальмолог: цитофлавин, цитиколин, Кортексин, трентал для улучшения кровоснабжения.</t>
  </si>
  <si>
    <t>http://vk.com/wall-177710119_195978?reply=196002</t>
  </si>
  <si>
    <t>Отредактировано</t>
  </si>
  <si>
    <t>29.05.2026 19:32</t>
  </si>
  <si>
    <t>АЛЕКС Л., причина общая: сосуды. В этой связи люди перестают соображать, хуже работает память. САМ перенес. Начал расширять сосуды под присмотром врачей - системы пентоксифиллина.</t>
  </si>
  <si>
    <t>https://dzen.ru/a/ahgi2ogxz0zpK-Gf?comment-request=1#comment_3333844993</t>
  </si>
  <si>
    <t>29.05.2026 17:26</t>
  </si>
  <si>
    <t>[id741139354|Татьяна], я дополнила список( пошутила). Они написали то, что и так все знают.Пентоксифиллин от всего лечит</t>
  </si>
  <si>
    <t>http://vk.com/wall-192553540_632731?reply=634478&amp;thread=633946</t>
  </si>
  <si>
    <t>29.05.2026 16:07</t>
  </si>
  <si>
    <t>До этого я сидела на таблетках Трентал для разжижения крови
Как услышали сердце , перевели на уколы</t>
  </si>
  <si>
    <t>https://telegram.me/beremennost_pregnancy/2340749</t>
  </si>
  <si>
    <t>https://telegram.me/1053760904</t>
  </si>
  <si>
    <t>https://telegram.me/beremennost_pregnancy</t>
  </si>
  <si>
    <t>29.05.2026 14:57</t>
  </si>
  <si>
    <t>[id110659096|Анастасия], Плазмеферез аппаратный очищает кровь от плохих клеток
А вам очень тяжело ? Отдышка ?
Мне назначали всегда пентоксифилин 600 , но у меня от него болел живот и я не стала пить
Это такая не изученная болезнь на самом деле , саркоидоз он может засыпать и просыпаться в любой момент</t>
  </si>
  <si>
    <t>http://vk.com/wall-17990792_94713?reply=94720&amp;thread=94715</t>
  </si>
  <si>
    <t>29.05.2026 14:54</t>
  </si>
  <si>
    <t>[id708739638|Adel], я была у двух разных пульмонологов. Один вот назначил пентоксифиллин, потом вот забеременела к другому пошла. Он сказал ничего не пить. Думаю может еще одного консультацию получить</t>
  </si>
  <si>
    <t>http://vk.com/wall-17990792_94713?reply=94719&amp;thread=94715</t>
  </si>
  <si>
    <t>29.05.2026 14:53</t>
  </si>
  <si>
    <t>[id110659096|Анастасия], ого, терпения вам 🤍
А вам нельзя Плазмеферез? (Вроде беременным тоже делают ) я только на нем выздоровела , раз в год по 4 процедуры , я не пила таблетки
Только витамин е, Плазмеферез и раз в год капельницы пентоксифилина</t>
  </si>
  <si>
    <t>http://vk.com/wall-17990792_94713?reply=94718&amp;thread=94715</t>
  </si>
  <si>
    <t>29.05.2026 14:03</t>
  </si>
  <si>
    <t>Здравствуйте, я сейчас беременна. Узнала когда заболела. Была на консультации у пульмонолога. Он сказал рожать можно, но таблетки я принимала пентоксифиллин и витамин е отменить. Поэтому три месяца пропила, больше не пью</t>
  </si>
  <si>
    <t>http://vk.com/wall-17990792_94713?reply=94715</t>
  </si>
  <si>
    <t>29.05.2026 11:36</t>
  </si>
  <si>
    <t>Чтоб АПТЕКИ КОРМИТЬ. СПЕЦИАЛЬНО ДОРОГИЕ ЛЕКАРСТВА ВЫПИСЫВАЮТ. МНЕ ТАК ДОРОГОЕ, А В БОЛЬНИЦЕ ВРАЧ СКАЗАЛ, ЧТО МОЖНО И ПОДЕШЕВЛЕ. ТАК 1 УПАКОВКА ДОРОГОГО, А ПОДЕШЕВЛЕ ТРИ УПАКОВКИ, ЗА ЦЕНУ 1 ДОРОГОГО. И ТАМ И ТАМ ПО 50 ШТУК. ДОРОГО НА 16 ДНЕЙ, А ПОДЕШЕВЛЕ НА ПОЛТОРА МЕСЯЦА. ДОРОГОЙ ИМПОРТНЫЙ, ТАМ ПЕНТОКСИФИЛИН, 20 ШТУК. ЭТО 3 ШТ. В ДЕНЬ НА 6 ДНЕЙ, А САМ ПЕНТОКСИФИЛИН 75 ШТУК. НА 25 ДНЕЙ. ДОРОГОЙ 23 РУБЛЯ ЗА УПАКОВКУ, А ДРУГОЕ В РАЗЫ ДЕШЕВЛЕ</t>
  </si>
  <si>
    <t>http://www.youtube.com/watch?v=LUC8YPpAPgA&amp;lc=UgzD2KPjeydBmCvYDJB4AaABAg.AXM6CZAlcxgAXNhfKqmko5</t>
  </si>
  <si>
    <t>29.05.2026 04:23</t>
  </si>
  <si>
    <t>У вас наверняка дифециты витаминов, раз головные боли еще.. В1, В2, цитофлавин бы вам ещё прокапать, гопантеновую кислоту попить, пентоксифиллин. Сколько вам лет? Климакс, предклимакс?</t>
  </si>
  <si>
    <t>https://www.tiktok.com/@dok.kirillova/video/7644783009299942669#7645056282018562817:7645021445789614856</t>
  </si>
  <si>
    <t>29.05.2026 04:17</t>
  </si>
  <si>
    <t>А шо трентал не помогает?</t>
  </si>
  <si>
    <t>https://www.threads.com/@gnomic8801/post/DY5aqcwDsPv</t>
  </si>
  <si>
    <t>29.05.2026 02:40</t>
  </si>
  <si>
    <t>На Хэ проверяли ? Кровотоки смотрели?. Я сейчас пока что воюю с тонким эндометрием. Но у меня раньше было норм. Но в декабре что то пошло не так и он отказывается на гормонах даже расти. Вот сделала гистеру. Пролечила ХЭ. Физио. Плюс пью пентоксифилин и курантил для кровотоков. Если киста в следующем цикле уйдет. То будем уже пытаться опять нарастить</t>
  </si>
  <si>
    <t>https://telegram.me/babiesinjune_andmoms/1423403</t>
  </si>
  <si>
    <t>https://telegram.me/anastasiyaspadareva</t>
  </si>
  <si>
    <t>https://telegram.me/babiesinjune_andmoms</t>
  </si>
  <si>
    <t>29.05.2026 00:30</t>
  </si>
  <si>
    <t>Я вот на постоянке сижу на мексидол+пирацитам +пентоксифилин
В такой связке лучше голова работает , чем от одного фенотропила например</t>
  </si>
  <si>
    <t>https://telegram.me/c/1407442894/183794</t>
  </si>
  <si>
    <t>https://telegram.me/1030201087</t>
  </si>
  <si>
    <t>https://telegram.me/1407442894</t>
  </si>
  <si>
    <t>29.05.2026 00:12</t>
  </si>
  <si>
    <t>Отзыв о MSM 1000 мг, для суставов и связок, 90 таблеток</t>
  </si>
  <si>
    <t>Оценка 5 из 5
пропила весь курс ,волосы меньше стали выпадать,ещё перестала болеть поясница,но я комплексно лечилась,пила магний,витамины в,трентал,через 3 мес заметные улучшения,так же улучшилось состояние кожи,так что рекомендую в качестве добавки,
Бренд: Эвалар</t>
  </si>
  <si>
    <t>https://www.wildberries.ru/catalog/138992242/detail.aspx#review_xqrbAUWCPkAipAyJMLQs</t>
  </si>
  <si>
    <t>28.05.2026 20:25</t>
  </si>
  <si>
    <t>Аналог этого препарата, не по ню как называется, на Западе признали пустышкой и запретили. Я эту школу прошла. Ничем мне не помогал.Лучше вазонит.</t>
  </si>
  <si>
    <t>http://www.youtube.com/watch?v=gvckIX9ZWIc&amp;lc=UgweZMFaiBzoQu05_LZ4AaABAg</t>
  </si>
  <si>
    <t>негативная</t>
  </si>
  <si>
    <t>Вазонит</t>
  </si>
  <si>
    <t>28.05.2026 16:52</t>
  </si>
  <si>
    <t>Рабочий препарат - Отзывы о Трентал</t>
  </si>
  <si>
    <t>Оценка: 5 из 5
Трентал
Таблетки помогли избавиться от болей и судорог в ногах. Пила три раза в день во время еды. При надобности буду повторять курсы</t>
  </si>
  <si>
    <t>https://www.otzyvru.com/trental/review-2258841#comment2258841</t>
  </si>
  <si>
    <t>28.05.2026 16:04</t>
  </si>
  <si>
    <t>Пьёте таблетки для разжижения? Типа Вазонит?</t>
  </si>
  <si>
    <t>http://vk.com/wall-112497291_293850?reply=293947</t>
  </si>
  <si>
    <t>28.05.2026 15:41</t>
  </si>
  <si>
    <t>Наталья Рассадина, трентал наоборот улучшает кровоснабжение сетчатки и в сосудах глаз. Не придумывайте чего нет. Проблема со зрением у больных диабетом именно из-за диабета. У меня бабушка для улучшения кровообращения в конечностях трентал пьет, знаю о чем говорю</t>
  </si>
  <si>
    <t>https://dzen.ru/a/ahWffhUdvlFXrVeB?comment-request=1#comment_3322404282</t>
  </si>
  <si>
    <t>28.05.2026 15:15</t>
  </si>
  <si>
    <t>Отзыв: Трентал СОТЕКС - Действенный препарат</t>
  </si>
  <si>
    <t>Оценка: 5 из 5
Трентал СОТЕКС
Достоинства: болшая пачка, удобно принимать
Недостатки: нет
Здравствуйте. Примерно полгода назад, я стала замечать, что мама постоянно переспрашивает, что я говорю, и мне еще претензии предъявляет, что у меня не четкая речь. Поговорив с ней выяснили, что она плохо слышит и у нее стоит шум в ушах. Обследование показало, что у нее проблемы со слухом связаны с отосклерозом и сосудистыми изменениями во внутреннем ухе. Простыми словами доктор пояснил, что проблема со слухом связана с ухудшением кровообращения в ушах. Доктор назначил трентал.
Препарат она принимает в соответствии с рекомендациями врача уже в течении двух месяцев.
Улучшения стали заметны по истечении двух недель приема, уменьшился шум в ушах.
Сейчас говорит, что уже не так сильно напрягается при разгооре с собеседником.
В настоящее время лечение продолжает.
Препарат обладает кроворазжижающим действием, который применяется для улучшения кровообращения. Таблетки заказываем через интернет-аптеки. Удается немного сэкономить.
Время использования2 месяцаСтоимость700 ₽Год выпуска/покупки2026Общее впечатлениеДейственный препаратМоя оценка5Рекомендую друзьямДА</t>
  </si>
  <si>
    <t xml:space="preserve">Тексты с изображений_x000d_
nat хароподаль code №42292 ind gn tol palicy gial qisi трентал 100 мг жаовстки пензокоподистую трентало пентоксифиллин code покрытье теноч#ре w#eboalt*h stat@el #hooos «ввопо» вазодилатирующее средство i99*2393 zen gv*fdeugsi trinilacigo.ru tgazlyazi tg.ru 60 таблеток сотекс 19*23931 code ha йодь) покрыпые uagnensy пеидочный тишетоки# ininitupaleto# пректал в#обка витеельть бизинчер 10q tic 3413 comee us отзовик_x000d_
трентал пентоксифилпин вигодzлатирующее cp трентах chancor пентоксифиллин nadnetitit миние colucile хокобные живко #beschonglakon code.ry код n9% 19423933 gc drugsi #shillixe zen*adate.ru 2007 #moridalis фотзовик_x000d_
nve ode крыпи! anana скоиратии )ентал соворованной тофетце!! txru саса контородовались попемочи! чишечноф трентал 100 мг таблетки кишечнорастворимые покрытые пленочной оболочкой для приема внутрь. каждая таблетка содержит: пентоксифиллин деревовой 100 мг содержит лактозу перед применением внимательно прочитай хранить при температуре хранить не выше 25 oc в недоступном отпускают для детей месте по рецепту. держатель зао рег. удостоверения: производитель: «фармфирма «сотекс», россия зентива прайвет лимитед, рег. удостоверение: индия п n01 4229/01 code nq (код n9): gujdrugs/g/25/2386 гр@нтам 100 мг отзовик_x000d_
покрытые оболочкой белого цвета. grylifijation gllatila фармакотерапевтическая группа: otyily/ngouparidy вазодилатирующее средство. 46!! бхоул вко уkoie!!! код по классификации atx: co4ad03. coriliy.ruuusion фармакологические свойства фармакодинамика препарат трентал уменьшает вязкость крови и люм улучшает реологические свойства крови (текучесть) за счет: #tasnojimox поп gangowonn гоудэпд belyap9n улучшения нарушенной деформируемости 400105106 и эритроцитов, innqn потвовац nidhoby.ru соворованной aqinnewien ательм iыi уменьшения агрегации тромбоцитов и эритроцитов: bm f aot снижения концентрации фибриногена: ил снижения т9жоу пологорованной активности лейкоцитов и уменьшения (на ловор адгезии лейкоцитов с эндотелию coie 8 качестве сосудов кро активного вещества препарат грентал ли содержит производное см механизм ксантина пентоксифиллин: лека on его действия (н)г фосфодиэстеразы связан с ингибированием од: и накоплением циклического аденозинмонофосфата (цамф) (в ton мускулатуры в клетках гладкой (анта оказывая сосудов и форменных элементах «взаи слабое миотропное действие, пентоксифиплин сосудорасширяющее средст общее периферическое несколько уменьшает одно незначительно расширяет сосудистое сопротивление и arpean иногропным пентоксифиллин обладает коронарные слабым сосуды. тиро упучшает эффектом на сердце! положительным ана еееение кровообращения микроциркуляцию в зонах нарушенного ци* препаратом пороводной inut чшению симпоматики трентал приводит к нарушений мозгового отзовик_x000d_
микрох грентал приводит «взаил кровообращени препаратом симптоматики нарушений mo3t, ло чонио улучшению средсте кровообращения. заболеваниях периферич аривов. с одное при трентал типогл артерий применение препарата устранению ночнь, гипог "нуту удлинению дистанции ходьбы, исчезновению пекс икроножных мышцах и судорог 8 nao tryad(!! болей в покое. #squi(enoqtotu! фармакокинетика пентоксифиллин быстро и после приема внутрь lmqp! почти полностью всасывается. эliny муга пентоксифиллин подвергается эффекту нозргалофо «первичного» прохождения через печень ог абсолютная биодоступность исходной субстанции % концентрация основного lw nds составляет 19113 . от активного метаболита та(нгидроксигексил)чшиjу 37—диметилксантина (метаболит с 8 плазме крови в два раза превышает концентрацию исходного пентоксифиллина. метаболит находится с выротен пентоксифилпином в обратимом биохимическом редокс. равновесии. поэтому пентоксифиллин и aqna метаболит рассматриваются вместе как активная #nch единица! вследствие этого доступность активной 466x субстанции значительно больше итдолдоп xaqq полувыведения пентоксифиллина после #loo период bqbnzqn (mahquanini aiti приема внутрь составляет 1.6 и полностью метаболизируется и qni( пентоксифиллин более чем 90 olo выводится через почки р форме д@к@илкпозионная болазнк прпм далииалую ицение 9423 3418 trenta отзовик_x000d_
</t>
  </si>
  <si>
    <t>https://otzovik.com/review_18382383.html</t>
  </si>
  <si>
    <t>28.05.2026 14:26</t>
  </si>
  <si>
    <t>На Клексане я с 6 недели беременности
До этого пила Трентал для разжижения крови
Как увидели хороший эмбрион и сердцебиение перевели на Клексан сразу</t>
  </si>
  <si>
    <t>https://telegram.me/beremennost_pregnancy/2336393</t>
  </si>
  <si>
    <t>28.05.2026 14:13</t>
  </si>
  <si>
    <t>КОРОТКО О ВАЖНОМ
Ученые подсчитали, что к 2050 году практически все заболевания будут под контролем и в ремиссии.
Кроме болезни Альцгеймера и болезни Паркинсона.
Процент заболевших деменцией в 60 лет - 1℅, в 70- 5℅, в 80-10℅, в90 -20℅.
Очень много обязанностей при этом ложится на плечи самих пациентов.
Рассмотрите для себя прием Проспекты. При обследовании и сравнении получили результат: снижается риск развития деменции в 19 раз.
Этот результат впечатляет.
Есть еще Вазонит. Дозу и курс определяет врач невролог. Важно попасть к нему на прием.
Неврологии рекомендуют также создавать для зрелых пациентов поддерживающую среду, исключая патологическую. Так сохраняется церебральный резерв.
Как вы будете ухаживать за своими близкими, так и за вами будут ухаживать в последствии</t>
  </si>
  <si>
    <t>http://vk.com/wall-218277808_2907</t>
  </si>
  <si>
    <t>28.05.2026 13:36</t>
  </si>
  <si>
    <t>Отзыв: Трентал СОТЕКС - Эффективный препарат</t>
  </si>
  <si>
    <t>Оценка: 5 из 5
Трентал СОТЕКС
Достоинства: Удобно принимать
Недостатки: Нет
Всем привет! Хочу с вами поделиться своим мнением о лекарстве, которое спасло меня от слепоты. Это трентал.
Я стала замечать, что мое зрение стало падать. Сначала мне выписали очки для чтения, вблизи было как то все размыто, но вскоре и вдаль стала плохо видеть.
Стали появляться "мушки" перед глазами. И это сопровождалось легким головокружением.
Я незамедлительно обратилась к врачу. У меня выявили проблемы с кровообращением в сетчатке и сосудистой оболочке глаза. И мне назначили трентал. Он улучшает микроциркуляцию крови. Принимала его согласно рекомендациям врача, три раза в сутки по одной таблетке во время еды. На второй неделе приема "мушки" пропали. Примерно через месяц зрение стало более четким.
Было принято решение продолжить курс лечения до трех месяцев. Зрение ко мне конечно не вернулось на 100%, но улучшилось общее состояние глаз, пропал дискомфорт. Кроме того прошли головокружения. Врачом было рекомендовано обратиться через полгода повторно, для проверки состояния моих глаз.
Дополнительно хочу сказать, что своевременное обращение к врачу дает шанс избежать тяжелых последствий. Будьте здоровы!
Время использования3 месСтоимость600 ₽Год выпуска/покупки2026Общее впечатлениеЭффективный препаратМоя оценка5Рекомендую друзьямДА</t>
  </si>
  <si>
    <t xml:space="preserve">Тексты с изображений_x000d_
трентал 100 мг пентоксифиллин вазодилатирующее средство 60 таблеток сотекс отзовик_x000d_
трентал 100 мг пентоксифиллин 942392 60 таблеток сотекс space отзовик_x000d_
трентал@ 100 габлетки кишечкорастворимые покрытые пленочной оболочкой. дла приема вкутрь каждая таблетка содержит: пентоксифиллин 100 и содоржи! лактозу, перед при мемением внимательно прочитайте инструкцию. хранить при томпературе hc пышло 25 ac хранить недоступком ала дитей macie отпускают по рецепту. держатель por удостоверения: зао кфармфирма «cotckc» россия производитель: земуива драйоот лимитед индия pcr. удостое арение п №0044229/01 code at (код n)): gui/drucs/gr25/2386 605964" 013002 отзовик_x000d_
трентал 100 мг пентоксифиллин вазодилатирующее средство 60 таблеток сотекс пой(ьла code алено акин таопетки phaldpa zenka vaa #cre соолочком аокрыть!! code #поредовались трента59 chan ipphanasia «11513311frusex gulydrugs/@p2512386 1141239. lid граттола хино( cp4 тпа 10с мг rov ixy spacl отзовик_x000d_
трентале 100 мг пентоксифиллин вазодилатирующее средство табнетки кишечнораствора/иния покрытые пленочной оболочкой согеке code na (код n9): guildrugs/g/25/2386 фентало серия i9423931 zenta 0224122 хви sh 34160333 кректало is трентоть zooms хренгала xoo 00l трента!! тох мг "рентал" ден доо: ввяховеркаха paonietka самечнораргдориму, 2 покрытс ппеночнол оболочков 100 солу aode #пороводительный ni): gedeprugs 1386 тало ерия: 0224124 отзовик_x000d_
</t>
  </si>
  <si>
    <t>https://otzovik.com/review_18381772.html</t>
  </si>
  <si>
    <t>28.05.2026 13:30</t>
  </si>
  <si>
    <t>Здравствуйте, у кого наблюдаетесь? Может вам еще для кровотока что-то нужно? Каплина и Хамани назначают часто при повышенных маточных артериях курантил или пентоксифиллин</t>
  </si>
  <si>
    <t>https://mom.life/post/6a17dc6b2f1ba69e8c095fdb#6a17e0f5b9076d2bfa0c23f9</t>
  </si>
  <si>
    <t>28.05.2026 12:48</t>
  </si>
  <si>
    <t>Трентал - отзывы</t>
  </si>
  <si>
    <t>https://www.vashe-mnenie.com/reviews.php?name=trental#date=2026-05-28 08:48:45</t>
  </si>
  <si>
    <t>28.05.2026 12:22</t>
  </si>
  <si>
    <t>https://telegram.me/zdorovie_i_me/1480</t>
  </si>
  <si>
    <t>https://telegram.me/zdorovie_i_me</t>
  </si>
  <si>
    <t>28.05.2026 10:20</t>
  </si>
  <si>
    <t>Проблема только на ногах - значит, это не системное заболевание соединительной ткани. Проблемы с кровоснабжением - наиболее логичны. Истончается кожа, без покраснения и припухлости - точно не варикоз. Ну разве что подкожные вены расширены, но Вы об этом не писали. Мне вероятнее представляется атеросклеротическое поражение артерий. Либо диабетическое капилляров. Пентоксифиллин в таблетках, на мой взгляд, нужен. Но прием длительный и эффект не моментальный. Но! Установить нарушение кровообращения нужно обязательно. Чтобы не было приема впустую. Это к сосудистому хирургу.</t>
  </si>
  <si>
    <t>https://pikabu.ru/story/kak_ne_poteryat_nogi_14011323?cid=393713519</t>
  </si>
  <si>
    <t>28.05.2026 06:55</t>
  </si>
  <si>
    <t>У моей дочери 19 л были незначительные отёки и я дочь отправила сдавать анализы. биохимический анализ крови в норме, но в ОАМ белок +10. В суточной потере белок 4,7. На данный момент началось подниматься давление 150/100. Сходили к платному нефрологу. Назначили лазортан, пентоксифилин, конефрон и торесемид. Принимает с 18.05.26, сдаёт сессию. После сессии, на госпитализацию. А у меня IgA нефропатия 3 б ст. Практически в одновременно заболели 😱 с разницей в несколько месяцев. За свое здоровье переживала, теперь за дочу боюсь.</t>
  </si>
  <si>
    <t>https://telegram.me/glomerulonefritiga/149011</t>
  </si>
  <si>
    <t>https://telegram.me/annamuklaeva</t>
  </si>
  <si>
    <t>https://telegram.me/glomerulonefritiga</t>
  </si>
  <si>
    <t>27.05.2026 23:25</t>
  </si>
  <si>
    <t>Марина,здравствуйте
Судя по описанию похоже на спазм мелких сосудов на холоде, чаще всего это вариант синдрома Рейно или просто выраженная реакция сосудов на температуру.
На холоде сосуды резко сужаются, кровь хуже поступает к коже и слизистым, поэтому губы, нос и даже высыпания могут синеть, при этом общий уровень кислорода в крови остаётся нормальным - именно поэтому прибор показывает хорошие цифры и самочувствие не страдает.
Если это происходит только при холоде и проходит при согревании, чаще всего это не опасно, но требует внимания.
Важно избегать переохлаждения: тёплые перчатки, шарф, защита лица, не держать руки и лицо на холоде долго.
Полезно постепенно тренировать сосуды - контрастный душ для рук, но без резких экстремальных температур.
Ограничьте кофеин и никотин, они усиливают спазм сосудов.
Иногда помогают препараты, улучшающие микроциркуляцию (например, пентоксифиллин 100-200 мг 2-3 раза в день), но их лучше назначать после осмотра врача.
Обратиться к терапевту или ревматологу стоит, чтобы исключить вторичные причины: сдать общий анализ крови, ферритин, ТТГ, глюкозу, при необходимости -аутоиммунные маркеры.
Срочно обращаться нужно, если появляются боль в пальцах, онемение надолго, язвочки или если посинение не проходит в тепле.
Будьте здоровы</t>
  </si>
  <si>
    <t>https://sprosivracha.com/questions/4361026-sineyu-na-holode#a27953506</t>
  </si>
  <si>
    <t>27.05.2026 19:00</t>
  </si>
  <si>
    <t>🏃‍♂️☀️🍃Доброго дня и замечательного настроения❗️
✍️ЧЕМ ЗАМЕНИТЬ ХИМИЮ И СИНТЕТИКУ..⁉️
Приблизительная схема замены лекарств, назначаемых при ОРВИ и не только, в традиционной медицине и БАД компании НСП:
✔️ ПАРАЦЕТАМОЛ
🍃 СОК НОНИ
✔️ГРОПРИНОСИН
🍃 ПО ДАРКО
✔️ АЦИКЛОВИР
🍃 ЛИСТЬЯ ОЛИВЫ
✔️ Антибиотик
🍃 КОЛЛОИДНОЕ СЕРЕБРО
✔️ Преднизолон
🍃 БУПЛЕРУМ ПЛЮС
✔️ НПВС(найз)
🍃 БОСВЕЛИЯ
✔️ Лаферон
🍃 ПО Д’АРКО, ЛИСТЬЯ ОЛИВЫ
✔️ Омепразол
🍃 СТОМАК КОМФОРТ
✔️Мезим , панкреатин, панзинорм и др можно заменить их все вместе взятые
🍃 на АГ-Х
✔️ Алмиба
🍃 ПЕПТОВИТ
✔️ Циннаризин, пирацетам
🍃 на ГОТУКОЛА, Гинкго Готу Кола , Чеснок.
✔️ Соннекс
🍃 на ЭЙЧ ВИ ПИ
✔️ Кардиомагнил
🍃 на БИ ПИ СИ
Омега3 + Чеснок или,
хорошие дозировки
Витамин Е 400мг в сутки
или Протеза
или Вери гон
или Листья Оливы
✔️ Адаптол
🍃 на СОК АЛОЕ
или СОК НОНИ
✔️ Антидепрессанты
🍃 на 5- ЭЙЧ ТИ ПИ ПАУЭР
✔️ Актавегин, сермион, пентоксифиллин
🍃 на МАЙНД МАХ.
✔️ Урсасан
🍃 на РЕПЕЙНИК
✔️ Фенкарол , парлазин
🍃 на ГИСТА БЛОК
✔️ Линекс
🍃 на БИФИДОФИЛУС ФЛОРА ФОРС
✔️ Фурамаг (
🍃 на КОЛЛОИДНОЕ СЕРЕБРО (особенно детям)
✔️ Йодомарин
🍃 на КЕЛП
✔️ Аскорбинку на
🍃 Витамин С НСП ,
А ТАК ЖЕ
Витамин Е синтетический даже не СРАВНИВАЕТСЯ с Витамином Е от НСП.
Это касается Лецитина, Омега3, Кораллового Кальция и Коллоидных Минералов .
🔥🔥 ИМ РАВНЫХ НЕТ !!! ( запатентованные формулы и выведенные дозировки ) - доказанное терапевтическое действие.</t>
  </si>
  <si>
    <t xml:space="preserve">Тексты с изображений_x000d_
азистрира лекарство или бад_x000d_
</t>
  </si>
  <si>
    <t>https://www.instagram.com/p/DY12EKOt2r8/</t>
  </si>
  <si>
    <t>@pro_talina / Галина Пронько</t>
  </si>
  <si>
    <t>27.05.2026 16:52</t>
  </si>
  <si>
    <t>Трентал рушит зрение, особенно при диабете</t>
  </si>
  <si>
    <t>https://dzen.ru/a/ahWffhUdvlFXrVeB?comment-request=1#comment_3320876162</t>
  </si>
  <si>
    <t>27.05.2026 16:07</t>
  </si>
  <si>
    <t>Пентоксифиллин капельницы</t>
  </si>
  <si>
    <t>Девочки, кто ставил для улучшений МПК 1 а степени ? Как результат ? Взяла консультацию Хамани, назначила мне.</t>
  </si>
  <si>
    <t>https://www.babyblog.ru/community/happypregn/post/3778760</t>
  </si>
  <si>
    <t>27.05.2026 15:27</t>
  </si>
  <si>
    <t>ГОСУДАРСТВЕННОЕ БЮДЖЕТНОЕ УЧРЕЖДЕНИЕ ЗДРАВООХРАНЕНИЯ СВЕРДЛОВСКОЙ ОБЛАСТИ "ЦЕНТРАЛЬНАЯ ГОРОДСКАЯ КЛИНИЧЕСКАЯ БОЛЬНИЦА № 1 ГОРОД ЕКАТЕРИНБУРГ"
Мониторинг цен
Лекарственные препараты (ПЕНТОКСИФИЛЛИН)
Регион: Свердловская область
Прием заявок до: 29.05.2026, 17:00
https://zakupki.gov.ru/epz/pricereq/search/results.html?searchString=0362300093426000151</t>
  </si>
  <si>
    <t>http://vk.com/wall-236733457_17894</t>
  </si>
  <si>
    <t>27.05.2026 14:56</t>
  </si>
  <si>
    <t>Только маскирует, но кровоподтеки не лечит</t>
  </si>
  <si>
    <t>Оценка: 3 из 5
Гель для экспресс-удаления синяков Биокон Синяк-OFF с тонирующим эффектом— отзыв
Оценка: 3
Лечение стоматолога окончилось синяками на лице. Такое бывает, к сожалению. Особенно у кого хрупкие сосуды.
Чем лечить кровоподтёки, я знала, и дома имелось не одно средство, а штуки три-четыре. Но все это долго, синяки у меня проходят не быстро -10-14 дней.
Медсестра в стоматологии подсказала купить в аптеке Синяк-OFF с тонирующим эффектом. Сказала, что все спортсмены им пользуются.
Пришлось срочно приобрести, так как производитель еще обещал быстрое удаление кровоподтека за счет состава.
Свойства компонентов
Гирудин, экстракт из медицинской пиявки характеризуется способностью ликвидировать причины и проявления венозного застоя, усиливать кровоснабжение участков тела (на которые наносится препарат Синяк-off). Также он обладает обезболивающим и некоторым противовоспалительным эффектом. Под его действием происходит улучшение процессов местной микроциркуляции крови, уменьшается возможная вероятность развития тромбозов, происходит уменьшение отёков и общей отечности. Предполагается его рефлексогенное воздействие при местном использовании лекарственного препарата Синяк-off.
Пентоксифиллин, входящий в состав данного препарата, улучшает процессы
микроциркуляци, является ангиопротектором, ингибирует (подавляет) фермент Фосфодиэстеразу.
Этоксидигликоль, входящий в состав данного лекарственного средства, является вспомогательным веществом и представляет собой растворитель-основу для прочих компонентов препарата.
Тюбик небольшой-30 мл, внутри крем достаточно плотной консистенции, похожий на тональный крем с красноватым оттенком.
Наносить нужно тонким слоем, затем ждать минут 10, а затем повторить в случае необходимости.
На фото видно, как тон ложится на кровоподтек.
Тон полностью не впитывается, остается на поверхности кожи, заполняя поры. Синяк становится менее заметным, это точно. Но следует обратить внимание на то, что на лице просматривается розовое пятно от тона. В данной ситуации выход я нашла только один-сверху нанесла тональную основу, которой пользуюсь ежедневно, тем самым удалось избежать резкой границы в цвете.
Вывод можно сделать такой - Синяк-OFF с тонирующим эффектом действительно делает кровоподтек менее заметным, он не бросается в глаза окружающим. Но полностью не перекроет и быстро не вылечит. Этот синяк у меня держался 12 дней. Поэтому для скрытия ссадин и синяков он вполне подойдет.
Достоинства
Хороший тонирующий эффект
Недостатки
Жирная плотная кремовая консистенция
Имеет цвет
Не ждите эффекта в 100%
От синяков не спасёт</t>
  </si>
  <si>
    <t xml:space="preserve">Тексты с изображений_x000d_
Гель для экспресс-удаления синяков Биокон Синяк-OFF с тонирующим эффектом фото _x000d_
Гель для экспресс-удаления синяков Биокон Синяк-OFF с тонирующим эффектом фото _x000d_
Гель для экспресс-удаления синяков Биокон Синяк-OFF с тонирующим эффектом фото _x000d_
Гель для экспресс-удаления синяков Биокон Синяк-OFF с тонирующим эффектом фото _x000d_
Гель для экспресс-удаления синяков Биокон Синяк-OFF с тонирующим эффектом фото _x000d_
Гель для экспресс-удаления синяков Биокон Синяк-OFF с тонирующим эффектом фото _x000d_
Гель для экспресс-удаления синяков Биокон Синяк-OFF с тонирующим эффектом фото _x000d_
</t>
  </si>
  <si>
    <t>https://irecommend.ru/content/tolko-maskiruet-no-krovopodteki-ne-lechit</t>
  </si>
  <si>
    <t>3</t>
  </si>
  <si>
    <t>27.05.2026 13:30</t>
  </si>
  <si>
    <t>Нужно принимать кроворазжижающие препараты. Для улучшения микроциркуляции крови отцу назначали трентал</t>
  </si>
  <si>
    <t>https://dzen.ru/a/ahWffhUdvlFXrVeB?comment-request=1#comment_3320564522</t>
  </si>
  <si>
    <t>27.05.2026 03:51</t>
  </si>
  <si>
    <t>Отзыв: Клиника "ЗдравКлиник" (Россия, Москва) - Рассчёт на очень глупых людей или 20 капельниц за 400 тысяч</t>
  </si>
  <si>
    <t>Оценка: 1 из 5
Клиника "ЗдравКлиник" (Россия, Москва)
Достоинства: нет
Недостатки: Под видом чудодейственных средств вам втюхнут копеечный препарат
Мама нашла этих "врачей"по интернету, и сразу же вызвала на дом. Я удивилась, почему приём невролога стоит 15000, но промолчала. Деньги есть, значит можно себе позволить и конечно же надеялись на помощь, после которой она сможет ходить.
Приехала врач Блиновских и какая-то женщина, представившись "помощницей" врача, зачем там ещё помощник понятия не имею. Проведя поверхностный первичный осмотр, врач Блиновских БЕЗ результатов анализов, без обследований, с разбегу выдаёт:" вас нужно чистить обязательно!!! У вас забиты сосуды, вы поэтому и не ходите" и требует за лечение 374000 рублей!!!! Ещё раз, за курс из 20 капельниц 374000 рублей! На этом прекрасном этапе мама звонит мне и сообщает эту сумму, я приехала.
Замечательный "врач" Блиновских оставила нам бумажонку с финансовым планом лечения на 374000 рублей и больше НИ ЧЕ ГО. Ни заключения с печатью её, как врача, ни рецептов на назначенные препараты, ни чека за приём.
Звоню в эту контору и требую от них лист назначений, из чего будут состоять эти чудодейственные капельницы. Мне с неохотой отсылают два файла - чек и лист назначений. Чудодейственные капельницы по 11500 каждая состоят по мнению клиники из Физ раствора (около 200 рублей за 200 мл), Пентоксифиллина (84-150 рублей за 10 ампул), Актовегина (около 2000руьлей за 10 ампул), Тиоктовой кислоты (5000рублей за 10 ампул). Не составит труда посчитать, что весь курс лечения этими препаратами обошёлся бы нам в 8000 рублей, но никак не 374000!!!
Год посещения2000СтранаРоссияРегион (край, область, штат)Центральный федеральный округГород или поселокМоскваУлицаБауманскаяДом №-Общее впечатлениеРассчёт на очень глупых людей или 20 капельниц за 400 тысячМоя оценка1Рекомендую друзьямНЕТ</t>
  </si>
  <si>
    <t>https://otzovik.com/review_18378774.html</t>
  </si>
  <si>
    <t>1</t>
  </si>
  <si>
    <t>27.05.2026 02:21</t>
  </si>
  <si>
    <t>Очень понравилось. Трентал</t>
  </si>
  <si>
    <t>Оценка: 5 из 5
Трентал - отзыв
Моя мама страдала проблемами с сосудами и передала по наследству мне атеросклероз периферических артерий. Сначала у меня возникали боли в ногах при нагрузке, я не придавала этому значения, списывала на то, что я много хожу. Но когда ноги стали болеть в покое я забила тревогу.
Тут и выяснилось, что у меня атеросклероз периферических артерий. Доктор мне назначил трентал. Принимала таблетки 3 раза в сутки сразу после еды в течении 3 месяцев. Боли утихли уже со второй недели приема лекарства. А по прошествии трех месяцев, я уже запархала. Но ввиду того, что заболевание генетическое и может обостриться вновь, мне рекомендовали повторять курс лечения два раза в год.
Достоинства: Эффективность
Недостатки: Нет
РКН: сайт youtube.com нарушает закон РФ
Стоимость: 600 руб.
Общее впечатление: Очень понравилось</t>
  </si>
  <si>
    <t>https://otzyv.pro/reviews/otzyvy-trental-515525.html</t>
  </si>
  <si>
    <t>27.05.2026 00:16</t>
  </si>
  <si>
    <t>Pentoxifylline (Трентал)
Это НЕ замена кровосдаче.
Он:
•	улучшает микроциркуляцию,
•	делает кровь чуть «текучее»,
•	может немного помогать сосудам.
Но:
❌ он НЕ убирает избыток эритроцитов.
❌ гематокрит он нормально не снижа
Mexidol
Это вообще:
•	антиоксидант/нейрометаболическая история.
К крови и гематокриту:
👉 почти отношения не имеет.
Он тебе:
•	может субъективно дать спокойствие/ясность,
но:
❌ не решает проблему густой крови.
MOTS-C
MOTS-c
Вот это уже модная история из мира пептидов.
Что по факту:
•	данных на людях мало;
•	долгосрочной безопасности почти нет;
•	это НЕ стандартная медицина;
•	и это НЕ доказанная замена контролю гематокрита.
Вань, прочитай внимательно, я всё перепробовал:)</t>
  </si>
  <si>
    <t>http://www.youtube.com/watch?v=bq4slT-imsM&amp;lc=UgwDIRxFK5SPjXYlIF94AaABAg</t>
  </si>
  <si>
    <t>26.05.2026 23:30</t>
  </si>
  <si>
    <t>Отзыв о Трентал-400 таб. пролонг. высв. п/о плен.</t>
  </si>
  <si>
    <t>Оценка 4 из 5
цена не радует
Бренд: Sanofi</t>
  </si>
  <si>
    <t>https://market.yandex.ru/user/0n8c3nhne2au0fdbvvqxctkq4g/reviews#t9IP0L9H4d_F_4JEMmNwtFJQnAnioouOo</t>
  </si>
  <si>
    <t>4</t>
  </si>
  <si>
    <t>!цена | !рублей | !"цена за все", ТОП маркетплейсов</t>
  </si>
  <si>
    <t>26.05.2026 23:12</t>
  </si>
  <si>
    <t>[id611514499|Елена], самые разные, от легких до тяжелых в никакую-лежачую с госпитализацией по Скорой и залезанием в квартиру через окно МЧС, чтобы открыть дверь врачу и меня вынести - всего много больше 20. Лечила по-разному, к врачам чаще всего не обращалась, но в первые годы наблюдения в ЦРС обязательно задним числом уточняла у врача, было ли это обострением, пока не научилась сама точно понимать. Могла просто вылёживалась, потом ставший моим основным лечащим гомеопат-классик быстро научился корректировать под них свое лечение, остеопат стала помогать с восстановлением, йоготерапевт с реабилитацией. С последним тяжелым в больнице цитофлавин, трентал, бэшки - https://www.mediasphera.ru/issues/zhurnal-nevrologii-i-psikhiatrii-im-s-s-korsakova/2011/2/downloads/ru/031997-7298201128</t>
  </si>
  <si>
    <t>http://vk.com/wall-74822124_1025509?reply=1025558&amp;thread=1025551</t>
  </si>
  <si>
    <t>26.05.2026 22:33</t>
  </si>
  <si>
    <t>Только прокапала и колола при воспалении седалищного с двух сторон: пентоксифелин, Ксефокам, Комбилипен, Мидокалм и Мильгамма и попустило. Всё по рекомендации врача.</t>
  </si>
  <si>
    <t>https://www.instagram.com/p/DYzm_NmurSh/c/18084043559254854</t>
  </si>
  <si>
    <t>@kireeva2879 / Киреева</t>
  </si>
  <si>
    <t>@pro_vizor888 / Амина Гаджаева</t>
  </si>
  <si>
    <t>26.05.2026 22:16</t>
  </si>
  <si>
    <t>Вань, подскажите пожалуйста, трентал в какой дозировке ?</t>
  </si>
  <si>
    <t>http://www.youtube.com/watch?v=bq4slT-imsM&amp;lc=Ugy5_AsUFKup5akIoax4AaABAg</t>
  </si>
  <si>
    <t>26.05.2026 19:00</t>
  </si>
  <si>
    <t>Обращайтесь к эндокринологу. При онемении стопы отец пил трентал для улучшения микроциркуляции крови</t>
  </si>
  <si>
    <t>http://vk.com/wall-149047382_3170626?reply=3171250</t>
  </si>
  <si>
    <t>Саратовская</t>
  </si>
  <si>
    <t>26.05.2026 18:52</t>
  </si>
  <si>
    <t>Хороший препарат - Отзывы о Трентал</t>
  </si>
  <si>
    <t>Оценка: 5 из 5
Трентал
Назначили при ишемии ног. Сначала чувствовал усталость в ногах, потом начались боли и онемение. После проведенного курса лечения все почти восстановилось</t>
  </si>
  <si>
    <t>https://www.otzyvru.com/trental/review-2257694#comment2257694</t>
  </si>
  <si>
    <t>26.05.2026 18:17</t>
  </si>
  <si>
    <t>Отличный препарат</t>
  </si>
  <si>
    <t>Оценка: 5 из 5
Вазодилатирующее средство Sanofi aventis Трентал— отзыв
Оценка: 5
Опыт использования:
месяц или более
Стоимость:
2400 рублей
Работа у меня сидячая, выхожу только на обед. Да и сладенькое люблю. Набрала вес. Сначала ноги отекали, а потом появились боли. Сначала не придавала этому значения, пока не появилась синюшность кожи. Кожа стала шелушиться и трескаться. В местах трещин выделялась какая то жидкость и образовывались ранки. И вот тут я рванула в больницу. И можно сказать, успела в последний вагон. Мне диагностировали трофическую язву. Врач мне рассказал о причинах возникновения язвы, развиваются они из-за снижения или прекращении циркуляции крови, в результате нарушения давления и кровотока в сосудах и еще множество причин. Мне было назначено комплексное лечение. Плюс компрессионный трикотаж. Одним из препаратов был трентал. Его мне назначили принимать три раза в день во время еды. Таблетки покрыты пленочной оболочкой поэтому глотать их удобно. Покупаю таблетки в упаковке по 60 шт. так их на дольше хватает. Лечение продолжаю уже два месяца. Заметны улучшения. Избавилась от отечности. Раны заживают. Надеюсь к лету все наладится. А вам желаю своевременно обращаться к врачам и не запускать свои заболевания.
Достоинства
Быстрое действие
Выполняет свои заявленные функции
Избааляет от мышечных спазмов на несколько месяцев
Маленькие и эффективные таблеточки
Проверенный рабочий препарат
Удобная форма выпуска
Улучшает самочувствие
Эффективен</t>
  </si>
  <si>
    <t>https://irecommend.ru/content/otlichnyi-preparat-n11492328</t>
  </si>
  <si>
    <t>26.05.2026 17:22</t>
  </si>
  <si>
    <t>https://www.vashe-mnenie.com/reviews.php?name=trental#date=2026-05-26 13:22:24</t>
  </si>
  <si>
    <t>26.05.2026 16:20</t>
  </si>
  <si>
    <t>Подскажите дозировки трентала и мексидола</t>
  </si>
  <si>
    <t>https://www.tiktok.com/@makarov_batumi/video/7644054557630287122#7644127787347575570</t>
  </si>
  <si>
    <t>26.05.2026 15:18</t>
  </si>
  <si>
    <t>зачем? дальше пей воду. Вазонит 600 кидай на ночь</t>
  </si>
  <si>
    <t>https://telegram.me/dgdschat/127944</t>
  </si>
  <si>
    <t>https://telegram.me/zovkredit</t>
  </si>
  <si>
    <t>https://telegram.me/dgdschat</t>
  </si>
  <si>
    <t>26.05.2026 14:17</t>
  </si>
  <si>
    <t>[id193210968|Тихий], здравствуйте! Раньше, когда я еще не была на диализе, нужно было раз год ложиться в неврологию на обследования и ставили всегда курс капельниц с пентоксифиллином или цитофлавином, это для сосудов, но, тут смотря какой исходный диагноз</t>
  </si>
  <si>
    <t>http://vk.com/wall-232208667_1004?reply=1043&amp;thread=1006</t>
  </si>
  <si>
    <t>26.05.2026 08:30</t>
  </si>
  <si>
    <t>Вы откуда взяли, что ″все принимают Трентал после 40″??? Мне и моему окружению 70 и около того, мы даже не имеем представления, что это такое.</t>
  </si>
  <si>
    <t>https://rutube.ru/video/68df469ee6527b62e4e9b238aaf23165/#1779759048733896266</t>
  </si>
  <si>
    <t>26.05.2026 01:02</t>
  </si>
  <si>
    <t>Пора принимать трентал от головокружения. Все принимают после 40ка,но если надо, можно для профилактики 1 шт в день. Для микроциркуляции крови в гол мозге.</t>
  </si>
  <si>
    <t>https://rutube.ru/video/68df469ee6527b62e4e9b238aaf23165/#1779732148346748689</t>
  </si>
  <si>
    <t>26.05.2026 00:52</t>
  </si>
  <si>
    <t>Гость Высыпайтесь, не вставайте резко, оставьте вредные привычки.
Попейте первое время спазмолитики.
А лучше сходить в больницу и прокапать сосуды.
я капала с 20 лет
было осложнение от гриппа
кавинтон
или трентал
+ всякое другое
но для сосудов - это основное
бетасерка я наверное за жизнь ящик выпила
потом я опять капала кавинтон или трентал - потому что он у меня почему-то при кожном заболевании был назначен
сейчас столкнулась с проблемой
пошла к неврологу
а у них стала мода назначать антидепрессанты
всем одно и тоже
бесплатно пробиться мне сложно из-за занятости на работе
но платно не назначить...
занавес...</t>
  </si>
  <si>
    <t>https://www.woman.ru/chat-room/thread-khram-prekrasnogo-pana-id6425242/88/#m104094004</t>
  </si>
  <si>
    <t>25.05.2026 23:55</t>
  </si>
  <si>
    <t>💊 ТАЙНАЯ АПТЕЧНАЯ КЛАДОВАЯ: КАК СОВЕТСКИЕ ХИМИКИ ОБОГНАЛИ ЗАПАД, А ТЫ ДО СИХ ПОР ОБ ЭТОМ НЕ ЗНАЕШЬ Слушай сюда, качок.</t>
  </si>
  <si>
    <t>💊 ТАЙНАЯ АПТЕЧНАЯ КЛАДОВАЯ: КАК СОВЕТСКИЕ ХИМИКИ ОБОГНАЛИ ЗАПАД, А ТЫ ДО СИХ ПОР ОБ ЭТОМ НЕ ЗНАЕШЬ
Слушай сюда, качок. Пока ты стоишь в углу зала и смотришь на «больших ребят», думая, что секрет в подвальных дилерах и telegram-каналах, я открою тебе **** правду: самые жирные секреты лежат в обычной районной аптеке. Да-да, между бабульками с рецептами на валидол и мамашами за детским парацетамолом.
В 1970-х годах, когда советские спортсмены делали **** на Олимпиадах, американцы были уверены — эти русские едят стероиды на завтрак. Ну **** там. Основа успеха была в аптечных препаратах, которые советские спортивные врачи комбинировали так изящно, что Запад только руками разводил. И эти схемы работают до сих пор. Готов узнать, как легально превратить своё тело в машину для роста мышц? Поехали.
━━━━━━━━━━━━━━━━━━━━
🔬 ПОЧЕМУ ТВОЙ КАЧКОВСКИЙ МОЗГ ДОЛЖЕН ВКЛЮЧИТЬСЯ ПРЯМО СЕЙЧАС
Большинство качат — это обычные потребители чужих схем. Купил, вколол, упал. Но аптечная фармакология — это **** шахматный турнир, где каждый препарат — это фигура, а твоя задача — устроить комбинацию, которая сделает тебя сильнее, выносливее и мускулистее. Без побочек, без проблем с законом, без этого страха «а вдруг накроют».
Научные исследования показывают: грамотно составленный курс аптечных препаратов может дать прибавку в 12-15 кг чистых мышц за 3-4 месяца. Не веришь? Продолжай читать, сейчас будут конкретные схемы.
━━━━━━━━━━━━━━━━━━━━
💪 МАССОНАБОРНЫЙ АРСЕНАЛ: ЧТО РЕАЛЬНО РАСТИТ МЯСО
⚡ Кобамамид — советский секрет протеинового синтеза
Помнишь, как в 80-х советские тяжелоатлеты выходили на помост и поднимали такие веса, что западные комментаторы ****? Один из секретов — кобамамид (активная форма B12). Этот препарат участвует в протеиновом обмене и делении клеток напрямую, в отличие от обычного цианокобаламина.
Фишка в чём: кобамамид стимулирует синтез белка на клеточном уровне, улучшает ментальную концентрацию и настроение. Причём он относится к пищевым добавкам, то есть побочек практически нет. Принимаешь по 1500 мкг в день под язык, и через пару недель замечаешь, что восстановление пошло веселее, а мышцы наполняются как на дрожжах.
⚡ Экдистерон — растительный стероид, который не палит
А теперь внимание: в СССР в 1987 году разрешили к продаже препарат экдистерон (торговое название «Экдистен»), который **** работает на массу, но при этом не даёт андрогенных эффектов. Это природное соединение стероидной структуры из корней левзеи. По анаболическому эффекту его сравнивали с метандростенолоном, но без всякой гормональной ****.
Экдистерон стимулирует синтез белка, накопление гликогена, АТФ и креатинфосфата в мышцах. При этом его можно давать даже женщинам и детям — вот насколько он безопасен. Дозировка: 5-10 мг 2-3 раза в день курсом 14-35 дней. Комбинируешь его с кобамамидом — и получаешь легальную анаболическую связку.
⚡ Оротат калия + рибоксин — классика советского массонабора
Эта парочка была в арсенале каждого советского атлета. Оротат калия стимулирует синтез нуклеиновых кислот (а это основа роста клеток), а рибоксин (инозин) — предшественник АТФ, то есть чистая энергия. Вместе они создают условия для роста мышц и восстановления. По 500 мг оротата 3 раза в день + 200 мг рибоксина 3-4 раза в день — и ты в шоколаде.
━━━━━━━━━━━━━━━━━━━━
🏃 ВЫНОСЛИВОСТЬ НА МАКСИМУМЕ: КАК БЕГАТЬ ДОЛЬШЕ ВСЕХ
⚡ Пентоксифиллин — сосудистый взрыв
Вот тут начинается настоящая магия. Пентоксифиллин — это препарат, который профессиональные спортсмены используют для улучшения микроциркуляции крови. Он делает кровь менее вязкой, расширяет капилляры и обеспечивает **** доставку кислорода в мышцы.
Что это даёт? Исследования показывают увеличение аэробной мощности и улучшение показателей выносливости на тестах. Принимаешь пентоксифиллин перед тренировкой — и мышцы наливаются кровью так, что пампинг просто космический. По 100-200 мг за 30-40 минут до тренировки — и ты можешь пахать как трактор.
Важно: препарат может давать слабость и снижение давления, поэтому начинай с минимальных доз. И не используй его постоянно — курсами по 2-3 недели.
⚡ Милдронат — допинг, за который попадаются чемпионы
Мария Шарапова попалась на милдронате на допинг-контроле. И знаешь, почему она его принимала? Потому что эта **** реально работает. Милдронат (мельдоний) улучшает утилизацию кислорода, ускоряет вывод продуктов распада (прощай, молочная кислота) и защищает сердце от перегрузок.
Для выносливости это золото. По 500 мг 2 раза в день курсом 4-6 недель, и ты будешь удивляться, почему раньше задыхался уже на третьем подходе. Комбинация милдронат + пентоксифиллин = легальный допинг для циклических видов спорта.
⚡ Триметазидин (Предуктал) — метаболический переключатель
Этот препарат вообще **** по своему механизму. Триметазидин переключает метаболизм с окисления жиров на глюкозу — более эффективный путь получения энергии. Результат? Ты можешь тренироваться дольше и интенсивнее. Без особых побочек, если не долбить его годами. По 20 мг 2-3 раза в день — и энергия течёт рекой.
━━━━━━━━━━━━━━━━━━━━
🔥 СУШКА И ЖИРОСЖИГАНИЕ: ЛЕГАЛЬНЫЙ ПУТЬ К РЕЛЬЕФУ
⚡ Левокарнитин (Элькар) — аптечная бомба для жиросжигания
Все эти спортпитовские L-карнитины — разбавленная водичка по сравнению с аптечным Элькаром. Концентрация действующего вещества там в разы выше. L-карнитин транспортирует жирные кислоты в митохондрии, где они сгорают в топку. Без него можешь хоть до посинения бегать — жир будет лежать мёртвым грузом.
Дозировка для сушки: 1000-2000 мг 2-3 раза в день, желательно перед кардио или тренировкой. Комбинируешь с кофеином — и жир начинает плавиться.
⚡ Метформин — диабетический препарат для качков (осторожно!)
Этот препарат не упоминается в большинстве статей для качков, но профессионалы его знают. Метформин улучшает чувствительность к инсулину, что критично важно на сушке. Он помогает организму эффективнее использовать углеводы и не запасать их в жир. Но тут нужна консультация врача — это не игрушка.
⚡ Аспаркам — защита сердца и мышц на сушке
Когда режешь калории и воду, организм теряет калий и магний. Аспаркам восполняет эти потери и защищает сердце от перегрузок. Плюс предотвращает судороги, которые частенько случаются на сушке. По 1-2 таблетки 3 раза в день — и ты в безопасности.
━━━━━━━━━━━━━━━━━━━━
🧬 НАУЧНЫЙ ПОДХОД: КАК СОБРАТЬ СВОЙ КУРС
Запомни главное правило аптечной фармакологии: синергия важнее дозировок. Не нужно жрать всё подряд. Вот тебе готовые схемы от советских спортивных врачей (проверены десятилетиями):
📌 СХЕМА НА МАССУ (курс 3-4 недели):
- Кобамамид — 1500 мкг под язык утром
- Экдистерон — 5-10 мг 2-3 раза в день
- Оротат калия — 500 мг 3 раза в день
- Рибоксин — 200 мг 3-4 раза в день
- Аспаркам — 1 таблетка 3 раза в день
📌 СХЕМА НА ВЫНОСЛИВОСТЬ (курс 2-3 недели):
- Милдронат — 500 мг 2 раза в день
- Пентоксифиллин — 100-200 мг перед тренировкой
- Рибоксин — 200 мг 3 раза в день
- Аспаркам — 1 таблетка 3 раза в день
📌 СХЕМА НА СУШКУ (курс 4-6 недель):
- L-карнитин (Элькар) — 1500 мг 2-3 раза в день
- Милдронат — 500 мг утром
- Аспаркам — 2 таблетки 3 раза в день
- Триметазидин — 20 мг 2 раза в день
━━━━━━━━━━━━━━━━━━━━
⚠️ ЧТО ВАЖНО ЗНАТЬ, ЧТОБЫ НЕ СДЕЛАТЬ ИЗ СЕБЯ ДЕБИЛА
Слушай внимательно: аптечные препараты — это не конфетки. Это серьёзные вещи, которые работают на уровне биохимии. Поэтому:
✔️ Сдавай анализы — до курса и после. Как минимум общий и биохимию крови.
✔️ Начинай с минимальных доз — не нужно сразу **** по максимуму.
✔️ Делай перерывы — организм должен отдыхать. Не более 3 курсов в год.
✔️ Не комбинируй всё подряд — придерживайся проверенных схем.
✔️ Слушай своё тело — если что-то идёт не так, отменяй препараты и иди к врачу.
Аптечная фармакология — это марафон, а не спринт. Терпение и системность дадут результат, который останется с тобой надолго, в отличие от водяных мышц после стероидных курсов.
━━━━━━━━━━━━━━━━━━━━
🎯 РЕАЛЬНЫЕ ЦИФРЫ: ЧЕГО ЖДАТЬ
Не буду вешать тебе лапшу на уши. Вот реальные показатели, которые можно ожидать при правильном применении аптечных схем (при условии адекватного тренинга и питания):
📊 Прирост мышечной массы: 12-15 кг за 3-4 месяца
📊 Увеличение силовых показателей: 15-25%
📊 Улучшение выносливости: 18-25% через 4-6 недель
📊 Ускорение восстановления: в 1,5-2 раза
Это не магия. Это биохимия, товарищ. И она работает.
━━━━━━━━━━━━━━━━━━━━
💥 ПОЧЕМУ ТЫ ДО СИХ ПОР НЕ НАЧАЛ?
Знаешь, в чём проблема большинства качков? Они ждут волшебную таблетку, которая сделает их огромными за неделю. А когда не находят её, возвращаются к тренировкам без всякой поддержки и удивляются, почему результат еле ползёт. Аптечная фармакология — это не волшебство. Это научный подход, который использовали чемпионы СССР и который работает до сих пор.
Вся инфа, которую ты здесь прочитал — это верхушка айсберга. Полные протоколы, индивидуальные схемы, тонкости комбинирования, защита здоровья на курсе — всё это требует более глубокого погружения. И нет, я не собираюсь выкладывать всё бесплатно, потому что без понимания контекста ты можешь навредить себе.
📩 Нужна персональная консультация?
Если хочешь составить индивидуальный курс по набору мышечной массы,сушки , подобрать питание и тренировки под твои цели — пиши:
📲 Telegram: ivan_mays
📧 Email: Ivansteroidex@gmail.com
Не теряй связь, добавляйся прямо сейчас!
━━━━━━━━━━━━━━━━━━━━
💬 ДЕЙСТВУЙ, ПОКА ГОРЯЧО!
👍 Ставь лайк, если въехал в тему и готов попробовать!
🔄 Делись с братками по качалке — пусть тоже узнают, что аптека круче подвальных барыг!
💪 Качайся легально, с умом и без палева!
━━━━━━━━━━━━━━━━━━━━
⚠️ Эта статья написана в информационных целях. Перед применением любых препаратов обязательно консультируйся с врачом. Но ты ведь и так умный, правда? 😏
Запомни: пока одни боятся экспериментировать и сидят на одном протеине, другие используют легальные инструменты и растут как на дрожжах. Выбор за тобой, качок. 💊💉🔥
#спортфарма #аптечныепрепараты #набормассы #легальнаяфармакология #бодибилдинг #качалка #сушка #выносливость #steroidex</t>
  </si>
  <si>
    <t xml:space="preserve">Тексты с изображений_x000d_
аптека хля_x000d_
</t>
  </si>
  <si>
    <t>http://ok.ru/group/55077875286120/topic/157766621207912</t>
  </si>
  <si>
    <t>25.05.2026 23:51</t>
  </si>
  <si>
    <t>[id72154886|Оливия], принимали Церебролизин 💉 германский, акатинол, мемонтин, трентал, глиатилин, сермион, семакс, электрофорез;
Сейчас все не припомню, все курсами поочерёдно</t>
  </si>
  <si>
    <t>http://vk.com/wall-110220095_399323?reply=399551&amp;thread=399381</t>
  </si>
  <si>
    <t>Башкортостан</t>
  </si>
  <si>
    <t>25.05.2026 22:15</t>
  </si>
  <si>
    <t>Мне ставили. Капали пентоксифиллин и клексан.</t>
  </si>
  <si>
    <t>https://mom.life/post/6a145e41e7e59a4b79052faa#6a14678be4842a0f6b06a2f9</t>
  </si>
  <si>
    <t>25.05.2026 20:00</t>
  </si>
  <si>
    <t>Клинические фенотипы саркопении. Особенности нутриционной поддержки. Хорошилов И.Е.</t>
  </si>
  <si>
    <t>Видеозапись ФАРР-2025, XXIII съезд Федерации анестезиологов и реаниматологов 04-06 октября 2025, Москва.
Игорь Евгеньевич Хорошилов
"Клинические фенотипы саркопении. Особенности нутриционной поддержки"
Информация, размещенная на канале, предназначена исключительно для медицинских специалистов</t>
  </si>
  <si>
    <t xml:space="preserve">Тексты с изображений_x000d_
клинические фенотипы саркопении. хорошилов и.е. особенности нутриционной поддержки форум анестезиологов (фарр—2025) сьезд an реаниматологов федерации россии cll анестезиологов и реаниматологов 4*6 октября 2025 москва congressfar.ru_x000d_
Расшифровки_x000d_
Транскрипт:Добрый день, уважаемые коллеги. Только что Евгений Валевич Григорьев нам рассказал о фенотипах ээ у критических больных. Видите, мы не договаривались. Тема моего доклада посвящена фенотипам сарокопения. Ещё раз напомню, что термин довольно новый был предложен американским профессором Ирвидом Розенбергом в 1989 году и включён в МКБ в шестнадцатом году. Поэтому сегодня уже в историях болезни, конечно же, должны появиться должны появиться такие сопутствующие диагнозы или ослаждения, как вы их сформулируете. И количество работ, посмотрите, действительно уже во всём мире велико. Ээ и саркопения, она бывает первичная, связанная с со старением, да, ассоциирована с возрастом пациента и вторичная. И, конечно же, у больных старше 60 лет мы с вами сталкиваемся с тем, что у них имеет место как первичная сорокопенения, так и вторичное, вызванная заболеваниями, самыми различными заболеваниями. Первая группа причин. Вторая группа - это нарушение питания или недостаточность питания, дефицита белка, витаминов, ээ энергии. И третье, гиподинамия, постельный режим и ограничение движения у пациентов тоже является важным фактором риска. Там немножко нам мешает двери надо закрывать. Соркопенея может быть острая и хроническая, посмотрите. Острая до 6 месяцев. &amp;gt;&amp;gt; [фыркает] &amp;gt;&amp;gt; Хроническая более 6 месяцев. Я уже сказал, состояние обратимое, поэтому, естественно, может быть острое. Может быть, на этом всё и завершится. И бот по фенотипам сегодня различают по меньшей мере шесть фенотипов. Это сарокопения, саркопеническое ожирение, остеосарокопения и остеосаркопеническое ожирение, сарокопения в составе кохиксии и сарокопеническая дисфагия. Такой диагноз есть. Это ээ есть довольно много работ за рубежом, характеризующий вот тоже последний вид саркопения. То есть саркопения часто сочетается с остеопорозом или остеопенией. И есть даже есть факторы, я показывал в предыдущей лекции, сочетание с саракопеническим ожирением. Посмотрите, это вот наше наблюдение. Пациент, у которого довольно большой живот, то есть пациент даже с избыточным несколько содержанием жировой ткани, он не истощён на первый взгляд, да, у него и верхней конечности прилично выглядят. Но посмотрите нижние конечности. Пациент, который находится ээ несколько недель варит. Ээ сегодня уже Александр Ефимович Стопалов приводил там от одного до нескольких процентов. Я тоже вам приведу работу Фацине 2023 года. Посмотрите, пребывание варит за 7 дней до 20% объёма мышц, бедра и бицепса теряется у больных. За 10 дней уже 25 и за 2 недели 30% мышечной массы, мышечного массива. вот этих вот нижних конечностей, верхних конечностей, но у нас должны быть критерии диагноза. То есть мы не можем просто по потере мышц ставить такой диагноз сорокопенея. То есть надо верифицировать критериями, которые сегодня уже общеприняты. Международные критерии, я уже сказал, пересмотренные международный европейский консенсус 2019 года. Видите, авторы из Германии, Испании, Франции, Швеции, ээ, [фыркает] Великобритании, Италии. Ээ, первое - это снижение мышечной силы. Расценивается вероятный диагноз сорокопении. Затем мы должны определить снижение мышечной массы, подтверждённое дополнительными медами исследования. Кстати, в стандартах, европейских стандартах по клиническому питанию варит написано, какие должны быть использованы методы. Не калиперометрия, да, не измерение окружности плеча, а именно биоимпедансометрия, либо рентгеновская ээ денситометрия, либо компьютерная томография. То есть вы должны выбирать один из достоверных инструментальных методов. И при сочетании первых двух факторов снижением работоспособности или снижением уже мышечной функции устанавливается тяжёлая. То есть есть и степени тяжести, посмотрите, саркопения. [фыркает] Но это наша работа семнадцатого года. Я говорю, что это одна из первых работ в нашей стране, которая влеча врачжурнале. Кстати, там я посмотрел недавно, там более 20.000 просмотров и более 100 цитирований нашей работы. Более 100 цитирований. Ээ, поэтому вот эти критерии, вероятность сорокопинеи, динамометрия рук. Кстати, у нас конгрессы проходят диетологов-нутрициологов. И вот несколько лет тому назад на симпозиуме пустили динамометр по рядам и определяли наши, так сказать, врачи или, так скажем, слушатели, как вы, участники конфере, определяли у себя динамометром, сколько выжимает кисть килограммов. Вот. Ээ, раньше были данные округлены, 30 кг должны мужчины, 20 кг женщины. Сейчас уточнили, посмотрите. 27 и 16, это критерии [фыркает] вероятной сорокопини. И скорость ходьбы менее, ну, по сути, менее метра в секунду, [фыркает] когда пациента пускают на 5 м, там ловят этого пожилого человека, сколько он, как, как медленно он ходит, какая у него скорость ходьбы. И посмотрите, пожалуйста, ещё раз скажу, очень простой индекс. Тощая масса тела, делённая на рост в квадрате. Но тощая масса тела определяется не калипером, жировая ткань, а и не окружностью талии, а определяется инструментально. То есть инструментально. 15 индексстощей массы у женщин, 17 у мужчины. Тогда вы имеете право поставить диагноз саркопения. Либо поясничный скелетно-мошечный индекс. Я покажу то ли дали. Вот далее биоимпидансометрия. Посмотрите, вот пациентка, у которой эта пациентка 57 лет, посмотрите. Значит, у неё имеется снижение тощей массы 13,8, резкое снижение белка практически до нуля. Видите, активная клеточная масса - это белок 5,5. У неё имеется астопения. Посмотрите, минеральная масса костной ткани снижена. Минеральная масса мягких тканей резко снижена. Фазовый угол снижен менее четырёх. И индекс массы тела 15. Я уже сказал, индекс массы тела 17 и менее даёт право поставить кохиексию, потому что нормальный показатель индекса массы тела 18,525, да? Вот порог есть 18,517 между кохиксией и ээ нормой индекса массы тела. Вот здесь уже порог, видите, 18,5 нормальные показатели, но когда 17 вы имеете право поставить. И, конечно, 37 кг при росте 155 см. 37 кг был вес этой пациентки. Я уже сказал, через 2 месяца она уже весила на 9 кг больше, потом прибавила 25 к вернула почти себе, да, эту массу. Там уже 60 было килограмм у неё. А вот это вот МРТ томография, ещё раз показываю мышечный массив красным, да, который виден на уровне третьего поясничного позвонка. И вот посмотрите, это Critical Medдиic. Вот у тех, у кого снижается варит, ээ, мышечная масса на уровне третьего поясничного позвонка, у них наблюдается ээ по, ну, увеличивается в два и более раз летальность этих пациент, шестимесячная летальность больных, находящихся на искусственной вентиляции лёгких. Вот как [фыркает] они умудряются, я не знаю, во время ээ постоянной ВЛ делать МРТ томографию. Ну, на есть какие-то возможности. Посмотрите, эта же работа опубликована, и за рубежом же делаются эти работы. Мы не можем импеданс в каждый арит поставить, но они делают МРТ томографию. Кстати, у нас летает импеданс Medз называется Спрут 2 на нашем модуле МКС. А у американцев на их модуль летает двойная рентгеновская абсорциметрия, определяющая мышечную массу космонавтов. Вы знаете, тоже там 1% в месяц. У нас на Земле 1% в год мышечная масса теряется, а у них 1% в месяц теряется. Поэтому там обязательно делается измерение состава, компонентного состава тела наших космонавтов в процессе пребывания на станции при в невесомости, где происходит то же самое, что лёжа на кровати, да, на койке длительное время, силы тяжести нет. И ээ э Роман Евгевич Лакин, да, у нас занимается в академиинской, занимается, мы с ним сотрудничаем, занимается ультразвуковым измерением, в том числе объёмом мышц. Посмотрите, и пока нет критериев оценки, но в динамике же можно посмотреть, как уменьшается объём мышцы бедра. И это будет тоже критерием, объективным критерием саркопении. Да, лечение саркопении - это, конечно же, клиническое питание, дополнительное питание, интеральное питание, анаболическая терапия, фармакотерапия и двигательная активность. Я вот остановлюсь на этом слайде, я его не показывал сегодня ещё. Посмотрите, какие должны быть. Сегодня вопрос пошёл о анаболической терапии. То есть могут быть использованы различные анаболики. Сейчас проверяется и мы изучаем, скажем, бетагидрокси, бетаметилбутират, это производная лейцина 3 г в сутки, тоже является анаболиком. Элькарнитин, глютамин, креатин. Вот. Анаболиком является витамин D не менее 1.000 в сутки. эйкоза пентаеновая и докоза гиксаеновой кислоты, а также перспективные, так называемые саром, селективные модуляторы рецепторов андрогенов. Это первый ээ находящийся в исследовании препарат. Второй препарат аналогрилина, аноморелин, препарат, который тоже готовится к использованию. и препараты моноклональных антител, блокирующие ТНФальфа, в частности, это нарцепт, это рецептор, да, блокирующий ТНФ альфа. Ну и за рубежом также говорится о том, что используется, в частности, толедомит и то, что нам более, наверное, доступно пентоксифилин. Ну, тринтал наш известный, да? То есть вы можете тоже использовать эти вот препараты с целью анаболической фармакотерапии ээ таких пациентов. [фыркает] для блокирования убиквитинпротосомного распада, вызванного воспалительным ответом. И вот в качестве примера тоже те энтеральные смеси, которые мы используем, resource оптимум, в частности смесь. Почему я показываю этот препарат? Потому что здесь находится также сегодня об этом профессор Шестопалов говорил, очень важный момент нормализация микробиота кишечника, потому что микробиота поддерживает саркопению, патологическая микробиота. Поэтому здесь живые лактобацелюс параказыи, посмотрите, ээ, нормализующий, э, микробиом кишечника и работу иммунной системы, живые пробиотики лактобоцилы и пребиотики фрукта олигосахариды инлин, который также способствует росту ээ полезных бактерий и уменьшению патогенных бактерий. Ресурс протеин - это белковая смесь. Посмотрите, 18,8 гмо белка в одной баночке смеси. Это равно 100 г говядины мясо. Да. 100 г говядины. Плюс все витамины, все микроэлементы. И нет ээ лактозы, глютена и других нежелательных добавок. Это смесь Resурce Fiber. Тоже смесь 18 г белка. И то есть трёх, в принципе, четырёх хватит на целый день. Это получается уже почти 60 г белка. Это такой такая добавка хорошая. Мы, конечно, используем одну-две дополнительного питания вот таким больным. И смесь и, конечно, препарат карнитина. Я уже говорю о том, что это тоже препарат анаболического действия. Ээ, витамин B11 - это витаминоподобный фактор. Витамин B11, ээ, полученный из мыш животных всё время ещё нашими российскими учёными, обладающие анаболическим действием. Как он работает? он повышает свой тестостерон. Он повышает в крови уровень тестостерона у пациента, а это является важным фактором поддержания объёма мышц. Вот количество работ в этом году, в двадцать пятом году 876. Кто хочет, посмотрите по обмет. Вы найдёте совсем свежие работы. Ээ 900 работ двадцать пятого года по использованию карнитина. Наша статья семнадцатого года, где [фыркает] мы такую обзорную статью тоже напечатали в журнале Врач и указали не только саркопению, кохиксию, истощения, но и актуально сейчас постковидный синдром, синдром хронической усталости. Посмотрите, да, синдром хронической усталости. Так, я пошёл, хотел назад пойти. Вот сейчас, да, хронической усталости вернул, а теперь вперёд. А посмотрите, двадцать второго года работа. Может ли карнитин уменьшить постковидную слабость? Да, естественно. Естественно, этим пациентам, особенно пожилым, да, кроме дополнительного питания и движения, да, хорошо, конечно, скандинавская ходьба и всё остальное, но нужны и анаболики, потому что с возрастом падает тестостерон, поэтому нужно его каким-то образом поднимать. И наш курс, базовый курс для врачей, ещё раз вам показываю, да, np.ru, r, в котором более подробно вы вот эти все данные можете посмотреть, можете изучить все эти вопросы и получить ответы на многие вопросы, которые у вас возникают в вашей ээ ежедневной повседневной работе. Вот. Спасибо за внимание. Готов ответить на вопросы. 1 минута у нас есть. &amp;gt;&amp;gt; Игорь Евгений, есть ли вопросы, коллеги? &amp;gt;&amp;gt; Да, конечно. Микрофон, пожалуйста. [откашливается] Спасибо, Игорь Евгеньевич. Важная очень тема саркопения. Сталкиваемся с ней. Вопрос такой, когда пациент, конечно, восстанавливается, начинается какая-то кинезиотерапия, вот, да, мы добавляем там карнитин и всё остальное, но вот ситуация, когда он ещё в тяжёлом состоянии, он а иммобилизован, он на ИВЛ, он в седации, вот идёт падение мышечной массы, есть какие-то фармакологические опции уменьшить это падение мышечной массы? Ну, всё, что я пере &amp;gt;&amp;gt; который с первого дня можно начать прямо вот он заехал в реанимацию. &amp;gt;&amp;gt; Карнитин, я считаю, должен получать парантеральному, внутривенно любой пациенторит рутинно. То есть, ну, на основе этого первого дня получи, &amp;gt;&amp;gt; да, да, обязательно. А вот если недостаточно нестероидной анаболической терапии, мы должны рассматривать вопросы стероидные, вот, которые более серьёзны и возникают дискуссии, да, и не всегда это работает. Мы сегодня слышали, да, да, ретоболил и другие препараты, но мы их должны уже назначать в отсрочном периоде, то есть когда уже мы видим серьёзные потери мышц. Вот 2 недели прошло, потеря 30% мышечной массы, мы же не можем допускать таких потерь, потому что это приводит к полиорганной недостаточности. Депо мышц является первым резервом, а затем идут органы и идёт дистрофия печени, почек, диафрагма лёгких, и начинается полиорганная недостаточность. Поэтому, чтобы её не было, нужно предупреждать вот это на раннем этапе. Если мы не можем побороть фармакологически, тогда мы должны включать анаболическую терапию. Она не является анаболической, она является антикатаболической. &amp;gt;&amp;gt; Катаболической, да, &amp;gt;&amp;gt; это, по сути, антикатаболики. Аноболизма там вы не увидите, там будет меньший катаболизм, так скажем, меньшая потеря азота с мочой, но не будет плюс. Азотиистый баланс не будет положительным, он будет менее отрицательным. &amp;gt;&amp;gt; Да. &amp;gt;&amp;gt; Вот так. А как относитесь к такой схеме с первого [откашливается] дня? Глюкоза, инсулин, допустим, 150 г глюкозы в сутки. &amp;gt;&amp;gt; Да, ну это известный вариант, и это тоже является &amp;gt;&amp;gt; сохраняет ли он мышечную массу вот эта схема? Ну, видно, что нет, потому что эти пациенты наверняка получали инфузионную терапию, у которых за рубежом теряется 30% мышц. Они все получают глюкозу и инсулин. Кто же у нас не получает в реанимации? Ну а что ещё? Это базовые растворы. Да. &amp;gt;&amp;gt; Да. Да. &amp;gt;&amp;gt; И получает, оказывается, они везде. &amp;gt;&amp;gt; Да. &amp;gt;&amp;gt; Да, конечно. Микрофон, если можно, у нас трансляция. Сейчас вам дадут микрофон. &amp;gt;&amp;gt; Нене, не микрофон. Там у нас эфир идёт. &amp;gt;&amp;gt; Глютамин вы применяли пероральный или внутривенный? Вы знаете, конечно, пероральный вопрос сложно работать или нет, потому что он усваивается клетками эпителия кишечника в самом верхнем отделе ЖКТ. Поэтому для того, чтобы он работал эффективно, конечно, парентерально. &amp;gt;&amp;gt; Пантеральный, да, &amp;gt;&amp;gt; конечно, депептивен глютамина, конечно, паронтерально. При катаболизме, конечно, это вариант выбора, потому что он очень хорошо будет съеден ээ и бактериями кишки, и эпителием, и дойдёт ли он в крови до органов и тканей. Это вопрос вопрос серьёзный. Да. Пантерально, конечно. &amp;gt;&amp;gt; Конечно. Парально._x000d_
</t>
  </si>
  <si>
    <t>http://www.youtube.com/watch?v=s9oQMAD7EjQ</t>
  </si>
  <si>
    <t>25.05.2026 18:00</t>
  </si>
  <si>
    <t>Здравствуйте, можете подсказать, у мамы спазм мышц (тяжесть) и в руку левую отдает , как она говорит ощущает, и сразу поднимается давление,результаты МРТ приложу один с контрастом другой без.результаты других анализов тоже приложу, подскажите пожалуйста, что делать? 🙏назначили уколы мукосат, калмирекс, Ксефокам, Комбилипен, пентоксифиллин. Не помогло</t>
  </si>
  <si>
    <t xml:space="preserve">Тексты с изображений_x000d_
amp 24.03. 2026 дур 27лаа 1966 clinic 04.3f mon жеиский 9.5 @pol #xilerkal параметры заключение люм al #molife/mall hanal 60 синусоедя аритмия чсс n2*@6 уд/мин (средняя чсс 7b ya/mini. мормальнох полюж(гре#т эослнеполкая 120 коссина intun 72 блокара привой нпг, диагмостически значимой депрессии/хлевации кегмента st 0с полча/стру qhi 80 rmc стял 50 cv pin 3so сос in/von zns qt( #кор 376 770 дебжениника 1q #miylet ми(уэ. 10 ve lwl 12 mskaci/cstnicin (nur4nty/k45.ru @nivntsykpa neoovallyar шеследоченир лалистсл секудды. фильгры! адаптивный exvieric!! p@y(abt37 axexsis/neyilaf: ооо вебклиника_x000d_
ф.0.0 федотова татьяка павловна #liz o8 1966 жаlобы: жжжсквя nq наружней поверхности лсвой лодмжки судороги acboll ctone, ноющая боль периодичсское области nibbor подколснной ямк), днскомфорт па вкутренней поверхности лсвой лодыжки акачн() заболявшим: далюбы «99» шедсли за помошью рамсс ac обрашалась локальный ctatyc: отсков d9d моискт ocmotra ист. симптомы хоманса отрицательные. ayanighchot скакиродание: стоя глубомис рскм сприал обв пбв пкв пббв зббв проколиму компреоска полнал, стснки шэ утолщены бni спрпад: сбс 5.6 mm оостоятельно, гресалюбе hct ствол бпв д9 22 mm проходим, сровоток фазкый, сте кой 10с утолщсны. перфоранты состоетсльны мпв cnfanr cnc mm, редлюкс нут стнол мпв до mv проходим, efobotva фазныа стскка ppc утолщены глубокис некы слсва обв лбв пкв пббв 3ббв проходимы компросска пюлная стенки мз утоящены. бпв siisnay сас 5.d мм oostoh т*ньно, рефлюкс hct ctwoz бпв zo a.l cm проходим, стровоток башма, стсшки iss утолщены перфоракты состо штллькы мпв clicba: спс mm рэфлюкс hct стwол minib по мм проходкм, кровоток фазный стскки hs утолщсны диазноз: данхмх #porestaramenian патологкю reh wk raitt план оослебованиа: рекомендащии: консультация дерматолога (цозсир красная горка, г.ксмерово: княувва е.ю маруев м.б.) я. фсдотова татьяна павловна# подгверждаю 941. дайн(ыс морм заболевании 1a(lmcania izpuo. тактика пслушня lb@r чом со mior обсуждсиа mue разьяснены молояньюсь! все методы, которые будут испо4ть посанц шри mocn обслсдоа #112112692112 lbcc xijhha чоссмыс коррекционные мероприятия mis разъяснскы молижива лает осмотра рскоменда шиями, печдуъю, подписью) врача ведан чис из гууки подшись пациснта lfeffv4t федотова татьана павловка брач сердечно сосудистый худрург: загородников уйиките угоревич 2j9 12.2023 врач_x000d_
побестарками tinnaa i048087953 длта 19.05 ?21f2cb l6 (4znk sous) укмм: taylainia пакловной дпля сулью ya юбилейная, . le iig)m. а (s 1966 (59aet) altra po жденпоя: t(ot: аксеский ц)гас астиис грнч! 16000l 1821 —3z «чтых сурра лца #l оэ 2026 i)3i41 lill)a 110191 amalesiona 14асерапершку i9 оз 2026 11%58 ишимсиодакие рд.11м пормельны@ значентя неследования ретудьтат бисохимический: исск п*дованкя крови (aut) едл (c35 c) лепартетаминотрикофераза (acti) елл (z35. реактившый велок (ss, год сошни очюб (gb.ru 83.01 билируфин обшлаго мкмоль)л (5.0 2l.0) мочсвипа ммолил 5 крмитинин мкмоль (sx ro) nin/ko3a ь муоль/а li.uo. in tr) сопласно рскомсндащиям воз (u999 2013) диагноетические критсрии едчарного диасста друтик нарушсний г*.i(41259811111 пормальный уровснь глюкозы лепошах: с мылоль/эл порма пылово урэвскь глюкозы натощак беремсиных: 5ol ммоль)а л шавноху ческис критерии сах#рного диабста: ровень пк)козы натошах! 7.0 ммоль б wluli@ pxtueins пюдкозе при cli чайнсм dilip@elenichkuth il, умоль/ bbzlia@ лолаг o#dila(bi 6.0 имоль/д (4.5 7.8) референсный клишическому койодетву qud лабораторным тестам ll0. редакщиси tv (нода дикла ан туккойского согласпо ij рехомсидованны@ значекия nalional viiolez «5лж» educ*atiob.p)ovram aclile treatmcnt ranel 1118 23.16 о11енки риска: s mmn nlow/ril нормальные значения rubilivestv a.ru о ммоль л пограпи чшее згачеш! linxzimhuskiyar. 6k2 ммоль/ nidscokina зкачтчная zcrm рукомендованныле значсния european lerosis se оцистехи гияска! symoina(n lia 2ру цафтино лилидного obiccia #унестсрипо j e ммоле*а: триглицеридь 5ш1331! 0.9 умоль(а xo лесторин erz 1.б ммоль/л наруш@иня пригодкого граззерод если холсстерии нагу шсния липадтого 0d1419184 холес тсрин 7,8 ммольл: триглицериды wkmentrid 4*s alib, 978 ммолю700 nelialaya (lu56.0 l.fo.ul) !39 e ммоль#л чатрий (na) ммоль nido luч ul lu2 tio 1.ава хлориды 0.93 ммольл магакка диспомила лидифл яв*яется диагн(еэкузг. гражажа римяшасской 010 ill «(ppiive» подалишая ailatuk морлам*ту s*inted4anaw 426fw 20ха2жини ксл лл(сшихпи амуши 302жex fil ux )33230d344 пифиом*инись (zhen2r ов zv26 17.57 a формировання резульгатая ri(ltra_x000d_
#restales 10890110691 clix mct пессадити ufeck z7ga) сересовые леолес 777001 50134 госгр ксо 1@gcad фредотова! 17216 #j(a 20.00 тссст 03 2026 даамилия: татьягга певлову(@ i0480s 7953 д@ога 19 11м co №966 (39a@t) травэсныя le 11082 16 (4znk8608) раукд@ш((я: 22. zincx) lx@ilob4 су*ни юбплейная, дити женский 11@s: q)ffal sr@d18b l83/7vp i@goon)l 1821 gata вентхя 1дррд 19 оз 2w26 o3s4l aleate подляга rilasulux ablycparo/siina 19 оз 2026 1l:45 (81.0 98.6) обмукой)ро тухорозитру ни(люс ретикулоциты (2.8.11.8) се 211010101 дуорссциру к)шимс рятикулониты (0.l.04) взысокона уубресщиру юшис туспику лоциты (30.2.35.6) олсржашие гсмоглооина )этикулопита эа с (l.1.3.0) i)clla lil@ (ynaiimala мсма содсржанисм llb j.s р*гнику.роците!! и эритроцитах) #lixt3k malycalyypd hkaslteziya ky.rya псх e*xo nc erd600 recchackoai оссасаднык #mitili» «naipla» urintelina ипр диfгнозом. похудан лафор2/горных #мыстре chypeihnila яr пяется ny(@ala .r((00ba 20.4umbletiea, пи оржгоршиго nccelic, лабия al ql zoll «f)f» лежишами @csuutica lla@(ly викон(у nizad3 шкофорузанны. au п2шасекар. i4pa bcectorohtioro 11.57 тит ze 03 2(26 "плльнага:_x000d_
псл: жен 652612, белово, уло ленина a 41 рождения: cz 80 1966 возраст: 59 лет инз: 884937784 07 05 2026 07:30 дата ззятия образца: 05 2026 09.42 дата поступления образца: os 08 05 2026 10.43 врач: os 2026 дата псчати результата: oe единицы референсные значения исследование результой 350 мкмоль(л 150 мочевдя кислота 240 лабораторной диагностики исполкитель еременко h.b.i врач кликической исследования содержит ссылку ло страницу сайта описанием знимакие в электронном экземпляре бланка казвание исследования www.invitro. n неооходима консультация слециалиста, результаты исследований ne являются диагнозом, инвитро спбпрь лабораторией «инвитро*новосиби лавораторной андру! диагис ющий клинико" диагмостической врач клинической 8 в заводу перейти исхадный докумснт результатов тестирования леоор*торкого_x000d_
фам/лия има or4sgt#o 27 os 1966гр дат@ рождсник жен пол 13460 исследофениф пояснично крестцо оый отдел позвоночника 89 оолэсть исследоф)чиа ol 11 22г, остеохондроз: дп1 рослодофани. enjal поясничный прогчани боращ нагрузках. #1kb) вторичное первичное перик*кор( исследованио пояски це, усилива ющиеся лри физи ticckiz hamh(*e боли nputin лизацки ncu документация ag предоставлена late unonaf uwyq медицинская лордоз пр моч)кия stir ви, отд@ла поэвоночника на tl. tw пояснично крестцового сглажск, на 9ерии ось мр позвоночного томограмм столба правильная. небольшой нс равномерной l4 #s1), не дистрофические изменения вид@ l1*l2, и определяются дегенеративно m/n дисков hj уровне ll s1 (больше иб уровне области передних степени гипогидрации снижения высоты небольших крае вых остеофитов 8 меньшей суставных склеротических изменений спондилезных chd уровне ll «l2), a гипертро u фии pd вномерных позвонков :( том числе равномерной роковых углов тсл ul cl l3 sl позво nkob, небольшой не смежных углов тел l1чl2, связок hj уровн@ l1 sl задних суставов л утолщения желтых гиперинтенсивное на фасет дугоотростчатых позвонка (умеренно округлой формы i теле контурами. единичное очаговое образование диаметре, ровными, четкими t1 ви), размером около 10, о mm a до 2,0 mm t2 я м/п диска до с о мм вентрально, равномерным определяется циркулярная протрузия незначительным, 2 сегмент@ l14l незначительными краевыми остеофитами, медуллярного конфликта дорсд льно сочетании субарахноидального пространства оез признаков диско суженисм переднего (ширина смк 15 о mm): 5 о 8 сочетании с диффузная протрузия m/n диска до mm, в l3*l4 определяется задняя равкомерным сужекием переднего сегменте краевыми остеофитами, н@ большим, рон признаков дискq* незначительными фораминального отверстия обеих с10 осз субарахноидального пространства смк и 14.0 mm), медуллярного кон фликта (ширина задняя, диффузная протрузия m/n диска до 6.5 mm, @кцентом в сегменте l4*l5 определяется остеофитами, равномерным сужением едианной зоне, в сочетании с незначительными краевыми обеих субарахноидального пространства и фораминального сторон, с признаками реднего с/мозговых корешков (ширина смк 10 с mm). анния обqих диффузная протрузия м/п диска до » 0mm, с гменте l5*s1 определяется задняя, @кцентом 3 шедианной зоне справа, 3 сочетании с незначительными краевыми остеофитами с отслоением ий продольной связки, с не равномерным сужением переднего субаракноидального пространства и )инального отверстия с обеих сторон, с признаками касания правого с/мозгового корешка (ширина 11, mm). нормальной толщины, структуры, интенсивности мрасигнала конус на уровне ll a мозг обычный корешковые нити конского хвоста, последние имеют ход, mp #сигмал от них этся на уный._x000d_
фэмилиа мыла o)tvo(s 27 o8 10001 дэта to kiginal в.уг 10, пол 13409 мозга контрастным усилением мультихэнс #порестоводоводительные исследования mft головного долэсть иссасдорамиа mn 712 12 2022r. инсакулов 4)kdia обследование дата или причина o0pd lvarko первичное парвичное, горичное вибрации лсоых конечностях. моссла. ловэние беспокоит чувство kpjtwha dmptod пологоло comina ric 47pinin нет прим( структуры гм смещены. об т1, т2, flair a dwl ви срединные не серии мр томограмм нд гм определяются немногочислейны@ очаги субкортикальных отделах обоих полушарий (e зонах) участков ij размером до a о mm том числе a пери дисциркуляторного характера определяется небольшое расширение te скулярных диффузии мд dwi: ви не пери ограничением проекции базальных ядер с обсих сторон (больше слева)а пространств зирхова робина в вещества в ткаки образований 7 участков патологического накопления контрастного дополнительных определяется мозговых оболочках нс мозга 1 расширены, боковыс симметричные, ill л iv расположены по срединной линий желудочки mosra нс перивентрикулярного лейкоарайозиса 1.2 степеки. тризнаки убарахноидальное пространство не выражено, не равномерно расшарено с конвекситальной зоне на лооных теменных долей и незначительно с области ооковых щелей. базальные ровне и не расширены. миндалины мозжечка над б3о кватывающие цистерны зрительный перекрест без особенностей. гипофиз обычной рецкое седло, параселлярные структуры, чия). ворокка увеличен, mp сигнал от него равномерный (без прицельного исследу рмы, не офиза не смещена абразований в обласк( moc19, мозж@чковых углов we выявлено. ряогических чные хости асимметрично пневматизированы, без визуализации участков патологического нения мр*сигнала, всп симм@тричные не равномерное утолщение слизистой оболочки лобной и вси*вкой пазух справа л ячеек 2.0 4.0 mm (больше в осковной с наличием в ней чатого ла биринта с обеих сторон, от mm, до количества высокобелкового эксудативного компонента (пристеночно)! тительного lbl: без особенностей. кранио вертебральный переход не нарушен изменений вещества гм дисциркуляторного характера перивентрикулярная ение: мр—признаки na уровне лобных i 1.2 степени. небольшое расширение арахноидальных пространств_x000d_
</t>
  </si>
  <si>
    <t>http://vk.com/wall-118324715_646827</t>
  </si>
  <si>
    <t>25.05.2026 17:58</t>
  </si>
  <si>
    <t>Для профилактики тромбообразования, варикозной болезни нужно пить кроворазжижающие препараты, и улучшающие микроциркуляцию крови. Мне уже и тромб удаляли и флебэктомию делали, теперь курсами трентал пью</t>
  </si>
  <si>
    <t>http://vk.com/wall-213047982_46097?reply=46165</t>
  </si>
  <si>
    <t>Воронежская</t>
  </si>
  <si>
    <t>25.05.2026 17:48</t>
  </si>
  <si>
    <t>Лечение вам конечно врач назначит, моему отцу для поддержания сосудов в норме и улучшения микроциркуляции крови назначали трентал. Тоже на онемение ног жаловался</t>
  </si>
  <si>
    <t>http://vk.com/wall-64697447_2117704?reply=2117834</t>
  </si>
  <si>
    <t>Ростовская</t>
  </si>
  <si>
    <t>25.05.2026 16:00</t>
  </si>
  <si>
    <t>[id3789070|Алла Егорова], здравствуйте! Вам отвечают из Комитета по здравоохранению Санкт-Петербурга.
Понимаем, как важно получить именно тот препарат, который Вам помогает. На сегодняшний день в аптеках города есть в продаже лекарственный препарат Трентал 100мг. Для информирования граждан о наличии лекарственных препаратов в аптеках в Санкт-Петербурге существует круглосуточная фармацевтическая государственная справочная служба "Здоровье города". Вы всегда можете воспользоваться справочной службой "Здоровье города" телефон 246-11-11 и уточнить наличие лекарств на момент Вашего звонка. Справочная служба работает круглосуточно. Также для получения информации о наличии и стоимости лекарственных препаратов Вы можете использовать телефоны справочных служб аптечных сетей или Интернет-ресурсы аптечных сетей, расположенных наиболее удобно для Вас, такие как Справочная служба «ЭКМИ» (https://www.acmespb.ru/), ООО «Центр фармацевтических коммуникаций» (https://009.рф) и др
Спасибо за то, что написали нам!</t>
  </si>
  <si>
    <t>http://vk.com/wall-25882042_1065634?reply=1776552&amp;thread=1776473</t>
  </si>
  <si>
    <t>25.05.2026 14:17</t>
  </si>
  <si>
    <t>ОБЛАСТНОЕ ГОСУДАРСТВЕННОЕ БЮДЖЕТНОЕ УЧРЕЖДЕНИЕ ЗДРАВООХРАНЕНИЯ "ЖЕЛЕЗНОГОРСКАЯ РАЙОННАЯ БОЛЬНИЦА"
Мониторинг цен
Пентоксифиллин
Регион: Иркутская область
Прием заявок до: 28.05.2026, 11:00
https://zakupki.gov.ru/epz/pricereq/search/results.html?searchString=0334300008826000017</t>
  </si>
  <si>
    <t>http://vk.com/wall-236733457_17346</t>
  </si>
  <si>
    <t>25.05.2026 11:55</t>
  </si>
  <si>
    <t>Что насчёт пентоксифиллина?</t>
  </si>
  <si>
    <t>https://pikabu.ru/story/pro_varikoz_13999811?cid=393396548</t>
  </si>
  <si>
    <t>25.05.2026 11:45</t>
  </si>
  <si>
    <t>Преходящие Нарушения Мозгового Кровообращения (ПНМК) при Деменции. Случай.</t>
  </si>
  <si>
    <t>!!ВАЖНО!! Речь НЕ про ОНМК- НЕ про ОСТРЫЕ Нарушения Мозгового Кровообращения!!
То есть, НЕ про Инсульты речь.
При Инсультах вообще другой разговор- там пациент катастрофично и резко обваливается. Иногда- в прямом смысле этого слова- падает с ног и теряет сознание.
!!!ВНИМАНИЕ!!!
Информация носит ОЗНАКОМИТЕЛЬНЫЙ характер!!!
Препараты и обследования имеют свои ПОКАЗАНИЯ, ПРОТИВОПОКАЗАНИЯ и ОСОБЕННОСТИ назначения, применения и дозирования!!!
Подбор лечения и обследования- ТОЛЬКО с лечащим врачом!!!
ПНМК, в нашем практике- это когда состояние пациента значительно (но не критично) и сравнительно быстро меняется в течение дня/нескольких дней.
При этом увиденные изменения не сопровождаются изменениями Артериального Давления, Пульса, Температуры тела и прочим.
И мы все равно грешим на СОСУДИСТЫЙ компонент и почти всегда оказываемся правыми с подозреваемым.
СЛУЧАЙ.
Пациент около 85-ти лет.
Уже более пяти лет наблюдается по поводу Деменции.
Уже более пяти лет принимает ПротивоДементную терапию:
сначала это был Мемантин 10мг в сутки;
спустя 2.5 лет с начала лечения/сдерживания Деменции было установлена утрата 3 баллов по MMSE, к Мемантину 10мг в сутки прибавили Донепезил 5мг в сутки.
2. Около ПОЛУТОРА лет назад пациент критично снизился в плане активности.
Стал почти постоянно сонливым, безучастным. "Включался" только после неоднократных обращений.
Тогда я это квалифицировал как Серотониновую Недостаточность и докинул к схему Сертралин 100мг в сутки и пациент в итоге полностью восстановился в плане активности на 150мг в сутки (100мг оказалось маловато).
Курс Сертралина в плане продолжительности составил чуть более года и потом препарат постепенно снизили и вообще убрали.
3. Вроде все было ничего. Но последние ДВА месяца дочь отмечает непонятные качели:
то пациент в обычной активности;
то внезапно снова заваливается в состояние, по поводу которого назначался Сертралин: обмякший, никакущий, постоянно подремывающий.
РЕЦИДИВ? Непохоже: если рецидив Серотониновой Недостаточности- пациент должен там "посесть" почти безвылазно. В своеобразной такой тотальной нехватке энергии.
А тут, получается, то на полдня/пару дней кто-то аккумулятор из пациента вынимает- а потом возвращает обратно.
Что за дела такие?
ПРЕДПОЛОЖЕНИЕ: Преходящие Нарушения Мозгового Кровообращения.
Вроде может объяснить: чего-то там подспазмировалось из сосудов- часть мозга кровоснабжается похуже и пациент "выключается". Спазм прошел- снова мозг "в деле".
4. ПОДХОДЫ к ПНМК.
По сути можно выделить два основных:
4.1 попробовать повлиять на ПРИТОК крови к Мозгу- на Артериальное русло.
Тут Винпоцетин от 10мг в сутки + Пентоксифиллин от 200мг в сутки.
4.2 попробовать повлиять на ОТТОК крови от Мозга- на Венозное русло.
Тут стоит глянуть на приличные аналоги непонятного нынче по качеству Детралекса- Троксактив или Флебавен- от 1000мг в сутки
Пациент и дочь перебирать не хотят и желают попробовать СРАЗУ оба подхода.
Итого:
Винпоцетин 10мг два раза в день;
Пентоксифиллин 200мг два раза в день;
Флебавен/Троксактив 1000мг в сутки.
РЕЗУЛЬТАТ: провалы в плане активности дезактуализировались в течение 5-6 дней после начала сосудистой терапии.
Такая вот необычная история.
Остается открытым вопрос: проблема была в Притоке (в артериях) или Оттоке (венах)?
А как понять теперь? Сразу с двух сторон зашли (ментально развожу руками).</t>
  </si>
  <si>
    <t xml:space="preserve">Тексты с изображений_x000d_
kupuan(r co с_x000d_
</t>
  </si>
  <si>
    <t>https://teletype.in/@dominantazdorovja/4pymDcqHEnw</t>
  </si>
  <si>
    <t>25.05.2026 11:36</t>
  </si>
  <si>
    <t>#пентоксифиллин #трентал #кавинтон #винпоцетин #флебавен #троксактив #детралекс #пнмк #артерии #вены #мозг #депрессия #активность #деменция #память'</t>
  </si>
  <si>
    <t>https://www.instagram.com/p/DYv5kgyCJ9d/c/18204860104345910</t>
  </si>
  <si>
    <t>@doctor.kean / ⚒ Психиатр 🧠 Геронтопсихиатр 🛠</t>
  </si>
  <si>
    <t>25.05.2026 01:12</t>
  </si>
  <si>
    <t>Здравствуйте! подскажите пожалуйста где можно купить ТРЕНТАЛ 100мг ?? говорят что есть только 400мг, а нам нужно упаковка 60 шт по 100мг..Будем благодарны за ответ!</t>
  </si>
  <si>
    <t>http://vk.com/wall-25882042_1065634?reply=1776473</t>
  </si>
  <si>
    <t>25.05.2026 01:05</t>
  </si>
  <si>
    <t>КАКИЕ ГЕПАТОПРОТЕКТОРЫ НЕ ПУСТЫШКА
С гепатопротекторами в аптеке вечная путаница. Одни покупатели ждут от них почти чуда, другие считают, что это просто красивая коробка. Правда, как обычно, где-то посередине.
Если смотреть на данные, то препаратов с более внятной доказательной базой не так много, как кажется. Самые сильные позиции у глюкокортикостероидов, например преднизолона, но только в очень конкретной ситуации - при остром алкогольном гепатите и по назначению врача. Это точно не история для самолечения.
Есть данные по пентоксифиллину и адеметионину. По ним разговор уже предметный, хотя нюансов хватает. А вот эссенциальные фосфолипиды, метадоксин и урсодезоксихолевая кислота часто звучат в разговорах намного увереннее, чем это позволяет их доказательная база.
И тут начинается самое важное: один из самых популярных вариантов в этой группе у нас советуют совсем не за то, за что его обычно покупают...
Читайте далее без ввода пароля https://www.smartpharma.ru/publication/single/104351?utm_source=vk&amp;utm_medium=social&amp;utm_content=tipichnype 👉</t>
  </si>
  <si>
    <t>http://vk.com/wall-61570233_117048</t>
  </si>
  <si>
    <t>Бьюти</t>
  </si>
  <si>
    <t>КАКИЕ ГЕПАТОПРОТЕКТОРЫ НЕ ПУСТЫШКА С гепатопротекторами в аптеке вечная путаница. Одни покупатели ждут от них почти чуда, другие считают, что это просто красивая коробка. Правда, как обычно, где-то посередине.</t>
  </si>
  <si>
    <t>КАКИЕ ГЕПАТОПРОТЕКТОРЫ НЕ ПУСТЫШКА
С гепатопротекторами в аптеке вечная путаница. Одни покупатели ждут от них почти чуда, другие считают, что это просто красивая коробка. Правда, как обычно, где-то посередине.
Если смотреть на данные, то препаратов с более внятной доказательной базой не так много, как кажется. Самые сильные позиции у глюкокортикостероидов, например преднизолона, но только в очень конкретной ситуации - при остром алкогольном гепатите и по назначению врача. Это точно не история для самолечения.
Есть данные по пентоксифиллину и адеметионину. По ним разговор уже предметный, хотя нюансов хватает. А вот эссенциальные фосфолипиды, метадоксин и урсодезоксихолевая кислота часто звучат в разговорах намного увереннее, чем это позволяет их доказательная база.
И тут начинается самое важное: один из самых популярных вариантов в этой группе у нас советуют совсем не за то, за что его обычно покупают...
Читайте далее без ввода пароля https://www.smartpharma.ru/publication/single/104351?utm_source=ok&amp;utm_medium=social&amp;utm_content=tipichnype 👉
Первое профессиональное сообщество для сотрудников аптек «Смартфарма» объединяет в себе пользователей для обмена опытом и дружеского общения
Смартфарма — профессиональная сеть для провизоров и фармацевтов
https://www.smartpharma.ru/publication/single/104351?utm_source=ok&amp;utm_medium=social&amp;utm_content=tipichnype</t>
  </si>
  <si>
    <t>http://ok.ru/group/52171764269129/topic/158358884756297</t>
  </si>
  <si>
    <t>24.05.2026 23:29</t>
  </si>
  <si>
    <t>Все наши лекарства-а их тысячи новых и все почти плацебо.Не дурите народ.Что лучше пентаксифилин или трентал?</t>
  </si>
  <si>
    <t>http://vk.com/wall-229000699_2769?reply=4352</t>
  </si>
  <si>
    <t>24.05.2026 18:17</t>
  </si>
  <si>
    <t>Оптимизируй работу мозга: ноотропы и сосудистые препараты — must-have для конкурентоспособности. Рейтинг лучших препаратов 2026
В условиях высокой умственной нагрузки, стресса и информационного перегруза мозг работает на пределе. Чтобы сохранять ясность мышления, быструю реакцию и крепкую память, нужна дополнительная поддержка. Кто я такой, чтобы писать этот пост.
Я врач-психиатр, нарколог, врач-психотерапевт. Канд.мед. наук. Ординатура и аспирантура по психиатрии. Стаж - 50 лет. Мой опыт это тысяча благодарных пациентов.
Зачем принимать ноотропы и сосудистые препараты?
Улучшают кровообращение – больше кислорода и питательных веществ для мозга = выше продуктивность.
Повышают концентрацию внимания – легче фокусироваться на задачах без «тумана» в голове.
Улучшают кратковременную и долговременную память. Легче запоминатьи вспоминать информацию.
Ускоряют мышление – быстрее анализируешь информацию, решаешь проблемы и принимаешь решения.
Защищают нейроны – снижают вред от стресса, недосыпа и переутомления.
Рейтинг эффективности ноотропов.
(на основе доказательной медицины, клинических исследований и практического опыта)
Высокая эффективность препаратов.
1. Модафинил / Армодафинил – улучшает бодрствование, внимание, когнитивные функции (одобрен для нарколепсии, но используется off-label). В России не продается.
2. Метилфенидат (Риталин) – стимулятор ЦНС, эффективен при СДВГ, улучшает концентрацию (но рецептурный и с риском зависимости). В России не продается.
3. Пирацетам (в высоких дозах + холин) – умеренный эффект на память и обучение, особенно при когнитивных нарушениях.
4. Анирацетам – улучшает память и настроение (более сильный, чем пирацетам).
Средняя эффективность лекарств.
5. Фенибут – снижает тревожность, улучшает сон, но риск привыкания.
6. Ноопепт – улучшает память и нейропротекцию, но слабее, чем пирацетамы.
7. Семакс – пептидный препарат, улучшает внимание и память (но мало масштабных исследований).
8. Гинкго Билоба (EGb 761) – умеренное улучшение когнитивных функций при возрастных изменениях.
Низкая эффективность / Слабые доказательства.
9. Глицин – слабый эффект, возможен как вспомогательный.
10. Мелатонин – не ноотроп, но улучшает сон, что косвенно влияет на когницию.
11. Лецитин / Холин – эффективен только при дефиците.
12. Пикамилон – слабый эффект, устаревший.
Рейтинг эффективности сосудистых препаратов для мозга
(для улучшения кровообращения, микроциркуляции и нейропротекции)
Высокая эффективность
1. Винпоцетин (Кавинтон) – улучшает мозговой кровоток, используется при ишемии.
2. Циннаризин – сосудорасширяющее, но может вызывать сонливость.
3. Ницерголин – улучшает метаболизм и кровоток в мозге (но рецептурный).
4. Пентоксифиллин (Трентал) – улучшает микроциркуляцию, особенно при атеросклерозе.
Средняя эффективность
5. Гинкго Билоба (EGb 761) – мягкое улучшение кровообращения, антиоксидант.
6. Дигидроэргокриптин (Вазабрал) – комбинированный сосудистый эффект.
7. Мексидол (Эмоксипин) – антиоксидант и легкий сосудистый эффект.
Низкая эффективность / Слабые доказательства
8. Актовегин – популярен, но мало качественных исследований.
9. Церебролизин – спорная эффективность, применяется в неврологии.
10. Пирацетам – слабый сосудистый эффект, больше ноотропный.
Вывод:
- Лучшие ноотропы: Модафинил, Метилфенидат, Анирацетам.
- Лучшие сосудистые: Винпоцетин, Циннаризин, Ницерголин.
Важно: Эффективность зависит от диагноза (например, при деменции – одни препараты, при СДВГ – другие). Перед применением – консультация врача!
Мозг — самый сложный орган, и желание улучшить его работу естественно. Но в погоне за «суперфокусом» и «прокачкой памяти» многие начинают без разбора принимать ноотропы и сосудистые препараты, надеясь на мгновенный эффект.
Почему это опасно?
1. Эффект плацебо vs реальное действие.
Многие популярные ноотропы (например, глицин, некоторые рацетамы) имеют слабую доказательную базу. Их эффект часто субъективен или объясняется самовнушением.
2. Неизученные долгосрочные последствия.
Даже относительно безопасные вещества (как фенибут или модафинил) при бесконтрольном приеме могут вызывать зависимость, толерантность или побочные эффекты.
3. Индивидуальная биохимия.
То, что помогло одному, может навредить другому. Например, стимуляторы (метилфенидат) полезны при СДВГ, но у здорового человека могут вызвать тревожность и истощение.
Поэтому врачу приходится персонально подбирать препарат и его дозировку для оптимального эффекта.
4. Маскировка проблем.
Усталость, плохая память и низкая продуктивность часто связаны не с «плохой работой мозга», а с:
- недосыпом,
- стрессом,
- дефицитом витаминов (B12, D, магния),
- гормональными нарушениями (щитовидка, инсулин).
- ряд соматических заболеваний: гипертоническая болезнь и другие.
- черепно-мозговые травмы.
Как применять ноотропы и сосудистые препараты правильно?
✅ Диагностика перед лечением
- Анализы (витамины, гормоны, глюкоза).
- МРТ/УЗИ сосудов (если подозрение на нарушение кровотока).
- Консультация невролога или психиатра.
✅ Доказательные препараты в адекватных дозировках
- При когнитивных нарушениях: пирацетам + холин, мемантин (при деменции).
- Для концентрации внимания: модафинил (только по показаниям), L-теанин + кофеин.
- Для кровообращения: винпоцетин, гинкго билоба (если нет противопоказаний).
✅ Комплексный подход
- Сон 7–9 часов.
- Физическая активность (улучшает нейрогенез).
- Когнитивные тренировки (чтение, изучение языков).
- Баланс БЖУ, Омега-3, антиоксиданты.
Заключение.
Ноотропы и сосудистые препараты — не «волшебные таблетки», а инструменты, которые работают только в руках знающего человека. Без диагностики, контроля врача и здорового образа жизни они могут принести больше вреда, чем пользы.
Если у вас есть опыт применения ноотропов — делитесь в комментариях (только без мифологии!). Какие препараты вам действительно помогли?
Посмотрела на исторический документ глазами современного мира, так сказать))
С одной стороны, радует единство народа, за плечами наших предков, 1 мировая война , революция, голод, гражданская война и снова голод, восстановление страны буквально на одном энтузиазме, вспоминаем фильм " Коммунист " или " Как закалялась сталь" 🙏🔥
А затем пришла Великая Отечественная Война 😢
И снова русский российский , вернее СОВЕТский народ не только выжил, встал, оправился от горя и стал строить Великую Державу справедливого миропорядка!
И ведь построил.
До сих пор мир, не только Россия и бывшие страны великого СССР, держится на том, что построили и создали наши предшественники.
Наши деды и прадеды, наши родители 🙏
Мой папа например строил целину и за это имел кучу медалей!)
Про дедушек и бабушек же.
Папин отец погиб на войне, скорее всего под Москвой.
А мамин папа воевал, был председателем колхоза, директором школы и даже годик отсидел, в 1946 году.
Кажется на него сосед настучал, так как он сам то ли мешок пшеницы украл, то ли несколько колосьев.
А вот няняюшка, мама мой мамочки, вот ей досталась очень горькая судьба.
Первая комсомолка на селе, окончившая рабфак, всю жизнь проработала учителем.
Хорошим учителем. Осталась одна с 4 детьми, пятый умер буквально через годик.
В общем пришлось хлебнуть столько горя, наверное как и большинству наших с вами бабушек и прабабушек.
А еще очень очень очень много труда.
И они все справились.
Построили первую и надеюсь не последнюю в мире величайшую страну , где так вольно дышит человек ‼️🌹🐝
Самый обыкновенный и великий человек, который звучит гордо!
💯
Который не только выиграл одну из самых страшнейших и бесчеловечных войн на планете Земля 🌐, но повторюсь, осуществил величайшую мечту всех времён и народов, построил на костях, крови, страданий, энтузиазме, а также вдохновляющей радости- страну , где каждый человек был человеку Брат. Товарищ. Друг.
...
Да, к сожалению не хватило опыта, не хватило духа , знаний и главное веры, чтобы закрепить фундамент...
Но кто мы такие, чтобы осуждать того же Сталина и всех тех, кто искренне верил, что зло в нас можно искоренить, стоит только убрать его с глаз долой, расстрелять, отправить в ссылку, и тп и тд.
Вот например, в США вернули на федеральном уровне смертную казнь.
И казнят не задумываясь, затем выясняется, что не тех.
Но‼️‼️‼️
Американцы при этом твёрдо верят , что их страна самая правильная и даже праведная, раз до сих пор учат уму разуму Россию , которая однажды за 10 дней потрясла мир!) 🔥
..
А ведь по правде, по чести и совести - это Россия должна обучать и доказывать своим примером , куда должен стремиться мир и в том числе США)!😇
Только вначале Русь, русский мир сам обязан ‼️вспомнить всё!
Свою миссию , возложенную Богом, ну или Богами( я за православных христиан и православных родноверцев😎♥️).
Хотя до сих пор ничего лучшего, чем #РозаМира Даниила Андреева, одного из самых великих сынов Человечества, не приходит на ум.)😇
Миссию праведности , чести, достоинства, ну или как мой драгоценный муж 🙏♥️ зрит,- миссию человека благородного.
Человека из благого рода!
А наши деды и прадеды, наши прабабушки и бабушки, которые построили такую страну, выиграли такую войну, а затем снова , кровью и потом воссоздали из руин и полетели в Космос- они все из благого рода!!!
Все до единого 🙏‼️
Вечная Память и Слава нашим предкам!!!
...
Ну и немного про Иосифа Виссарионовича Сталина и его культ личности) 😇
И про Владимира Владимировича Путина🤝
Владимир Владимирович Путин не то что не требует, а категорически против, чтобы его портреты носили на руках.
Он скромен.
Иосиф Виссарионович Сталин, напротив даже поощерял не только ношение портретов, но и всю мистерию превозношения.
И при этом‼
️‼️‼️
В быту Сталин был очень и очень аскетичен.
Понимаете об чём это я🤔😌))
..
Правильно, Иосиф Виссарионович был если не глубоким метафизиком или Волхвом, но точно ведал психологию человеческой натуры.
По крайней мере азы оккультной науки, а вся психология, социология и в принципе наука, корнями из оккультизма)), и это Сталин хорошо знал.
И дозволял, осознанно‼️, все эти мистерии с портретом и обожанием.
Да и энергия любви более созидательна, чем энергия страха.
Хотя страх мистический он также контролировал !
И думается умело манипулировал, понимая отлично, Владимир Владимирович Путин, что обычно к власти прорываются либо асуры( демоны высшего порядка, ну или полубоги😉, или совсем уже бесы)! Если демоны, то есть асуры или напротив мирские сансарные боги, то это в принципе не беда)
Беда там, где к власти приходят бесы. Жадные, алчные, глупые бесы.
Кстати демоны асуры высшего порядка, они разумны и им свойственны таким качества как чувство долга, ответственность и справедливость, в их понимании, разумеется .
Поэтому, иногда за справедливостью люди идут к бандитам, чем к официальным законникам.
Потому что, бандиты как раз могут быть демонами из высших, а вот законники могут быть разные, в том числе мелкие бесы..
Но это несколько иная история, хотя полезно это знать, в том числе и Вам, драгоценный Владимир Владимирович Путин 😎🙏
Возвращаясь к личности Сталина, я всё ж соглашаюсь с папой сейчас)
Мое первое впечатление о Сталине было очень отрицательное, в отличии от папы, который обожал и обожествлял Сталина, как и весь простой народ, прошедший через ады лихих и тяжёлых времён.
И знающий не из книг, что такое хорошо, а что такое очень плохо.
Я же, прочитав в 4 классе книги Константина Симонова " Живые и мёртвые " была впечатлена жестокостью вождя всех народов 😢
А я всегда умела читать между строк.
И заявила об этом папочке)).
На что он меня назвал скороспелкой и ничего не понимающей..
..
Сейчас мой любимый любимый любимый♥️🙏♥️ папочка , я дозрела до осознания роли Сталина , его великой миссии , как впрочем и Ленина!))🙏🔥♥️
Как вы знаете, в буддизме есть 4 вида активности бодхисатв!
1 - примирение!
2- преувеличение, преумножение, то есть грубо говоря подкуп)))
Этими качествами хорошо обладает Владимир Владимирович #Путин !
А вот остальные два...
3) - усмирение, то есть подчинение
И главное‼️
4 ая активность бодхисатв
Это - освобождение !
Освобождение глубоко несчастных существ, а существа, которые мучают людей, убивают, поднося Гаввах через страдания запредельным сущностям😈 - они все глубоко несчастны , не так ли?
4 ая активность- это Высший акт милосердия!
4 ая активность бодхисаттв - уничтожает.. заблудших душ во благо всех живых существ 🙏🐝.
Повторюсь, не из ненависти, а из голубиного сострадания и милости сердца!
Не знаю, насколько Сталин сострадал , но то что иногда нужно пройти и через это, думаю, знал.
..
Да, конечно лес рубят, щепки летят и возможно много невинных и бессмысленных с точки зрения относительной истины, полегло в борьбе за лучшее будущее.
...
Но не мне, папочка, судить Сталина и всех тех, кто однажды построил Великую Страну всех времён и народов!!!!♥️🤝🔥🌹
...
С праздником, друзья товарищи, братья и сестры!!!
Миру мир, а труд однажды превратил из обезьяны в человека, который звучит гордо‼️🙏🌹🔥
УРааа ! у РА-а-а и урррааа) 🥳</t>
  </si>
  <si>
    <t>https://www.facebook.com/27121093024168059</t>
  </si>
  <si>
    <t>Репост</t>
  </si>
  <si>
    <t>24.05.2026 17:56</t>
  </si>
  <si>
    <t>Оптимизируй работу мозга: ноотропы и сосудистые препараты — must-have для конкурентоспособности. Рейтинг лучших препаратов 2026
В условиях высокой умственной нагрузки, стресса и информационного перегруза мозг работает на пределе. Чтобы сохранять ясность мышления, быструю реакцию и крепкую память, нужна дополнительная поддержка. Кто я такой, чтобы писать этот пост.
Я врач-психиатр, нарколог, врач-психотерапевт. Канд.мед. наук. Ординатура и аспирантура по психиатрии. Стаж - 50 лет. Мой опыт это тысяча благодарных пациентов.
Зачем принимать ноотропы и сосудистые препараты?
Улучшают кровообращение – больше кислорода и питательных веществ для мозга = выше продуктивность.
Повышают концентрацию внимания – легче фокусироваться на задачах без «тумана» в голове.
Улучшают кратковременную и долговременную память. Легче запоминатьи вспоминать информацию.
Ускоряют мышление – быстрее анализируешь информацию, решаешь проблемы и принимаешь решения.
Защищают нейроны – снижают вред от стресса, недосыпа и переутомления.
Рейтинг эффективности ноотропов.
(на основе доказательной медицины, клинических исследований и практического опыта)
Высокая эффективность препаратов.
1. Модафинил / Армодафинил – улучшает бодрствование, внимание, когнитивные функции (одобрен для нарколепсии, но используется off-label). В России не продается.
2. Метилфенидат (Риталин) – стимулятор ЦНС, эффективен при СДВГ, улучшает концентрацию (но рецептурный и с риском зависимости). В России не продается.
3. Пирацетам (в высоких дозах + холин) – умеренный эффект на память и обучение, особенно при когнитивных нарушениях.
4. Анирацетам – улучшает память и настроение (более сильный, чем пирацетам).
Средняя эффективность лекарств.
5. Фенибут – снижает тревожность, улучшает сон, но риск привыкания.
6. Ноопепт – улучшает память и нейропротекцию, но слабее, чем пирацетамы.
7. Семакс – пептидный препарат, улучшает внимание и память (но мало масштабных исследований).
8. Гинкго Билоба (EGb 761) – умеренное улучшение когнитивных функций при возрастных изменениях.
Низкая эффективность / Слабые доказательства.
9. Глицин – слабый эффект, возможен как вспомогательный.
10. Мелатонин – не ноотроп, но улучшает сон, что косвенно влияет на когницию.
11. Лецитин / Холин – эффективен только при дефиците.
12. Пикамилон – слабый эффект, устаревший.
Рейтинг эффективности сосудистых препаратов для мозга
(для улучшения кровообращения, микроциркуляции и нейропротекции)
Высокая эффективность
1. Винпоцетин (Кавинтон) – улучшает мозговой кровоток, используется при ишемии.
2. Циннаризин – сосудорасширяющее, но может вызывать сонливость.
3. Ницерголин – улучшает метаболизм и кровоток в мозге (но рецептурный).
4. Пентоксифиллин (Трентал) – улучшает микроциркуляцию, особенно при атеросклерозе.
Средняя эффективность
5. Гинкго Билоба (EGb 761) – мягкое улучшение кровообращения, антиоксидант.
6. Дигидроэргокриптин (Вазабрал) – комбинированный сосудистый эффект.
7. Мексидол (Эмоксипин) – антиоксидант и легкий сосудистый эффект.
Низкая эффективность / Слабые доказательства
8. Актовегин – популярен, но мало качественных исследований.
9. Церебролизин – спорная эффективность, применяется в неврологии.
10. Пирацетам – слабый сосудистый эффект, больше ноотропный.
Вывод:
- Лучшие ноотропы: Модафинил, Метилфенидат, Анирацетам.
- Лучшие сосудистые: Винпоцетин, Циннаризин, Ницерголин.
Важно: Эффективность зависит от диагноза (например, при деменции – одни препараты, при СДВГ – другие). Перед применением – консультация врача!
Мозг — самый сложный орган, и желание улучшить его работу естественно. Но в погоне за «суперфокусом» и «прокачкой памяти» многие начинают без разбора принимать ноотропы и сосудистые препараты, надеясь на мгновенный эффект.
Почему это опасно?
1. Эффект плацебо vs реальное действие.
Многие популярные ноотропы (например, глицин, некоторые рацетамы) имеют слабую доказательную базу. Их эффект часто субъективен или объясняется самовнушением.
2. Неизученные долгосрочные последствия.
Даже относительно безопасные вещества (как фенибут или модафинил) при бесконтрольном приеме могут вызывать зависимость, толерантность или побочные эффекты.
3. Индивидуальная биохимия.
То, что помогло одному, может навредить другому. Например, стимуляторы (метилфенидат) полезны при СДВГ, но у здорового человека могут вызвать тревожность и истощение.
Поэтому врачу приходится персонально подбирать препарат и его дозировку для оптимального эффекта.
4. Маскировка проблем.
Усталость, плохая память и низкая продуктивность часто связаны не с «плохой работой мозга», а с:
- недосыпом,
- стрессом,
- дефицитом витаминов (B12, D, магния),
- гормональными нарушениями (щитовидка, инсулин).
- ряд соматических заболеваний: гипертоническая болезнь и другие.
- черепно-мозговые травмы.
Как применять ноотропы и сосудистые препараты правильно?
✅ Диагностика перед лечением
- Анализы (витамины, гормоны, глюкоза).
- МРТ/УЗИ сосудов (если подозрение на нарушение кровотока).
- Консультация невролога или психиатра.
✅ Доказательные препараты в адекватных дозировках
- При когнитивных нарушениях: пирацетам + холин, мемантин (при деменции).
- Для концентрации внимания: модафинил (только по показаниям), L-теанин + кофеин.
- Для кровообращения: винпоцетин, гинкго билоба (если нет противопоказаний).
✅ Комплексный подход
- Сон 7–9 часов.
- Физическая активность (улучшает нейрогенез).
- Когнитивные тренировки (чтение, изучение языков).
- Баланс БЖУ, Омега-3, антиоксиданты.
Заключение.
Ноотропы и сосудистые препараты — не «волшебные таблетки», а инструменты, которые работают только в руках знающего человека. Без диагностики, контроля врача и здорового образа жизни они могут принести больше вреда, чем пользы.
Если у вас есть опыт применения ноотропов — делитесь в комментариях (только без мифологии!). Какие препараты вам действительно помогли?
Вот что просил передать всем разжигателям войн мой знакомый герой мультфильма</t>
  </si>
  <si>
    <t>https://www.facebook.com/27354609880824271</t>
  </si>
  <si>
    <t>24.05.2026 17:42</t>
  </si>
  <si>
    <t>С 13 апреля хожу никак не могу разработать сустав тоже не гнется,когда много хожу пятка болит.Со вчерашнего дня начала массаж не знаю что будет дальше.Занимаюсь самолечением конечно принимаю пентоксифиллин и нейромидин и начала через день сама себе делать мукосат инъекции.</t>
  </si>
  <si>
    <t>http://vk.com/wall-15967739_196586?reply=196628</t>
  </si>
  <si>
    <t>24.05.2026 17:29</t>
  </si>
  <si>
    <t>Девочки, невролог назначил от головокружения: бетагистин, пентоксифилин, мексидол на 30 дней, пропила неделю, ещë хуже стало и доктор ушëл в отпуск. Не знаю, как быть. Сама я с области, невролог один в городе. Идти к терапевту? Может у кого были головокружения, подскажите?
Подпишись на ЖР https://t.me/+_alHZ7wRGcpmOWYy</t>
  </si>
  <si>
    <t>https://telegram.me/c/2214211507/9290</t>
  </si>
  <si>
    <t>https://telegram.me/2214211507</t>
  </si>
  <si>
    <t>24.05.2026 14:17</t>
  </si>
  <si>
    <t>Пульмонолога у нас нет в городе, ездила на прием в республиканскую поликлинику. Там доктор лечит по протоколу, сначала пентоксифиллин, вит Е. После них были побочки, я не стала их принимать. После очередного КТ с отрицательной динамикой, назначила Метотрексат 15 мг. Я его не пью. Читала здесь в группе , что Метотрексат начинали принимать в стационаре, с меньшей дозы,под наблюдением врача. Буду делать новое КТ, смотреть динамику. Витамины , Бады не пью.</t>
  </si>
  <si>
    <t>http://vk.com/wall-17990792_94638?reply=94700&amp;thread=94639</t>
  </si>
  <si>
    <t>24.05.2026 13:03</t>
  </si>
  <si>
    <t>КАКИЕ ГЕПАТОПРОТЕКТОРЫ НЕ ПУСТЫШКА
С гепатопротекторами в аптеке вечная путаница. Одни покупатели ждут от них почти чуда, другие считают, что это просто красивая коробка. Правда, как обычно, где-то посередине.
Если смотреть на данные, то препаратов с более внятной доказательной базой не так много, как кажется. Самые сильные позиции у глюкокортикостероидов, например преднизолона, но только в очень конкретной ситуации - при остром алкогольном гепатите и по назначению врача. Это точно не история для самолечения.
Есть данные по пентоксифиллину и адеметионину. По ним разговор уже предметный, хотя нюансов хватает. А вот эссенциальные фосфолипиды, метадоксин и урсодезоксихолевая кислота часто звучат в разговорах намного увереннее, чем это позволяет их доказательная база.
И тут начинается самое важное: один из самых популярных вариантов в этой группе у нас советуют совсем не за то, за что его обычно покупают...
Читайте далее без ввода пароля https://www.smartpharma.ru/publication/single/104351?utm_source=vk&amp;utm_medium=social&amp;utm_content=smartpharma 👉</t>
  </si>
  <si>
    <t>http://vk.com/wall-35402404_92772</t>
  </si>
  <si>
    <t>24.05.2026 13:02</t>
  </si>
  <si>
    <t>КАКИЕ ГЕПАТОПРОТЕКТОРЫ НЕ ПУСТЫШКА
С гепатопротекторами в аптеке вечная путаница. Одни покупатели ждут от них почти чуда, другие считают, что это просто красивая коробка. Правда, как обычно, где-то посередине.
Если смотреть на данные, то препаратов с более внятной доказательной базой не так много, как кажется. Самые сильные позиции у глюкокортикостероидов, например преднизолона, но только в очень конкретной ситуации - при остром алкогольном гепатите и по назначению врача. Это точно не история для самолечения.
Есть данные по пентоксифиллину и адеметионину. По ним разговор уже предметный, хотя нюансов хватает. А вот эссенциальные фосфолипиды, метадоксин и урсодезоксихолевая кислота часто звучат в разговорах намного увереннее, чем это позволяет их доказательная база.
И тут начинается самое важное: один из самых популярных вариантов в этой группе у нас советуют совсем не за то, за что его обычно покупают...
Читайте далее без ввода пароля https://www.smartpharma.ru/publication/single/104351?utm_source=ok&amp;utm_medium=social&amp;utm_content=smartpharma 👉
Первое профессиональное сообщество для сотрудников аптек «Смартфарма» объединяет в себе пользователей для обмена опытом и дружеского общения
Смартфарма — профессиональная сеть для провизоров и фармацевтов
https://www.smartpharma.ru/publication/single/104351?utm_source=ok&amp;utm_medium=social&amp;utm_content=smartpharma</t>
  </si>
  <si>
    <t>http://ok.ru/group/52161146519625/topic/158358191778633</t>
  </si>
  <si>
    <t>24.05.2026 02:09</t>
  </si>
  <si>
    <t>Слив крови и сразу после этой процедуры в другую руку такой же объём раствора глюкозы. На протяжении недели 35мл/1кг веса тела, из этого объёма 1л жидкости должен быть раствором регидрона. Дальше наттокиназа, серрапептаза, пентоксифиллин - это не сильно снизит гематокрит, но даст время пока вода и кардио снизят его</t>
  </si>
  <si>
    <t>https://telegram.me/d04a_chat/710147</t>
  </si>
  <si>
    <t>https://telegram.me/d04a_chat</t>
  </si>
  <si>
    <t>24.05.2026 02:00</t>
  </si>
  <si>
    <t>Ничего не помогает.систему 5 шт. Эуфеллин делаю.чередуя с тренталом.</t>
  </si>
  <si>
    <t>https://www.instagram.com/p/DYp8V1PM1yM/c/18211921429335132</t>
  </si>
  <si>
    <t>@pigasovanina / нина</t>
  </si>
  <si>
    <t>@doctor.eni / Владимир Самуэлевич "doctor.eni"</t>
  </si>
  <si>
    <t>24.05.2026 01:18</t>
  </si>
  <si>
    <t>У пентоксифилина много побочек и вам не следует так просто рекомендовать его к применению. А то потом, Ваша хата с краю 😂</t>
  </si>
  <si>
    <t>https://www.instagram.com/p/DYrJF4jCM5x/c/18083717720563188</t>
  </si>
  <si>
    <t>@svetik_kiss_13 / ❤️💚❤️💚❤️💚❤️</t>
  </si>
  <si>
    <t>@pavel_chukhnov / МУЖСКОЕ ЗДОРОВЬЕ ТАЗОВОЕ ДНО | ЛИБИДО</t>
  </si>
  <si>
    <t>23.05.2026 21:48</t>
  </si>
  <si>
    <t>Оптимизируй работу мозга: ноотропы и сосудистые препараты — must-have для конкурентоспособности. Рейтинг лучших препаратов 2026
В условиях высокой умственной нагрузки, стресса и информационного перегруза мозг работает на пределе. Чтобы сохранять ясность мышления, быструю реакцию и крепкую память, нужна дополнительная поддержка. Кто я такой, чтобы писать этот пост.
Я врач-психиатр, нарколог, врач-психотерапевт. Канд.мед. наук. Ординатура и аспирантура по психиатрии. Стаж - 50 лет. Мой опыт это тысяча благодарных пациентов.
Зачем принимать ноотропы и сосудистые препараты?
Улучшают кровообращение – больше кислорода и питательных веществ для мозга = выше продуктивность.
Повышают концентрацию внимания – легче фокусироваться на задачах без «тумана» в голове.
Улучшают кратковременную и долговременную память. Легче запоминатьи вспоминать информацию.
Ускоряют мышление – быстрее анализируешь информацию, решаешь проблемы и принимаешь решения.
Защищают нейроны – снижают вред от стресса, недосыпа и переутомления.
Рейтинг эффективности ноотропов.
(на основе доказательной медицины, клинических исследований и практического опыта)
Высокая эффективность препаратов.
1. Модафинил / Армодафинил – улучшает бодрствование, внимание, когнитивные функции (одобрен для нарколепсии, но используется off-label). В России не продается.
2. Метилфенидат (Риталин) – стимулятор ЦНС, эффективен при СДВГ, улучшает концентрацию (но рецептурный и с риском зависимости). В России не продается.
3. Пирацетам (в высоких дозах + холин) – умеренный эффект на память и обучение, особенно при когнитивных нарушениях.
4. Анирацетам – улучшает память и настроение (более сильный, чем пирацетам).
Средняя эффективность лекарств.
5. Фенибут – снижает тревожность, улучшает сон, но риск привыкания.
6. Ноопепт – улучшает память и нейропротекцию, но слабее, чем пирацетамы.
7. Семакс – пептидный препарат, улучшает внимание и память (но мало масштабных исследований).
8. Гинкго Билоба (EGb 761) – умеренное улучшение когнитивных функций при возрастных изменениях.
Низкая эффективность / Слабые доказательства.
9. Глицин – слабый эффект, возможен как вспомогательный.
10. Мелатонин – не ноотроп, но улучшает сон, что косвенно влияет на когницию.
11. Лецитин / Холин – эффективен только при дефиците.
12. Пикамилон – слабый эффект, устаревший.
Рейтинг эффективности сосудистых препаратов для мозга
(для улучшения кровообращения, микроциркуляции и нейропротекции)
Высокая эффективность
1. Винпоцетин (Кавинтон) – улучшает мозговой кровоток, используется при ишемии.
2. Циннаризин – сосудорасширяющее, но может вызывать сонливость.
3. Ницерголин – улучшает метаболизм и кровоток в мозге (но рецептурный).
4. Пентоксифиллин (Трентал) – улучшает микроциркуляцию, особенно при атеросклерозе.
Средняя эффективность
5. Гинкго Билоба (EGb 761) – мягкое улучшение кровообращения, антиоксидант.
6. Дигидроэргокриптин (Вазабрал) – комбинированный сосудистый эффект.
7. Мексидол (Эмоксипин) – антиоксидант и легкий сосудистый эффект.
Низкая эффективность / Слабые доказательства
8. Актовегин – популярен, но мало качественных исследований.
9. Церебролизин – спорная эффективность, применяется в неврологии.
10. Пирацетам – слабый сосудистый эффект, больше ноотропный.
Вывод:
- Лучшие ноотропы: Модафинил, Метилфенидат, Анирацетам.
- Лучшие сосудистые: Винпоцетин, Циннаризин, Ницерголин.
Важно: Эффективность зависит от диагноза (например, при деменции – одни препараты, при СДВГ – другие). Перед применением – консультация врача!
Мозг — самый сложный орган, и желание улучшить его работу естественно. Но в погоне за «суперфокусом» и «прокачкой памяти» многие начинают без разбора принимать ноотропы и сосудистые препараты, надеясь на мгновенный эффект.
Почему это опасно?
1. Эффект плацебо vs реальное действие.
Многие популярные ноотропы (например, глицин, некоторые рацетамы) имеют слабую доказательную базу. Их эффект часто субъективен или объясняется самовнушением.
2. Неизученные долгосрочные последствия.
Даже относительно безопасные вещества (как фенибут или модафинил) при бесконтрольном приеме могут вызывать зависимость, толерантность или побочные эффекты.
3. Индивидуальная биохимия.
То, что помогло одному, может навредить другому. Например, стимуляторы (метилфенидат) полезны при СДВГ, но у здорового человека могут вызвать тревожность и истощение.
Поэтому врачу приходится персонально подбирать препарат и его дозировку для оптимального эффекта.
4. Маскировка проблем.
Усталость, плохая память и низкая продуктивность часто связаны не с «плохой работой мозга», а с:
- недосыпом,
- стрессом,
- дефицитом витаминов (B12, D, магния),
- гормональными нарушениями (щитовидка, инсулин).
- ряд соматических заболеваний: гипертоническая болезнь и другие.
- черепно-мозговые травмы.
Как применять ноотропы и сосудистые препараты правильно?
✅ Диагностика перед лечением
- Анализы (витамины, гормоны, глюкоза).
- МРТ/УЗИ сосудов (если подозрение на нарушение кровотока).
- Консультация невролога или психиатра.
✅ Доказательные препараты в адекватных дозировках
- При когнитивных нарушениях: пирацетам + холин, мемантин (при деменции).
- Для концентрации внимания: модафинил (только по показаниям), L-теанин + кофеин.
- Для кровообращения: винпоцетин, гинкго билоба (если нет противопоказаний).
✅ Комплексный подход
- Сон 7–9 часов.
- Физическая активность (улучшает нейрогенез).
- Когнитивные тренировки (чтение, изучение языков).
- Баланс БЖУ, Омега-3, антиоксиданты.
Заключение.
Ноотропы и сосудистые препараты — не «волшебные таблетки», а инструменты, которые работают только в руках знающего человека. Без диагностики, контроля врача и здорового образа жизни они могут принести больше вреда, чем пользы.
Если у вас есть опыт применения ноотропов — делитесь в комментариях (только без мифологии!). Какие препараты вам действительно помогли?</t>
  </si>
  <si>
    <t>https://www.facebook.com/26942006132119644</t>
  </si>
  <si>
    <t>23.05.2026 20:24</t>
  </si>
  <si>
    <t>https://www.facebook.com/35983682207942218</t>
  </si>
  <si>
    <t>Одесская</t>
  </si>
  <si>
    <t>23.05.2026 20:01</t>
  </si>
  <si>
    <t>[id234855093|Екатерина], Вам нужно потребовать, что нуждаетесь в госпитализации. В стационаре могут и обострение снять, попробовать другую базу. Вместо преднизолона попробовать метипред попринимать. Капельницы с пентоксифиллином или с другим каким-нибудь препаратом поделать, на физио походите, на массаж. Требуйте. На мой характер, я бы всех уже на уши поставила 😂</t>
  </si>
  <si>
    <t>http://vk.com/wall-177710119_194780?reply=195003&amp;thread=194782</t>
  </si>
  <si>
    <t>23.05.2026 19:09</t>
  </si>
  <si>
    <t>https://www.facebook.com/26969656152674030</t>
  </si>
  <si>
    <t>23.05.2026 18:29</t>
  </si>
  <si>
    <t>Добрый день. Дедушке 90 лет, в ноябре прошел правосторонний ишимический инсульт. Лежал в неврологии.Периодически держится высокое давление. давление на190 х 88х 66,сбиваем в том числе горячей ванной для ног , уколы магнезия 5- 10 мл и ампула ношпы раздельно. В экстренных ситуациях Моксонидин 0,4 мг 1 таб. Под язык . Принимал все в соответствии с выпиской. Сейчас Трентал 400 1 таб в сутки , метостабил 125 мг по 2 табл 3 раза, спиронолактон 1 раз 25 мг. Утром гепотиазид 25мг. Последние дни в первой половине дня давление очень низкое 90/46/пульс 43. Через несколько часов давление 170/70/пульс 57. Резкие скачки.</t>
  </si>
  <si>
    <t>Новгородская</t>
  </si>
  <si>
    <t>23.05.2026 15:17</t>
  </si>
  <si>
    <t>кровообращение малый таз, эрекция и сосуды, тестостерон в норме эрекция слабая, пентоксифиллин для сосудов, упражнения Кегеля мужчины, ягодичный мостик тазовое дно, эректильная дисфункция сосудистая, оксид азота эрекция, батя по зож, мужской клуб, 30 тренировок тазовое дно, мужское здоровье после 35, доказательная медицина</t>
  </si>
  <si>
    <t>https://www.instagram.com/p/DYrJF4jCM5x/c/18088664735525519</t>
  </si>
  <si>
    <t>23.05.2026 13:18</t>
  </si>
  <si>
    <t>Если высокий гематокрит то электроцитлфорез. Если привышение небольшое то пентоксифилин, кардио, пить воды больше, слив крови</t>
  </si>
  <si>
    <t>https://telegram.me/c/1572358258/3503</t>
  </si>
  <si>
    <t>https://telegram.me/airpumpservice</t>
  </si>
  <si>
    <t>https://telegram.me/1572358258</t>
  </si>
  <si>
    <t>23.05.2026 12:53</t>
  </si>
  <si>
    <t>https://www.facebook.com/10162493280336574</t>
  </si>
  <si>
    <t>Гродненская</t>
  </si>
  <si>
    <t>23.05.2026 12:26</t>
  </si>
  <si>
    <t>https://www.facebook.com/26846825188345304</t>
  </si>
  <si>
    <t>23.05.2026 11:48</t>
  </si>
  <si>
    <t>Оптимизируй работу мозга: ноотропы и сосудистые препараты — must-have для конкурентоспособности. Рейтинг лучших препаратов 2026</t>
  </si>
  <si>
    <t>Оптимизируй работу мозга: ноотропы и сосудистые препараты — must-have для конкурентоспособности. Рейтинг лучших препаратов
В условиях высокой умственной нагрузки, стресса и информационного перегруза мозг работает на пределе. Чтобы сохранять ясность мышления, быструю реакцию и крепкую память, нужна дополнительная поддержка.
Зачем принимать ноотропы и сосудистые препараты?
Улучшают кровообращение – больше кислорода и питательных веществ для мозга = выше продуктивность.
Повышают концентрацию внимания – легче фокусироваться на задачах без «тумана» в голове.
Улучшают кратковременную и долговременную память. Легче запоминатьи вспоминать информацию.
Ускоряют мышление – быстрее анализируешь информацию, решаешь проблемы и принимаешь решения.
Защищают нейроны – снижают вред от стресса, недосыпа и переутомления.
Рейтинг эффективности ноотропов
(на основе доказательной медицины, клинических исследований и практического опыта)
Высокая эффективность
1. Модафинил / Армодафинил – улучшает бодрствование, внимание, когнитивные функции (одобрен для нарколепсии, но используется off-label). В России не продается.
2. Метилфенидат (Риталин) – стимулятор ЦНС, эффективен при СДВГ, улучшает концентрацию (но рецептурный и с риском зависимости). В России не продается.
3. Пирацетам (в высоких дозах + холин) – умеренный эффект на память и обучение, особенно при когнитивных нарушениях.
4. Анирацетам – улучшает память и настроение (более сильный, чем пирацетам).
Средняя эффективность
5. Фенибут – снижает тревожность, улучшает сон, но риск привыкания.
6. Ноопепт – улучшает память и нейропротекцию, но слабее, чем пирацетамы.
7. Семакс – пептидный препарат, улучшает внимание и память (но мало масштабных исследований).
8. Гинкго Билоба (EGb 761) – умеренное улучшение когнитивных функций при возрастных изменениях.
Низкая эффективность / Слабые доказательства
9. Глицин – слабый эффект, возможен как вспомогательный.
10. Мелатонин – не ноотроп, но улучшает сон, что косвенно влияет на когницию.
11. Лецитин / Холин – эффективен только при дефиците.
12. Пикамилон – слабый эффект, устаревший.
Рейтинг эффективности сосудистых препаратов для мозга
(для улучшения кровообращения, микроциркуляции и нейропротекции)
Высокая эффективность
1. Винпоцетин (Кавинтон) – улучшает мозговой кровоток, используется при ишемии.
2. Циннаризин – сосудорасширяющее, но может вызывать сонливость.
3. Ницерголин – улучшает метаболизм и кровоток в мозге (но рецептурный).
4. Пентоксифиллин (Трентал) – улучшает микроциркуляцию, особенно при атеросклерозе.
Средняя эффективность
5. Гинкго Билоба (EGb 761) – мягкое улучшение кровообращения, антиоксидант.
6. Дигидроэргокриптин (Вазабрал) – комбинированный сосудистый эффект.
7. Мексидол (Эмоксипин) – антиоксидант и легкий сосудистый эффект.
Низкая эффективность / Слабые доказательства
8. Актовегин – популярен, но мало качественных исследований.
9. Церебролизин – спорная эффективность, применяется в неврологии.
10. Пирацетам – слабый сосудистый эффект, больше ноотропный.
Вывод:
- Лучшие ноотропы: Модафинил, Метилфенидат, Анирацетам.
- Лучшие сосудистые: Винпоцетин, Циннаризин, Ницерголин.
Важно: Эффективность зависит от диагноза (например, при деменции – одни препараты, при СДВГ – другие). Перед применением – консультация врача!
Мозг — самый сложный орган, и желание улучшить его работу естественно. Но в погоне за «суперфокусом» и «прокачкой памяти» многие начинают без разбора принимать ноотропы и сосудистые препараты, надеясь на мгновенный эффект.
Почему это опасно?
1. Эффект плацебо vs реальное действие
Многие популярные ноотропы (например, глицин, некоторые рацетамы) имеют слабую доказательную базу. Их эффект часто субъективен или объясняется самовнушением.
2. Неизученные долгосрочные последствия
Даже относительно безопасные вещества (как фенибут или модафинил) при бесконтрольном приеме могут вызывать зависимость, толерантность или побочные эффекты.
3. Индивидуальная биохимия
То, что помогло одному, может навредить другому. Например, стимуляторы (метилфенидат) полезны при СДВГ, но у здорового человека могут вызвать тревожность и истощение.
4. Маскировка проблем
Усталость, плохая память и низкая продуктивность часто связаны не с «плохой работой мозга», а с:
- недосыпом,
- стрессом,
- дефицитом витаминов (B12, D, магния),
- гормональными нарушениями (щитовидка, инсулин).
Как применять ноотропы и сосудистые препараты правильно?
✅ Диагностика перед лечением
- Анализы (витамины, гормоны, глюкоза).
- МРТ/УЗИ сосудов (если подозрение на нарушение кровотока).
- Консультация невролога или психиатра.
✅ Доказательные препараты в адекватных дозировках
- При когнитивных нарушениях: пирацетам + холин, мемантин (при деменции).
- Для концентрации внимания: модафинил (только по показаниям), L-теанин + кофеин.
- Для кровообращения: винпоцетин, гинкго билоба (если нет противопоказаний).
✅ Комплексный подход
- Сон 7–9 часов.
- Физическая активность (улучшает нейрогенез).
- Когнитивные тренировки (чтение, изучение языков).
- Баланс БЖУ, Омега-3, антиоксиданты.
Заключение.
Ноотропы и сосудистые препараты — не «волшебные таблетки», а инструменты, которые работают только в руках знающего человека. Без диагностики, контроля врача и здорового образа жизни они могут принести больше вреда, чем пользы.
Если у вас есть опыт применения ноотропов — делитесь в комментариях (только без мифологии!). Какие препараты вам действительно помогли?</t>
  </si>
  <si>
    <t>https://dzen.ru/a/ag_kWpPDW1dCESDt</t>
  </si>
  <si>
    <t>23.05.2026 04:02</t>
  </si>
  <si>
    <t>Ольга В., да, мне тоже такие препараты назначены плюс трентал для улучшения кровообращения.</t>
  </si>
  <si>
    <t>https://dzen.ru/a/aeuIKfbGIGIOJcxM?comment-request=1#comment_3323360113</t>
  </si>
  <si>
    <t>23.05.2026 01:31</t>
  </si>
  <si>
    <t>[id35612532|Татьяна], согласна полностью. Нахрена, просите одинаковые штамповать? Как на тряпках маркировку значит пришей цвет, а ампулы одинаковые это пипец можно! Тоже самое пирацетам и пентоксифиллин. -всегда 10 раз прочитаешь ареждеисем набрать в шприц. Как страшный сон, нём приведи Господь. Я тоже считаю, что с производителей надо начинать и запретить без отличия разные препараты упаковывать.</t>
  </si>
  <si>
    <t>http://vk.com/wall-131908471_1106285?reply=1107410&amp;thread=1107126</t>
  </si>
  <si>
    <t>22.05.2026 18:28</t>
  </si>
  <si>
    <t>— Бумаги подписаны, выметайся, — улыбнулась свекровь, не зная, кем я работаю</t>
  </si>
  <si>
    <t>— Бумаги подписаны, Верочка, выметайся! — Людмила Борисовна поставила чайник на плиту так, будто ставила точку. — Павел сам мне всё переписал. Из любви. Сын — матери. Это, знаешь, такое чувство, тебе не понять. Я молчала. — Что молчишь? Адвоката хочешь нанимать? Не поможет, девочка моя. У меня нотариус. Договор дарения. Печати. Всё чисто, как стёклышко. — Чисто, — повторила я. — Так что ищи себе угол. Месяц даю. Из уважения. К Паше. Антон сидел за столом, грыз красное яблоко и смотрел в телефон. Делал вид, что его это не касается. А касалось его всё. Это к нему — через мать — сейчас уплывала треть трёхкомнатной квартиры в Большом Сухаревском переулке. Восемнадцать с половиной миллионов по сегодняшнему рынку. — Месяц, Верочка! Я не злая, я справедливая. Я допила чай. Поставила чашку. Сказала: «Хорошо, Людмила Борисовна». И ушла. В лифте посмотрела на себя в зеркало. Женщина сорок семь лет, серое пальто, тёмные круги под глазами от трёх месяцев больницы. Усталое лицо. Лицо, которое легко недооценить. Это её ошибка. Меня зовут Вера Сергеевна Лапина. В браке девятнадцать лет. В Росреестре — двадцать два года. Старший государственный регистратор Управления Росреестра по городу Москве. У меня нет роскошной карьеры и кабинета с видом. У меня кабинет на Поклонной, окно во двор, в окне голуби. И ещё у меня есть доступ. К любым выпискам ЕГРН. К любому регистрационному делу. К истории каждой московской квартиры начиная с девяносто третьего года. Это бывает полезно знать тем, кто решит у меня что-то отнять. С Павлом мы познакомились в две тысячи пятом, в очереди в МФЦ. Я регистрировала развод подруги, он подавал документы на загранпаспорт. Стояли вместе час сорок. Поговорили о Гончарове. Через полгода поженились. У него тёмные глаза, мягкий голос, инженерное мышление. Работал ведущим разработчиком в крупном банке. Я всегда говорила: Паша — тихий, и это его самое сильное качество. Он не спорил, но и не уступал. Он просто делал по-своему — медленно, упрямо и неприметно. Как речная вода точит камень. У Павла есть мать. Людмила Борисовна, семьдесят один год, бывшая учительница русского и литературы. Привыкла, что её слушают. И есть брат — Антон, на пять лет младше. Когда-то Антон считался подающим надежды, потом одна неудача, другая, развод, кредиты, автосервис где-то в Реутове, который не приносит, а съедает. Людмила Борисовна всегда говорила: «Антоше тяжелее. А у Паши и так всё хорошо будет». Это была её мантра. Это была её религия. Это была её систематическая ошибка. Я наблюдала это с самого начала. На свадьбу нашу с Павлом она подарила набор полотенец из «Ивановской мануфактуры». Антону к его свадьбе — кольца, оплаченные из её собственных сбережений. На сорокалетие Павла — открытку и торт «Прага». Антону на тридцать пять — путёвку в Сочи на две недели. Павел не обижался. Павел вообще не умел обижаться. Это его свойство я и любила, и боялась одновременно. Любила — потому что с ним было тихо. Боялась — потому что знала: однажды на этом сэкономят больше, чем он сможет вынести молча. В две тысячи восемнадцатом Людмила Борисовна попросила у Павла триста тысяч «на ремонт ванной». Павел дал. Ремонта не было — деньги ушли на закрытие кредита Антона. Я узнала это случайно, через два года, и Павел только пожал плечами: «Веруш, ну мама же». Я тогда пошла и оформила нам с ним брачный договор. Без скандала, спокойно: «Паш, у меня квартира на Алексеевской досталась от мамы до брака. Давай зафиксируем, чтобы вопросов не было». Он подписал не глядя. Это была первая бумага, которой я начала строить периметр. Тот, кто видел волка раз, потом узнаёт его всегда. Не по зубам — по дыханию. В две тысячи двадцать втором умер свёкр — Михаил Андреевич, инженер-конструктор на пенсии, человек тихий и щедрый. Он оставил завещание. Грамотное. Заверенное. По трети каждому: жене, Павлу, Антону. Имущество: трёхкомнатная в Сухаревском (досталась от родителей), дача в Истринском районе с участком сорок соток, банковские вклады — три миллиона двести тысяч на трёх счетах. Завещание открыли. Всё пошло по закону. Свидетельства о праве на наследство выдали в двадцать третьем. Каждый получил свою треть. Михаил Андреевич всю жизнь был тих и предупредителен. Он, видимо, знал, что его жена будет «выравнивать справедливость» в пользу младшего. Поэтому и закрепил всё бумагой. Бумага — она как фундамент. Когда дом стоит, фундамента не видно. Когда дом начинает шататься, фундамент — единственное, что имеет значение. Дальше начались разговоры. «Не будем как чужие, потом разделим. Мама же одна теперь». «Пусть мама живёт спокойно, мы не торопимся». «Семья — это семья». Она умела это слово произносить так, что оно становилось наручниками. Павел соглашался. Я молчала. Потому что Павел — взрослый человек, и не моё дело лезть, когда он решает по-своему. Я только однажды спросила: «Паш, может, оформим, чтобы потом не было вопросов?» Он ответил: «Веруш, ну зачем. Мама же. Мы не такие». Я кивнула. И запомнила. Четырнадцатого февраля две тысячи двадцать шестого года в одиннадцать сорок утра Павлу стало плохо на работе. Левую сторону отказало. Речь сошла в кашу. Скорая. Боткинская. Реанимация. Ишемический инсульт, обширный, левая средняя мозговая артерия. Мне позвонили в двенадцать ноль семь. Я ехала на Поклонную, в кабинет. Развернула машину прямо на Кутузовском, через двойную сплошную, мне выписали штраф пять тысяч, я узнала об этом через месяц и заплатила, не глядя. По пути я звонила в две клиники, договариваясь о возможном переводе Павла. Они спрашивали диагноз, я спокойно отвечала. Я не плакала. Я не могла плакать — мне нужно было думать. Я приехала в больницу в обед и осталась там жить. Спала в кресле в коридоре. На работе мне дали отпуск без сохранения — мой начальник, Игорь Петрович, человек сухой, но порядочный, сказал только: «Возвращайтесь, когда сможете. Кресло за вами». В реанимации Павел пролежал двенадцать суток. Потом неврология. Потом реабилитация. В первый раз он узнал меня на пятые сутки. Глаза открылись, нашли меня, держались несколько секунд. Потом он закрыл их и заснул. Я просидела рядом ещё четыре часа, не двигаясь, чтобы не разбудить. Людмила Борисовна приезжала каждый день. Приносила куриный бульон в банке. Молчаливо плакала. Гладила сына по руке. Я была ей благодарна. Я думала: какая мать. Антон не приехал ни разу. Передавал через мать «привет, держись». Он, оказывается, тогда уже знал, что мать привезёт нотариуса. Не хотел быть свидетелем. Шестого марта — Павел уже был на втором этаже, в палате на трёх человек, говорил с трудом, но узнавал — Людмила Борисовна сказала мне: «Веруш, ты съезди в Росреестр, там по даче с межеванием что-то просили уточнить. Я с Пашей посижу». Я съездила. Никакого уточнения по даче никто не просил. Я ушла на полдня. Восьмого марта Людмила Борисовна принесла Павлу мимозу и торт. И ещё что-то. Я тогда не обратила внимания. В тот день в палату приходил человек. Я узнала об этом потом, из журнала посещений. Шевц Николай Игоревич. Нотариус. Возраст — шестьдесят восемь. Контора в Бабушкинском районе. Я тогда не знала, кто это. Прошло три недели. Павел дома. Говорит медленно, но связно. Правая рука работает, левая — слабее, разрабатывает. Реабилитолог приходит дважды в неделю. Лекарств — на восемнадцать тысяч в месяц. Центр на Войковской — ещё сорок две. Я начала считать. Я подумала: возможно, придётся закладывать нашу квартиру у метро Алексеевская. Полтора миллиона на оборудование и год реабилитации — это не вопрос, это нужно. Когда работаешь в Росреестре, привычка — смотреть выписку. Просто привычка. Я открыла ЕГРН на нашу квартиру — всё в порядке, общая совместная. И, по той же привычке, открыла на Сухаревский. Хотя там не моё, там Пашина треть. Доли стояли так: Лапина Людмила Борисовна — две трети. Лапин Антон Михайлович — одна треть. Я смотрела на экран минуты три. Я даже не моргнула. В кабинете было пусто. У меня был обеденный перерыв. Я доела бутерброд, аккуратно сложила обёртку, выкинула в корзину. И только потом подумала: вот, значит, как. Я открыла регистрационное дело. Договор дарения от восьмого марта две тысячи двадцать шестого года. Лапин Павел Михайлович передаёт безвозмездно одну треть в праве общей долевой собственности в дар Лапиной Людмиле Борисовне. Удостоверено: нотариус Шевц Николай Игоревич. Зарегистрировано двенадцатого марта. Подпись стояла. Кривая, дрожащая. Но стояла. Я закрыла ноутбук. В этот вечер ко мне в кабинет заглянула Лена из соседнего отдела — спросить про какой-то межевой план. Посмотрела на меня и сказала: — Веруш, что-то ты сегодня прямо железная. Что случилось? — Ничего, — ответила я. — Голова болит. Лена ушла. Я ещё минут двадцать сидела, складывала в голове хронологию. Восьмого марта Павел подписал. Двенадцатого зарегистрировали. Сегодня — четвёртое апреля. Прошло двадцать три дня. Срок исковой давности по статье сто семьдесят семь — три года. У меня есть время. У меня есть всё время мира. И есть инструменты. Я доехала до дома. Подошла к Павлу. Он сидел в кресле, разбирал старые шахматные задачи, которые мы когда-то решали по выходным. — Паш, — сказала я. — Восьмого марта, помнишь, мама приходила. — Помню. Кажется. С тортом. — Ты что-нибудь подписывал? Он подумал. Долго. Это сейчас всегда долго. — Какие-то бумажки. Мама сказала, для оформления льгот. Я плохо помню тот день, Веруш. Я после капельницы был. Меня шатало. — Бумажки. Где они? — Мама забрала. Сказала, отдаст в собес. Я кивнула. — Хорошо, Паш. Села напротив, сделала вид, что смотрю шахматы. Он передвинул коня. Я кивнула. Он улыбнулся. Я тоже улыбнулась. А внутри у меня было ровно. Никакой паники. Я знала, что мне делать, шаг за шагом. Сначала — медицинские документы. Я попросила у Павла письменное согласие на запрос его карты из Боткинской. Получила. Поехала. Подняла журнал назначений. Восьмого марта в десять утра ему сделали внутривенный мексидол, в одиннадцать — пентоксифиллин капельно. В одиннадцать тридцать — осмотр невролога. Запись: «сознание ясное, оглушение не выявлено, ориентация в пространстве и времени сохранена частично, в собственной личности сохранена, инструкции выполняет с задержкой, речь дизартрична, эмоциональный фон лабилен». Я переписала всё дословно. В двенадцать сорок — посещение, нотариус Шевц. Двадцать две минуты в палате. Постовая медсестра подтвердила: больной был сонный, на руке катетер, мать стояла рядом и помогала держать ручку. Помогала. Держать. Ручку. Запомним. Дальше — нотариус. Я подняла его прошлые акты. У меня доступ. За последние шесть лет — четыре дела, где удостоверенные им сделки оспаривались. По двум суд признал их недействительными. По третьему идёт процесс. По четвёртому стороны примирились на крайне невыгодных для пострадавших условиях. Что у Шевца репутация плавающая — это знают все, кто работает в Москве по недвижимости. Удивляюсь, как у него ещё лицензия. Дальше — почерковедческая экспертиза. У меня в Росреестре есть знакомая — Анна Ильинична, эксперт-почерковед на пенсии, восемнадцать лет в МВД. Я отнесла ей образцы Павловой подписи со старых документов, на которых он подписывался в здоровом состоянии, и копию подписи на договоре дарения. Анна Ильинична посмотрела через лупу. Потом включила свет ярче. — Веруш, тут классика. Подпись «ведомая». Нажим неравномерный, петли не закрываются, угол наклона скачет от двадцати до сорока пяти градусов. Это рука Павла, но направляемая чужой рукой. Сверху или снизу — не определю без полной экспертизы. Но направляемая. Уверена на девяносто пять процентов. Я кивнула. Положила фотокопии в папку. Папка лежала у меня на работе, в нижнем ящике стола, под старым пакетом из «Перекрёстка». Я никогда не приношу важное домой. Дома — Павел. Дома — спокойствие. Папка — там, где она должна быть. Заодно я подняла дачу. Истринский район, посёлок Снегири, сорок соток. По свидетельству о наследстве — общая долевая, по трети. По выписке ЕГРН — в августе двадцать пятого года продана. Сумма по договору — семь миллионов восемьсот тысяч. Покупатель — какой-то частный гражданин из Москвы. Я подняла предшествующую регистрационную историю. За полгода до продажи, в феврале двадцать пятого, Павел и Антон оба «подарили» свои доли матери. Через того же нотариуса Шевца. Договоры дарения, друг за дружкой, в один день. Павел про эту сделку тоже не помнил. Я не спрашивала Антона. Антон, видимо, знал и согласился: своя доля от продажи семь миллионов восемьсот ему наверняка отчасти и перепала. Маршрут денег я посмотрела по тому, что было доступно: с маминого счёта в Альфа-Банке два миллиона девятьсот сразу ушли на счёт Антона, ещё миллион двести — наличными снято в банкомате на Преображенке, рядом с его автосервисом. Пашиной доли — нигде. Я ждала. Я знала: они пригласят. Они сами пригласят. Им нужно было, чтобы я съехала с Алексеевской — там моя половина, но они хотели, чтобы Павла перевезли к Людмиле Борисовне, «под мамин уход», и квартиру нашу сдавали бы на её имя. Так удобнее. Они пригласили на пятнадцатое апреля. Людмила Борисовна позвонила, ласково: — Веруш, заезжай на чай. Антон будет. Поговорим о Паше, об уходе, о деньгах. Семейный совет. — Хорошо, Людмила Борисовна. Я приехала. Чай. Печенье. Антон. И тот самый разговор, который я уже пересказала вам в начале. «Бумаги подписаны». «Выметайся». «Месяц». Я выслушала. Допила чай. Сказала «хорошо». Ушла. Зачем уходила? Чтобы вернуться. Чтобы вернуться вместе с папкой. Я приехала через два дня. Семнадцатого апреля, в субботу, в три часа дня. Знала, что Антон у матери — он по субботам у неё обедает. Позвонила заранее: — Людмила Борисовна, я по поводу разъезда. Подъеду, обсудим. Если можно, чтобы Антон был — он же тоже сторона. — Конечно, Верочка, приезжай. Молодец, что разумно подходишь. Я приехала с серой папкой формата А4. Никаких слов. Сняла пальто. Села за тот же кухонный стол. — Чай, Веруш? — Людмила Борисовна потянулась к чайнику. — Нет. Спасибо. Я открыла папку. Достала первый документ. Положила его перед свекровью. Договор дарения от восьмого марта две тысячи двадцать шестого года, копия. Заверенная по моим внутренним каналам, с печатью Росреестра в углу. Людмила Борисовна посмотрела. — Так. Это же мой договор. — Ваш, — кивнула я. Достала второй документ. Положила сверху. Выписка из медицинской карты пациента Лапина П.М. за восьмое марта две тысячи двадцать шестого года, с печатями Боткинской. — Время осмотра — одиннадцать тридцать. Заключение невролога: ориентация в пространстве и времени сохранена частично, речь дизартрична, инструкции выполняет с задержкой. Через час десять минут после этого заключения он подписывает договор, по которому отказывается от восемнадцати с половиной миллионов. Это интересно, Людмила Борисовна. Я не повышала голоса. Я просто читала. Достала третий документ. Заключение специалиста-почерковеда. Краткое, но с подписью и удостоверением. «Признаки направляемого письма выявлены, степень достоверности — высокая». Достала четвёртый. Опрос постовой медсестры под её подпись. — «Больной находился в полусонном состоянии, ручку держала ему мать». Людмила Борисовна побледнела. Антон поднял голову от телефона. — Это ничего не значит, — сказал он. — Мама ему помогла. Он сам хотел. Он маме и так бы всё отдал. — Хотел — это эмоция, — сказала я. — Сделка — это юридический факт. Гражданский кодекс, статья сто семьдесят семь. Сделка, совершённая гражданином, не способным понимать значение своих действий или руководить ими, признаётся судом недействительной. По состоянию его сознания в одиннадцать тридцать он не мог понимать значение своих действий через час. Это в карте написано. Чёрным по белому. Печать врача. Печать отделения. Печать главврача в копии, которую я получила официально. Я достала пятый документ. Запрос в нотариальную палату по поводу нотариуса Шевца. Поданный мной через мужа, как только он смог писать. — А это, Антон Михайлович, — прецеденты. Шевц за последние шесть лет фигурирует в четырёх оспоренных сделках. Две признаны недействительными. По одной — процесс. Я добавлю в заявление в Главное управление Минюста по Москве сведения о служебной проверке. По статье двести второй УК — злоупотребление полномочиями частным нотариусом. Срок — до трёх лет. Я достала шестой. — Дача. Февраль двадцать пятого года. Через того же Шевца, в один день, два договора дарения. Павел и Антон передают свои доли в дар матери. Через полгода вы, Людмила Борисовна, продаёте дачу за семь миллионов восемьсот тысяч. Из этой суммы Антону уходит на счёт в Альфа-Банке два миллиона девятьсот, плюс наличные снятия рядом с его автосервисом — ещё миллион двести. Пашиной части нет. Это та же схема. Это уже система. Людмила Борисовна сидела, прижав ладонь к груди. — Веруш, ты что… ты же сама родная… — Я родная. Поэтому я не пишу заявление в полицию сегодня. Хотя могла бы. Сто пятьдесят девятая, часть четвёртая. Мошенничество в особо крупном размере. От пяти до десяти лет. Это просто чтобы цифры были перед глазами, Людмила Борисовна. Антон встал. Прошёлся по кухне. Сел. — И чего ты хочешь? — Я ничего не хочу. Это Павел хочет. Я достала из папки седьмой документ. Заявление Павла Михайловича о признании сделок недействительными, написанное им вчера, под видеозапись, при свидетеле — реабилитологе и медсестре, заверенное у нотариуса. У другого нотариуса. Молодой женщины из Восточного округа, на хорошем счету. — В понедельник это уходит в Тверской районный суд города Москвы. Сделки будут признаны ничтожными. Доли Павла вернутся ему. По обратному переходу в Росреестре. Я знаю, как это делается. Я этим, в общем-то, и занимаюсь. Я аккуратно сложила документы обратно в папку. — Альтернатива. Через неделю вы оба приходите к Ольге Юрьевне, тому, второму нотариусу, и подписываете возвратное соглашение. Треть квартиры в Сухаревском — обратно Павлу. Деньги от дачи — два миллиона шестьсот — на его счёт, на реабилитацию. Без процентов. Тихо. Антон, ты делаешь это добровольно, или я делаю это через суд и одновременно через следственный комитет. Выбирай. Я встала. Надела пальто. — Хорошего вечера, Людмила Борисовна. И ушла. В лифте я постояла, посмотрела на себя в зеркало. Те же круги под глазами. То же серое пальто. Лицо женщины, которую легко недооценить. Они недооценили. Они подписали. Через одиннадцать дней, у Ольги Юрьевны, в её кабинете на Семёновской. Людмила Борисовна не смотрела на меня. Антон смотрел в стену. Оба расписались, как школьники у директора. Деньги пришли тремя траншами — Антон чудом нашёл, продал что-то из инструмента в автосервисе. Папка вернулась в нижний ящик. Запрос в Минюст я не отозвала, но и развития ему не давала. Пусть лежит. Бумага, как я говорила, — это фундамент. Когда дом стоит, его не видно. Когда захочет повториться — будет, что предъявить. Нотариусу Шевцу через два месяца перестали направлять сделки в нескольких управляющих компаниях. Это уже не моё дело. Это система. Система медленная, но у неё долгая память. Сегодня шестое июня. У нас в квартире у окна стоит кресло. В кресле сидит Павел. Он научился говорить почти как раньше — медленнее, но ясно. Левая рука почти слушается. Он опять разбирает шахматные задачи. У него на коленях — томик Гончарова. «Обыкновенная история». Та самая, которую мы обсуждали в МФЦ в две тысячи пятом году. Я подхожу, наливаю ему чай. Ставлю на подоконник. — Веруш, — говорит он. — Я тебе вообще не сказал спасибо. — Не говори, — отвечаю я. — Не за что. Это просто работа. Он смотрит на меня. Долго. Берёт мою руку. Кладёт себе на щёку. — Работа, — повторяет тихо. — Конечно. Я улыбаюсь. Сажусь напротив. Мы молчим. За окном — серое московское небо, голуби, дворничиха метёт двор. Папка моя лежит на работе, в нижнем ящике, под пакетом из «Перекрёстка». Людмила Борисовна звонит Павлу раз в неделю — он отвечает односложно, она не настаивает. Антон не звонит вовсе. Я не злюсь на них. Я просто знаю, кто они теперь. И они знают, кто я. Этого достаточно для всех. Бывает справедливость громкая — со скандалом, с криком, с разорванными в клочья отношениями. В неё я не верю. Я верю в другую — тихую, бумажную, ту, что приходит с печатью в углу и подписью внизу страницы. Тот, кто привык прятать, всегда забывает одно: бумага помнит дольше, чем человек.</t>
  </si>
  <si>
    <t>https://dzen.ru/a/ahA9pixNszI8ywXe</t>
  </si>
  <si>
    <t>22.05.2026 16:29</t>
  </si>
  <si>
    <t>Мне флеболог при онемении ног трентал назначал, курсом пропила, пока не беспокоит</t>
  </si>
  <si>
    <t>https://dzen.ru/a/ag6wz2B0RSFn86Qw?comment-request=1#comment_3317824864</t>
  </si>
  <si>
    <t>22.05.2026 11:28</t>
  </si>
  <si>
    <t>Светлана М, ну вы сами изучите этот вопрос....мне нужно капать железо..сейчас я на дневном стационаре...мне назначили пить эликвис по 5 мг утром и вечером...раньше пила 2,5 на ночь .думали то ли слить крови..решили вот 4 дня капать пинтоксифилин на 200 гр физа....чтоб разжижить..и в понедельник передам анализ..не знаю наверно и железо не рискнем все же капать ..насчёт воду пить пить сказал доктор ,что ее верит она в эту теорию...нужен гематолог и сдавать анализы что это истинная полиципения или ложная...просто я думаю вашим врачам пофиг,ровно как и нашим</t>
  </si>
  <si>
    <t>https://dzen.ru/a/ag4x51GLZX3P1oQZ?comment-request=1#comment_3308786891</t>
  </si>
  <si>
    <t>22.05.2026 00:36</t>
  </si>
  <si>
    <t>Здравствуйте! трентал при варикозе после тромбоза г/в имеет значение? Архангельская обл.</t>
  </si>
  <si>
    <t>http://vk.com/wall-171736200_5750?reply=5767</t>
  </si>
  <si>
    <t>22.05.2026 00:25</t>
  </si>
  <si>
    <t>скажите пожалуйста, ваше мнение о трентале, я из Самары</t>
  </si>
  <si>
    <t>http://vk.com/wall-171736200_5750?reply=5760</t>
  </si>
  <si>
    <t>22.05.2026 00:19</t>
  </si>
  <si>
    <t>добрый вечер, спасибо за ответ, на мой вопрос о стихшем варикотромбофлебите. я еще раз хочу уточнить про эликвис, тромб у меня скорее всего много лет, и я думаю , что эликвис надо пить если будет обострение, а так я всегда постоянно ношу компрессионные чулки , два раза в год пью Детралекс, трентал . спасибо.</t>
  </si>
  <si>
    <t>http://vk.com/wall-171736200_5750?reply=5757</t>
  </si>
  <si>
    <t>22.05.2026 00:08</t>
  </si>
  <si>
    <t>Live: Максим Абасов | Врач-флеболог, кмн</t>
  </si>
  <si>
    <t xml:space="preserve">Тексты с изображений_x000d_
сертификат место место mareun музафаро( докусро! прядоктеров комлийскомфо продомасаниваю!!! компур оолеп хжи lictimos подложн)и перфоражнно ость недостаточность клапанов #всн приводит варикозу_x000d_
Расшифровки_x000d_
Так все ли же, все ли нормально со звуком, так, так, так, так, хочется понять, все ли меня видеть, да, у меня какие то сбои, ну, вот за что, не люблю прямые эфиры, что всегда обязательно что то должно, где то сбои быть, какие то технические неполадки, вот сейчас, вот как прямо очень сильно, сильно тормозит интернет, поэтому я не могу понять, все это вообще показывает нас или нет. Так, что у нас тут? Ага, вот у нас идет два человека, в эфире, сейчас показывают, но слышность, вообще, слышно, там все нормально, как, вообще, напишите, как, там, вообще слышно, видно, в чате, можно написать, так, видно, слышно, но виснет, сейчас, вроде норм, вот Ксения пишет, что, да, вроде, как видно, слышно, так, друзья, вот есть, да, сбоку, есть окошечко, где можно писать, свои вопросы, вот вопросы, да, вот уже смотрю, да, что, люди потихоньку к эфиру подключаются, вот все, что связано с варикозом, все, что связано с тромбозом, по с травматической болезнью можно связано, если есть вопросы по атеросклерозу, по бляшкам, по сосудистой, сеанс системе, да, все, что с сосудами связано, вот на эти вопросы буду готовы ответить аудитории, все, кто меня смотрит, давайте, подключайтесь. В общем, анонсировал сегодня эфир, где буду отвечать на вопросы зрителей и подписчиков своего канала, если вы еще не подписаны, если в первый раз, пожалуйста, да, подписывайтесь на сообщество, сообщество также так и называется, флеболог. Максим Абасов, вот я обычно каждую среду провожу эфир на youtube канале и отвечаю на вопросы, люди со всего мира задают вопросы, и вот сейчас такая возможность будет на Вк, если действительно этот эфир будет полезен, если у вас будут вопросы, я смогу вам помочь, ответить на вопросы, то такие эфиры будут проводить, может быть, еженедельно, в зависимости от того, какая есть необходимость, так, пока я вроде бы вопросов не вижу, вот только написали, что вроде как все слышно и видно, так, ну да трансляцию, я вот, честно говоря, сейчас на компьютере, сам, эту трансляцию не вижу, вот пытаюсь посмотреть, как это вообще выглядит со стороны, так, так, так, так, ну, как всегда, конечно, не хотелось бы, чтобы первый блин комом был, как говорится, да, хочется, чтобы было полезно, это видео, вот в основном, какие у нас операции проходят, давайте расскажу про операции на венах по варикозу, мы выполняем лазерные операции, операция проходит все под местной анестезией, без разрезов, все делается через проколы, вот в послемпционном периоде, нет необходимости там лежать в стационаре, нет необходимости там на больничную ходить, и это можно сразу, даже на следующий день можно выходить на работу, поэтому очень многие боятся операции на варикоз, говорят, ну как же так, варикоз, слово операция, наверное, больше переживает, но в целом, я вам так скажу, что все, кто перенесли операцию, все переносят, ну, как бы никаких после уже жалоб у них не бывает, они говорят, ой, а чего мы боялись, вообще, как будто. Стоматологу. Сходили. Так, так так, в общем, Ксения спрашивает, расскажите, пожалуйста, можно ли загорать, если есть варикоз, ну, в целом, тут такая ситуация, варикоз не является, конечно, противопоказанием, но тут нужно быть осторожным, надо в меру, конечно, не увлекаться этой историей, потому что любое нагревание, любое длительное нахождение на солнце может приводить к расширению сосудов, вот поэтому купаться в море, это классно для варикоза, но длительное нахождение на солнце может отрицательно повлиять, поэтому да, вы можете быть немножко там полчасика полежать, обязательно. После этого надо в тени находиться, обязательно, пользоваться защитными кремами, от загара, да, это тоже защитит, и кожу, и сосуды, чтобы они не воспалялись, поэтому, в общем, не противопоказано, но сильно увлекаться, длительно находиться нельзя, чтобы не ухудшить состояние, так, ну, в общем, в общем, у меня видео так и не загрузилось, так, Вк видео, вот чем грузится, так, сколько, у нас, семь человек, да, в эфире. Друзья, давайте активнее спрашивайте, какие вопросы, что вас беспокоит, может быть, ваших близких, у кого то есть проблемы, основная цель операции, допустим, при варикозе, часто спрашивают, да, зачем, вообще делать операцию. Чаще всего, люди, у кого есть варикозное расширение вен, они не обращаются к врачам, не идут на операции, потому что чаще всего вены не болят, варикоз, которые есть, на ногах, он, да, есть, выпирает, да, расширено, да, некрасиво, но так как это не болит, люди к врачу не обращаются, но, к сожалению, болезнь коварная, многие этого не понимают, если мы не будем своевременно избавляться от варикоза, то большая вероятность, что у нас болезнь будет прогрессировать, и это приведет к тому, что мы получим осложнение. Какие осложнения варикоза? Могут быть? Три основных осложнения, а первое, это кровотечение, потому что вены расширяются, расширяются, и в какой то момент это может привести к кровотечению, второй момент, это трофические язвы, если мы не занимаемся ни ничем, мы приводим к тому, что у нас истончается кожа, открывается рана, и эти язвы будут заживать очень длительно. И третье, это тромбоз, самое опасное, это самое плохое, что, чего боятся, сейчас очень много людей, тромбозов, тромбоэмболии, потому что очень часто приходят с историями, что вот знакомые, вроде бы молодой тромб оторвался, и человека не стало, поэтому, казалось бы, варикоз, казалось бы, ничего опасного, но это может привести даже к летальному исходу, поэтому надо своевременно обращаться специалистам, выполнять Узи и не бояться, вот проводить о процедуры, которые вам назначает доктор Флибова, так, следующий вопрос, тут: солнце, может ли провоцировать рост венозных сеточек, в целом, да, солнце может приводить к тому, что длительное нахождение на солнце может приводить к тому, что у нас могут появиться новые сеточки. Поэтому, еще раз говорю, сильно на солнце не загораем, особенно сейчас, у нас в Москве, жара, плюс 30 31, просто очень очень тяжело. Лучше, конечно, именно в часы солнцестояния в зените, когда у нас солнце находится, то где то с 11, там до 15 16 часов. Лучше, конечно, вообще на улицу не выходить, поэтому гуляем либо в первую половину дня, там до 11 с утра, либо уже вечерком выйти, когда солнце не так сильно припекает, так. Инна Пономарева спрашивает: Здравствуйте, подскажите, пожалуйста, вазопростан в капельных, чем можно заменить. Вазопростан, в принципе, очень, да, хорошее лекарство, да, при атеросклерозе, при забитых сосудах, очень часто его назначали, и сейчас назначают, вот, но в последнее время он как то даже пропал из аптек, и его даже не стало, и препарат, конечно недешевый, но в целом доказано эффективностью, что да, улучшает кровоснабжение именно сосудов у людей, у которого забиты сосуды, да, улучшается кровоснабжение, и увеличивается у пациентов дистанция, без болевых, абы, вот сейчас есть, препарат такой тоже атороссийский уже, препарат, называется слаби норм, вот его тоже назначают для улучшения, когда дистанции без болевой ходьбы у пациентов, у которого ишемии нижних конечностей, ишь ми, когда нарушается кровоток, не поступает кровь, вот в этом случае, вот словинок, тоже хороший препарат, вот также есть препарат в sal do f, для разжижения крови, его тоже можно назначить, сначала в капельницах назначать, потом переводят на капсулу, но ни в коем случае вы самостоятельно, сами себе не назначаете этих препаратов, сами не принимаете, потому что все должно быть по назначению, врача, только врач должен вам рекомендовать давать назначение, только под контролем врача, потому что даже вот тот же самый вазопростран, про который вы сейчас написали, это очень серьезный препарат, если его бесконтрольно капать, очень медленно, его надо капать, он может даже привести к инфаркту, потому что да, он улучшает кровоснабжение ног, но может обкрадывать сердце, поэтому все под контролем врача должно быть. Так, следующий вопрос, так, Татьяна Данилова, добрый вечер, спасибо за ответ на мой вопрос о стихшем, вариконтроп любителя, Я еще раз хочу уточнить, про Эликвис, тромбо, тромбо, у меня, так, про эромб, у меня, скорее всего, много лет. Я думаю, что реликвист надо пить, если будет обострение, а так всегда постоянно ношу компрессионные чулки, два раза в год, Дитерлекс, принтал, спасибо, да, или квиз, мы пьем, когда у нас есть острая фаза тромбоза, тромбофлебита, назначают его, опять же, в зависимости от того, где находится тромб, если вы, мы говорим про торембофлебит, значит, тромб в подкожной вене, и в этом случае да, минимальный срок, это 45 дней, назначается, потому, что если тромб в глубокой хренозной системе, то вот эти разжижающие препараты, мы назначаем на более длительный срок, до 3 месяцев, можно до полугода, можно принимать препарат, в вашем случае, если, опять же, вы пишете, что варикот, Рэмбо, фребист, значит, у вас есть Татьяна, и варикозное расширение вен, в вашем случае, я бы рекомендовал, если есть варикоз, избавляться от варикоза, потому что если вы будете пить периодически или только при обострении, это значит, вы будете ждать тромбоза, когда случается тромбоз, будете пить разжижающе, это как у меня на канале, на youtube канале, я записывал видео с мужчиной, у которого выраженный варикоз, которому было показано выполнить операцию, ну, он воздерживался, отказывался от операции, да, ну, не смог я его убедить, что ему нужна операция, но при этом, как я изначально сказал, варикозно расширены вены, привели к тому, что у него периодически происходил варикотромбофлебит, вот прям как у вас, он приходил, я назначал лечение тромб, вылечили, все, он довольно уходил, и через какое то время там, через полгода, опять возвращался, опять тромбофлебит, опять назначаем лечение, я говорю, надо оперировать, он ни в какую, но в итоге, мы пришли к тому, что у него уже раза три, он с тромбозом, ко мне приходил, мы пришли к тому, что я назначил ему вот этот разжижающий препарат, по моему, не Ликвесарелта, был, назначил на постоянной основе, в общем, и он этот препарат принимает до сих пор, ну вот, кооперации, пока вот воздерживается, вот поэтому в вашем случае, ну, лучше избавиться от варикоза, чтобы не ждать от новых тромбозов, чтобы он не получить новую травму, скажем так, так, так, так, так, так, да, я вижу, что да, немного ли человек, у нас в эфире, семь человек, только в эфире смотрят, поэтому, наверное, и вопросов мало, так, Татьяна пишет: да, есть у меня варикоз, у меня давно был тромбофлебит, но тем более, Татьяна, если был варикоз, то нет смысла затягивать, избавляйтесь от варикоза, и риск тромбоза уменьшать, потому что у людей, у кого есть варикозно расширенные вены, у них риск тромбоза, аж в четыре раза выше, чем у людей, у кого нет, поэтому, если вы избавляетесь, то у вас риск травмоза значительно уменьшается, так, Татьяна пишет: спасибо на здоровье, Татьяна, на здоровье, не болейте, так, друзья, давайте, пишите, какие есть вопросы по варикозам, по тромбозам, по атеросклерозу, если есть какие то вопросы, пишите, вот, специальный эфир на Вк, создал, чтобы отвечать именно на ваши вопросы, друзья, так, так, так, ну, что, да, и просьба такая, если вы пишете вопрос, напишите, откуда вы, хотя бы сейчас, вот кто есть там люди, кто сейчас меня смотрят, просто напишите, город, из какого города, или из какой страны, вы смотрите, вот этот эфир, просто интересно знать аудиторию, кто, откуда меня смотрит, вообще. Аудитория, потому что ко мне на прием, ну, приезжают со всего мира, потому что, когда я вел youtube канал, да, вот видите, серебряная кнопка Ютуба, и сейчас тоже веду канал, меня смотрят люди со всего мира, и приезжают также ко мне на прием на операции, тоже, у меня есть карта, где я прям отмечаю какого города, с какой страны, ко мне пришел пациент, очень интересно, бывает, вот сегодня была девушка, она живет, там, в Великобритании, приехала, ну, наша русская девушка, ну живет в Великобритании, так, следующий вопрос, тут кто то, назрел, вопрос, так, Елена пишет, можно ли ходить, на ручной антицеллюдный массаж, а варикозные вены удалены, сеточка растет, ну, Елена, на массаж то ходить можно, но любой массаж, а может приводить к тому, что у вас сеточки, будет еще больше, потому что, что такое массаж, массаж, это улучшение, кровоснабжение кожи, мы массажируем кожу таким образом, что она же красная, прилив крови увеличивается, и за счет этого сосудов будет больше. К сожалению, если вы хотите избавиться от сосудистых сеточек, то вам нужно будет прийти, можете в нашу клинику, у нас есть процедура Колакс, вот которые мы убираем, вот эти сеточки. Процедура класса заключается в том, что мы воздействуем холодом, потом лазером, стреляем в эти сеточки, и плюс еще и делаем укол, вот, единственное, необходимо, бывает несколько процедур, чтобы избавиться от со злости сеточек, это не с одной процедуры, да, это все так не бывает, что сделали процедуру, и все исчезло, нужно несколько процедур, как к косметологу, ходит, также и сеточки на ногах, нужно ходить к фибологу, и убирать, так под наблюдением врача, все это можно убрать, и можно подготовить ноги к лету. Так, Инна, еще один вопрос, как часто встречается тромбофлебит. После приема гормональной терапии, как я понимаю, и какие анализы нужно сделать, чтобы его предотвратить, ну, по чистоте там не так часто, да, если принимать гормональную терапию, не скажу, что большой процент, в процентном отношении, может быть, это 5 10%, кто принимает, но этого достаточно, обычно не у всех людей, кто принимает гормональную терапию, возникает тромбоз, а у кого она возникает, дело в том, что население планеты имеет тоже какой то около, там может быть 7 5 7%, имеет тромбофилию, это склонность к тромбозам, когда нарушается свертывающая, противосвертывающая система, дает сбой в организме, и, у этих людей, они об этом не знают, и узнают только тогда, когда случается какая то катастрофа, когда присоединяется какой то еще дополнительный фактор. Один из факторов, это прием гормональных препаратов, может способствовать тому, что да, может образоваться тромбоз, какие анализы сдать, чтобы предотвратить анализы, в целом невозможно, по анализам, да, вот обычно назначают кауголограмму, свертывающую систему посмотреть, да, если там какие то сильные отклонения, да, если можно можно увидеть, что там, да, можно предположить, но чаще всего круглограмма приходит в норму общий анализ крови по ней, можем посмотреть гематокрит, насколько густая кровь, если уже мы видим, что и по коагулограмме показатели высокие, ближе к свертываемость такая высокая, да и по общему анализу видим, что густая кровь там высокий гематокрит, значит, в этом случае есть смысл. Опять же сходить к флебологу, выполнить Узи, перед началом, посмотреть, нет ли там каких нибудь проблем. По венам изначально. И в процессе приема гормональных этих препаратов, тоже наблюдать за своим состоянием. Если какие то изменения вы видите, там, к примеру, там покраснения ноге болевые ощущения, то опять же срочно к врачу, и, скорее всего, нужно будет отменять, потому что мы точно, но мы не можем все население там, да, отправить на сдачу вот этих анализов, на склонность к тромбофилии, потому что это дорогие анализы, и всем подряд мы их не назначаем, на тромбофилию анализу, и поэтому только мы можем выявить, когда уже что то происходит. Да, по беременным женщинам, когда есть риски невынашивания, да, эти анализы, конечно же назначаются, а в остальных случаях всем подряд, мы вот эти анализы на тромбофилию не назначаем, так, ну, что, да, в эфире людей, конечно, первый эфир, поэтому я думаю, здесь не очень много людей, но, надеюсь, эфир был полезен, конечно же, друзья мои, так есть, какие то еще вопросы, пишите так: Татьяна Данилова: Так скажите, пожалуйста, находясь в горизонтальном положении, на сколько градусов можно поднимать ноги? Мне врач сказал, на 30 градусов, смотря с какой целью, вы хотите, поднимать ноги, да, если ваша задача, ну, уменьшить отеки, да, то, в принципе, достаточно, 30 градусов, вполне достаточно. Некоторые люди любят поднимать, там, задирать, прям высоко, там, на стену, на самом деле, нет необходимости, да, достаточно небольшого подъема, чтобы было, то, главное, чтобы ноги были выше уровня сердца, этого достаточно, отток улучшается, и отеки будут спадать, так, Любовь Пугачева пишет: Здравствуйте, я, из Пермского края, вот, наконец, хоть кто то написал, откуда он все меня смотрит, у меня на левой ноге варикоз, но я ношу противоварикозные чулки, и операцию боюсь делать, потому что варикоз у меня внутри и не сильно выделяется, но болит, когда я не в чулках, но об этом как раз я, Любовь, и говорю, что да, чаще всего люди затягивают, боятся операции, ну, на самом деле, еще раз повторюсь, может быть, вы не слышали, что все пациенты, которые проходят перед операцией, все боятся, все волнуются, все переживают, почему, потому что они не знают, к чему им, как бы да, а что их ждет, вот, а сейчас, как я сказал эти современные операции, я их даже операцией не называю, это просто процедура, процедура, которую делают по дороге домой, я вам сейчас расскажу историю, у меня была пациентка, учительница, вот приходила на прием, мы выполнили, Узи, сказал, что да, нужна операция, она говорит, в принципе, да, я понимаю, что я готова, единственная у меня просьба, можно ли мне назначить дату операции. В пятницу, я говорю, ну, в целом да, мы можем, в пятницу, только у меня просьба еще одна, не с утра операцию сделать, а в пятницу, в 15:00, да, в три часа дня, ну, в общем, я пошел навстречу, и, конечно же, я говорю: да, хорошо, что нибудь придумаем для вас, понимаете, да, она утром дала уроки в школе, в пятницу после уроков, она приходит ко мне, выполняет вот эту процедуру, лазерную, на вены, и после процедуры мы надеваем компрессионные чулки, и она уезжает домой, в этот же день, в субботу, она дома, в воскресенье, она приходит ко мне на осмотр после операции, и в понедельник, как ни в чем не бывало, опять выходит на работу, так что эти процедуры бояться не стоит. А любовь, на самом деле, это после операции, все в один голос говорят, да, что я переживал, да, тут, оказывается, и переживать то нечего было, а так, да, перед операцией все волнуются, поэтому именно тут речь идет про вот эти современные лазерные операции, да, не знаю, как у вас там, в Пермском крае, возможно, если вы пойдете в государственные, там, может, по старинке будут оперировать, там, с разрезами, с удалением, да с наркозом, ну, это, опять же, это лучше, чем вот так, как вы сейчас мучаетесь, боитесь операции, болит у вас нога, беспокоит, лучше сходить все таки найти своего врача, которому вы доверяете свое здоровье, сходить к нему на осмотр, на Узи, задать ему все вопросы, какие вас волнуют, что вас тревожит, да, чтобы он вам все это объяснил и вселил уверенность в том, что да, все будет нормально, и вы могли довериться, поэтому нужно найти своего врача, которому вы готовы доверить свое здоровье, и смело идти избавляться от варикоза, не бояться, так что любовь, я надеюсь, я ответил на ваш вопрос, и надеюсь, что вы все таки решитесь и избавитесь от варикоза, потому что смысла оставлять этот варикоз нет, он только может проблему в будущем создать. Так, Татьяна пишет ответ: Я из Самары, ой, Татьяна, да. В Самаре. Сейчас как раз проходит конференция флебологическая, к сожалению, я не смог поехать на Всероссийская конференция в Самаре, да, не смог поехать из за того, что очень много работы. Вот так: Да, сейчас все флебологи России находятся в Самаре, так что Татьяна может там кого то там и встретите из флебологов, так, ну что, Пермский край, Москва, да, аудитория, да, небольшая, в общем, кто там еще у нас подключается, там пять человек, в эфире, да, но аудитория, честно говоря, небольшая. я привык, что когда я в ютубе провожу эфиры, там вопросов бывает очень много, я просто даже не успеваю отвечать, и у меня даже часа времени не хватает ответить на все вопросы, вот, но не знаю как. В Вк смотрю, что действительно не очень много, и в филе людей, и вопросы как то так. Так вот, вопрос у нас появился, да, Ника пишет тринтал при варикозе после тромбоза глубоких, фен имеет значение. Архангельская область, ну, в целом, Трентал, это не тот препарат, который конечно может помочь при тромбозе глубоких вен, да, он улучшает реалию, да, он немножко тоже улучшит микроциркуляцию, какие то сосуды, микро, в большей степени, он положительно влияет при артериальных проблемах, при проблемах при атеросклерозе артерии, вот как раз предыдущий там Инна спрашивала про вазопростан, вот, ну то линтал, он конечно такой препарат не сильный, запростал, он конечно сильнее, вот, и поэтому в целом, при тромбозе глубоких вен он особо сильно не поможет, при тромбозе глубоких вен больше помогает антикоагулянты, да, это реликвия сексолета, это компрессионный трикотаж, и, конечно же, ходьба, обязательно нужно двигаться и ходить. У меня на youtube канале очень много видео, где пациенты, у которых был тромбоз глубоких вен, они рассказывают о том, как они победили тромбоз, и завтра у меня выйдет, тоже эфир. Видео на ютубе, где пациентка из Китая, тоже наша, русская, женщина, в ней живет в Китае, и вот у нее случился тромбоз, как она лечила тромбоз, тоже будет история, если интересно, смотрите на ютубе, и, возможно, на Вк сообществе, если, еще не подписаны, тоже, подпишитесь эти видео, ну, я буду, ну, стараться дублировать в Вк, тоже так, Любовь, спрашивает, скажите, пожалуйста, а как насчет возраста, мне много лет, ну, любовь, я вам так скажу, что возраст не является противопоказанием к операции. Противопоказанием к операции являются какие то проблемы со здоровьем, если у вас какие то есть серьезные проблемы со здоровьем, что вас не допустит к операции терапевт, потому что все наши пациенты, которые приходят на эту процедуру, обязательно, во первых, должны пройти полный комплекс анализов, да, где входят, прям и все анализы, минимальное количество, общий анализ крови, биохимический анализ, анализ мочи, ка углограмма, группа крови, Вич, все сифилис, гепатиты, все стандартно, обязательно кардиограмму смотрим, и заключение терапевта, терапевт на основании анализов кардиограммы, да, дает тоже свое заключение. Если терапевт пишет, что по возрасту, но он там не пишет возраст, по сопутствующей патологией, он пишет, что противопоказаний к операции нет, только в этом случае, мы берем этого человека на эту процедуру, поэтому возраст тут не является противопоказанием, ну я не знаю у меня сейчас, какой у вас возраст у меня был пациент, когда я работал в госпитале ветерана войн, пациенту которого я прооперировал, было 93 года, после этого он прожил еще точно знаю 8, 8 лет, вот 101 год, он точно, я помню, он был у нас 101 год, вот дальше, я не знаю его судьбу, но вот после вот 93 года, мы его прооперировали, еще 8 лет, он точно прожил после операции, так что я не думаю, что вам 93 года, наверное, да, вот, стесняюсь спросить, ваш возраст, конечно же, вот, ну возраст не является противопоказанием к операции, так, ну вот, не знаю, youtube немножко, да, Вк и трансляция, я смотрю, зависает, посмотреть, как бы не получается, так полноценно, то ли это с моим интернетом какая то проблема, вот, но надеюсь, надеюсь, все, кто меня смотрит, они получают ответы от своих свои вопросы. При облетрирующем атеросклерозе нижних конечностей. Спрашивает Инна, какое лечение, кроме капельницы, вазопростана, должно быть назначено. Врач статины не назначал, общих холестерин 3 5, ну, может быть, поэтому и не назначил, раз холестерин нормальный, ну, на самом деле мы не ориентируемся, просто на общий холестерин, очень важно сдавать липидный профиль, липидограмму надо смотреть, именно липополитеиды низкой плотности, так называемый плохой холестерин, именно от него будет зависеть, нужен вам стативный или нет, какое лечение, обязательно лечение, это что то должно быть антиагрегантное, это аспирин, содержащий какие то препараты, обязательно, это может быть клыки. Дагрель, кстати, да, очень часто назначают при атеросклерозе, это может быть тромбо асс, в обязательном порядке. Антиагреганты должны присутствовать у пациентов с таким выраженным атеросклерозом, вот да, статины тоже, в зависимости от уровня холестерина, конечно же, назначаем, вот обязательно нужна двигательная активность, дозированная ходьба, даже если у вас при ходьбе, у человека болят ноги, он не должен лежать, и он должен, все равно тренировать, он будет двигаться, у него могут появиться новые сосуды, а кровоснабжение улучшится, и не будет вот таких болевых ощущений. Вот. А основное лечение, конечно, это лекарственное лечение, это все таки поддерживающая терапия, основное, это хирургическое лечение. Сейчас есть много методов, есть эндовскулярные методы, когда мы все делаем через проколы, без разрезов, стентирования, также есть открытые методы, когда делают шунтирование в обход закрытого участка, кровоснабжают нижнюю конечность, поэтому это тоже нужно. В первую очередь, конечно, восстанавливать кровоток, так, Татьяна, еще такой вопрос, я стараюсь пить, я стараюсь часто пить, да, или что, пить, для вен, постоянно, два месяца, детралекс, потому что потому что попить, оксиазин, ангенон, эскузан, скажите ваше мнение, так, в общем, пьете детралекс, и иногда еще дополнительно пьете, токсивазин, ангионор, эспузан, ну, в целом, в целом, можно пропивать, да, тот же детралекс, о котором этот флибатонник, да троксевазин, пожалуйста, тоже. Для поддержания вен, можно пропивать, пожалуйста, все эти препараты, да, периодически, можно как, но это все поддерживающая терапия, это не лечит, варикоз, только поддерживающая, да, вы можете таким образом поддержать, вот, а в дальнейшем, в любом случае, если у вас есть риски тромбозов, там, да то от тромбоза, вот эти препараты точно у вас не спасут, так, Любовь Пугачева пишет: мне 75 лет, но у меня больные почки, сейчас я упорно лечу, еще пониженный гемоглобин, тоже лечусь, а, в общем, целый букет болезней. Я прослушала, откуда идет трансляция, трансляция идет из Москвы, я работаю в Москве, да и клиника тоже в Москве находится, где я веду прием, если какие то есть вопросы, да, если нет возможности подъехать, можете записаться на онлайн консультацию, телефон клиники: плюс 7 980 21 3 0 21, вот, вы можете записаться на онлайн консультацию, если вы далеко находитесь территориально, так, а вы любовь, не написали, да, где вы, откуда вы нам пишете, а, Пермский край, все, да, пермский край, вот, ну в целом, опять же, да, как я вам сказал, что все зависит от того, допустит вас терапевт к операции или нет, насколько выражено, потому что, опять же, гемоглонистский гемоглобин, да, насколько, да, если гемоглобин там выше 100, то это не является противопоказанием операции, да, мы можем проблемы с почками, значит, вам нужно заключение нефролога, да, нефролог должен дать свое заключение, так, будет ли запись эфира, так, я, честно говоря, именно не знаю, как здесь вообще у нас сохранится эта запись или нет, не могу сказать, вот, если запись сохранится, значит, будет, затем нажмите кнопку в эфире, понятно. Так, так, ну, что, друзья, в общем, первый эфир в Вк прошел, я считаю, более менее нормально, достаточно было вопросов у нас, да, да, людей было немного в эфире, но все таки вопросы были, и я хоть кому то был полезен, поэтому, да, не забывайте там внизу лайки ставить. Под эфиром, я сейчас попробую, конечно, сохранить эфир, если он сохранится, то это будет хорошо, если вдруг не получится сохранить, то о новых эфирах, я буду уведомлять, тоже писать, подключайтесь, если будет вам, также какие то вопросы возникают, может быть, предварительно вопросы будете задавать, а в ютубе сейчас у меня проходит все, в записи, я задаю вопрос, то есть люди задают вопросы, потом я эти вопросы распечатываю, зачитываю и записываю видео с ответами, уже потому, что прямые эфиры, они всегда чреваты тем, что где то какие то могут быть технические неполадки, так, не совсем, в Перми пишет Любовь Пугачева, город чернушка, о стоимости, тоже интересно спросить, стоимость консультации онлайн, консультации стоит 3000 рублей, вы можете прислать результаты своих анализов по мессенджеру там, да, можно, на whatsapp, можно, Макс, Телеграм, результаты, Узи, анализы, какие то и у вас есть, и мы можем по видеосвязи с вами пообщаться, какие у вас вопросы, полчаса, эфир, то есть консультация онлайн, будет идти, так что можете записываться. В телефон. Еще раз, скажу, плюс 7 980 21 3 0 21, В общем, на этом. Тогда сегодняшний эфир я завершаю, друзья мои. В общем, до новых встреч. Если эфир сохранится, вы можете свои вопросы попробовать написать в комментариях под этим эфиром, и я попробую в следующий раз уже начать отвечать на вопросы, которые вы уже написали в комментариях, а потом уже в моменте. В общем, будьте здоровы, всего хорошего, до свидания. Так, завершить трансляцию, как же ее завершить, так_x000d_
</t>
  </si>
  <si>
    <t>http://vk.com/video-171736200_456240278</t>
  </si>
  <si>
    <t>21.05.2026 21:58</t>
  </si>
  <si>
    <t>🌿 Дальше мы сделали свежий доплер.
Срок был 36.5 нед.
Ну такой носик сфоткали ☺️
Это уже последнее перед госпитализацией УЗИ. Но будет ещё одно обязательно в приемном отделении, когда мы приедем ложиться.
Кровотоки в норме.
ЦПО 1,76 👌🏻
Очень хороший уровень вод 🙏🏻 Прямо удивило. Точнее я уже второй раз наблюдаю, как они увеличиваются на фоне капельниц 🤔 Это просто наблюдение)
Шейка закрыта и не меняет своей длины уже очень давно, швы всё отлично 👌🏻
Дальше приём с ТО, где мы согласовали дату КС ✨
ТО опять осмотрела на кушетке, потрогала, вроде бы никаких предвестников начала родов нет. Но все же предупредила, что сейчас в принципе в любой момент что-то может начаться. Вряд ли схватки, потому что шов шейке не даст начать открываться уж наверняка. Но могут отойти воды. Но это все равно всё не страшно. Что делать, я знаю.
Дальше мне прокапали последнюю третью капельницу актовегина и пентоксифилина. Итого их было 10 шт, сначала 7, потом перерыв и ещё 3, с 32 недель начали.
И мы поехали домой 😌</t>
  </si>
  <si>
    <t xml:space="preserve">Тексты с изображений_x000d_
19 .05 2026 12.16.19 e05538 26 05 19.7 гв—збн0д_x000d_
</t>
  </si>
  <si>
    <t>https://telegram.me/ecoterina_blog/4539</t>
  </si>
  <si>
    <t>https://telegram.me/ecoterina_blog</t>
  </si>
  <si>
    <t>21.05.2026 17:40</t>
  </si>
  <si>
    <t>[id19061575|Анастасия], прокапали трентал, дали таблетку антигистаминного, после анализов возможно добавят лечение по типу прокапать ревмберин ( я попросила сама, и возможно витамины и гептр ) так что говорила про физио, но это все потом</t>
  </si>
  <si>
    <t>http://vk.com/wall-49066148_1685605?reply=1685630&amp;thread=1685628</t>
  </si>
  <si>
    <t>21.05.2026 17:23</t>
  </si>
  <si>
    <t>От фармы повысилось давление
Пью таблетки от давления и пентоксифиллин
Пью много воды</t>
  </si>
  <si>
    <t>http://www.youtube.com/watch?v=JDLrq88-YRs&amp;lc=Ugy4BFQbUl5lu1JVUG14AaABAg</t>
  </si>
  <si>
    <t>21.05.2026 16:49</t>
  </si>
  <si>
    <t>Добрый день! Невролог в комплексе лечения тунельного синдрома прописал пентоксифиллин и витамины В. Когда почитала, что это для микроциркуляции, то возник вопрос "а можно ли при онкологии" ( мтс в лу брюшной полости)?🤔 Сейчас после ХТ (пакл+карбо+бева) прохожу поддерживающую терапию бевацизумаб.</t>
  </si>
  <si>
    <t>https://telegram.me/oncolyachat/155203</t>
  </si>
  <si>
    <t>https://telegram.me/1798766867</t>
  </si>
  <si>
    <t>https://telegram.me/oncolyachat</t>
  </si>
  <si>
    <t>Моей бабуле назначали при проблеме с сосудами трентал, он действует как сосудорасширяющее и кроворазжижающе средство</t>
  </si>
  <si>
    <t>http://vk.com/wall-132664992_1285592?reply=1285688</t>
  </si>
  <si>
    <t>Московская</t>
  </si>
  <si>
    <t>21.05.2026 16:37</t>
  </si>
  <si>
    <t>Обязательно воспользуюсь информацией, а мне для улучшения микроциркуляции крови трентал назначали</t>
  </si>
  <si>
    <t>https://telegram.me/dr_sveta/6038?comment=44895</t>
  </si>
  <si>
    <t>https://telegram.me/nataliya_1</t>
  </si>
  <si>
    <t>https://telegram.me/dr_sveta</t>
  </si>
  <si>
    <t>21.05.2026 16:17</t>
  </si>
  <si>
    <t>[id268284622|Римма], трентал увеличивает питание по сосудам,становишься активней в несколько раз,соответственно больше двигаемся.мне прописал доктор от оттека но покупал без рецепта.и с первой таблетки как будто батарейку поменяли.он не приносит вред.Человек толстеет потому что какое то торможение в организме.активные люди все худые</t>
  </si>
  <si>
    <t>http://vk.com/wall-217589574_51620?reply=52128&amp;thread=51651</t>
  </si>
  <si>
    <t>Татарстан</t>
  </si>
  <si>
    <t>21.05.2026 14:33</t>
  </si>
  <si>
    <t>Пациентам с сахарным диабетом с подтвержденным заболеванием артерий нижних конечностей показано назначение
1) актовегина
2) вессел дуэ ф
3) пентоксифиллина
4) статинов
.
.
.
.
.
.
.
.
.
.
Правильный ответ: статинов 😉
#Эндокринолог #гармоны #Эндокринология #диабет
Купить тесты с ответами в PDF:
medik-otvet.ru/product/endokrinologiya/ ✅</t>
  </si>
  <si>
    <t>http://vk.com/wall-226299499_1040</t>
  </si>
  <si>
    <t>Вессел, Пентоксифиллин</t>
  </si>
  <si>
    <t>21.05.2026 14:19</t>
  </si>
  <si>
    <t>Невролог 28.01.2026
1 лечение:
Мовалис 15 мг 1 раз в день
Омез 20 мг 1 раз в день
Мидокалм 150 мг 2 раза в день
Меновазин
Долгит гель
Ампипульс (если после того как сидел хромал и шел на процедуре, то на процедуре при активной стимудяци двух зон, поясницы и бедра выходил как новый, но до очередного сидения)
МРТ 07.02.2026
После мрт 19.02.2026:
Ксефокам 8 мг 2 раза в день
Омез 20 мг 1 раз в день
Мидокалм лонг 450 мг 1 раз
Версатис (если клеил на бедро, то чуствовал боль в пояснице)
Нейромидин
Ипидакрин
Лечение 2 24.03.2026:
Дексалгин 2.0 в/м 5 раз, затем в таблетках
Омез
Мильгамма 2 мг в/м 10 раз
Мидокалм Лонг 450 1 раз в день
Нейрохирург 19.04.2026:
Артоксан 1 ампула через день
Мукосат 10 раз через день
Пентовит
Вазонит 300 мг 2 раза 20 дней
Актовегин 10 уколов, затем таблетки
Карбамазепин постепенно до 1 мг 2 раза в день
Блокада 1 раз - 2 укола
Эмг, УЗИ вен ног 26.04.2026
Продолжение 02.05.2026:
Целебрекс 200 мг 1 таблетка 10 раз
Мукосат, затем Румалон 1 мг - 10 раз
Вазонит
Актовегин - 25 дней
Карбамазепин - 1 мг 2 раза 35 дней
Блокада 1 раз - 4 укола</t>
  </si>
  <si>
    <t>https://telegram.me/grizhapro/1077786</t>
  </si>
  <si>
    <t>https://telegram.me/sanechekk</t>
  </si>
  <si>
    <t>https://telegram.me/grizhapro</t>
  </si>
  <si>
    <t>21.05.2026 11:58</t>
  </si>
  <si>
    <t>[id9174273|Виктор], так рассказывать не о чем в общем то. Дурь сплошная. 1 раз ставили онкологию, клали на операцию удалять, оказалось аберантная ПЖЖ, второй раз не вкололи имунноглобулин во время беременности как итог ребенок в реанимации (резус конфликт), 3й раз лошадиная доза антибиотиков - интерсициальный нефрит. И из последнего вместо обследования и лечения - пентоксифеллин, детралекс и компресионный трикотаж. Диагноз анкилозирующий спондилоартрит 🤷‍♀️</t>
  </si>
  <si>
    <t>http://vk.com/wall-131908471_1104520?reply=1105976&amp;thread=1104870</t>
  </si>
  <si>
    <t>21.05.2026 11:36</t>
  </si>
  <si>
    <t>Всем здравствуйте легла в квд , до результатов анализа назначили такое лечение. Не совсем могу расшифровать, врач сказала лечение без гормонов, но все равно волнуюсь. Поняла что 1) трентал, но с чем не поняла. 2) салицилка, опять с чем то не поняла. 3 ) Лоратодин. Кто может сказать, здесь точна нет гормонов ?</t>
  </si>
  <si>
    <t xml:space="preserve">Тексты с изображений_x000d_
«звезчи» сооликт#я ra аа с.м(д назначений и их вьполнение дленапис) lcge с n медия i1d лекарственные прегараты пищевая he pu ипд и вида аллергичсской реакции аллергия или уныг ряду и cl nicchaj)ar да*га дата лекарствешная пазначения: отмеши: отметки a жиолурнов примелспия), #pobkalchocob лсчащего полпись подпись лекарствевного ipcinturliv.com? nispto лечащего лittirid.pcatine ташис, рсжим врача(врача. врача(врача спсциалиста) споццаалиста) сдславнего otmchiniicio пазначспис назначелие rz ja. 4.x j.j.e. uxl ro.re с ахл clalva 11% 7.2 )alfer lct со j.9 er hagla xxm gyte tej co—127944 sevyla_x000d_
</t>
  </si>
  <si>
    <t>http://vk.com/wall-49066148_1685585</t>
  </si>
  <si>
    <t>21.05.2026 10:52</t>
  </si>
  <si>
    <t>http://www.youtube.com/watch?v=7a8PtV2wUug&amp;lc=UgwrEulzts90nk1hfVx4AaABAg.AX11bomQr-1AX2yZxqTnAu</t>
  </si>
  <si>
    <t>21.05.2026 10:09</t>
  </si>
  <si>
    <t>[id165307226|Николай], прочитала про трентал..
Это только с врачом...</t>
  </si>
  <si>
    <t>http://vk.com/wall-217589574_51620?reply=52105&amp;thread=51651</t>
  </si>
  <si>
    <t>Свердловская</t>
  </si>
  <si>
    <t>21.05.2026 08:25</t>
  </si>
  <si>
    <t>[id268284622|Римма], кушать меньше и режим.побольше движений,точней максимально больше.Выпейте трентал и сами захотите двигаться.Сосуды заторможены из за переедания и обмен веществ медленный</t>
  </si>
  <si>
    <t>http://vk.com/wall-217589574_51620?reply=52100&amp;thread=51651</t>
  </si>
  <si>
    <t>21.05.2026 04:30</t>
  </si>
  <si>
    <t>3года тренировки рабочие,в дополнение к тренировкам были незначительные добавки : тренболон,тестостерон,пентоксифилин,гормон роста,инсулин,стеройды 🤣</t>
  </si>
  <si>
    <t>https://telegram.me/cybers/35612?comment=896390</t>
  </si>
  <si>
    <t>https://telegram.me/maker072</t>
  </si>
  <si>
    <t>https://telegram.me/cybers</t>
  </si>
  <si>
    <t>21.05.2026 03:49</t>
  </si>
  <si>
    <t>У меня онемения жжения,стоп и грудной клетки вокруг туловища.Что это может быть.Прокапываю Гептрал,трентал,все равно не проходит.После прокапывания,жжение проходит на время,потом снова жгет</t>
  </si>
  <si>
    <t>http://www.youtube.com/watch?v=_kRmHYnJ3zA&amp;lc=Ugxw7nI7TZUovsh-H9x4AaABAg.AX1JZurfFarAX2BWGJcKeC</t>
  </si>
  <si>
    <t>21.05.2026 03:04</t>
  </si>
  <si>
    <t>Здравствуйте
Валериана комплекс в большинстве случаев можно принимать вместе с мидокалмом, оксилипеном, ипидакрином и тренталом, так как клинически значимых опасных взаимодействий между ними нет.
Однако важно учитывать, что мидокалм может давать лёгкий седативный эффект, а валериана и пустырник также обладают успокаивающим действием. В результате их сочетания возможны сонливость, снижение концентрации и лёгкое головокружение, поэтому следует осторожно относиться к вождению и деятельности, требующей повышенного внимания.
Ипидакрин не является седативным препаратом и не усиливает действие валерианы в значимой степени. Он действует на нервно-мышечную передачу и у некоторых людей может вызывать скорее возбуждение или вегетативные реакции, чем сонливость.
Трентал с валерианой не конфликтует, но сам по себе может снижать артериальное давление, поэтому в сочетании с успокаивающими средствами иногда может усиливаться ощущение слабости или головокружения при изменении положения тела.
В целом такую комбинацию принимать можно, но желательно начинать с небольшой дозы валерианы и наблюдать за реакцией организма в течение нескольких дней.</t>
  </si>
  <si>
    <t>https://sprosivracha.com/questions/4346985-sovmestnyy-priem-lekarstv#a27833581</t>
  </si>
  <si>
    <t>21.05.2026 02:44</t>
  </si>
  <si>
    <t>Совместный прием лекарств</t>
  </si>
  <si>
    <t>Невролог назначила для лечения Мидокалм, окиолипен, ипидакрин и трентал. Можно ли принимать совместно с этими препаратами валерьяну комплекс (пустырник +В6)? Тк прочитала что ипидакрин усиливает действие седативных средств. Заранее благодарю</t>
  </si>
  <si>
    <t>21.05.2026 00:17</t>
  </si>
  <si>
    <t>В вашем случае потребуется консультация и эндокринолога, и невролога, моему отцу, когда началось онемение ног назначали трентал для улучшения микроциркуляции крови</t>
  </si>
  <si>
    <t>http://vk.com/wall-149047382_3167932?reply=3168605</t>
  </si>
  <si>
    <t>21.05.2026 00:05</t>
  </si>
  <si>
    <t>У меня тромб был в районе колена с внутренней стороны, удалили, потом назначили трентал для улучшения кровообращения</t>
  </si>
  <si>
    <t>https://dzen.ru/a/agy3ghUdvlFXoT2M?comment-request=1#comment_3310515982</t>
  </si>
  <si>
    <t>21.05.2026 00:00</t>
  </si>
  <si>
    <t>Познавательная информация, но к сожалению не всегда есть время заняться процедурами , мне для улучшения кровообращения назначали трентал</t>
  </si>
  <si>
    <t>http://vk.com/wall-193354828_50819?reply=50859</t>
  </si>
  <si>
    <t>20.05.2026 19:05</t>
  </si>
  <si>
    <t>Синдром Рейно под микроскопом: вот как это выглядит.
Пациент с синдромом Рейно, из симптомов периодические спазмы сосудов, побеление и онемение пальцев, постоянно холодные руки.
Сделали капилляроскопию, чтобы понять, насколько глубока проблема.
Картина до:
выраженное удлинение капилляров;
спазм артериол и местами венул;
извитость и деградация капилляров.
Организм компенсирует недостаток кровотока, тянет капилляры, закручивает их, но кровь всё равно не проходит нормально. Ткани хронически недополучают питание и кислород.
Что назначили:
инфузионную сосудистую терапию (пентоксифиллин, никотиновая кислота, актовегин) для прямого воздействия на микроциркуляцию.
физическую активность 2-3 раза в неделю как стимул для раскрытия капиллярной сети;
сауну или баню 1 раз в неделю для тепловой тренировки сосудов.
Картина после: число функционирующих капилляров увеличилось, скорость кровотока повысилась, но спазм капилляров сохраняется, поэтому протокол продолжается.
Пациент почувствовал разницу раньше, чем увидел снимки. Руки стали теплее, онемение уменьшилось. Обследование дало понимание, что изменилось и что ещё предстоит сделать.
Спазм остался, но это не неудача, а точка продолжения. Протокол строится по картинке конкретного человека, а не по шаблону.
Больше разборов реальных кейсов на бесплатном вебинаре 26 мая.
Регистрируйтесь по ссылке: vk.cc/cXVobv
Бот в Телеграм: vk.cc/cXVofj</t>
  </si>
  <si>
    <t xml:space="preserve">Тексты с изображений_x000d_
doktop dлин кеис синдром рейно polard_x000d_
doktop олин картина до: выраженное удлинение капилляров: спазм артериол и местами венул: извитость и деградация капилляров. организм компенсирует недостаток кровотока, тянет капилляры, закручивает их, но кровь все равно не проходит нормально. ткани хронически недополучают питание и кислород lee_x000d_
doktop длин картина после лечения: число функционирующих капилляров увеличилось, скорость кровотока повысилась, но спазм капилляров сохраняется, поэтому протокол продолжается. 50pm_x000d_
</t>
  </si>
  <si>
    <t>http://vk.com/wall-238438025_15</t>
  </si>
  <si>
    <t>20.05.2026 18:12</t>
  </si>
  <si>
    <t>Людмила, здравствуйте!
В данном случае ситуация выглядит серьезно, так как появились язвы, почернение пальцев и сильная боль. Пентоксифилин и никотиновая кислота могут быть недостаточны, а Вазапростан как раз применяют при критическом нарушении кровотока.
Прикрепите пожалуйста фото рук и пальцев так будет понятнее насколько выражены изменения и что можно рекомендовать дальше</t>
  </si>
  <si>
    <t>https://sprosivracha.com/questions/4345843-bolezn-byurgera#a27824442</t>
  </si>
  <si>
    <t>20.05.2026 18:06</t>
  </si>
  <si>
    <t>Болезнь бюргера</t>
  </si>
  <si>
    <t>Здравствуйте, я в 2016-2017 году перенес поясничную симпатэктомию с обеих сторон, ставили диагноз - болезнь Рейно. Сказали бросить курить и прокапывать капельницы два раза в год. Рекомендации нк соблюдались, пальцы переодически болели, то на руках то на ногах. Сейчас все перешло на руки, образовались тропические язвы. Пальцы чернеют, отмирают, очень сильно болят. Никакие обезболивающие помогают, не могу ни есть, ни спать. Недавно был на консультации у сосудистого хирурга, он выписал мне капать капельницы "Вазапростан" 21 день. Я прочитал, что у них много побочек и стал капать капельницы, которые мне назначал врач еще с ногами в 2017 году "Пентоксифилин и никотиновая кислота". Сегодня пошла уже четвертная процедура, легче не становится абсолютно, палец продолжает чернет и очень сильно болеть. На данный момент не курю вторую неделю. Знаю, что может помочь операция "грудная симпатэктомия", но где ее сделать не знаю. Подскажите пожалуйста клинику/врача, который может провести такую операцию.</t>
  </si>
  <si>
    <t>20.05.2026 11:41</t>
  </si>
  <si>
    <t>Может пора немного послушать пациентов, в том числе женщин? Которым на приеме вместо обследования и лечения говорят, что у них "паническая атака", они "слишком тревожные" и занимаются "гипердиаагностикой" и вообще это "остеохондроз болит"?
Меня так несколько лет гоняли с диагнозами "паническая атака". Ни МРТ ни рентгена. Когда все стало совсем плохо лечили меня детралексом и пентоксифеллином и предлагали выписать антидепрессанты. А оказалось ауооимунное заболеваниее. Ревматолог в поликлиннике за 10 месяцев меня убеждал, что я ненормальная, не дал ни одного направления ни на ренген ни на МРТ ни на анализы крови.
И спасибо, что есть платная медицина и "самостоятельная гипердиагностика", а то сидела бы сейчас в инвалидной коляске, если бы вообще была бы жива</t>
  </si>
  <si>
    <t>http://vk.com/wall-131908471_1104520?reply=1104870</t>
  </si>
  <si>
    <t>20.05.2026 02:58</t>
  </si>
  <si>
    <t>Здравствуйте
Вероятнее всего страдает веточка тройничного нерва
Из медикаментозных методов лечения рекомендуют при отсутствии противопоказаний и аллергических реакций :
Дексаметазон вм для снятия отека
Вазонит- 600 мг в сутки. препарат для улучшения кровообращения в периферических нервах ( нервы конечностей)
Нейромидин 40 мг/суи- препарат для улучшения нервно-мышечной проводимости.
Ксефомиелин - витамины группы в, помогают восстанавливаться нервным волокнам</t>
  </si>
  <si>
    <t>https://sprosivracha.com/questions/4343588-nemeet-guba-i-nos-posle-ushiba-glaza#a27815572</t>
  </si>
  <si>
    <t>20.05.2026 02:25</t>
  </si>
  <si>
    <t>Аспаркам 2 утром 2 вечером
Рибоксин 2 утром 2 вечером
Пентоксифиллин и омега на ночь )
Нет проблем 🤷🏻‍♂️</t>
  </si>
  <si>
    <t>http://www.youtube.com/watch?v=EovQNlTpgKc&amp;lc=UgwCH4YQUQ2E6F9tGox4AaABAg.AWzOlGC9OYxAWzTVj6-FIJ</t>
  </si>
  <si>
    <t>19.05.2026 21:25</t>
  </si>
  <si>
    <t>Врач Рассказал, Почему Частая Сонливость Связана с Мозгом (интервью) Врач рассказал, почему постоянная сонливость — это не лень и не «мало спите»...</t>
  </si>
  <si>
    <t>Врач Рассказал, Почему Частая Сонливость Связана с Мозгом (интервью)
Врач рассказал, почему постоянная сонливость — это не лень и не «мало спите», а мозг уже недополучает кислород По данным Минздрава РФ 2025 — у 78 % пациентов с впервые выявленным стенозом сонных или позвоночных артерий главной жалобой была «я всё время хочу спать», а не головная боль. 4+ «да» — мозг уже работает в режиме экономии кислорода! «Я — Екатерина, 49 лет, Саратов.
С 45 лет превратилась в соню: спала по 10–11 часов, а через час после завтрака уже хотела обратно в кровать. Коллеги шутили: «Катя, ты беременна?»
Пила кофе литрами — не помогало.
В 2025 году на ТКД врач сказал: «У вас кровоток в мозг снижен на 58 % из-за стеноза обеих сонных артерий 72–75 %».
Через 3 месяца на розувастатине 40 мг + аспирине + трентале сонливость ушла на 90 %, я снова живой человек». Год 1–2 → засыпаю в транспорте, после еды
Год 3–4 → сплю 10+ часов, всё равно сонная
Год 5 → стеноз &gt;70 % → риск инсульта ×15 Результат:
0–15 баллов → обычная усталость
16–30 баллов → срочно ТКД + дуплекс сосудов шеи зав
https://ok.ru/dzen/article/aSJAQRRDQzo4tp_S</t>
  </si>
  <si>
    <t>http://ok.ru/profile/523027629056/statuses/165573283678208</t>
  </si>
  <si>
    <t>Краснодарский</t>
  </si>
  <si>
    <t>19.05.2026 16:02</t>
  </si>
  <si>
    <t>Опасная привычка: почему врачи до сих пор назначают бесполезные сердечные лекарства</t>
  </si>
  <si>
    <t>Вы приходите к кардиологу с жалобами. Вам выписывают рецепт. Вы идете в аптеку, отдаете деньги. Иногда немалые. Пьете таблетки неделями, месяцами. А сердце все равно ноет, давление скачет, одышка не уходит. Что происходит? Возможно, в вашем списке назначений есть лекарства, которые современная медицина считает неэффективными. Или откровенно бесполезными. Или такими, которые работают только в голове у пациента и у врача. Я не буду использовать сложные термины. Не буду пугать. Просто покажу на примерах, как отличить работающее лекарство от пустышки. И дам простой алгоритм: что делать, если вы нашли такое в своей аптечке. Эта статья не для того, чтобы вы порвали все рецепты и бросили пить таблетки. А для того, чтобы вы задали правильные вопросы своему врачу. И может быть, сэкономили деньги. Или даже здоровье. Как вообще лекарство становится «неэффективным»? Для начала простой принцип. Хорошее лекарство прошло три этапа проверки. Сначала его испытали на здоровых добровольцах – убедились, что не убивает. Потом на маленькой группе больных – увидели какой-то эффект. Потом на большой группе (тысячи человек) – сравнили с пустышкой и с уже известными препаратами. Если на последнем этапе выясняется, что новое лекарство не лучше сахарной пилюли – ему не дают разрешение. Или дают, но с пометкой «эффективность не доказана». Но есть нюанс. Многие препараты появились давно, когда требования к доказательствам были мягче. Они остались на рынке по инерции. Врачи привыкли их назначать. Учебники их упоминают. Пациенты верят. А еще есть лекарства, которые работают... но не так, как все думают. Например, спазмолитик может снять боль в груди, но не потому, что расширил сосуды сердца, а просто притупил ощущения. Вроде помогло – а по факту вы заглушили важный сигнал. Самые частые бесполезные назначения в кардиологии Поехали по списку. Если найдете что-то из этого в своих рецептах – не паникуйте. Просто прочитайте до конца. 1. Препараты, которые «улучшают обмен веществ в сердечной мышце» Это большой класс. Рибоксин, милдронат (мельдоний), АТФ-лонг, кокарбоксилаза, неотон, триметазидин (предуктал, метазидин и другие названия). Звучит убедительно: «сердцу нужна энергия», «миокард голодает», «укрепим метаболизм». На самом деле... Рибоксин – предшественник АТФ, главной энергетической молекулы в клетке. Логично? Логично. Но когда вы глотаете рибоксин, он распадается в желудке и кишечнике на кирпичики. До сердечной мышцы эти кирпичики практически не доходят в нужном количестве. Исследования показали: рибоксин не снижает смертность при инфаркте, не улучшает выживаемость при сердечной недостаточности. Больше 30 лет его пробовали использовать в кардиологии. Результат – эффекта нет, но побочные эффекты есть (аллергия, обострение подагры). Милдронат (мельдоний) – вообще отдельная история. Он запрещен Всемирным антидопинговым агентством для спортсменов, потому что помогает переносить нагрузки. Но для больного сердца? Клинические исследования не показали убедительных преимуществ. Одни говорят, что немного улучшается переносимость физической нагрузки. Другие исследования этого не подтвердили. А на сердечную недостаточность или выживаемость после инфаркта препарат не влияет. Европейское кардиологическое общество в своих рекомендациях говорит: применять триметазидин и милдронат не рекомендуется. Исключение – когда другие лекарства не помогают, и то с оговорками. Триметазидин (предуктал, деприм) – долгое время его назначали при стенокардии. Он помогает клеткам сердца переходить на более экономный режим сжигания жиров вместо глюкозы. Вроде бы хорошо. Но масштабное исследование 2020 года показало: триметазидин не снижает риск инфаркта, смерти, госпитализаций. При этом вызывает серьезные побочные эффекты – головокружение, шаткость походки, нарушение координации (особенно у пожилых). Сейчас в Европе и США его почти не назначают. В России – назначают массово, потому что многие врачи не читают новые данные. Что делать, если вам прописали что-то из этого? Задать вопрос: «А есть исследования, что это лекарство продлевает жизнь или снижает риск инфаркта?» Если врач говорит «нет, но оно улучшает самочувствие», спросите: «А можно обойтись без него?» Чаще всего – можно. 2. «Сосудистые» препараты, которые не работают на сосудах сердца Винпоцетин (кавинтон, винпотон), циннаризин, никотиновая кислота (в уколах), пентоксифиллин (трентал), актовегин, солкосерил. Их назначают «для улучшения мозгового кровообращения» или «для периферических сосудов». Но кардиологи тоже любят их прописывать «для коронарных артерий» – сосудов, питающих сердце. Винпоцетин – расширяет сосуды мозга, но на сердце почти не действует. Исследования не нашли доказательств, что он улучшает исходы при ишемической болезни сердца. Он даже в инструкции не позиционируется как лекарство от стенокардии. Пентоксифиллин – улучшает текучесть крови, снижает вязкость. Теоретически это полезно для сосудов сердца. Практически – эффект очень слабый. В крупных исследованиях он не показал снижения риска инфаркта или смерти. Зато вызывает тошноту, головную боль, тахикардию. Актовегин и солкосерил – производные из крови телят. Выпускаются в ампулах и таблетках. У нас их любят при «нарушении мозгового кровообращения» и при «ишемии миокарда». За рубежом их нет в кардиологических протоколах. Доказательная база нулевая. Европейское агентство лекарственных средств еще в 2013 году призвало к осторожности из-за риска аллергических реакций и отсутствия пользы. Почему врачи их назначают? Потому что в 1990-е их активно рекламировали. Потому что пациент жалуется на «сосуды», и врач хочет что-то сделать. Сделать хоть что-то. А настоящее лечение – статины, аспирин, бета-блокаторы – это скучно, долго, требует контроля. А тут укольчик – и вроде полегчало. Но «полегчало» часто оказывается плацебо. Или потому, что пациент просто отдохнул во время капельницы. 3. «Кардиопротекторы» и антиоксиданты, которые не спасают Коэнзим Q10, магнерот (магния оротат), панангин (аспаркам), предуктал (мы уже проходили), мексидол, этилметилгидроксипиридина сукцинат (сложное название, суть простая – антиоксидант). Коэнзим Q10 – важная молекула в митохондриях. При сердечной недостаточности его уровень в крови может быть снижен. Логично добавить извне? Логично. Но мета-анализы не нашли убедительных доказательств, что добавки коэнзима Q10 снижают смертность или количество госпитализаций. Некоторые исследования показывают небольшое улучшение качества жизни. Но не больше. При этом стоят такие добавки дорого. Панангин и аспаркам – соли калия и магния. Используются для профилактики аритмий и при лечении диуретиками (мочегонными). Проблема в том, что всасывается из этих таблеток очень мало калия – граммовые дозы таблеток дают миллиграммы усвоенного калия. Для реальной коррекции гипокалиемии нужны специализированные препараты калия (хлорид калия, панангин в инъекциях). А в таблетках это скорее плацебо. Исследования не показали, что панангин снижает риск аритмий или смертности. Но мне его прописал профессор! Профессор может ошибаться. Или полагаться на старые данные. Или считать, что «раз магний полезен, то таблетки с магнием полезны вдвойне». На самом деле современный подход: назначать калий и магний только при доказанном дефиците. А дефицит лечить нормальными дозами и формами. 4. «Разжижающие» кровь, но не влияющие на тромбы Курантил (дипиридамол), трентал (пентоксифиллин), агапурин, вазапростан. Курантил – расширяет сосуды и немного снижает слипание тромбоцитов. Раньше его назначали для профилактики тромбозов. Но потом появились аспирин, клопидогрель – которые во много раз эффективнее. Исследования показали: курантил уступает аспирину по снижению риска инфаркта и инсульта. А побочных эффектов больше (головные боли, покраснение лица, сердцебиение). Сейчас курантил имеет узкую нишу – иногда при беременности для профилактики плацентарной недостаточности. Но в кардиологии для обычного пациента он бесполезен и даже вреден (может вызвать эффект «обкрадывания» – расширяет здоровые сосуды, а больные сужает). Пентоксифиллин мы уже упоминали. Добавлю, что при критической ишемии ног он чуть-чуть помогает, но при ишемии сердца – нет доказательств. 5. «Ноотропы» в кардиологии – зачем они там? Фенибут, пирацетам, ноопепт, глицин. Их обычно назначают неврологи при ухудшении памяти или после инсультов. Но иногда кардиологи вписывают их в рецепт «для общего тонуса», «чтобы сосуды лучше работали» или «от одышки». Пирацетам – одно из самых бесполезных лекарств в мире. Он не работает при деменции, при нарушении памяти, при инсульте. Мета-анализ 2017 года (40 000 пациентов) показал: пирацетам не дает никакого значимого эффекта. При этом вызывает возбуждение, бессонницу, головную боль. В Европе его почти не назначают. В России – он входит в стандарты по «хронической ишемии мозга». В кардиологии ему делать нечего. Фенибут – транквилизатор с легким противотревожным действием. Может помочь, если одышка вызвана паникой, а не реальной сердечной недостаточностью. Но если есть реальная сердечная недостаточность – фенибут ее не лечит. Он только маскирует симптомы. Мораль: если врач выписывает вам что-то для «мозгов» в кардиологии – задайте вопрос «а зачем?». Честный ответ часто будет: «ну, для улучшения микроциркуляции». А доказательной микроциркуляции не существует. Почему врачи вообще их назначают? Это больной вопрос. Причин несколько. Первая – инерция мышления. Многие врачи учились 20-30 лет назад, когда эффективность этих препаратов считалась доказанной. Они не следят за новыми исследованиями. Или следят, но не верят. Или верят, но в поликлинике есть приказ «выписывать не менее трех препаратов на прием». Вторая – давление пациентов. «Доктор, мне в прошлый раз так помогли капельницы с мексидолом! Выпишите мне их снова». Спорить с пациентом сложно. Проще выписать. Третья – коммерческая. Фармкомпании активно продвигают эти лекарства. Проводят конференции, дарят ручки, платят за выступления. Врач – живой человек, у него тоже есть быт, кредиты. Сложно устоять. Четвертая – отсутствие времени. Настоящее лечение сердечных болезней – это подбор статинов, бета-блокаторов, ингибиторов АПФ, антагонистов кальция. Это требует расчетов, контроля анализов, учета побочных эффектов. А выписать панангин и рибоксин – проще простого. И пациент доволен, и начальник не придерется. А что тогда работает? Чтобы вы не подумали, что кардиология – сплошное надувательство, я перечислю коротко препараты с доказанной эффективностью. Их не много. Но они реально снижают риск инфаркта, инсульта и смерти. Аспирин (кардиомагнил, тромбо-АСС) и другие антиагреганты. Разжижают кровь настолько, что тромбы не образуются. Назначаются после инфаркта, при стенокардии, после стентирования. Статины (аторвастатин, розувастатин, симвастатин). Снижают холестерин. Но главное – стабилизируют бляшки в сосудах, чтобы они не лопались. Это самое важное открытие в кардиологии за последние 30 лет. Бета-блокаторы (бисопролол, метопролол, карведилол). Замедляют пульс, снижают нагрузку на сердце, предотвращают аритмии. Спасают при сердечной недостаточности. Ингибиторы АПФ (лизиноприл, периндоприл, рамиприл) и сартаны (лозартан, валсартан). Снижают давление, защищают сосуды, замедляют развитие сердечной недостаточности. Антагонисты кальция (амлодипин, верапамил, дилтиазем). Расширяют сосуды, снижают давление, помогают при стенокардии. Диуретики (индапамид, гидрохлоротиазид, торасемид, фуросемид). Убирают лишнюю жидкость, снимают отеки и одышку. Антикоагулянты (варфарин, апиксабан, ривароксабан, дабигатран). Для тех, у кого мерцательная аритмия или тромбозы в венах. Нитраты (нитроглицерин, изосорбида динитрат). Не снижают смертность, но эффективно снимают боль при стенокардии. Обратите внимание: в этом списке нет рибоксина, нет милдроната, нет актовегина, нет панангина, нет курантила, нет мексидола. Их нет в международных рекомендациях. Их нет в стандартах лечения инфаркта, гипертонии, сердечной недостаточности. Как проверить свои рецепты: пошаговая инструкция Шаг 1. Соберите все назначения. Все бумажки, упаковки, названия. Выпишите их на листок. Шаг 2. Возьмите любой препарат и задайте себе вопрос: «Продлевает ли он жизнь? Снижает ли риск инфаркта или инсульта? Уменьшает ли давление или пульс? Снимает ли боль? Убирает ли отеки?» Если да – он, скорее всего, рабочий. Если вы отвечаете «он улучшает обмен веществ» или «он укрепляет сосуды» – будьте осторожны. Шаг 3. Проверьте название в поисковике, добавив слова «доказательная база» или «Кокрейновская библиотека». Но это для продвинутых. Для простых – смотрите, есть ли лекарство в списке «Жизненно важные и необходимые лекарства» Минздрава РФ. Там много пустышек, но хотя бы некоторые отсеиваются. Шаг 4. Посмотрите на год регистрации лекарства. Если он старый – 1980-е, 1990-е – и вы никогда не слышали, чтобы его использовали за границей – вероятно, это местное ноу-хау. Шаг 5. Спросите у врача. Не в агрессивной форме. А так: «Коллега, я прочитал, что рибоксин не имеет доказанной эффективности. Почему вы его назначили?» Хороший врач ответит. Может быть, у вас особый случай. Может быть, он объяснит, что другого варианта нет. Может быть, скажет: «Да, вы правы, выпишу другой препарат». Что делать, если вы нашли у себя «пустышку»? Не бросайте пить ее резко. Некоторые лекарства (например, милдронат) при резкой отмене могут дать синдром отмены? Нет, но лучше не рисковать. Первый вариант – проконсультироваться с другим кардиологом. Второй – идти к своему и показывать эту статью. Не как истину в последней инстанции, а как повод для разговора. Третий вариант – если препарат безопасный (например, панангин или рибоксин) и вы пьете его годами, можно просто отменить. Ничего страшного не случится. Но предупредите врача на следующем приеме. Сложнее с капельницами и уколами. Их всегда назначает врач. Если вам предлагают курс внутривенных капельниц «для сердца» – задайте вопрос: «А какая именно цель? Без этих капельниц я умру? Или мне станет легче? И как вы измерите, что легче?» Если врач не может внятно ответить – скорее всего, это псевдолечение. Реальные истории из практики – без вымысла Пациентка Мария, 65 лет. Гипертония, стенокардия. Принимает лизиноприл, амлодипин, аспирин. И еще – милдронат, мексидол, курантил, панангин, винпоцетин. Семь таблеток в день. Головные боли, сердцебиение, слабость. Отменили все лишнее. Оставили три работающих препарата. Через две недели – давление 130/80, пульс 70, голова не болит, сил больше. Потому что побочные эффекты ушли. Пациент Владимир, 58 лет. После инфаркта миокарда. Назначено: аспирин, аторвастатин, бисопролол, рамиприл. И плюс рибоксин, кокарбоксилаза, АТФ-лонг, а еще уколы актовегина курсом два раза в год. Ходит колоться. Деньги тратит. Спросили: «Зачем вам уколы?» «Врач сказал, для восстановления сердца». Показали исследование: никакого восстановления нет. Перестал колоться. Через год – сердце не хуже, кошелек толще. Пациентка Елена, 48 лет. Вегетососудистая дистония (которой на самом деле не существует как болезни). Кардиолог выписал фенибут, глицин, панангин, мексидол. Чувствовала себя все равно тревожно. Пошла к психотерапевту – оказалась тревожно-депрессивное расстройство. Назначили сертралин. Через месяц – как новорожденная. Без фенибута и мексидола. Почему неэффективные лекарства опасны, даже если они «безвредные» Казалось бы, ну пьешь ты рибоксин, ну какой вред? Трава не растет. Вред есть. И он неочевидный. Первый вред – финансовый. Панангин стоит 200-300 рублей за упаковку. Рибоксин – 100-200. Мексидол в уколах – 800-1000 за ампулы. Курантил – 500-700. Милдронат – 300-500. В год набегает 10-20 тысяч рублей. Для пенсионера – существенная сумма. Второй вред – побочные эффекты. От панангина может быть тошнота, диарея. От курантила – головные боли и сердцебиение. От мексидола – сонливость и сухость во рту. От милдроната – тахикардия. Вы лечите сердце, а получаете новые симптомы. Третий вред – отсроченное настоящее лечение. Пока вы пьете рибоксин и ставите капельницы с актовегином, вы не добавляете правильную дозу статина. Или не идете к хирургу на стентирование. Или не меняете образ жизни. Время уходит на пустышки. Четвертый вред – ложное спокойствие. «Я лечусь, я пью таблетки, все хорошо». А на самом деле – нет. Инфаркт не спрашивает, пьете ли вы милдронат. Что в итоге? Простые советы Не доверяйте громким названиям. «Кардио» в начале не делает лекарство сердечным. Не верьте в «обмен веществ». Сердцу не нужны «улучшатели обмена», если ему не хватает кислорода из-за забитых сосудов. Спрашивайте врача: «Это лекарство снижает смертность?» Если врач не понимает вопроса – ищите другого врача. Проверяйте международные рекомендации. Европейское общество кардиологов (ESC) и Американская кардиологическая ассоциация (AHA) каждый год выпускают обновления. Если лекарства нет в их списках – вероятно, оно не нужно. Не бойтесь отменять лишнее. Но делайте это с врачом. Или хотя бы по одному препарату, с наблюдением за самочувствием. Берегите деньги. Лечение сердца не должно стоить как иномарка. Рабочая схема (аспирин + статин + бета-блокатор + иАПФ) обходится в 500-1000 рублей в месяц. Все, что дороже – повод задуматься. Помните: лучшая защита от ненужных лекарств – ваша собственная грамотность. Читайте, спрашивайте, сомневайтесь. Несколько честных слов в конце Я не призываю вас отказаться от всех лекарств. Я призываю вас не тратить деньги и время на то, что не работает. И не навредить себе побочными эффектами. Современная кардиология – это наука о том, как продлить жизнь и сохранить ее качество. И у этой науки есть честные инструменты: статины, антиагреганты, бета-блокаторы, иАПФ, сартаны, антагонисты кальция, диуретики, антикоагулянты. Всё. Остальное – либо маркетинг, либо инерция, либо незнание. Будьте здоровы не благодаря пустышкам, а вопреки им. Забирайте бесплатно на нашем канале ✔Методическое пособие по здоровью щитовидной железы в нашем канале Max https://max.ru/dietolognaumov ✔Рацион питания на месяц с рецептами приготовления блюд https://max.ru/pprezeptizdes ✔ Методичка "Питание при гипотиреозе" https://max.ru/pprezeptizdes/AZ20W14aF94 ✔ Подробные рекомендации для здоровья печени и желчного пузыря https://t.me/+EpCqnP64o6FiNGUy ✔ Методичку "Как читать анализы" https://max.ru/pprezeptizdes/AZ12jxGsZhE ✔ Рацион питания для стройной фигуры с рецептами приготовления блюд https://t.me/+RAyqCO56N7W5Uml2 Информация в статье носит ознакомительный характер и не является руководством к действию. Необходима консультация специалиста.</t>
  </si>
  <si>
    <t>https://dzen.ru/a/agv9Pex7iXku7fG5</t>
  </si>
  <si>
    <t>19.05.2026 15:48</t>
  </si>
  <si>
    <t>Мне при онемении ноги, сказали, что проблемы в сосудах возникли назначили трентал пропить, вроде отпустило</t>
  </si>
  <si>
    <t>https://dzen.ru/a/agrvVPuzlCw_axpw?comment-request=1#comment_3308169932</t>
  </si>
  <si>
    <t>19.05.2026 13:26</t>
  </si>
  <si>
    <t>Список ЖНВЛП обновился, можно проверить свои лекарства льготные - на наличие.
Или вдруг, что нужное добавилось?
С 24 февраля 2026 г. действует новый Перечень ЖНВЛП, утв. распоряжением Правительства от 18.12.2025 № 3867-р.
У меня вылетела таблеточная форма пентоксифиллина, теперь он, как подсказывают, только для парентерального применения. А счастье было так возможно - уже в феврале или марте пообещали в заявку включить, на июнь, как оказалось.
Почему пишу, хотя уже май - случайно обнаружила, но из больницы или аптеки со мной никто так и не связывался, чтобы не ждала обеспечения.
🤔🙏Вот как, интересно, с такими сроками людей совсем важными препаратами обеспечивают?</t>
  </si>
  <si>
    <t>https://telegram.me/mseshnyichat/39933</t>
  </si>
  <si>
    <t>https://telegram.me/lp_stepanida</t>
  </si>
  <si>
    <t>https://telegram.me/mseshnyichat</t>
  </si>
  <si>
    <t>19.05.2026 13:12</t>
  </si>
  <si>
    <t>Здравствуйте
Вероятнее всего развивается компрессионно -ишемическая нейропатия. Возможно рука находилась в вынужденном положении длительное время , что создает условия для сдавления нерва.
В таком случае рекомендуют проведение стимуляционной энмг верхних конечностей.
Из медикаментозных методов лечения рекомендуют при отсутствии противопоказаний и аллергических реакций :
Дексаметазон вм утром
Вазонит- 600 мг в сутки. препарат для улучшения кровообращения в периферических нервах ( нервы конечностей)
Нейромидин 40 мг/суи- препарат для улучшения нервно-мышечной проводимости.
Ксефомиелин - витамины группы в, помогают восстанавливаться нервным волокнам</t>
  </si>
  <si>
    <t>https://sprosivracha.com/questions/4342996-nemeet-ruka#a27801056</t>
  </si>
  <si>
    <t>19.05.2026 12:43</t>
  </si>
  <si>
    <t>Пентоксифилином злоупотребляют...а потом галюцинации,внешние враги...</t>
  </si>
  <si>
    <t>https://telegram.me/mostodaychat/3484935</t>
  </si>
  <si>
    <t>https://telegram.me/8865043918</t>
  </si>
  <si>
    <t>https://telegram.me/mostodaychat</t>
  </si>
  <si>
    <t>Удалено</t>
  </si>
  <si>
    <t>19.05.2026 06:03</t>
  </si>
  <si>
    <t>Ну по сути только Пентоксифиллин тормозит агрегацию тромбоцитов и эритроцитов, повышает их эластичность, уменьшает уровень фибриногена в плазме и усиливает фибринолиз, что уменьшает вязкость крови и улучшает ее реологические свойства. Влияет на фибриноген…вот и все что можно с помощью препаратов сделать с гемом…то есть прям мизер</t>
  </si>
  <si>
    <t>https://www.instagram.com/p/DYeYMH2Iryq/c/17875288278664049</t>
  </si>
  <si>
    <t>@m.u.life / Michael Udaltsov 🇷🇺</t>
  </si>
  <si>
    <t>@morozov.andrei.official / Андрей Морозов | Фарма и тренировки</t>
  </si>
  <si>
    <t>19.05.2026 01:21</t>
  </si>
  <si>
    <t>🔝 препаратов для сердца / Аспаркам, Рибоксин, Рыбный жир, Пентоксифиллин, Триметазидин</t>
  </si>
  <si>
    <t>Привет любителям здорового образа жизни !
Социальные Сети
Telegram : https://t.me/nagaevsport
VK Клипы : https://vk.com/clips/nagaevsport
Yappy : https://yappy.media/n/nagaevsport
Instagram :http://instagram.com/nagaevlife
МУЗЫКА 🎵
PromoDJ :http://promodj.com/ALEXANDER-NAGAEV</t>
  </si>
  <si>
    <t xml:space="preserve">Тексты с изображений_x000d_
поддерживаем mabkfo сердце "мыск?" са coffe alf of cafe ins.ili заслиз limega «wi9ly рибоксик fio iqff аспаркам #torowmanan tiimi: for car_x000d_
</t>
  </si>
  <si>
    <t>http://www.youtube.com/watch?v=gD1Fo-6areI</t>
  </si>
  <si>
    <t>18.05.2026 18:46</t>
  </si>
  <si>
    <t>Да, в ЖНВЛП, вступившем в силу 24.02.2026г, пентоксифиллин только для парентерального применения (то есть минуя ЖКТ).</t>
  </si>
  <si>
    <t>https://telegram.me/revmomoscow/581490</t>
  </si>
  <si>
    <t>https://telegram.me/natem_sam</t>
  </si>
  <si>
    <t>https://telegram.me/revmomoscow</t>
  </si>
  <si>
    <t>18.05.2026 17:50</t>
  </si>
  <si>
    <t>Здравствуйте! Не посмотрите, я правильно понимаю, читаю по списку?
Среди форм препарата не вижу, значит - нет в нем теперь таблеток, льготно их не выписать?
Про через ВК пока не обсуждаем.
❗️C04AD производные пурина пентоксифиллин
концентрат для приготовления раствора для внутривенного и внутриартериального введения;
концентрат для приготовления раствора для инфузий;
концентрат для приготовления раствора для инъекций;
раствор для внутривенного введения;
раствор для внутривенного и внутриартериального введения;
раствор для инфузий;
раствор для инъекций
Если в Общение о разном перейти - только скажите)
Так здОрово( не зря у меня в больничке время тянули - можно в заявку не включать препарат?</t>
  </si>
  <si>
    <t>https://telegram.me/revmomoscow/581485</t>
  </si>
  <si>
    <t>18.05.2026 15:05</t>
  </si>
  <si>
    <t>У меня во время беременности образовался тромб, делали операцию по удалению, а потом назначали кроворазжижающие препараты. Сейчас для профилактики пропиваю трентал курсами, раз в полгода</t>
  </si>
  <si>
    <t>https://mom.life/post/6a09ca16a04f49e152070092#6a0ac84e1a1f332cc3007f95</t>
  </si>
  <si>
    <t>18.05.2026 13:45</t>
  </si>
  <si>
    <t>Витамины группы Б и Пентоксифилин</t>
  </si>
  <si>
    <t>https://telegram.me/infect_voenmed/47147?comment=216834</t>
  </si>
  <si>
    <t>https://telegram.me/1647708250</t>
  </si>
  <si>
    <t>https://telegram.me/infect_voenmed</t>
  </si>
  <si>
    <t>18.05.2026 06:47</t>
  </si>
  <si>
    <t>ЧТО У ВАС КАПАЕТ В ДНЕВЕ?
Коллеги из дневного стационара, как у вас с назначениями на практике?
У нас набор очень узкий, фактически только то, что проходит по стандарту: винпоцетин, пентоксифиллин, парацетамол, этилметилгидроксипиридина сукцинат. Работаем в тех условиях, которые есть. Пока такие отделения живут, надо как-то вести пациентов и не уходить в споры ради споров.
Поэтому интересен именно ваш реальный опыт. Что используете чаще всего, на чем держится поток, что удается провести спокойно, без лишних согласований и конфликтов?
И есть еще один момент, о котором вслух обычно говорят уже после смены...
Читайте далее без ввода пароля https://www.doktornarabote.ru/publication/single/213113?utm_source=vk&amp;utm_medium=social&amp;utm_content=doctoratwork 👉</t>
  </si>
  <si>
    <t>http://vk.com/wall450124649_86190</t>
  </si>
  <si>
    <t>18.05.2026 06:41</t>
  </si>
  <si>
    <t>http://vk.com/wall-25201586_516009</t>
  </si>
  <si>
    <t>ЧТО У ВАС КАПАЕТ В ДНЕВЕ? Коллеги из дневного стационара, как у вас с назначениями на практике? У нас набор очень узкий, фактически только то, что проходит по стандарту: винпоцетин, пентоксифиллин, парацетамол, этилметилгидроксипиридина сукцинат.</t>
  </si>
  <si>
    <t>ЧТО У ВАС КАПАЕТ В ДНЕВЕ?
Коллеги из дневного стационара, как у вас с назначениями на практике?
У нас набор очень узкий, фактически только то, что проходит по стандарту: винпоцетин, пентоксифиллин, парацетамол, этилметилгидроксипиридина сукцинат. Работаем в тех условиях, которые есть. Пока такие отделения живут, надо как-то вести пациентов и не уходить в споры ради споров.
Поэтому интересен именно ваш реальный опыт. Что используете чаще всего, на чем держится поток, что удается провести спокойно, без лишних согласований и конфликтов?
И есть еще один момент, о котором вслух обычно говорят уже после смены...
Читайте далее без ввода пароля https://www.doktornarabote.ru/publication/single/213113?utm_source=ok&amp;utm_medium=social&amp;utm_content=doktornarabote 👉
«Доктор на работе» — крупнейшая платформа русскоязычных врачей и первый медицинский искусственный интеллект в России.
Доктор на работе — крупнейшая платформа русскоязычных врачей
https://www.doktornarabote.ru/publication/single/213113?utm_source=ok&amp;utm_medium=social&amp;utm_content=doktornarabote</t>
  </si>
  <si>
    <t>http://ok.ru/group/55695437463587/topic/158664905968931</t>
  </si>
  <si>
    <t>18.05.2026 00:52</t>
  </si>
  <si>
    <t>ЧЕМ ЗАМЕНИТЬ ХИМИЮ И СИНТЕТИКУ..⁉️
Приблизительная схема замены лекарств, назначаемых при ОРВИ и не только, в традиционной медицине и БАД компании НСП:
✔️ ПАРАЦЕТАМОЛ
🍃 СОК НОНИ
✔️ГРОПРИНОСИН
🍃 ПО ДАРКО
✔️ АЦИКЛОВИР
🍃 ЛИСТЬЯ ОЛИВЫ
✔️ Антибиотик
🍃 КОЛЛОИДНОЕ СЕРЕБРО
✔️ Преднизолон
🍃 БУПЛЕРУМ ПЛЮС
✔️ НПВС(найз)
🍃 БОСВЕЛИЯ
✔️ Лаферон
🍃 ПО Д’АРКО, ЛИСТЬЯ ОЛИВЫ
✔️ Омепразол
🍃 СТОМАК КОМФОРТ
✔️Мезим , панкреатин, панзинорм и др можно заменить их все вместе взятые
🍃 на АГ-Х
✔️ Алмиба
🍃 ПЕПТОВИТ
✔️ Циннаризин, пирацетам
🍃 на ГОТУКОЛА, Гинкго Готу Кола , Чеснок.
✔️ Соннекс
🍃 на ЭЙЧ ВИ ПИ
✔️ Кардиомагнил
🍃 на БИ ПИ СИ
Омега3 + Чеснок или,
хорошие дозировки
Витамин Е 400мг в сутки
или Протеза
или Вери гон
или Листья Оливы
✔️ Адаптол
🍃 на СОК АЛОЕ
или СОК НОНИ
✔️ Антидепрессанты
🍃 на 5- ЭЙЧ ТИ ПИ ПАУЭР
✔️ Актавегин, сермион, пентоксифиллин
🍃 на МАЙНД МАХ.
✔️ Урсасан
🍃 на РЕПЕЙНИК
✔️ Фенкарол , парлазин
🍃 на ГИСТА БЛОК
✔️ Линекс
🍃 на БИФИДОФИЛУС ФЛОРА ФОРС
✔️ Фурамаг (
🍃 на КОЛЛОИДНОЕ СЕРЕБРО (особенно детям)
✔️ Йодомарин
🍃 на КЕЛП
✔️ Аскорбинку на
🍃 Витамин С НСП ,
‼️
А ТАК ЖЕ
Витамин Е синтетический даже не СРАВНИВАЕТСЯ с Витамином Е от НСП.
Это касается Лецитина, Омега3, Кораллового Кальция и Коллоидных Минералов .
🔥🔥 ИМ РАВНЫХ НЕТ ( запатентованные формулы и выведенные дозировки ) - доказанное терапевтическое действие</t>
  </si>
  <si>
    <t xml:space="preserve">Тексты с изображений_x000d_
nedication harmful neo#cation ledt harmful и medicaticn harmful wan#pul лежлопом medication marmyul nodapul "vinnew безопасная замена! nature*s sunshine_x000d_
</t>
  </si>
  <si>
    <t>http://vk.com/wall-235865439_12</t>
  </si>
  <si>
    <t>17.05.2026 22:48</t>
  </si>
  <si>
    <t>❤️ Как помочь сердцу / Аспаркам, Рибоксин, Рыбный жир, Пентоксифиллин, Триметазидин</t>
  </si>
  <si>
    <t xml:space="preserve">Тексты с изображений_x000d_
#ol cl cafe ма «kf0a 4770 70 tor wair mega с* vor cadu_x000d_
</t>
  </si>
  <si>
    <t>http://www.youtube.com/watch?v=EovQNlTpgKc</t>
  </si>
  <si>
    <t>17.05.2026 22:27</t>
  </si>
  <si>
    <t>Если Вазобрал назначался для улучшения мозгового кровообращения, памяти и при головокружениях
​В Турции очень популярны и эффективны другие вазодилататоры (сосудистые препараты) из той же группы или с похожим действием:
​Sermion (активное вещество — Нисерголин). Это тоже производное спорыньи, как и компонент Вазобрала. Он отлично улучшает мозговой кровоток и метаболизм. Продается в дозировках 30 мг (в таблетках).
​Duxil (содержит Алмитрин и Раубазин). Часто применяется при когнитивных нарушениях и возрастных изменениях сосудов.
​Trental или Vasoplan (активное вещество — Пентоксифиллин). Улучшает микроциркуляцию и разжижает кровь.
​Если препарат нужен именно против мигрени и сосудистых головных болей
​Ergafein (содержит Эрготамин + Кофеин + Парацетамол). Это классическое турецкое средство на основе алкалоидов спорыньи и кофеина, но оно применяется строго для купирования острых приступов мигрени, а не для курсового лечения, как Вазобрал.
Поскольку Вазобрал — это серьезный рецептурный препарат, влияющий на сосуды головного мозга, перед покупкой и заменой на турецкий аналог (особенно на Sermion или Ergafein) необходимо проконсультироваться с лечащим врачом, чтобы подобрать правильную дозировку под конкретный диагноз</t>
  </si>
  <si>
    <t>https://telegram.me/c/1610051836/1654779</t>
  </si>
  <si>
    <t>https://telegram.me/5305078907</t>
  </si>
  <si>
    <t>https://telegram.me/1610051836</t>
  </si>
  <si>
    <t>17.05.2026 22:09</t>
  </si>
  <si>
    <t>Дневной стационар это бесполезное и опасное дело. Если ты не заносишь деньги в конверте, то по стандарту: магнезия, пентоксифиллин и Диклофенак. ВСЁ. Самое дешёвое и в пожилом возрасте еще и опасное. Анализы не берут, кругом подлог и манипуляции. В таком виде медпомощь бесполезна. Врач в поликлинике назначает и рекомендует одни медпрепараты, как правило дорогостоящие, направляет на лечение в дневной стационар по своему профилю, а там, мало того что очередь на полгода вперед, так еще и самыми дешёвыми и бесполезнами лекарствами лечат. Одна видимость от такого лечения. Ни кому не интересен конечный результат. Стыдно за такую медицину</t>
  </si>
  <si>
    <t>http://vk.com/wall-42224436_341171?reply=341201</t>
  </si>
  <si>
    <t>17.05.2026 21:30</t>
  </si>
  <si>
    <t>Добрый день. Девочки, невролог назначил от головокружения: бетагистин, пентоксифилин, мексидол на 30 дней, пропила неделю, ещë хуже стало и доктор ушëл в отпуск. Не знаю, как быть. Сама я с области, невролог один в городе. Идти к терапевту? Может у кого были головокружения, подскажите?</t>
  </si>
  <si>
    <t xml:space="preserve">Тексты с изображений_x000d_
анонимный сервис запрещены оскорбления и разжигания конфликтов комментарии: «ворос» «это уже было» « вот 8 соседней группе», «зачем» по авторы таких комментариев зсем группам разослали» «тролль» «жирно», «толсто» «бред» 1 подобные, получают бан! срок похожим смыслом, удаляются. на усмотрение администраци #kin .com/womens ко пользуйтесь пойском по стене пороводной хэштегами пороводности comphomens_x000d_
</t>
  </si>
  <si>
    <t>http://vk.com/wall-118474860_6063754</t>
  </si>
  <si>
    <t>Рязанская</t>
  </si>
  <si>
    <t>17.05.2026 19:43</t>
  </si>
  <si>
    <t>ЧТО У ВАС КАПАЕТ В ДНЕВЕ?
Коллеги из дневного стационара, как у вас с назначениями на практике?
У нас набор очень узкий, фактически только то, что проходит по стандарту: винпоцетин, пентоксифиллин, парацетамол, этилметилгидроксипиридина сукцинат. Работаем в тех условиях, которые есть. Пока такие отделения живут, надо как-то вести пациентов и не уходить в споры ради споров.
Поэтому интересен именно ваш реальный опыт. Что используете чаще всего, на чем держится поток, что удается провести спокойно, без лишних согласований и конфликтов?
И есть еще один момент, о котором вслух обычно говорят уже после смены...
Читайте далее без ввода пароля https://www.doktornarabote.ru/publication/single/213113?utm_source=vk&amp;utm_medium=social&amp;utm_content=mediatm 👉</t>
  </si>
  <si>
    <t>http://vk.com/wall-42224436_341171</t>
  </si>
  <si>
    <t>17.05.2026 18:30</t>
  </si>
  <si>
    <t>Головные боли, проблемы с сосудами
Лечение может назначить врач только после осмотра. Стоит обсудить с лечащим врачом возможность применения препарата Трентал , который улучшает микроциркуляцию и повышает текучесть крови.</t>
  </si>
  <si>
    <t>https://medihost.ru/questions?id=342170#answer-1480369</t>
  </si>
  <si>
    <t>17.05.2026 18:07</t>
  </si>
  <si>
    <t>Джамиля Вообще никаких таблеток ?
Улучшение кровоснабжения органов малого таза у женщин
1. Медикаментозная терапия (ПО НАЗНАЧЕНИЮ ВРАЧА )
ВЕНОТОНИКИ и АНГИОПРОТЕКТОРЫ : Детралекс, Флебодиа 600 — улучшают венозный отток, уменьшают застой.
СОСУДОРАСШИРЯЮЩИЕ СРЕДСТВА : Пентоксифиллин (Трентал) — улучшает микроциркуляцию, реологические свойства крови.
СПАЗМОЛИТИКИ : Дротаверин (Но-шпа) — временно расширяет сосуды, снимает спазм.</t>
  </si>
  <si>
    <t>https://www.woman.ru/relations/sex/thread-devochki-posovetuyte-nash-vozbuditel-id6424968/#m103988973</t>
  </si>
  <si>
    <t>17.05.2026 15:42</t>
  </si>
  <si>
    <t>ЧТО У ВАС КАПАЕТ В ДНЕВЕ?
Коллеги из дневного стационара, как у вас с назначениями на практике?
У нас набор очень узкий, фактически только то, что проходит по стандарту: винпоцетин, пентоксифиллин, парацетамол, этилметилгидроксипиридина сукцинат. Работаем в тех условиях, которые есть. Пока такие отделения живут, надо как-то вести пациентов и не уходить в споры ради споров.
Поэтому интересен именно ваш реальный опыт. Что используете чаще всего, на чем держится поток, что удается провести спокойно, без лишних согласований и конфликтов?
И есть еще один момент, о котором вслух обычно говорят уже после смены...
Читайте далее без ввода пароля https://www.doktornarabote.ru/publication/single/213113?utm_source=vk&amp;utm_medium=social&amp;utm_content=doctor.news 👉</t>
  </si>
  <si>
    <t>http://vk.com/wall-30913680_435524</t>
  </si>
  <si>
    <t>17.05.2026 15:11</t>
  </si>
  <si>
    <t>ЧТО У ВАС КАПАЕТ В ДНЕВЕ?
Коллеги из дневного стационара, как у вас с назначениями на практике?
У нас набор очень узкий, фактически только то, что проходит по стандарту: винпоцетин, пентоксифиллин, парацетамол, этилметилгидроксипиридина сукцинат. Работаем в тех условиях, которые есть. Пока такие отделения живут, надо как-то вести пациентов и не уходить в споры ради споров.
Поэтому интересен именно ваш реальный опыт. Что используете чаще всего, на чем держится поток, что удается провести спокойно, без лишних согласований и конфликтов?
И есть еще один момент, о котором вслух обычно говорят уже после смены...
Читайте далее без ввода пароля https://www.doktornarabote.ru/publication/single/213113?utm_source=vk&amp;utm_medium=social&amp;utm_content=medcampus 👉</t>
  </si>
  <si>
    <t>http://vk.com/wall-29445319_703421</t>
  </si>
  <si>
    <t>ЧТО У ВАС КАПАЕТ В ДНЕВЕ?
Коллеги из дневного стационара, как у вас с назначениями на практике?
У нас набор очень узкий, фактически только то, что проходит по стандарту: винпоцетин, пентоксифиллин, парацетамол, этилметилгидроксипиридина сукцинат. Работаем в тех условиях, которые есть. Пока такие отделения живут, надо как-то вести пациентов и не уходить в споры ради споров.
Поэтому интересен именно ваш реальный опыт. Что используете чаще всего, на чем держится поток, что удается провести спокойно, без лишних согласований и конфликтов?
И есть еще один момент, о котором вслух обычно говорят уже после смены...
Читайте далее без ввода пароля https://www.doktornarabote.ru/publication/single/213113?utm_source=ok&amp;utm_medium=social&amp;utm_content=doktor.praktika 👉
«Доктор на работе» — крупнейшая платформа русскоязычных врачей и первый медицинский искусственный интеллект в России.
Доктор на работе — крупнейшая платформа русскоязычных врачей
https://www.doktornarabote.ru/publication/single/213113?utm_source=ok&amp;utm_medium=social&amp;utm_content=doktor.praktika</t>
  </si>
  <si>
    <t>http://ok.ru/group/51625046769845/topic/162502662413237</t>
  </si>
  <si>
    <t>17.05.2026 14:53</t>
  </si>
  <si>
    <t>ЧТО У ВАС КАПАЕТ В ДНЕВЕ?
Коллеги из дневного стационара, как у вас с назначениями на практике?
У нас набор очень узкий, фактически только то, что проходит по стандарту: винпоцетин, пентоксифиллин, парацетамол, этилметилгидроксипиридина сукцинат. Работаем в тех условиях, которые есть. Пока такие отделения живут, надо как-то вести пациентов и не уходить в споры ради споров.
Поэтому интересен именно ваш реальный опыт. Что используете чаще всего, на чем держится поток, что удается провести спокойно, без лишних согласований и конфликтов?
И есть еще один момент, о котором вслух обычно говорят уже после смены...
Читайте далее без ввода пароля https://www.doktornarabote.ru/publication/single/213113?utm_source=vk&amp;utm_medium=social&amp;utm_content=medatlas 👉</t>
  </si>
  <si>
    <t>http://vk.com/wall-42217841_135214</t>
  </si>
  <si>
    <t>17.05.2026 02:37</t>
  </si>
  <si>
    <t>+1, тоже отмечусь, отдельные узлы до 5 см и конгломераты ещё больше, морфологически верифицировали, на пентоксифиллине и витамине Е за полтора года лимфоузлы пришли в норму, лёгкие пока в процессе, но тоже получше стали. Анализы плохие - болезнь активна.</t>
  </si>
  <si>
    <t>http://vk.com/wall-17990792_94267?reply=94653</t>
  </si>
  <si>
    <t>17.05.2026 01:29</t>
  </si>
  <si>
    <t>RECOVERY TIME ❤️‍🩹
Реамберин
Гептрал
Пентоксифиллин
Мельдоний
Аскорбиновая кислота
Дозировки подбираются индивидуально 😌</t>
  </si>
  <si>
    <t xml:space="preserve">Тексты с изображений_x000d_
былд самой вкус морепродуктами но что no зал двери v двух крывающиеся 80123013 с нетот тсго ук тоэняк. и проджи доf реамберин натр44а хлорид полифлак—домлус растрор дл@инзуза «дисовай» кити acisyan? вмлривейко стерульно mo.ru 1.2 натрия состав s хлорид, самстоую aina прическо. солофарм 0.9 ofo муглит соон (svin (m)nэwinn воруто!!!!! #шигрова woworony 200 les попошо/стельй ш@шиссоо отмя латоского lantloga трепу riy(rou!!! нероссовой лжьлога )84001 3efs мооож201 троготичало осмэмскомуть суудажето(т!! ap*onnalle сащелись айтска(го chytnayk@omescusity 10/2030 пужугатного sujama ел nbtry 27781125 mon «оф стерильно emgcalbati ептрал icon(ods дмутривенно odo wbd olo 6*0 диdoux нара 610126 брганика пентоксик русгубуло сылиз гептрал оfганика динова" рбинов! tastain #cr 1.2*0 2030 #tunne инап*дина 20 минма r@*ha исло стерудс: lig 50(p@z ua_x000d_
</t>
  </si>
  <si>
    <t>https://telegram.me/batr_fit/5562</t>
  </si>
  <si>
    <t>https://telegram.me/batr_fit</t>
  </si>
  <si>
    <t>17.05.2026 00:50</t>
  </si>
  <si>
    <t>Пентоксифилин в дозировке 400 мг норм?</t>
  </si>
  <si>
    <t>https://www.instagram.com/p/DYZIXCktkHU/c/17868138621681179</t>
  </si>
  <si>
    <t>@leharostovskii / РОСТОВСКИЙ</t>
  </si>
  <si>
    <t>@ps.popov / Павел Попов|Эндокринология и спорт</t>
  </si>
  <si>
    <t>16.05.2026 20:56</t>
  </si>
  <si>
    <t>@_out_lawed__ я бы тоже делал, но у меня в городе нет такого. Начал пить воду 4,5-5л в день, + кардио 4-5 раз в неделю по 30 мин, и пентоксифиллин по 200мг в день. За 2 недели с 53 до 50.7 гем упал</t>
  </si>
  <si>
    <t>https://www.instagram.com/p/DYZIXCktkHU/c/18143197912508118/r/18061823048459742</t>
  </si>
  <si>
    <t>@mirzaev.186 / mirzaev.186</t>
  </si>
  <si>
    <t>16.05.2026 19:39</t>
  </si>
  <si>
    <t>@gudzon.89 пентоксифиллин или мексидол может быть</t>
  </si>
  <si>
    <t>https://www.instagram.com/p/DYZIXCktkHU/c/18143197912508118/r/18163403944432274</t>
  </si>
  <si>
    <t>16.05.2026 18:53</t>
  </si>
  <si>
    <t>Пентоксифиллин, уж чей он был не знаю, начали капать в больничке
Температура под 40, давление, все сосуды как с перцем
Отменили. Жена купила Трентал в аптеке, его же мне применяли в неврологии. И всё ок.
А непойми какого ОбеленскФармСинтез Пентоксифиллин не зашел.
Причем я даже не знал что там капают, это уже с врачом стали разбирать
При этом масса дженериков по суматриптану вполне работают от российских заводиков</t>
  </si>
  <si>
    <t>https://telegram.me/semaglu/1925962</t>
  </si>
  <si>
    <t>https://telegram.me/770870676</t>
  </si>
  <si>
    <t>https://telegram.me/semaglu</t>
  </si>
  <si>
    <t>16.05.2026 11:02</t>
  </si>
  <si>
    <t>3 часа назад, pollightman сказал:
Ты главное Димексид с пентоксифиллином оставь. Не думаю что от них б значительные побочки, а помогать должны.
Ну вон у Никотина кожа шелушиться начала, вероятно от димексида.
22 минуты назад, rewet сказал:
Так сколько ты используешь Димексид с пентоксифиллином?
Я лично 2,5 месяца мажу перед треней. Побочные пока не замечено.
2 тренировки делал по стандарту, просто обмазывал, 13 тренировок - с презервативом.</t>
  </si>
  <si>
    <t>https://nup.ru/topic/10258-viden-3-ja-popytka/page/25/#elControls_256514_menu</t>
  </si>
  <si>
    <t>16.05.2026 10:39</t>
  </si>
  <si>
    <t>У меня так было в первую беременность 2 года назад. С 32 недели малыш перестал норм расти, живот отставать стал катастрофически. Мне назначили капельницы тогда. По 10 капельниц каждый день, по 10 через день. Капали: актовегин и трентал. И они помогли. Отставание в 36 недель сняли. В 38.6 пкс родила малыша, 3118 и 52. Сейчас ему 1.9. Он весит почти 14 кг и ростом 92, как трехлетка.</t>
  </si>
  <si>
    <t>https://www.babyblog.ru/community/happypregn/post/3777872?go_comment_id=165945932</t>
  </si>
  <si>
    <t>16.05.2026 10:38</t>
  </si>
  <si>
    <t>9 часов назад, ViDen сказал:
Не знаю - благодаря этой схеме или димексидом с пентоксифиллином, а скорее наверное и от того, и от другого, но впервые, наконец-то удалось преодолеть 21 см bpfsl. До этого эта цифра была как проклятой - доходил до неё и упирался в плато. Единственное, подходит к концу месяц приёма этой фармы, более я как-то опасаюсь. А жаль, только результат появился. Далее запланировал протестировать свечи Лонгидаза, как минимум это будет в плюс состоянию простаты, а затем - компрессы димексид + лидаза. Такие вот фармакологические эксперименты.
Так сколько ты используешь Димексид с пентоксифиллином?
Я лично 2,5 месяца мажу перед треней. Побочные пока не замечено.</t>
  </si>
  <si>
    <t>https://nup.ru/topic/10258-viden-3-ja-popytka/page/25/#elControls_256512_menu</t>
  </si>
  <si>
    <t>16.05.2026 10:21</t>
  </si>
  <si>
    <t>Дневник с улыбкой, Ниночка, врач прописала мне пентоксефиллин. Но я почитала побочки, и решила позвонить своему онкологу, с которым прохожу химию. Она в мягкой форме посоветовала продолжать пить Эвиклис. Это практически одно и тоже кроворазжижающее. А вообще то и то и другое не безопасно, так что без врача ничего пить не советую да с врачом тоже, больше пить жидкости и спать побольше, меньше нервничать и возможно что нейропатия немного отпустит, но то что это навсегда, многие говорят что да, молодой организм восстанавливается, но а после шестидесяти уже сложнее. Но мы надеемся на лучшее.😘</t>
  </si>
  <si>
    <t>https://dzen.ru/a/agaB9gNDpTbfcFiV?comment-request=1#comment_3299589221</t>
  </si>
  <si>
    <t>16.05.2026 07:54</t>
  </si>
  <si>
    <t>7 часов назад, ViDen сказал:
Далее запланировал протестировать свечи Лонгидаза
Ты главное Димексид с пентоксифиллином оставь. Не думаю что от них б значительные побочки, а помогать должны.</t>
  </si>
  <si>
    <t>https://nup.ru/topic/10258-viden-3-ja-popytka/page/25/#elControls_256505_menu</t>
  </si>
  <si>
    <t>16.05.2026 00:49</t>
  </si>
  <si>
    <t>В 01.05.2026 в 23:13, pollightman сказал:
Ну лишь бы во благо.
Не знаю - благодаря этой схеме или димексидом с пентоксифиллином, а скорее наверное и от того, и от другого, но впервые, наконец-то удалось преодолеть 21 см bpfsl. До этого эта цифра была как проклятой - доходил до неё и упирался в плато. Единственное, подходит к концу месяц приёма этой фармы, более я как-то опасаюсь. А жаль, только результат появился. Далее запланировал протестировать свечи Лонгидаза, как минимум это будет в плюс состоянию простаты, а затем - компрессы димексид + лидаза. Такие вот фармакологические эксперименты.</t>
  </si>
  <si>
    <t>https://nup.ru/topic/10258-viden-3-ja-popytka/page/25/#elControls_256496_menu</t>
  </si>
  <si>
    <t>15.05.2026 23:00</t>
  </si>
  <si>
    <t>Добрый вечер Екатерина! Достаточно тяжелая ситуация, наверно не совсем подходит под указанные темы, но постараюсь ответить исходя из своего опыта работы в общей неврологии.
Ситуация у вашего папы требует ювелирного подхода. Возраст 86 лет, сахарный диабет, нестабильное давление и онкология в анамнезе — это строгие ограничители для многих препаратов.
Оценивая назначенную схему лечения с точки зрения доказательной медицины и гериатрии (медицины пожилого возраста), я бы сказал, что схема крайне серьезная и небезопасная для пациента с такими вводными.
Давайте разберем главные риски по пунктам:
1. Главная проблема — отсутствие дообследования при подозрении на метастазы. В диагнозе врач сам ставит под вопрос метастазы «МТС?), учитывая онкологию в анамнезе и очень сильные боли (8 из 10). Однако при этом не вижу назначенияни МРТ, ни КТ, ни сцинтиграфию костей. Лечить интенсивную боль у пациента с онкоанамнезом вслепую, без исключения метастатического поражения позвоночника или костей таза — нельзя.
2. Дексаметазон + Сахарный диабет + Нестабильное давление. Дексаметазон — это мощный гормональный препарат (глюкокортикоид). Его главные побочные эффекты: резкий скачок уровня сахара в крови (что при диабете 2 типа может привести к тяжелому состоянию) и сильное повышение артериального давления. В 86 лет такие скачки крайне опасны риском инсультов и кризов.
3. Дексаметазон + Артрозан (Мелоксикам). Врач назначил одновременно гормональный препарат и нестероидный противовоспалительный препарат (НПВС). В мировой практике такая комбинация считается очень опасной, так как она многократно увеличивает риск образования язвы желудка и внутреннего желудочно-кишечного кровотечения, особенно у пожилых людей.
4. Карбамазепин и риск падений. У вашего папы по осмотру уже есть шаткость и падение в позе Ромберга. Карбамазепин — это старый препарат, который у пожилых людей очень часто вызывает сильное головокружение, атаксию (нарушение координации) и сонливость. Риск того, что папа упадет и получит перелом, на этом препарате сильно возрастает. Сейчас существуют более современные и мягкие препараты для лечения нейропатической боли (например, габапентин), доза которых титруется точнее.
5. Делалокс (Дулоксетин) — вопрос дозировки. Дулоксетин — отличный современный препарат для лечения хронической боли, но стартовая доза 90 мг для 86-летнего человека — это очень много. В таком возрасте лечение начинают с минимальных 30 мг, чтобы организм адаптировался, иначе высок риск сильной тошноты, скачков давления и спутанности сознания.
6. Прозерин и Вазонит. Прозерин — тяжелый препарат, который может вызывать брадикардию (замедление пульса) и спазмы ЖКТ. В современных протоколах лечения инсультов или радикулопатий он практически не используется из-за низкой эффективности и высоких рисков. Возможно для чего то еще назначен.
Что делать дальше:
Моя настоятельная рекомендация — поставить это лечение на паузу и получить второе мнение. Скорее всего на центральных базах РФ.</t>
  </si>
  <si>
    <t>https://telegram.me/epifanovnews/1103?comment=103235</t>
  </si>
  <si>
    <t>https://telegram.me/doc_kolesnik</t>
  </si>
  <si>
    <t>https://telegram.me/epifanovnews</t>
  </si>
  <si>
    <t>15.05.2026 15:54</t>
  </si>
  <si>
    <t>Деду для профилактики назначали трентал курсами пить</t>
  </si>
  <si>
    <t>http://www.youtube.com/watch?v=yVqhTupwoJQ&amp;lc=UgwJXVPNUmEETuMAlrN4AaABAg</t>
  </si>
  <si>
    <t>15.05.2026 15:12</t>
  </si>
  <si>
    <t>Здравствуйте. Вопрос о лечении моего папы.
Мужчина, 86 лет
Жалобы:
· Умеренные головные боли
· Слабость
· Нестабильное артериальное давление
· Боли в правой руке и в ногах, 8 по шкале боли
Был на очном осмотре у невролога. Результаты: Зрачки равны, двоения нет. Движения глазных яблок в полном объеме, безболезненные. Конвергенция (сведение глаз) сохранена, но есть парез снижения. Лицо симметричное, слух в норме. Нистагма нет. Глотание нормальное, поперхивание. Афотических нарушений (речи) нет. Язык девиирует. Рефлексы с рук: справа живые, слева выше (S &gt; D). Коленные рефлексы: слева живые, справа ниже (S &gt; D). Мышечный тонус в норме. Чувствительность: снижение по типу гемигипестезии (слева). В позе Ромберга: шаткость, падение. Пальце-носовая и пяточно-коленная пробы: дисметрия (расстройство соразмерности движений) слева (S) и справа (D). Когнитивные нарушения: есть. Паравертебральные точки болезненны по всему позвоночнику. Симптомы Ласега: положительные с обеих сторон (50°). Симптом Нери: положительный справа и слева. Защитное напряжение мышц (дефанс) есть.
Диагноз: ДЭП 2 (дисциркуляторная энцефалопатия 2-й степени). Астено-цефалический синдром (слабость + головные боли) и вестибуло-атаксический синдром (головокружение, нарушение равновесия). Последствия острого нарушения мозгового кровообращения (ПОНМК) в бассейне правой передней мозговой артерии (ПСМА) – левый легкий гемипарез (снижение силы в левых конечностях). Полисегментарный остеохондроз, полидискоз шейного отдела (вероятно, с вопросом про метастазы – «МТС?»). Рефлекторно-болевой синдром, плече-лопаточный периартрит справа.
Лечение:
· Артрозан (мелоксикам) – 2,5 мл в/м ежедневно после еды, 10 раз.
· Дексаметазон – 1 мл в/м через день после еды, 5 раз.
· Вазонит (пентоксифиллин) – таб. 0,6 мг 2 раза/день после еды, 20 дней.
· Карбамазепин – 50–100 мг по 1 таб. на ночь + 0,5 таб. утром.
Перерыв 7–10 дней после завершения инъекций.
2 этап (добавляется к таблеткам):
· Делалокс (дулоксетин) – 90 мг по 1 таб. 1 раз/день после еды, 10–20 дней.
· Прозерин (неостигмин) – 1 мл в/м после еды, 10 раз.
· Цитиколин – раствор 100 мл внутрь 1 раз в день, разводить в 0,5 стакана воды, 10–30 дней.
Вопрос: насколько безопасно назначенное лечение? У папы сахарный диабет 2 типа, онкология кишечника в ремиссии, повышенное давление. Никаких дополнительных обследований не назначено.</t>
  </si>
  <si>
    <t>https://telegram.me/epifanovnews/1103?comment=103088</t>
  </si>
  <si>
    <t>https://telegram.me/podkotik</t>
  </si>
  <si>
    <t>15.05.2026 15:04</t>
  </si>
  <si>
    <t>В комплексной терапии отцу назначали трентал, лечебную физкультуру, массаж</t>
  </si>
  <si>
    <t>http://vk.com/wall-175752600_26593?reply=26621</t>
  </si>
  <si>
    <t>15.05.2026 13:18</t>
  </si>
  <si>
    <t>ПРОФИЛАКТИКА И ЛЕЧЕНИЕ ПОЛИНЕЙРОПАТИИ
Содержание:
00:00 Вступление
00:43 Что такое полинейропатия и от каких препаратов она возникает?
01:44 Есть ли различие в препаратах платины и таксанов, механизм возникновения полинейропатии в обоих случаях одинаковый, лечение и профилактика тоже идентичны?
02:50 Каковы первые признаки полинейропатии?
06:19 Как-то предсказать вероятность развития полинейропатии возможно?
07:24 Основной фактор риска — это сопутствующие заболевания?
09:04 Влияет ли схема химиотерапии, дозы, интервалы введения на тяжесть развития полинейропатии?
10:18 Если развивается тяжёлая полинейропатия, вы немножко меняете схему лечения. А не теряете ли вы при этом в эффективности?
11:41 Вопрос зрительницы. Сохраняется ли полинейропатия в течение года после окончания ХТ?
13:14 Существуют ли какие-то доказанные меры профилактики полинейропатии?
17:01 Можем ли мы сейчас разобрать способы лечения полинейропатии по стадиям развития патологии?
20:54 Для чего необходимо бинтование конечностей?
22:30 Как пациенты могут помочь себе дома при усилении симптомов?
25:42 Есть пациенты - адепты иглоукалывания. Как вы к этому относитесь?
27:10 Вопрос зрительницы. Можно ли принимать Нейроуридин при нейропатии?
27:56 Вопрос зрительницы. Какие препараты витаминов группы В вы назначаете?
28:51 Возникает ли полинейропатия на фоне иммунотерапии?
30:52 Есть ли конкретные показатели, по которым вы понимаете: развилась тяжёлая полинейропатия, надо менять лечение?
32:17 Вы говорили, что при боли назначают дулоксетин. Это антидепрессант?
35:02 Как вы проводите дифференциальную диагностику - у пациента развилась полинейропатия на фоне лечения, это симптомы основного заболевания или вообще что-то сопутствующее?
38:33 Можно ли при боли использовать локальные обезболивающие, вроде пластыря с ледокаином?
41:49 Вопрос зрительницы. В научных статьях есть данные, что во время введения капельниц химиотерапии положительные профилактические эффекты даёт бинтование пальцев и применение холода. Так ли это?
42:26 Вопрос зрительницы. У меня аденокарцинома эндометрия матки (…) По месту жительства невропатолог выписал Пентоксифиллин, пью третью неделю, улучшений нет. Ступни ног то жжёт, то как будто током ударяет, ходить вообще сложно, пальцев не чувствую. Подскажите правильное лечение
45:17 Вопрос зрительницы. Что медикаментозно, кроме тиоктовой кислоты и сильных препаратов, можно применять при начальной стадии - лёгкое онемение конечностей?
46:54 Вопрос зрительницы. У меня рак яичников, рецидив (...) После окончания химиотерапии стали очень сильно болеть все суставы, кости и мышцы. Ощущение, что болит вообще всё. (…) Нормально ли это вообще? И что делать?
48:16 Вопрос зрительницы. Диагноз: множественная миелома (...) Живу через боль. Врачи говорят, что данная боль практически не купируется, нужно только терпеть и ходить. Это так?
49:59 Вопрос зрителя. После высокодозной брахитерапии и последующей ДЛТ рака предстательной железы появилось лёгкое периодическое онемение конечностей. Невролог назначил Мексидол и Кортексин. Правильно ли это?
52:02 Вопрос зрительницы. Имеет ли смысл прикладывание холода (лёд) к конечностям во время капельниц химиотерапии для профилактики нейропатии? Какие немедикаментозные методы и поддержки при лечении полинейропатии существуют?
53:43 Вопрос зрительницы. В 2024 году мама прошла 6 курсов химиотерапии (…) Подскажите, какие существуют возможности для лечения? Какие существуют способы предотвратить ухудшение в случае повторения химиотерапии с платиной? Есть ли смысл искать зарубежные препараты платины для смягчения этого побочного эффекта?
55:03 Вопрос зрителя. После химии была минимальная нейропатия на пальцах и на ногах. После операции в разы усилилась на все ноги. Почему и не станет ли хуже?
56:44 Что происходит с годами с полинейропатией, она просто уходит, частично остается?
01:00:01 Допустим, пациент вышел в ремиссию, но полинейропатия сохраняется. Что он может сделать со своей стороны, чтобы облегчить ситуацию?
01:02:01 Каковы новейшие исследования по профилактике и лечению полинейропатии?
01:03:52 Напутственные слова</t>
  </si>
  <si>
    <t>https://telegram.me/nmic_blokhina/5857</t>
  </si>
  <si>
    <t>https://telegram.me/nmic_blokhina</t>
  </si>
  <si>
    <t>14.05.2026 22:33</t>
  </si>
  <si>
    <t>Импликатор Кузнецова,трентал таблетки</t>
  </si>
  <si>
    <t>https://www.threads.com/@madame_cle_/post/DYUwGuxiMxZ</t>
  </si>
  <si>
    <t>14.05.2026 19:06</t>
  </si>
  <si>
    <t>Побочные эффекты на мощных стероидных курсах, которые могут стоить вам жизни: Гематокрит
На связи Григорий Кандыба, ваш тренер и врач-эндокринолог.
Сегодня мы разберем побочный эффект который в прямом смысле может стоить вам жизни. Речь пойдет о росте гематокрита — катастрофическом загустении крови.
🩸 Что такое гематокрит и где граница жизни?
Если говорить просто, гематокрит — это соотношение "сухой" массы клеточных элементов к жидкой плазме. Именно этот показатель определяет текучесть вашей крови.
• Норма: Не должна превышать 50%.
• Опасная зона: На тяжелых курсах показатель часто улетает свыше 54%.
• Критическая точка: Приближение к 60% вы, скорее всего, уже не переживете.
В этот момент ваша кровь становится вязкой, как пастила. Сердцу становится невероятно трудно ее перекачивать. Возникает смертельный парадокс: несмотря на обилие эритроцитов, из-за густоты они уже не могут нормально продвигаться по капиллярам и доставлять кислород к тканям. Риск ишемии и инсульта становится критическим.
⚙ Почему кровь превращается в "кисель"?
Дело в том, что абсолютно все анаболические стероиды обладают эритропоэтическими свойствами.
Они действуют подобно кроветворному гормону почек и дают костному мозгу прямую команду на избыточную выработку красных кровяных телец (эритроцитов). Их становится всё больше и больше, и именно эта лишняя клеточная масса является главной причиной того, что кровь теряет свою текучесть.
✅ Как с этим бороться?
Идеальный вариант — снизить дозировки препаратов. Но если этот вариант сейчас не рассматривается, у нас есть три рабочих инструмента:
1. Медикаментозный контроль (Начальный этап)
Здесь отлично помогает Пентоксифиллин (по 400 мг трижды в день) в обязательном сочетании с обильным питьем.
• Как работает: Препарат немного расширяет сосуды и делает сами эритроциты более гибкими. Текучесть крови улучшается, и клеткам становится легче протискиваться в ткани для доставки кислорода.
• Эффект: Способен сбить гематокрит примерно на 2%.
2. Эритроцитофорез (Современный и безопасный метод)
Если дела плохи, это лучший выход. Это современный метод плазмафореза, когда через специальный аппарат из вашей крови прицельно удаляют только излишки эритроцитов.
• Эффект: Одна процедура снижает вязкость примерно на 5%, что может буквально спасти вам жизнь.
• Огромный плюс: Вы чувствуете себя отлично, так как из крови не удаляется ничего лишнего (вся плазма и полезные вещества возвращаются обратно).
3. Слив крови / Донорство (Доступная альтернатива)
Так как эритроцитофорез делают далеко не везде, самым доступным способом остается обычное кровопускание.
• Эффект: Снижает вязкость на 3-4%.
• Минус метода: Эффект хуже, и при этом из организма безвозвратно сливается всё подряд — вместе с лишними эритроцитами вы теряете плазму и ценные иммунные клетки. Метод рабочий, но более жесткий для организма.
📈 Как сохранить здоровье на курсе?
Я понимаю, что бросать мощный курс на полпути — часто не вариант. Но это не повод играть в русскую рулетку со здоровьем.
Если вы хотите выжать из курса максимум результатов и не растерять по пути здоровье — обращайтесь ко мне за ведением. Как врач-эндокринолог, я работаю строго по анализам и науке. Мы настроим фармакологию так, чтобы ваша кровь и сосуды работали как часы даже на высоких дозировках.
[id13041644|Пишите в ЛС] — сделаем всё грамотно и безопасно.
Видео от Григория Кандыбы</t>
  </si>
  <si>
    <t xml:space="preserve">Тексты с изображений_x000d_
гематокрит: как не превратить кровь в «кисель» на курсе опасность загустения #крови (повы шенного гематокрита) при использовании стеройдов i эффективные способы его снижения. зоны риска и последствия норма: смертельный парадокс до 50% спишком jistar срось nanet (еезопа(но проити по nilin ur.ru btbd «110» кислорсд*юе голоданне тханей. что такос гемэтокрит? coot.cr44uw) «сухоа» roirk примух univantoo grango.ru опасная зона: критическая точка: nn??? опред: замын свыше 54% приближение 60% letysecio поон и (высокий риох ослоголежий) (смеотсальжая опусность методы снижения вязкости пентоксифиллин эритроцитофорез слив крови обильмое питье золотой стандарт) (донорство) рисшире (озуды веладу прицелей299 nawas доступны2 мотод (43443), эритроциты гиокиа только 11010 ее удалает эместе снидза показатель эрмтроцитов через аппарат, эритроцитами snewertalian примермо i соловинования сниждет врукость in esin полезные_x000d_
sec желательно пить пять литров и больше воды в день, с carbana_x000d_
</t>
  </si>
  <si>
    <t>http://vk.com/wall13041644_3233</t>
  </si>
  <si>
    <t>14.05.2026 18:04</t>
  </si>
  <si>
    <t>[id868683301|София], пентоксифиллин вы принимаете не как кроверазжижающий, а как противоопухолевый препарат. Разжижает кровь он весьма умеренно со слов врачей, но хорошо улучшает микроциркуляцию. Отменять его или нет, надо договориться с тем, кто будет делать эбус. Это торакальный хирург, эндоскопист и анестезиолог-реаниматолог. Апф у вас немаленький. В 2024 когда мне поймали диагноз был 103.5, в 25 - 39, сейчас 99.78.</t>
  </si>
  <si>
    <t>http://vk.com/wall-17990792_94614?reply=94634&amp;thread=94615</t>
  </si>
  <si>
    <t>14.05.2026 17:03</t>
  </si>
  <si>
    <t>Про вазонит что-то можете сказать?</t>
  </si>
  <si>
    <t>https://telegram.me/semaglu/1919274</t>
  </si>
  <si>
    <t>https://telegram.me/5277775963</t>
  </si>
  <si>
    <t>14.05.2026 16:55</t>
  </si>
  <si>
    <t>ДЛЯ ЧЕГО НУЖНА ЯНТАРНАЯ КИСЛОТА?!
Янтарная кислота является антиоксидантом и иммуномодулятором. Она оказывает метаболическое, антигипоксическое и антиоксидантное действие.
Метаболическое действие заключается в том, что в клетки поступает готовое вещество, включающееся в цикл Кребса, в ходе которого вырабатывается АТФ. Этот эффект позволяет клеткам всех органов получить больше энергии для своих нужд, а, следовательно, работать эффективнее и лучше.
Антигипоксическое действие янтарной кислоты заключается в том, что она улучшает тканевой дыхание, то есть, перенос кислорода из крови внутрь клеток и его утилизацию. Антиоксидантное действие "янтарки" заключается в том, что она обезвреживает свободные радикалы, которые повреждают структуры клеток и приводят к их гибели. Кроме того, благодаря антиоксидантному эффекту янтарная кислота замедляет рост злокачественных опухолей.
Также янтарная кислота и ее соединения (сукцинаты) обладают свойствами адаптогенов, то есть, улучшают общую сопротивляемость организма к негативным воздействиям внешней среды, таким, как стрессы, вирусы, бактерии, сильное психоэмоциональное и физическое напряжение и т.д..
Янтарная кислота оказывает вышеперечисленные эффекты на клетки любых органов и тканей без исключения, а потому улучшает состояние и функционирование всего организма в целом. Однако наиболее выраженное улучшение на фоне приема янтарной кислоты отмечается в работе головного мозга и сердца, поскольку именно эти органы используют наибольшие количества кислорода и энергии. Поэтому препараты янтарной кислоты успешно применяются для предотвращения старческих изменений в центральной нервной системе и в комплексной терапии сердечно-сосудистых заболеваний.
Печень под влиянием "янтарки" быстрее нейтрализует различные токсические вещества, благодаря чему любая интоксикация проходит в сжатые сроки, в том числе алкогольная и никотиновая.
В общем можно сказать, что янтарная кислота оказывает следующие эффекты на работу различных органов и систем.
Улучшает питание головного мозга и сердца, создавая оптимальные условия для их работы.
Ускоряет обезвреживание различных токсических веществ в печени, благодаря чему любая интоксикация на фоне приема янтарной кислоты продолжается гораздо короче, чем без такового.
Уменьшает риск развития злокачественных опухолей.
Уменьшает скорость роста опухолей.
Повышает сопротивляемость организма инфекциям, стрессам и другим неблагоприятным воздействиям окружающей среды.
Стимулирует выработку инсулина.
Повышает эффективность работы и увеличивает поступление кислорода к клеткам нервной системы.
Усиливает терапевтические эффекты лекарственных препаратов, благодаря чему удается существенно снизить дозировки и длительность лечения различных заболеваний.
Купирует развитие и поддержание воспалительного процесса, в том числе аллергического, благодаря чему ускоряет выздоровление от хронических заболеваний.
Улучшает микроциркуляцию крови в периферических тканях (руки, ноги и др.).
Обладает отличными антидепрессивными свойствами, помогая снять раздражение, тревожность, страхи и отрицательные эмоции;
Купирует хронические воспалительные процессы в мочеполовых органах.
Польза янтарной кислоты при различных заболеваниях.
На основании проведенных клинических исследований было выяснено, что препараты янтарной кислоты, применяемые в составе комплексной терапии различных заболеваний, повышают эффективность основных лекарств, удлиняют сроки ремиссии и позволяют снизить дозировку и длительность лечения.
Янтарная кислота при ИБС, ГБ (гипертонической болезни) и атеросклерозе сосудов ног.
Добавление препаратов янтарной кислоты в схемы лечения хронической ИБС, гипертонической болезни и атеросклероза сосудов нижних конечностей позволяет существенно уменьшить количество и дозировки лекарств, а также укоротить продолжительность терапии. В качестве самостоятельных средств препараты янтарной кислоты могут применяться вместо нитратов (Нитроглицерина, Нитросорбита и т.д.) для купирования приступов стенокардии.
Как правило, рассасывание таблетки Янтарной кислоты эффективно купирует стенокардитические приступы у большинства больных, что позволяет снизить количество и частоту применения ими нитратов. Включение таблеток Янтарной кислоты в схему лечения ИБС и гипертонической болезни существенно улучшает общее самочувствие, уменьшает частоту и продолжительность приступов стенокардии, скачков давления, экстрасистолий и тахикардии, а также снижает выраженность одышки и отеков.
Подобные положительные изменения наступают в среднем через 10 – 20 дней приема Янтарной кислоты, что позволяет по прошествии этого срока снизить дозировки основных лекарств (бета-блокаторов, ингибиторов АПФ, блокаторов кальциевых каналов, сердечных гликозидов, Престариума, Аспирина и др.). Также благодаря включению в схему терапии Янтарной кислоты многим больным ИБС, ГБ и атеросклерозом сосудов через 15 – 20 дней регулярного приема "янтарки" отменяют мочегонные средства, поскольку отеки становятся менее выраженными, и необходимость их применения отпадает.
В настоящее время рекомендуется включать Янтарную кислоту в схемы терапии ИБС, ГБ и атеросклероза сосудов нижних конечностей в следующем количестве: по 1 таблетке 1 – 2 раза в день после еды. Через 15 – 20 дней после начала приема Янтарной кислоты необходимо провести повторное обследование, чтобы скорректировать дозировки лекарств и отменить ненужные на основании состояния человека.
Положительный результат включения в схемы терапии ИБС, ГБ и атеросклероза таблеток Янтарной кислоты подтверждается объективными данными обследований. Так, на ЭКГ регистрируется улучшение коронарного кровообращения и нормализация сердечного ритма, а в крови снижается уровень холестерина и нормализуется содержание фракций липидов высокой и низкой плотности. Янтарная кислота при церебральном атеросклерозе и дисциркуляторной энцефалопатии.
При атеросклерозе сосудов головного мозга (церебральном) и дисциркуляторной энцефалопатии препараты янтарной кислоты в комплексе с другими лекарствами позволяют существенно улучшить результаты лечения.
Так, наилучший терапевтический эффект при данных заболеваниях был выявлен при совместном применении Янтарной кислоты в сочетании с Ноотропилом, Кавинтоном, Стугероном, Пикамилоном и Фезамом. Первые улучшения появляются через 3 – 5 дней, а после полного 2 – 3 месячного курса у людей существенно уменьшаются проявления склеротических симптомов, благодаря чему головокружения и головные боли появляются гораздо реже и имеют более низкую интенсивность, а также улучшает сон, память, настроение и концентрацию внимания.
Оптимально принимать Янтарную кислоту по 1 таблетке по 1 – 2 раза в сутки в сочетании с другими лекарствами на протяжении всего курса лечения. Кроме того, препараты для лечения энцефалопатии и церебрального атеросклероза нельзя принимать постоянно, после завершения одного курса терапии перед повторным необходимо обязательно делать перерыв.
Во время таких перерывов самочувствие у людей существенно ухудшается. Однако если в перерывах между повторными курсами терапии принимать Янтарную кислоту в сочетании с Танаканом или БАДами, содержащими экстракты Гинкго-билоба, то состояние людей ухудшается незначительно, что позволяет им переносить перерыв в лечении относительно легко.
В перерывах между курсами терапии рекомендуется принимать по 1 таблетке Янтарной кислоты по 1 разу в день. При облитерирующем атеросклерозе и хронической венозной недостаточности При данных заболеваниях включение в схему терапии Янтарной кислоты приводит к уменьшению выраженности болевого синдрома и зябкости в ногах, снижению частоты и длительности спазмов в мышцах (в том числе судорог), а также к восстановлению чувствительности в конечностях.
Данные положительные эффекты наилучшим образом достигаются при сочетании Янтарной кислоты с Гепариновой мазью, Лиотоном, Фастум-гелем, Тренталом, Агапурином и ножными ванночками. В таких случаях Янтарную кислоту рекомендуется принимать по 1 таблетке по 1 – 2 раза в сутки в сочетании с другими лекарствами.
При остеохондрозе и деформирующем остеоартрозе.
При данных заболеваниях даже изолированное применение препаратов Янтарной кислоты существенно улучшает состояние суставов и общее самочувствие.
Так, уменьшаются боли и отек в области суставов, деформация становится менее выраженной, а объем движений увеличивается.
При остеохондрозе и деформирующем остеоартрозе Янтарную кислоту рекомендуется принимать по 1 таблетке по 2 раза в сутки в течение 2 – 3 месяцев. ...
При хронических бронхитах и бронхиальной астме.
Применение препаратов Янтарной кислоты при хронических бронхитах и астме в периоды ремиссии в дозировке 0,5 – 1,5 г. в сутки приводило к улучшению самочувствия и удлиняло межприступные промежутки.
Для достижения положительного результата Янтарную кислоту необходимо принимать в течение месяца. ... при острых респираторных инфекциях и простудах
Прием Янтарной кислоты по 1 таблетке по 2 раза в день в течение 2 – 3 недель в периоды сезонных эпидемий респираторных заболеваний предотвращает заражение человека, а даже если оно и происходит, то болезнь протекает гораздо легче, и выздоровление наступает быстрее.</t>
  </si>
  <si>
    <t xml:space="preserve">Тексты с изображений_x000d_
янтарная 66007 кислота «квадрат*с» таблетки массой q.5r 20 таблеток 100 мг ccc_x000d_
</t>
  </si>
  <si>
    <t>http://vk.com/wall-235912791_45</t>
  </si>
  <si>
    <t>14.05.2026 16:45</t>
  </si>
  <si>
    <t>[id325093883|Олеся], для разжижения крови трентал назначали</t>
  </si>
  <si>
    <t>http://vk.com/wall-117764704_5705749?reply=5707049&amp;thread=5706390</t>
  </si>
  <si>
    <t>Архангельская</t>
  </si>
  <si>
    <t>http://vk.com/wall-117764704_5705749?reply=5707048&amp;thread=5706390</t>
  </si>
  <si>
    <t>14.05.2026 16:39</t>
  </si>
  <si>
    <t>Еще можно попить сосудорасширяющие и кроверазжижающие препараты, например, трентал, он еще улучшает кровообращение</t>
  </si>
  <si>
    <t>https://dzen.ru/a/agUol5ne4hbd7M9R?comment-request=1#comment_3310286133</t>
  </si>
  <si>
    <t>14.05.2026 16:31</t>
  </si>
  <si>
    <t>Для улучшения кровообращения в целях профилактики моему отцу назначали трентал</t>
  </si>
  <si>
    <t>http://vk.com/wall-61570233_115656?reply=115826</t>
  </si>
  <si>
    <t>14.05.2026 15:33</t>
  </si>
  <si>
    <t>[id427208172|Анастасия], у вас вены в ногах плохо работают, к флебологу сходите, еще можно у врача рецепт на Трентал попросить, отлично помогает от боли в ногах, когда больно даже ступать на ступни!</t>
  </si>
  <si>
    <t>http://vk.com/wall-58170807_14234223?reply=14235126&amp;thread=14235114</t>
  </si>
  <si>
    <t>14.05.2026 15:08</t>
  </si>
  <si>
    <t>А что вы скажете про пентоксифиллин?</t>
  </si>
  <si>
    <t>http://vk.com/wall-223258406_10449?reply=10707</t>
  </si>
  <si>
    <t>14.05.2026 12:00</t>
  </si>
  <si>
    <t>[id25306974|Дмитрий], омнипак, визипак, лейдокаин, новокаин, ультракаин. Мексидол, нош-па, пентоксефилин, витамины группы В. Нитроглицерин, глюкоза. На это всё аллергия , отёк квинке. Прошла тесты.</t>
  </si>
  <si>
    <t>http://vk.com/wall-223258406_8886?reply=10575&amp;thread=9121</t>
  </si>
  <si>
    <t>14.05.2026 03:37</t>
  </si>
  <si>
    <t>Хондроитина сульфат 2,0 внутримышечно 1 раз в день 10 дней ; актовегин 10,0 внутривенно медленно 10 раз, пентоксифиллин200 мг х 20 дней , мидокалм 150 мг по 1 на ночь после еды 1 месяц , ксефокам потом аркоксия при болях , мильгама 2...</t>
  </si>
  <si>
    <t>Хондроитина сульфат 2,0 внутримышечно 1 раз в день 10 дней ; актовегин 10,0 внутривенно медленно 10 раз, пентоксифиллин200 мг х 20 дней , мидокалм 150 мг по 1 на ночь после еды 1 месяц , ксефокам потом аркоксия при болях , мильгама 2,0 10 уколов внутримышечно. Стандартная схема лечения неврологической патологии .</t>
  </si>
  <si>
    <t>https://otvet.mail.ru/question/269797507?reply=4422201376</t>
  </si>
  <si>
    <t>14.05.2026 03:28</t>
  </si>
  <si>
    <t>9) эпилепсия- при приступе пить ReO2 маоенькими глотками 1/3 бутылки, каждый день ГАМК(GABA) 500мг или пантогам актив 2 капуслы(ГАМК, гингко билоба для кровообращения и в6), магне в6 ретард(пропить месяц) защищает и от психотронки, корвалол 25 капель некаждый день, чтобы небыло токсикомании что в молодом возрасте может быть из-за корвалола и проколоть 10 уколов милдроната или пропить милдронат(действует на след.день если сейчас выпить)
10)программируют слепоту катаракту через Фото в главе: Иллюзии в книге ПсихологияТеплова СССР книга - корнерегель для питания эпителия роговицы что без сосудов и тогда проникает в глаз воздух через роговицу(неболее 5 дней мазать можно утром и вечером)+пентоксифиллин для нерва глаза хорошего кровообращения глаза. Когда хотят сделать глаукому молодым используют инфекццию тулерямия или краснуха с болезней коньюнктивитом, что может понизить зрение или человек может ослепнуть(корнерегель через 30 минут после альбуцита(сульфацил натрия) потом через 15 минут окамистин или флоксал+пентоксифиллин пить 30 дней для питания нерва изза чего глаукома
11) от диабета - пятипал, что воссатналивает бета клетки что продуцируют инсулин, куркумин(капсулы) для печени что влияет на поджелудочную, черный чай содержащий флавоноиды помогают контролировать уровень сахара и как нейпротектор мозгу. Также при диабеьическрц стопы тоже самое+витамины группы В.
Для памяти и мозга скоро пост)
Будьте здоровы!!!!
К слову в аптеках новый цитромон форте(блистер с защитой от психотронки), советую как и аспирин упса)- но нельзя пр. сыпи, чтобы избежать синдром Рейно(белые руки).</t>
  </si>
  <si>
    <t xml:space="preserve">Тексты с изображений_x000d_
powel aromatika ефорна ол1я евкалиптова oleum eucalypti_x000d_
</t>
  </si>
  <si>
    <t>https://www.instagram.com/p/DYStFpSto3E/</t>
  </si>
  <si>
    <t>@mila.fomina / Mila Fomina English</t>
  </si>
  <si>
    <t>13.05.2026 21:24</t>
  </si>
  <si>
    <t>[id302545652|Татьяна], совершенно верно!Раньше дерматологи говорили:»Ногтевой грибок лечится теоретически!"Даже если снять ноготь,вырастет пораженный,надо принимать таблетки,из много,но 90%,не работают.Пока пьешь,грибок по мере отрастания уходит,курс прошел,он тихонько возвращается.Да и чтобы лекарство дошло до ногтя,нужны хорошие сосуды,если человек старый ,да ещё и грибку много лет…лечение бесполезное.У пожилых кровообращение нарушено,лекарство не доходит,можно,конечно,применять капельницы с никотиновой кислотой,тренталом,для улучшения кровообращения,но как правило,до этого никто не доходит.Хороший результат дают таблетки тербинафин,появившиеся несколько лет назад,а для местного лечения в совокупности с таблетками используют лосьоны,(не мази, из мази лекарство плохо высвобождается в ноготь),спиртовые лосьоны от грибка.Попробуйте,здоровья больным ногтям!</t>
  </si>
  <si>
    <t>http://vk.com/wall-169469876_2949345?reply=2949476&amp;thread=2949404</t>
  </si>
  <si>
    <t>Тверская</t>
  </si>
  <si>
    <t>13.05.2026 20:55</t>
  </si>
  <si>
    <t>С гарантией ни апиксабан, ни ривароксабан в таких мизерных дозировках не помогут. Тромбанет ещё сильнее. Пентоксифилин изменяет агрегацию тромбоцитов, в ходу у лыжников.</t>
  </si>
  <si>
    <t>http://www.youtube.com/watch?v=X6Npv1UnVgA&amp;lc=Ugw9A4pCIjvqzZBFl7Z4AaABAg</t>
  </si>
  <si>
    <t>13.05.2026 20:11</t>
  </si>
  <si>
    <t>Возможно у вас проблема с сосудами. У меня было покалывание и онемение в ноге, мне трентал назначали для улучшения кровообращения, а ещё я вычитала, что он обладает сосудорасширяющим и кроверазжижающим действием. Вот уже месяца три не беспокоит нога</t>
  </si>
  <si>
    <t>https://mom.life/post/6a02e5eab578637f2c0a6e3b#6a0478922035d73e360a7a50</t>
  </si>
  <si>
    <t>13.05.2026 20:01</t>
  </si>
  <si>
    <t>У моего деда начались проблемы с ногами и у него выявили заболевание периферических артерий, в комплексной терапии ему назначали трентал для улучшения микроциркуляции крови</t>
  </si>
  <si>
    <t>https://dzen.ru/a/agIAh0cwAkGzc3PX?comment-request=1#comment_3299475272</t>
  </si>
  <si>
    <t>13.05.2026 19:46</t>
  </si>
  <si>
    <t>Стала ощущать на себе такие симптомы, работа сидячая, поэтому теперь стараюсь раз в час встать и пройтись по лестнице со второго на первый этаж пару раз, и для улучшения кровообращения пью трентал</t>
  </si>
  <si>
    <t>http://vk.com/wall-149695687_65596?reply=65621</t>
  </si>
  <si>
    <t>Брянская</t>
  </si>
  <si>
    <t>13.05.2026 19:28</t>
  </si>
  <si>
    <t>У меня мигрень, но без ауры и слава Богу бывает раз в году:
Капают внутривенно и уколы:
цитофлавин, мексидол, трентал(не аналог)актавегин, хватает на год Альхамдулиллах 🤲 Мигрень у всех разная и локализация разная, у меня левый висок так бьет прям приступами и с рвотой и длится это 1-2 недели, в процессе начинаю капаться и все проходит.</t>
  </si>
  <si>
    <t>https://www.instagram.com/p/DYP5LenuI6Q/c/18105165776499692</t>
  </si>
  <si>
    <t>@kiira_satu / @</t>
  </si>
  <si>
    <t>@luly_abdula / • ЛУЛИ | РЕДИЗАЙН МЕБЕЛИ | ДЕКОР МЕБЕЛИ •</t>
  </si>
  <si>
    <t>13.05.2026 19:15</t>
  </si>
  <si>
    <t>Капельница для сосудов (вены, капиляры)
☝Метаболит пентоксифиллин.
✍Пентоксифиллин уменьшает вязкость крови и улучшает ее текучесть, тем самым соответственно улучшается питание всех органов, улучшается трофика тканей. Происходит это за счет:
- улучшения нарушенной деформируемости эритроцитов;
- уменьшения травматизации тромбоцитов и эритроцитов;
- снижения концентрации фибриногена;
🔥 Механизм его действия связан с ингибированием фосфодиэстеразы и накоплением циклического аденозинмонофосфата (цАМФ) в клетках гладкой мускулатуры сосудов и форменных элементах крови.
🔥Оказывая слабое сосудорасширяющее действие, и уменьшает общее периферическое сосудистое сопротивление.
🔥Улучшает микроциркуляцию в зонах нарушенного кровообращения, особенно при мозговом кровообращении.
🔥 Удлиняет дистанции ходьбы, устраняет ночные судороги в икроножных мышцах.
Показания‼
- атеросклерозы в том числе и диабет (например, «перемежающаяся» хромота, диабетическая ангиопатия).
- Трофические нарушения (например, трофические язвы голеней, гангрена).
- Нарушения мозгового кровообращения (при снижение концентрации внимания, головокружение, ухудшение памяти), ишемические и постинсультные состояния.
- Нарушения кровообращения в сетчатой и сосудистой оболочке глаза.
- Отосклероз, дегенеративные изменения на фоне патологии сосудов внутреннего уха и снижения слуха.
🚫 не стоит применять при: беременности и кормлении грудью
При необходимости применения препарата следует прекратить грудное вскармливание (учитывая отсутствие опыта применения).
🚑 Поставить капельницу можно в МедАкадем - 960 рублей за один сеанс
🔥🚑❗Можно даже с выездом на дом - 2100 рублей.
☎+7-995-677-70-94</t>
  </si>
  <si>
    <t xml:space="preserve">Тексты с изображений_x000d_
заби трентал пентоксифилпин tla9102905 20 мг) мл концентрат для приготовления раствора для инфузий. вазодилатирующее средство. стерильно_x000d_
</t>
  </si>
  <si>
    <t>http://vk.com/wall-226248434_97</t>
  </si>
  <si>
    <t>http://vk.com/wall318581728_1506</t>
  </si>
  <si>
    <t>13.05.2026 14:58</t>
  </si>
  <si>
    <t>Наталия Носкова, добрый день , тоже было так,сосуды сказали,тринтал пью,либо делаю капельно</t>
  </si>
  <si>
    <t>https://dzen.ru/a/agO_WxUdvlFXlczq?comment-request=1#comment_3308560483</t>
  </si>
  <si>
    <t>Новосибирская</t>
  </si>
  <si>
    <t>13.05.2026 12:43</t>
  </si>
  <si>
    <t>Всех приветствую,возможно моя история будет кому то полезна.
Напомню
с 14 лет астма,гем был уже тогда 49. в 19 году поставлен диагноз тромбофилия в институте гематологии.
Полный зож с детства,опыта приема ас нет.
Рецидивы по гему(55-56),гемоглобин (180) всегда были в мае-июне,связываю с астмой.Обычно 48-49/170.
с 23 года даже мои высокие цифры,стали расти еще выше,в среднем гем стал 51-52,ниже 50 ни разу не упал.
Хотя с 23 года многое пробовал(мексидол,пентоксифиллин,кардио минимум 2 раза в неделю,3 литра воды при скромном сб весе)
Перед сдачей гнался за красивыми цифрами. Не тренил за 2 дня до сдачи,без секса,даже не водил машину))чтоб лишнего стресса не было.
Ничего не помогало. А от большого количества воды,даже креатинин стал расти 115-120,и снизилась скф.
К чему собственно пришел за последнее время,обдумывая свои проблемы...
В моем случае б12,сдавал за полгода 3 раза,все очень низко было 160-200. Для молодого парня с зож...
Предположил,что и ферритин пострадал,так и вышло. В марте 55,хотя в 22 году был 100.
В общем,проколол 10 уколов по 500 б12,две недели подождал и сегодня сдал. В свой самый рецидивный период,вчера тренил,обычно нет,и воды мало пью последний месяц(надоело).
Лучший анализ за 3 года,в совпадение не верю,сдаю каждый месяц на протяжении 7 лет в одной и той же лабе.
Вывод.
-На гем влияет очень много показателей
-Излишек воды не поможет,скорее навредит
-Мексидол и пентоксифиллин не помогут,максимум чуть сдержат рост
-Кардио 50/50.Если постоянно,то наверное да</t>
  </si>
  <si>
    <t>https://forum.steelfactor.ru/index.php?showtopic=46978&amp;page=59#entry1059868602</t>
  </si>
  <si>
    <t>13.05.2026 01:45</t>
  </si>
  <si>
    <t>«В новом сетевом метаанализе (Das S. et al. Comparing interventions used to treat venous leg ulcers – A network meta-analysis. Phlebology, 2026) авторы сравнили основные методы лечения венозных трофических язв, применяемые вместе с компрессионной терапией. В анализ вошли 15 РКИ и более 2500 пациентов.
Ключевые результаты:
▪️ Пентоксифиллин увеличивал вероятность заживления язвы более чем в 3 раза.
▪️ Эндовенозная абляция также достоверно улучшала результаты лечения.
▪️ Для открытой хирургии, склеротерапии, аспирина, флавоноидов и ультразвуковой терапии убедительных преимуществ выявлено не было.
Авторы подчёркивают, что компрессия остаётся базой терапии, однако именно сочетание компрессии с активным устранением венозной гипертензии или фармакологической поддержкой даёт лучшие результаты.
Отдельный интерес вызывает возможная комбинация:
🔹 абляция + пентоксифиллин.
Пока доказательств недостаточно, но направление выглядит перспективным для будущих исследований.»
Источник: https://t.me/actualphlebology/13528</t>
  </si>
  <si>
    <t>http://vk.com/wall-227669108_6</t>
  </si>
  <si>
    <t>13.05.2026 01:38</t>
  </si>
  <si>
    <t>Ну тут пентоксифелин лучше, воды пару ведер в день и кардио) у меня кстати такой же гем, месяц не курю делаю кардио контролю воду и жру пентоксифелин и прокапался цитофлавином, интересно че как помогло или нет, надо будет в субботу сходить</t>
  </si>
  <si>
    <t>https://telegram.me/d04a_chat/707427</t>
  </si>
  <si>
    <t>https://telegram.me/bigmegabong</t>
  </si>
  <si>
    <t>13.05.2026 01:21</t>
  </si>
  <si>
    <t>Просто "ретро" лекарства дешевле. И да это очень грустно. Для примера: мужу нужен вазопростан, а капают пентоксифиллин ибо в хирургии ничего больше нет. Владимирская область.</t>
  </si>
  <si>
    <t>http://vk.com/wall-182515813_19071?reply=19072</t>
  </si>
  <si>
    <t>Вологодская</t>
  </si>
  <si>
    <t>13.05.2026 00:58</t>
  </si>
  <si>
    <t>Хотелось бы вас конечно обнадежить. Кроме клексана не рекомендуют аспирин, пентоксифилин, кислородные капельницы или камеры? Варианты конечно есть, если идет хоть какая-то динамика по росту и весу. Могут конечно если получится предложить кесарево на раннем сроке, когда в теории возможно спасти…</t>
  </si>
  <si>
    <t>https://www.babyblog.ru/community/happypregn/post/3777546?go_comment_id=165940500</t>
  </si>
  <si>
    <t>13.05.2026 00:49</t>
  </si>
  <si>
    <t>Пентоксифиллин я перепробовал разный и в разных вариациях, описал в постах ниже - почитайте. Остановился на пентоксифиллин шрея, размазываю по 1 таблеточке через несколько часов свою дозировку, тогда не мутит. Тревожность, бессонница, жуткая утомляемость и прочие «кукушечные» проявления есть у абсолютного большинства к сожалению. Американцы уже придумали новый сопутствующий диагноз - «парасаркоидозный синдром» или «парасаркоидоз». У нас лечат саркоидоз, но выкашивает из нормальной жизни нас парасаркоидоз, за границей наибольшее внимание уделяют именно этому.</t>
  </si>
  <si>
    <t>http://vk.com/wall-17990792_94569?reply=94628</t>
  </si>
  <si>
    <t>12.05.2026 23:14</t>
  </si>
  <si>
    <t>А пентоксифиллин разжижает кровь?</t>
  </si>
  <si>
    <t>https://www.instagram.com/p/DYPHQIauPFV/c/18359411767227628</t>
  </si>
  <si>
    <t>@r_e_a_l_b_o_y_58 / r_e_a_l_b_o_y_58</t>
  </si>
  <si>
    <t>@arm_buller / 𝔾𝕣𝕚𝕘𝕠𝕣 ᛋ Dr.𝐆𝐫𝐢𝐳𝐳𝐥𝐢 ᛋ ℙ𝕠𝕟𝕠𝕞𝕒𝕣𝕖𝕎</t>
  </si>
  <si>
    <t>12.05.2026 23:11</t>
  </si>
  <si>
    <t>[id5286837|Анастасия], пила месяц пентоксифиллин, вся побочка ЖКТ в описании и даже больше, похудела на 3 кг. Перешла на Вазонит, легче переносится, но теперь бессонница.</t>
  </si>
  <si>
    <t>http://vk.com/wall-17990792_94569?reply=94625&amp;thread=94623</t>
  </si>
  <si>
    <t>12.05.2026 21:46</t>
  </si>
  <si>
    <t>А как вы пентоксифиллин переносите?Я пропила 2 дня и ужасная побочка в виде тревоги</t>
  </si>
  <si>
    <t>http://vk.com/wall-17990792_94569?reply=94623</t>
  </si>
  <si>
    <t>12.05.2026 21:31</t>
  </si>
  <si>
    <t>Трентал 400 в том году пил но сейчас рецепт закончился</t>
  </si>
  <si>
    <t>https://telegram.me/hamovnikipoleznychatik/219659</t>
  </si>
  <si>
    <t>https://telegram.me/nikolai198726</t>
  </si>
  <si>
    <t>https://telegram.me/hamovnikipoleznychatik</t>
  </si>
  <si>
    <t>12.05.2026 21:20</t>
  </si>
  <si>
    <t>Истощение</t>
  </si>
  <si>
    <t>03 - Помогите!
Bevel писал(а): Привет форумчанам, если еще кто живой остался на форуме. Пишу от отчаяния, нужна помощь хотя бы советом. Мне 41 и год назад заболел простатитом (или даже не знаю чем) - диагнозы разные ставили (везикулит, СХТБ, застойные явления). Никогда не болел ЗППП, до этого не обращался к урологам - не чувствовал никаких симптомов.
В июле 2025 года у меня появились "грызущие" боли внизу живота над лобком, немного правее от центра (не в паху). Ранее два раза отмечал болезненное семяизвержение в апреле того же года и примерно 4-5 дней учащенного мочеиспускания в мае. В июне никаких симптомов не было.
После появления болей обратился к урологу за медпомощью. Выполнил следующие анализы/исследования:
ОАК + биохимия,
ОАМ + бактериальный посев с опр. чувствительности к антибиотикам,
анализ на ПСА,
ТРУЗИ простаты,
анализ секрета простаты,
бакпосев эякулята,
анализ на половые гормоны,
МРТ без контраста (тк аллергик),
андрофлор из уретры.
В общем кроме УПМ в андрофлоре (Enterobacteriaceae/Enterococcus spp, Peptostreptococcus spp. / Parvimonas spp. Eubacterium spp.) ничего не нашли.
По трузи - кальцинаты слева и участок низкой гипоэхогенности справа. Как раз где примерно болит. Сейчас жду очереди на МРТ с контрастом, рискну сделаю.
В начале пропил короткий курс Таваника 10 дней, вроде полегче стало, но не прошло полностью. Постепенно стали добавляться новые симптомы: проблемы с эрекцией, боли в промежности, зуд/"свирбение" внизу живота по ночам, тянущая боль в пояснице после теплой ванны.
Пробовал моксифлоксацин 10 дней, кларитромицин 10 дней, доксициклин 7 дней, 10 дней орнидозол. После последнего вроде чуть-чуть легче стало.
Замачал что в уретре есть содержимое - пенистая жижа, оч немного и не вытекает. Думал трихи, но посев и мазок ПЦР отрицательный. Не женат, половой жизни больше 5 лет нет, только маст*****я.
Теперь самое главное: за 10 месяцев эта болячка меня истощила полностью. Я похудел на 11 кг, слабость, с утра еле поднимаюсь с кровати. Хочется волком завыть - похоже депрессия накрыла. Что делать я не знаю. Врачи каких-то особых назначений не делают, только АБТ короткими курсами и всякие вспомогательные препараты типа Трентала, витамина Е, БАДов.
Может стоило сразу пока силы были длинный курс антиков пропить. Но кто же тогда знал. Теперь не знаю куда дальше двигать. Что посоветуете?
Bevel писал(а): Привет форумчанам, если еще кто живой остался на форуме. Пишу от отчаяния, нужна помощь хотя бы советом. Мне 41 и год назад заболел простатитом (или даже не знаю чем) - диагнозы разные ставили (везикулит, СХТБ, застойные явления). Никогда не болел ЗППП, до этого не обращался к урологам - не чувствовал никаких симптомов.
В июле 2025 года у меня появились "грызущие" боли внизу живота над лобком, немного правее от центра (не в паху). Ранее два раза отмечал болезненное семяизвержение в апреле того же года и примерно 4-5 дней учащенного мочеиспускания в мае. В июне никаких симптомов не было.
После появления болей обратился к урологу за медпомощью. Выполнил следующие анализы/исследования:
ОАК + биохимия,
ОАМ + бактериальный посев с опр. чувствительности к антибиотикам,
анализ на ПСА,
ТРУЗИ простаты,
анализ секрета простаты,
бакпосев эякулята,
анализ на половые гормоны,
МРТ без контраста (тк аллергик),
андрофлор из уретры.
В общем кроме УПМ в андрофлоре (Enterobacteriaceae/Enterococcus spp, Peptostreptococcus spp. / Parvimonas spp. Eubacterium spp.) ничего не нашли.
По трузи - кальцинаты слева и участок низкой гипоэхогенности справа. Как раз где примерно болит. Сейчас жду очереди на МРТ с контрастом, рискну сделаю.
В начале пропил короткий курс Таваника 10 дней, вроде полегче стало, но не прошло полностью. Постепенно стали добавляться новые симптомы: проблемы с эрекцией, боли в промежности, зуд/"свирбение" внизу живота по ночам, тянущая боль в пояснице после теплой ванны.
Пробовал моксифлоксацин 10 дней, кларитромицин 10 дней, доксициклин 7 дней, 10 дней орнидозол. После последнего вроде чуть-чуть легче стало.
Замачал что в уретре есть содержимое - пенистая жижа, оч немного и не вытекает. Думал трихи, но посев и мазок ПЦР отрицательный. Не женат, половой жизни больше 5 лет нет, только маст*****я.
Теперь самое главное: за 10 месяцев эта болячка меня истощила полностью. Я похудел на 11 кг, слабость, с утра еле поднимаюсь с кровати. Хочется волком завыть - похоже депрессия накрыла. Что делать я не знаю. Врачи каких-то особых назначений не делают, только АБТ короткими курсами и всякие вспомогательные препараты типа Трентала, витамина Е, БАДов.
Может стоило сразу пока силы были длинный курс антиков пропить. Но кто же тогда знал. Теперь не знаю куда дальше двигать. Что посоветуете?
Вот вообще не факт что длинный курс тебе поможет, а то что здоровье сделать хуже спокойно по себе говорю</t>
  </si>
  <si>
    <t>https://hron-prostatit.ru/forum/viewtopic.php?p=445329#p445329</t>
  </si>
  <si>
    <t>12.05.2026 17:05</t>
  </si>
  <si>
    <t>Привет, девочки 🌿
Это снова я в шарфе, куртке и штанах с начёсом, да. Потому что у нас опять +13 ☁️ 🌧 и мокро.
Праздники в этом году у нас прошли максимально не так, как обычно проходят наши майские) Мы так и убирались все дни, доклеивали опять обои в некоторых частях квартиры, переставляли шкафы и вещи… Дом становится чистым и красивым 🥹
Сегодня я в MD GROUP) Мне надо сдать кровь 🩸 на ТЭГ, Мария Борисовна просит её сейчас каждые 2 недели, и в последний раз плацентарное соотношение sFLT/PLGF, прошел месяц с предыдущего.
Дальше надо покушать и прокапать капельницу актовегина и пентоксифилина 💉
Дальше в комнате мамы и ребёнка надо сделать и отправить КТГ, он у меня с собой)
Дальше, если я ещё смогу, съездить забрать заказанный Клексан (Эниксум) из аптеки.
(Кто переживал, Клексан у меня вплоть до самого КС, лишь за сутки укол не ставится, поэтому никто его раньше ни в коем случае не отменяет 👌🏻 )
Вот так. Думала раньше, что в последние недели и дни буду ну реально лежать, и Андрей будет просто подносить мне еду, когда надо 😄 Он кстати тоже удивлен, что такого всё ещё нет. Ведь так мне часто нужна помощь, получается, и могут возникать дополнительные заботы у него из-за этого)) А у него сейчас работа + обучение идёт + уборка с мебелью…
Но я рада, что все ещё на ногах, и дела двигаются. А дела то ещё есть.</t>
  </si>
  <si>
    <t>https://telegram.me/ecoterina_blog/4507</t>
  </si>
  <si>
    <t>12.05.2026 16:58</t>
  </si>
  <si>
    <t>http://vk.com/wall-237474828_9</t>
  </si>
  <si>
    <t>12.05.2026 16:44</t>
  </si>
  <si>
    <t>Моему родственнику при атеросклерозе трентал назначали, у него нарушение периферического кровообращения было</t>
  </si>
  <si>
    <t>https://telegram.me/hamovnikipoleznychatik/219654</t>
  </si>
  <si>
    <t>12.05.2026 16:42</t>
  </si>
  <si>
    <t>https://telegram.me/hamovnikipoleznychatik/219653</t>
  </si>
  <si>
    <t>12.05.2026 15:44</t>
  </si>
  <si>
    <t>Я бы еще к вышеперечисленному добавила трентал курсами для улучшения микроциркуляции крови</t>
  </si>
  <si>
    <t>https://dzen.ru/a/afiBsoA08Tr-2mHL?comment-request=1#comment_3301538724</t>
  </si>
  <si>
    <t>12.05.2026 15:31</t>
  </si>
  <si>
    <t>Вообще невролог лечит, определит причину, в вашем случае и консультация эндокринолога необходима, а если еще и сосудами проблема, то и кардиолога. Физиотерапия и лечебная физкультура поможет поможет улучшить кровообращение тканей, трентал улучшает кровообращение</t>
  </si>
  <si>
    <t>http://vk.com/wall-172880205_412995?reply=413058</t>
  </si>
  <si>
    <t>Кировская</t>
  </si>
  <si>
    <t>12.05.2026 13:39</t>
  </si>
  <si>
    <t>Пампит хорошо… но Пентоксифиллин интереснее. Тадалафил круто пампит, но это для Мальчиков)))</t>
  </si>
  <si>
    <t>https://www.threads.com/@dimasikdoc/post/DYOpdNHjXZx</t>
  </si>
  <si>
    <t>12.05.2026 11:01</t>
  </si>
  <si>
    <t>Пентоксифиллин пей 200мг хватит</t>
  </si>
  <si>
    <t>https://www.threads.com/@artem1983m/post/DYOXZS5CHVW</t>
  </si>
  <si>
    <t>12.05.2026 10:41</t>
  </si>
  <si>
    <t>ирина козлова, попей для кровообращения что-то, пентоксифиллин хотя бы, он подешевле! И забудь про коммунистов террористов. Они зашудили миллионы человек, страну ослабили, доведя до войны с Гитлером, во концовке развалили нафиг. Ч понимаю, старые мозги, но не пиши, не позорься всякий бред. Ведь понимаешь, что твое время ушло, вся жидлвская эта коммунистическая ересь в прошлом и навсегда !!!</t>
  </si>
  <si>
    <t>https://dzen.ru/a/aHQggDhDE1HS3wnR?comment-request=1#comment_3306710963</t>
  </si>
  <si>
    <t>12.05.2026 07:47</t>
  </si>
  <si>
    <t>[id194346783|Оксаночка], аксомон, нейромультивит, пентоксифилин, дулоксетин. Все, что может назначить. Другого нет. Только торговые названия меняют. Такое ощущение что и учиться на эту специальность не надо. Вместо вакцин, в Гамалея лучше б нервной системой занимались. Но нет же там особо деньжат не заработать</t>
  </si>
  <si>
    <t>http://vk.com/wall-206214408_304226?reply=304467&amp;thread=304229</t>
  </si>
  <si>
    <t>12.05.2026 01:59</t>
  </si>
  <si>
    <t>Моя мама сталкивалась. Это атеросклероз сосудов нижних конечностей, если анализыкрови и УЗИ это подтверждают.
Холодные стопы , если нет перемежающейся хромоты - это когда при ходьбе ноги как свинцовые становятся , сначала через 1 км , потом расстояние до этого состояния постепенно уменьшается и становится около 100 метров) не опасно уж жо 15 чисоа точно, а до обследования назначают обычно трентал в таблетках , витамины группы В в ампулах . Для поддержания кровообращения.
Узи сосудов нижних конечностей необходимо сделать. Если так опасаетесь сходите прямо завтра к терапевту дежурному ну или у любому где есть запись они знают как с такими состояниями справляться . Назначат первичные обследования и лечение</t>
  </si>
  <si>
    <t>https://telegram.me/hamovnikipoleznychatik/219644</t>
  </si>
  <si>
    <t>https://telegram.me/mska2025</t>
  </si>
  <si>
    <t>11.05.2026 22:59</t>
  </si>
  <si>
    <t>Почему после 60 лет. болят все суставы и ухудшается их подвижность?
«В 20 лет мы думаем, что тело вечно. В 40 — договариваемся с ним. В 60 — выясняется, что организм всю жизнь вёл свой дневник и теперь предъявляет счёт».
— Из приёма у невролога
Помните, как в юности можно было спать на голом полу, утром встать и побежать? А сейчас вы спите на ортопедическом матрасе с подушкой под шеей, просыпаетесь — и вас будто кто-то отбивал в мясном цехе всю ночь.
Шея не поворачивается. Поясница простреливает. Пальцы рук немеют, кисти затекают. Ноги после получаса сидения «отключаются», надо разминаться минуты три, прежде чем пойти. А после того как помогли даче перетащить пару ящиков — на следующий день лежишь пластом и не понимаешь, каким чудом раньше таскал эти же ящики без подготовки.
И самый главный вопрос, который мучает всех после пятидесяти, а особенно после шестидесяти: «Раньше такого не было! Что со мной происходит?»
Давайте разбираться. Спойлер: вы не сломались. Вы просто вошли в возраст, когда три процесса — саркопения, остеохондроз и остеопороз — наконец встретились и подружились. А началось всё с тихого убийцы, которого вы даже не замечаете.
Часть 1. Начало конца: микроциркуляция.
Тихий убийца, с которого всё началось.
В 25 лет кровь бежит по капиллярам как горная река. Позвоночник получает питание, мышцы — кислород, суставы — смазку. Вы этого не замечаете — так и должно быть.
К 50–60 годам сосуды теряют эластичность. Холестериновые бляшки, возрастные изменения стенок, многолетнее сидение — капилляры сужаются, некоторые закрываются совсем. Кровоток замедляется. Организм переходит в режим экономии.
Как это ощущается:
· Утром после сна пальцы рук «деревянные», надо растирать минуты три-пять.
· После получаса сидения ноги затекают так, что начинаешь ковылять, как пингвин.
· Ноги холодеют быстрее, чем всё тело — даже летом надеваете носки покрепче, а на даче греете их у печки.
Это всё ОНА, родимая — нарушенная микроциркуляция. Медленный кровоток → ткани голодают → сначала страдают самые удалённые участки (пальцы, кисти, стопы), а потом и всё остальное.
А потом запускается трио убийц.
Часть 2. Триединство старости.
САРКОПЕНИЯ — мышцы уходят в тишине.
Саркопения — это возрастная потеря мышечной массы. После 40 лет человек теряет 1–2% мышц в год. После 60 — ещё быстрее.
Без мышц позвоночник и суставы остаются без корсета. Каждый ваш шаг, каждый поворот головы — теперь удар по костям и хрящам, потому что мышечный амортизатор изношен.
Как это ощущается:
· Стало тяжелее подниматься по лестнице. Нет, лифт не сломался — это ноги уже не те.
· Сумку из магазина до дома донести — целая экспедиция.
· После обычной прогулки — болят колени и тазобедренные суставы. Раньше ходил полтора часа — и хоть бы что, сейчас с трудом добираешь до скамейки через полчаса.
Чем это грозит дальше: истощение мышц → позвоночник остаётся без поддержки → нагрузка на межпозвонковые диски и суставы растёт в геометрической прогрессии. Дальше по цепочке: остеохондроз.
ОСТЕОХОНДРОЗ — межпозвоночные диски усыхают.
Остеохондроз — это усыхание. Межпозвонковый диск на 80% состоит из воды. С годами он теряет влагу, становится плоским, жестким, перестаёт амортизировать .
Позвонки начинают тереться друг о друга. Края костей разрастаются (это остеофиты — костяные шипы), сдавливают нервы и сосуды .
Как это ощущается:
· Утром проснулись — шея не поворачивается. «Проклятая подушка!» — Подушка ни при чём. Это шейный остеохондроз .
· После дня на даче — поясницу «скрутило», разогнуться не могу. Это поясничный остеохондроз .
· Тянет ногу или руку, пальцы немеют — это диск защемил нервный корешок.
· Хруст в шее при поворотах, щелчки в пояснице.
Парадокс остеохондроза, о котором молчат врачи
Вот что интересно: остеохондроз — это нормальное старение. К 60 годам изменения в дисках есть у всех . И удивительно не то, что у вас болит спина. Удивительно, если бы она не болела.
Но большинство болей — не от самих дисков. Болит от того, что мышцы ослабли (саркопения), суставы износились, а нервные корешки зажаты. И ещё от того, что вы начали жалеть себя, меньше двигаться — и всё закрутилось по спирали вниз .
ОСТЕОПОРОЗ — кости становятся стеклянными.
Если остеохондроз — это усыхание дисков, то остеопороз — это вымывание кальция из костей .
Представьте, что кость — это бетонная стена. В молодости она армирована, прочная. При остеопорозе арматура исчезает, остаётся один хрупкий бетон. Резко повернулись, неловко упали — и перелом. У пожилых перелом шейки бедра или компрессионный перелом позвоночника случается «на ровном месте» .
Как это ощущается:
· Уменьшился рост. Были 170 — стали 168? Это осели позвонки.
· Спина сутулится, появился «вдовий горб».
· Кости «ноют» без видимой причины особенно в сырую погоду.
· Раньше упадёшь — ничего, сейчас упал — уже месяц восстанавливаешься.
Часть 3. Круг замыкается
Теперь сложите три разрушительных процесса:
1. Сосуды не доставляют питание.
2. Мышцы слабеют и перестают держать корсет.
3. Диски усыхают, кости становятся хрупкими.
Круг замкнулся. Это и есть старение опорно-двигательного аппарата. И теперь понятно, почему «раньше такого не было»:
В 50 лет вы ещё живёте на остаточном ресурсе сосудов и мышц.
В 60 лет вы пересели на донышко бочки.
В 70+ живёте на том, что удалось сохранить.
Ничего личного — только биология .
Часть 4. Почему немеют пальцы и затекают ноги.
Теперь к частым вопросам, которые вы задаёте.
«Почему после сна у меня немеют кисти рук?»
Вы спите с согнутыми локтями или с запрокинутой головой. В сонной позе сосуды пережимаются, нервы забиваются, кровоток замедляется. Утром нужно время, чтобы всё «включилось» опять.
Плюс шейный остеохондроз. Если диск в шее просел и защемил сосуд или нерв, идущий к руке — онемение и «мурашки» в пальцах будут появляться всё чаще .
«Почему затекают ноги, когда сижу?»
Гравитация. Кровь застаивается в венах ног, отток затруднён — отсюда отёки, ощущение тяжести и одеревенение. Плюс, если изношены колени или тазобедренные суставы, кровообращение вокруг них нарушается дополнительно.
«Почему после физической нагрузки всё болит?»
Потому что вы перестали быть спортсменом в 30, а сейчас решили вспомнить молодость. Слабые мышцы, изношенные диски и суставы, замедленный кровоток — организм уже не восстанавливается за пару часов. Ему нужны дни и недели. Это не лень. Это биология.
Лечение должно быть, но не героическим:
· Без нагрузки в острый период — первые дни отдых, не надо геройствовать.
· Постепенное введение движения — когда боль утихла, начинаем по чуть-чуть. Ходьба, плавание, скандинавская ходьба, ЛФК.
· Без фанатизма — устали, заболело — остановились, отдохнули. Завтра попробуем снова, но чуть дольше.
· Лекарства только как поддержка — это не главное лечение. Главное — движение и терпение.
Часть 5. Что делать? Диагностика, лечение и прогноз
Как диагностировать
Не надо гадать на кофейной гуще. Вот список обследований, которые покажут вашу реальную картину:
Что проверить Как Что ищем
Кости и суставы Денситометрия, рентген, МРТ, КТ Остеопороз, артроз, грыжи, протрузии
Сосуды УЗИ сосудов конечностей и шеи Атеросклероз, замедление кровотока, бляшки в позвоночных артериях
Нервы ЭНМГ (электронейромиография) на руки и ноги Есть ли защемления корешков, страдает ли проведение импульса
Мышцы Биоимпеданс (анализ состава тела) Сколько мышц реально осталось, сколько жира и воды
Кальций и витамин D Анализ крови Кальций общий + ионизированный, витамин 25(OH)D
Гормоны ТТГ, тестостерон, эстрадиол Причины, почему кости и мышцы разрушаются быстрее
Как лечить?
Никакой магии. Вот реальная стратегия.
БАЗА (основная терапия на годы):
· Ходьба каждый день. 30–40 минут в спокойном темпе. Лучше скандинавские палки — они разгружают колени и включают плечевой пояс.
· ЛФК. Это не фитнес, а медицинская реабилитация. Врач подбирает именно ваши упражнения .
· Плавание или аквааэробика. Вода снимает нагрузку с позвоночника и суставов, при этом мышцы работают. Ищите группу «Золотой возраст».
· Ортопедический режим. Матрас, подушка, обувь, трость если нужно. Всё, что разгружает больные места.
ПИТАНИЕ:
· Белок. Мясо, рыба, яйца, творог, бобовые. Каждый день, а не по праздникам. Мышцы строятся из белка.
· Кальций. Творог, сыр, кунжут, рыба с костями (сардины), кальциевые добавки.
· Витамин D. С сентября по май — обязательно в каплях (дозу подбирает врач по анализу крови). Без него кальций не усваивается .
· Магний, цинк, витамины группы B — для нервов и сосудов.
ЛЕКАРСТВА:
Что Когда Как долго?
Обезболивающие (НПВП) Только при обострении, на короткий курс (3–7 дней) Эпизодически
Миорелаксанты Сильный мышечный спазм, коротким курсом (до 2 недель) Эпизодически
Хондропротекторы Спорно, но некоторые отмечают эффект. Курсами по 3–6 месяцев, раз в год Возможно, не ждите чуда
Препараты кальция + D При остеопорозе и высоком риске. Ежедневно, годами Долго, под контролем анализов
Сосудистые препараты Трентал, Актовегин, мексидол — улучшают микроциркуляцию. Курсами 2–4 недели, 1–2 раза в год По назначению врача
Витамины группы B Для нервной системы. Курсами 1–2 раза в год По назначению врача
Прогноз и когда нужна операция.
К сожалению, полностью остановить старение скелета нельзя . Но можно затормозить.
Хороший прогноз: вы будете ходить, обслуживать себя, радоваться жизни — если занимаетесь, лечитесь и не запускаете. Многие живут с остеохондрозом и артрозом десятилетиями, не чувствуя сильной боли .
Когда операция неизбежна:
· Грыжа диска, которая сдавливает спинной мозг — начинают отказывать ноги, нарушается контроль таза .
· Стеноз позвоночного канала — кости и связки перекрыли канал, ноги немеют, идти не можете.
· Перелом шейки бедра — здесь или эндопротез, или обездвиженность и печальный исход.
· Разрушенный коленный или тазобедренный сустав — артроз 4 стадии. Тогда ходить не можете вообще, боль невыносимая.
Замена сустава (эндопротезирование) давно не эксперимент, это рутина. После операции, через 2–3 месяца реабилитации, вы ходите без боли, забыв, что когда-то мучились. Не бойтесь — современные эндопротезы служат 15–20 лет. Лучше с новым суставом, чем без ног.
Итог: что делать прямо сейчас
1. Примите факт. Вы стареете, организм меняется — это норма, а не болезнь.
2. Проверьте сосуды. УЗИ, липидный профиль, ферритин, витамин D. Тихий убийца должен быть выявлен.
3. Начните ходить. Каждый день. Лучше с палками. Лучше в парке.
4. Лечите зубы и желудок. Без этого кости не усваивают кальций.
5. Ешьте белок и пейте воду. Без них мышцы превращаются в желе.
6. Спите на правильной подушке и матрасе. Не жалейте денег на здоровый сон.
7. Найдите врача, который ведёт вас годами. Не «лечит обострение», а сопровождает старение. Невролог + терапевт + врач ЛФК.
И помните: возраст — не приговор. Если вы в 70 ходите в парк каждый день, делаете зарядку, плаваете, правильно питаетесь — вы в лучшей форме, чем сосед в 50, который лежит на диване и жалуется на жизнь.
Движение — жизнь. Но с умом, без надрыва, без «через не могу». И тогда ваши кости, мышцы и сосуды прослужат вам долго и без лишних сюрпризов.
P.S. А онемение в пальцах, затекание в ногах и боль по утрам — это ваша охранная сигнализация. Не глушите её обезболивающими. Найдите причину. Часто достаточно начать двигаться, сменить подушку и попить витамины, чтобы утро перестало быть пыткой.
Игорь Вагин</t>
  </si>
  <si>
    <t>http://vk.com/wall708630637_39</t>
  </si>
  <si>
    <t>11.05.2026 22:16</t>
  </si>
  <si>
    <t>Здравствуйте
Вероятнее всего развивается компрессионно -ишемическая нейропатия. Возможно ноги находились в вынужденном положении длительное время , что создает условия для сдавления нерва.
В таком случае рекомендуют проведение стимуляционной энмг нижних конечностей.
Из медикаментозных методов лечения рекомендуют при отсутствии противопоказаний и аллергических реакций :
Вазонит- 600 мг в сутки. препарат для улучшения кровообращения в периферических нервах ( нервы конечностей)
Нейромидин 40 мг/суи- препарат для улучшения нервно-мышечной проводимости.
Ксефомиелин - витамины группы в, помогают восстанавливаться нервным волокнам</t>
  </si>
  <si>
    <t>https://sprosivracha.com/questions/4326468-onemenie-v-oblasti-pyatok-i-tyazhest-v-nogah-posle-operacii#a27672653</t>
  </si>
  <si>
    <t>11.05.2026 20:40</t>
  </si>
  <si>
    <t>https://www.instagram.com/p/DYMsfCcoRXS/c/18143553541444401</t>
  </si>
  <si>
    <t>@alexey_t18 / Алексей Тишко</t>
  </si>
  <si>
    <t>@kahidov / АХМЕД КАХИДОВ | ВРАЧ-КАРДИОЛОГ | СЕМЕЙНЫЙ ВРАЧ | МОСКВА</t>
  </si>
  <si>
    <t>Неизвестный</t>
  </si>
  <si>
    <t>11.05.2026 20:24</t>
  </si>
  <si>
    <t>Пошел искть фултекст. Божественное ускорение заживления в 2,2 раза на пентоксифиллине - это круто. Еще заинтересовало, что авторы включают в ультразвуковую терапию... Спасибо. С ув СМ</t>
  </si>
  <si>
    <t>https://telegram.me/actualphlebology/84269</t>
  </si>
  <si>
    <t>https://telegram.me/actualphlebology</t>
  </si>
  <si>
    <t>11.05.2026 20:04</t>
  </si>
  <si>
    <t>Очень часто ко мне приходят пациентки с уже внушительным списком назначений. Большая часть этих препаратов — неэффективны, не нужны, а иногда и вредны. Вот с чем мы чаще всего прощаемся на первом визите:
1. Всеми любимый Дюфастон / Утрожестан
Эти препараты не вызывают овуляцию, не способствуют наступлению беременности, не улучшают рост эндометрия, если он изначально в норме.
2. Ежедневный приём железа при нормальных показателях
Ферритин выше 30, гемоглобин в пределах нормы — но в схеме «обязательно» есть железо.
3. Витамины для женского здоровья
У большинства этих добавок нет клинически доказанного эффекта, вы переплачиваете за маркетинг, а не за результат.
4. Метипред / Дексаметазон
Это серьёзные препараты, подавляющие иммунную систему, назначение без аутоиммунных заболеваний или других чётких показаний — неоправданный риск,побочные эффекты могут перевесить потенциальную пользу (которой часто и нет).
5. Актовегин, Курантил, Трентал
Эти препараты не входят в международные рекомендации по лечению бесплодия, не имеют доказанной эффективности, в некоторых странах даже не зарегистрированы как лекарственные средства.
Пациентке они обычно не помогают, а бюджету — вредят.
@dr_kozlova_antonina</t>
  </si>
  <si>
    <t xml:space="preserve">Тексты с изображений_x000d_
топ препаратов которые я, как врач*репродуктолог отменяю на первом же приеме_x000d_
</t>
  </si>
  <si>
    <t>https://www.instagram.com/p/DYMwpBxKpso/</t>
  </si>
  <si>
    <t>@dr_kozlova_antonina / Козлова Антонина, к.м.н | Репродуктолог | Москва</t>
  </si>
  <si>
    <t>11.05.2026 18:33</t>
  </si>
  <si>
    <t>Да я в больнице лежала в кардиологии лет 50 мне было поставили капельницу пентоксифиллин я только успела закричать мне плохо и женщина по палате врача позвала, а у меня аллергия на него , а Кавинтон капали норм , и вит б 6 аллергия, вот так , а сейчас когда врач назначает уколы и здесь же приписывают таблетки от аллергии, жаль женщину, вот судьба такая, хотела подлечиться и увы, ой-ой-ой</t>
  </si>
  <si>
    <t>http://ok.ru/group/50657161838784/topic/157623534274752#QUFBQm5oYlFMaVVnM3c9PToxNTc2MjM1MzQyNzQ3NTI6MQ==</t>
  </si>
  <si>
    <t>11.05.2026 17:56</t>
  </si>
  <si>
    <t>Почему после 60 лет. болят все суставы и ухудшается их подвижность?
«В 20 лет мы думаем, что тело вечно. В 40 — договариваемся с ним. В 60 — выясняется, что организм всю жизнь вёл свой дневник и теперь предъявляет счёт».
— Из приёма у невролога
Помните, как в юности можно было спать на голом полу, утром встать и побежать? А сейчас вы спите на ортопедическом матрасе с подушкой под шеей, просыпаетесь — и вас будто кто-то отбивал в мясном цехе всю ночь.
Шея не поворачивается. Поясница простреливает. Пальцы рук немеют, кисти затекают. Ноги после получаса сидения «отключаются», надо разминаться минуты три, прежде чем пойти. А после того как помогли даче перетащить пару ящиков — на следующий день лежишь пластом и не понимаешь, каким чудом раньше таскал эти же ящики без подготовки.
И самый главный вопрос, который мучает всех после пятидесяти, а особенно после шестидесяти: «Раньше такого не было! Что со мной происходит?»
Давайте разбираться. Спойлер: вы не сломались. Вы просто вошли в возраст, когда три процесса — саркопения, остеохондроз и остеопороз — наконец встретились и подружились. А началось всё с тихого убийцы, которого вы даже не замечаете.
Часть 1. Начало конца: микроциркуляция.
Тихий убийца, с которого всё началось.
В 25 лет кровь бежит по капиллярам как горная река. Позвоночник получает питание, мышцы — кислород, суставы — смазку. Вы этого не замечаете — так и должно быть.
К 50–60 годам сосуды теряют эластичность. Холестериновые бляшки, возрастные изменения стенок, многолетнее сидение — капилляры сужаются, некоторые закрываются совсем. Кровоток замедляется. Организм переходит в режим экономии.
Как это ощущается:
· Утром после сна пальцы рук «деревянные», надо растирать минуты три-пять.
· После получаса сидения ноги затекают так, что начинаешь ковылять, как пингвин.
· Ноги холодеют быстрее, чем всё тело — даже летом надеваете носки покрепче, а на даче греете их у печки.
Это всё ОНА, родимая — нарушенная микроциркуляция. Медленный кровоток → ткани голодают → сначала страдают самые удалённые участки (пальцы, кисти, стопы), а потом и всё остальное.
А потом запускается трио убийц.
Часть 2. Триединство старости.
САРКОПЕНИЯ — мышцы уходят в тишине.
Саркопения — это возрастная потеря мышечной массы. После 40 лет человек теряет 1–2% мышц в год. После 60 — ещё быстрее.
Без мышц позвоночник и суставы остаются без корсета. Каждый ваш шаг, каждый поворот головы — теперь удар по костям и хрящам, потому что мышечный амортизатор изношен.
Как это ощущается:
· Стало тяжелее подниматься по лестнице. Нет, лифт не сломался — это ноги уже не те.
· Сумку из магазина до дома донести — целая экспедиция.
· После обычной прогулки — болят колени и тазобедренные суставы. Раньше ходил полтора часа — и хоть бы что, сейчас с трудом добираешь до скамейки через полчаса.
Чем это грозит дальше: истощение мышц → позвоночник остаётся без поддержки → нагрузка на межпозвонковые диски и суставы растёт в геометрической прогрессии. Дальше по цепочке: остеохондроз.
ОСТЕОХОНДРОЗ — межпозвоночные диски усыхают.
Остеохондроз — это усыхание. Межпозвонковый диск на 80% состоит из воды. С годами он теряет влагу, становится плоским, жестким, перестаёт амортизировать .
Позвонки начинают тереться друг о друга. Края костей разрастаются (это остеофиты — костяные шипы), сдавливают нервы и сосуды .
Как это ощущается:
· Утром проснулись — шея не поворачивается. «Проклятая подушка!» — Подушка ни при чём. Это шейный остеохондроз .
· После дня на даче — поясницу «скрутило», разогнуться не могу. Это поясничный остеохондроз .
· Тянет ногу или руку, пальцы немеют — это диск защемил нервный корешок.
· Хруст в шее при поворотах, щелчки в пояснице.
Парадокс остеохондроза, о котором молчат врачи
Вот что интересно: остеохондроз — это нормальное старение. К 60 годам изменения в дисках есть у всех . И удивительно не то, что у вас болит спина. Удивительно, если бы она не болела.
Но большинство болей — не от самих дисков. Болит от того, что мышцы ослабли (саркопения), суставы износились, а нервные корешки зажаты. И ещё от того, что вы начали жалеть себя, меньше двигаться — и всё закрутилось по спирали вниз .
ОСТЕОПОРОЗ — кости становятся стеклянными.
Если остеохондроз — это усыхание дисков, то остеопороз — это вымывание кальция из костей .
Представьте, что кость — это бетонная стена. В молодости она армирована, прочная. При остеопорозе арматура исчезает, остаётся один хрупкий бетон. Резко повернулись, неловко упали — и перелом. У пожилых перелом шейки бедра или компрессионный перелом позвоночника случается «на ровном месте» .
Как это ощущается:
· Уменьшился рост. Были 170 — стали 168? Это осели позвонки.
· Спина сутулится, появился «вдовий горб».
· Кости «ноют» без видимой причины особенно в сырую погоду.
· Раньше упадёшь — ничего, сейчас упал — уже месяц восстанавливаешься.
Часть 3. Круг замыкается
Теперь сложите три разрушительных процесса:
1. Сосуды не доставляют питание.
2. Мышцы слабеют и перестают держать корсет.
3. Диски усыхают, кости становятся хрупкими.
Круг замкнулся. Это и есть старение опорно-двигательного аппарата. И теперь понятно, почему «раньше такого не было»:
В 50 лет вы ещё живёте на остаточном ресурсе сосудов и мышц.
В 60 лет вы пересели на донышко бочки.
В 70+ живёте на том, что удалось сохранить.
Ничего личного — только биология .
Часть 4. Почему немеют пальцы и затекают ноги.
Теперь к частым вопросам, которые вы задаёте.
«Почему после сна у меня немеют кисти рук?»
Вы спите с согнутыми локтями или с запрокинутой головой. В сонной позе сосуды пережимаются, нервы забиваются, кровоток замедляется. Утром нужно время, чтобы всё «включилось» опять.
Плюс шейный остеохондроз. Если диск в шее просел и защемил сосуд или нерв, идущий к руке — онемение и «мурашки» в пальцах будут появляться всё чаще .
«Почему затекают ноги, когда сижу?»
Гравитация. Кровь застаивается в венах ног, отток затруднён — отсюда отёки, ощущение тяжести и одеревенение. Плюс, если изношены колени или тазобедренные суставы, кровообращение вокруг них нарушается дополнительно.
«Почему после физической нагрузки всё болит?»
Потому что вы перестали быть спортсменом в 30, а сейчас решили вспомнить молодость. Слабые мышцы, изношенные диски и суставы, замедленный кровоток — организм уже не восстанавливается за пару часов. Ему нужны дни и недели. Это не лень. Это биология.
Лечение должно быть, но не героическим:
· Без нагрузки в острый период — первые дни отдых, не надо геройствовать.
· Постепенное введение движения — когда боль утихла, начинаем по чуть-чуть. Ходьба, плавание, скандинавская ходьба, ЛФК.
· Без фанатизма — устали, заболело — остановились, отдохнули. Завтра попробуем снова, но чуть дольше.
· Лекарства только как поддержка — это не главное лечение. Главное — движение и терпение.
Часть 5. Что делать? Диагностика, лечение и прогноз
Как диагностировать
Не надо гадать на кофейной гуще. Вот список обследований, которые покажут вашу реальную картину:
Что проверить Как Что ищем
Кости и суставы Денситометрия, рентген, МРТ, КТ Остеопороз, артроз, грыжи, протрузии
Сосуды УЗИ сосудов конечностей и шеи Атеросклероз, замедление кровотока, бляшки в позвоночных артериях
Нервы ЭНМГ (электронейромиография) на руки и ноги Есть ли защемления корешков, страдает ли проведение импульса
Мышцы Биоимпеданс (анализ состава тела) Сколько мышц реально осталось, сколько жира и воды
Кальций и витамин D Анализ крови Кальций общий + ионизированный, витамин 25(OH)D
Гормоны ТТГ, тестостерон, эстрадиол Причины, почему кости и мышцы разрушаются быстрее
Как лечить?
Никакой магии. Вот реальная стратегия.
БАЗА (основная терапия на годы):
· Ходьба каждый день. 30–40 минут в спокойном темпе. Лучше скандинавские палки — они разгружают колени и включают плечевой пояс.
· ЛФК. Это не фитнес, а медицинская реабилитация. Врач подбирает именно ваши упражнения .
· Плавание или аквааэробика. Вода снимает нагрузку с позвоночника и суставов, при этом мышцы работают. Ищите группу «Золотой возраст».
· Ортопедический режим. Матрас, подушка, обувь, трость если нужно. Всё, что разгружает больные места.
ПИТАНИЕ:
· Белок. Мясо, рыба, яйца, творог, бобовые. Каждый день, а не по праздникам. Мышцы строятся из белка.
· Кальций. Творог, сыр, кунжут, рыба с костями (сардины), кальциевые добавки.
· Витамин D. С сентября по май — обязательно в каплях (дозу подбирает врач по анализу крови). Без него кальций не усваивается .
· Магний, цинк, витамины группы B — для нервов и сосудов.
ЛЕКАРСТВА:
Что Когда Как долго?
Обезболивающие (НПВП) Только при обострении, на короткий курс (3–7 дней) Эпизодически
Миорелаксанты Сильный мышечный спазм, коротким курсом (до 2 недель) Эпизодически
Хондропротекторы Спорно, но некоторые отмечают эффект. Курсами по 3–6 месяцев, раз в год Возможно, не ждите чуда
Препараты кальция + D При остеопорозе и высоком риске. Ежедневно, годами Долго, под контролем анализов
Сосудистые препараты Трентал, Актовегин, мексидол — улучшают микроциркуляцию. Курсами 2–4 недели, 1–2 раза в год По назначению врача
Витамины группы B Для нервной системы. Курсами 1–2 раза в год По назначению врача
Прогноз и когда нужна операция.
К сожалению, полностью остановить старение скелета нельзя . Но можно затормозить.
Хороший прогноз: вы будете ходить, обслуживать себя, радоваться жизни — если занимаетесь, лечитесь и не запускаете. Многие живут с остеохондрозом и артрозом десятилетиями, не чувствуя сильной боли .
Когда операция неизбежна:
· Грыжа диска, которая сдавливает спинной мозг — начинают отказывать ноги, нарушается контроль таза .
· Стеноз позвоночного канала — кости и связки перекрыли канал, ноги немеют, идти не можете.
· Перелом шейки бедра — здесь или эндопротез, или обездвиженность и печальный исход.
· Разрушенный коленный или тазобедренный сустав — артроз 4 стадии. Тогда ходить не можете вообще, боль невыносимая.
Замена сустава (эндопротезирование) давно не эксперимент, это рутина. После операции, через 2–3 месяца реабилитации, вы ходите без боли, забыв, что когда-то мучились. Не бойтесь — современные эндопротезы служат 15–20 лет. Лучше с новым суставом, чем без ног.
Итог: что делать прямо сейчас
1. Примите факт. Вы стареете, организм меняется — это норма, а не болезнь.
2. Проверьте сосуды. УЗИ, липидный профиль, ферритин, витамин D. Тихий убийца должен быть выявлен.
3. Начните ходить. Каждый день. Лучше с палками. Лучше в парке.
4. Лечите зубы и желудок. Без этого кости не усваивают кальций.
5. Ешьте белок и пейте воду. Без них мышцы превращаются в желе.
6. Спите на правильной подушке и матрасе. Не жалейте денег на здоровый сон.
7. Найдите врача, который ведёт вас годами. Не «лечит обострение», а сопровождает старение. Невролог + терапевт + врач ЛФК.
И помните: возраст — не приговор. Если вы в 70 ходите в парк каждый день, делаете зарядку, плаваете, правильно питаетесь — вы в лучшей форме, чем сосед в 50, который лежит на диване и жалуется на жизнь.
Движение — жизнь. Но с умом, без надрыва, без «через не могу». И тогда ваши кости, мышцы и сосуды прослужат вам долго и без лишних сюрпризов.
P.S. А онемение в пальцах, затекание в ногах и боль по утрам — это ваша охранная сигнализация. Не глушите её обезболивающими. Найдите причину. Часто достаточно начать двигаться, сменить подушку и попить витамины, чтобы утро перестало быть пыткой.</t>
  </si>
  <si>
    <t>https://www.facebook.com/2210987229649504</t>
  </si>
  <si>
    <t>11.05.2026 14:15</t>
  </si>
  <si>
    <t>Доброе утро, коллеги!
В новом сетевом метаанализе (Das S. et al. Comparing interventions used to treat venous leg ulcers – A network meta-analysis. Phlebology, 2026) авторы сравнили основные методы лечения венозных трофических язв, применяемые вместе с компрессионной терапией. В анализ вошли 15 РКИ и более 2500 пациентов.
Ключевые результаты:
▪️ Пентоксифиллин увеличивал вероятность заживления язвы более чем в 3 раза.
▪️ Эндовенозная абляция также достоверно улучшала результаты лечения.
▪️ Для открытой хирургии, склеротерапии, аспирина, флавоноидов и ультразвуковой терапии убедительных преимуществ выявлено не было.
Авторы подчёркивают, что компрессия остаётся базой терапии, однако именно сочетание компрессии с активным устранением венозной гипертензии или фармакологической поддержкой даёт лучшие результаты.
Отдельный интерес вызывает возможная комбинация:
🔹 абляция + пентоксифиллин.
Пока доказательств недостаточно, но направление выглядит перспективным для будущих исследований.
https://actual-phlebology.ru/afreviews/sravnenie-metodov-lecheniya-venoznyh-yazv-nizhnih-konechnostey-setevoy-metaanaliz/</t>
  </si>
  <si>
    <t>https://telegram.me/actualphlebology/84263</t>
  </si>
  <si>
    <t>https://telegram.me/angiodoc</t>
  </si>
  <si>
    <t>11.05.2026 14:08</t>
  </si>
  <si>
    <t>https://www.facebook.com/2225082011643764</t>
  </si>
  <si>
    <t>Киевская</t>
  </si>
  <si>
    <t>11.05.2026 14:00</t>
  </si>
  <si>
    <t>https://www.facebook.com/10164176398984628</t>
  </si>
  <si>
    <t>11.05.2026 01:49</t>
  </si>
  <si>
    <t>Месксидол, пирацетам и пентоксифелин я пью вместе каждый день с утра на постоянке</t>
  </si>
  <si>
    <t>https://telegram.me/c/1407442894/177052</t>
  </si>
  <si>
    <t>11.05.2026 01:37</t>
  </si>
  <si>
    <t>Отзывы и прекращение оборота ЛП
За прошлую неделю было отозвано десять серий ЛС, ещё три прекратили оборот. Снова отличился "Пранафарм" — сразу четыре препарата не прошли контроль по примесям. У "Акрихина" три серии "Диакарба" забракованы по показателю "Растворение".
❌Список отозванных препаратов:
Диакарб (таблетки 250 мг)
• Производитель: АО "Акрихин".
• Серии: 6080924, 6090924, 6100924.
• Растворение.
Бетагистин (таблетки 16 мг)
• Производитель: ООО "Пранафарм".
• Серии: 50125, 40125.
• Родственные примеси.
Бетагистин (таблетки 24 мг)
• Производитель: ООО "Пранафарм".
• Серия: 680325.
• Родственные примеси.
Клопидогрел (таблетки, покрытые плёночной оболочкой, 75 мг)
• Производитель: ООО "Пранафарм".
• Серия: 200624.
• Родственные примеси.
Аспаркам-УБФ (таблетки 175 мг + 175 мг)
• Производитель: ОАО "Уралбиофарм".
• Серия: 3411025.
• Растворение.
❌Прекращение оборота:
Трентал 400 (таблетки с пролонгированным высвобождением, покрытые плёночной оболочкой, 400 мг)
• Производитель: "Зентива Прайвет Лимитед" (Индия).
• Серия: 2Р2437А.
• Средняя масса таблеток.
Промез (капсулы 20 мг)
• Производитель: "Протекх Биосистемс Пвт.Лтд." (Индия).
• Серия: PMZ-240701.
• Маркировка.
Атенолол (таблетки 50 мг)
• Производитель: ОАО "БЗМП" (Белоруссия).
• Серия: 3170724.
• Растворение.
Пожалуйста, проверьте остатки в ваших аптеках, и в случае если препараты будут обнаружены, их следует вернуть поставщикам или уничтожить, а также направить сведения в Росздравнадзор.
#нормативка #забраковка</t>
  </si>
  <si>
    <t>http://vk.com/wall123313021_17321</t>
  </si>
  <si>
    <t>Коми</t>
  </si>
  <si>
    <t>10.05.2026 21:15</t>
  </si>
  <si>
    <t>@nyakava пришла дама с рецептом на пентанов, у которого в составе кодеин
якобы она заказ сделала вчера, а рецепт сегодня кончается
и заказа нет
смотрю, заказ на трентал и на целебрекс
а она думала, что раз в рецепте четыре строчки, то это несколько препаратов и не могла найти пентанов в интернет-аптеках, думала просто в наличии где-то можно взять
например, у нас)))))))
сидят теперь у меня в зале и пытаются дозвониться до госки, которая походу на праздники закрыта</t>
  </si>
  <si>
    <t>https://telegram.me/c/1395655902/8086289</t>
  </si>
  <si>
    <t>https://telegram.me/yougurtripper</t>
  </si>
  <si>
    <t>https://telegram.me/1395655902</t>
  </si>
  <si>
    <t>10.05.2026 18:52</t>
  </si>
  <si>
    <t>Мария, добрый день!
По фото так может проявляться болезнь Шамберга (пигментно-пурпурозный дерматоз).
Болезнь Шамберга - является исключительно хроническим кожным заболеванием без наличия патологии внутренних органов, причиной является воспаление капилляров с кровоизлияниями в кожу. Медленно прогрессирует, эффективного лечения не существует. Угрозы для жизни не представляет.
Для остановки прогрессирования обычно рекомендуют согласно официальной инструкции к препаратам:
- крем Акридерм 2 р/д 14 дней
- Таб. пентоксифиллин по 100 мг 3 р/д 1 месяц
- Аскорбиновая кислота по 1 драже 2 р/д 1 месяц
- Ограничить время нахождения на ногах по возможности</t>
  </si>
  <si>
    <t>https://sprosivracha.com/questions/4323146-pochemu-vnizu-nog-zhzhenie-i-krovopodteki#a27652955</t>
  </si>
  <si>
    <t>10.05.2026 18:06</t>
  </si>
  <si>
    <t>Добрый день. Описанная клиническая картина вероятнее всего указывает на наличие поверхностного васкулита , ограниченного кожей. Является исключительно хроническим кожным заболеванием без наличия патологии внутренних органов.
Причины развития до конца не изучены , связывают с перенесёнными инфекциями, принимаемыми препаратами, ультрафиолетом и так далее .
В таких случаях рекомендуют: пентоксифиллин 300 мг в день в течение 8 недель, наружно дермовейт крем 1 раз в день и Троксерутин гель 1 раз в день - 14 дней
А так же рекомендуется сдать коагулограмму</t>
  </si>
  <si>
    <t>https://sprosivracha.com/questions/4323146-pochemu-vnizu-nog-zhzhenie-i-krovopodteki#a27652036</t>
  </si>
  <si>
    <t>10.05.2026 16:55</t>
  </si>
  <si>
    <t>МНОГИЕ ДО СИХ ПОР НЕ ЗНАЮТ, ДЛЯ ЧЕГО НУЖНА ЯНТАРНАЯ КИСЛОТА 😊👍🏻 Янтарная кислота является антиоксидантом и иммуномодулятором. Она оказывает метаболическое, антигипоксическое и антиоксидантное действие.</t>
  </si>
  <si>
    <t>МНОГИЕ ДО СИХ ПОР НЕ ЗНАЮТ, ДЛЯ ЧЕГО НУЖНА ЯНТАРНАЯ КИСЛОТА
😊👍🏻
Янтарная кислота является антиоксидантом и иммуномодулятором. Она оказывает метаболическое, антигипоксическое и антиоксидантное действие.
Метаболическое действие заключается в том, что в клетки поступает готовое вещество, включающееся в цикл Кребса, в ходе которого вырабатывается АТФ. Этот эффект позволяет клеткам всех органов получить больше энергии для своих нужд, а, следовательно, работать эффективнее и лучше.
Антигипоксическое действие янтарной кислоты заключается в том, что она улучшает тканевой дыхание, то есть, перенос кислорода из крови внутрь клеток и его утилизацию. Антиоксидантное действие "янтарки" заключается в том, что она обезвреживает свободные радикалы, которые повреждают структуры клеток и приводят к их гибели. Кроме того, благодаря антиоксидантному эффекту янтарная кислота замедляет рост злокачественных опухолей.
Также янтарная кислота и ее соединения (сукцинаты) обладают свойствами адаптогенов, то есть, улучшают общую сопротивляемость организма к негативным воздействиям внешней среды, таким, как стрессы, вирусы, бактерии, сильное психоэмоциональное и физическое напряжение и т.д.
Янтарная кислота оказывает вышеперечисленные эффекты на клетки любых органов и тканей без исключения, а потому улучшает состояние и функционирование всего организма в целом. Однако наиболее выраженное улучшение на фоне приема янтарной кислоты отмечается в работе головного мозга и сердца, поскольку именно эти органы используют наибольшие количества кислорода и энергии. Поэтому препараты янтарной кислоты успешно применяются для предотвращения старческих изменений в центральной нервной системе и в комплексной терапии сердечно-сосудистых заболеваний.
Печень под влиянием "янтарки" быстрее нейтрализует различные токсические вещества, благодаря чему любая интоксикация проходит в сжатые сроки, в том числе алкогольная и никотиновая.
В общем можно сказать, что янтарная кислота оказывает следующие эффекты на работу различных органов и систем:
Улучшает питание головного мозга и сердца, создавая оптимальные условия для их работы;
Ускоряет обезвреживание различных токсических веществ в печени, благодаря чему любая интоксикация на фоне приема янтарной кислоты продолжается гораздо короче, чем без такового;
Уменьшает риск развития злокачественных опухолей;
Уменьшает скорость роста опухолей;
Повышает сопротивляемость организма инфекциям, стрессам и другим неблагоприятным воздействиям окружающей среды;
Стимулирует выработку инсулина;
Повышает эффективность работы и увеличивает поступление кислорода к клеткам нервной системы;
Усиливает терапевтические эффекты лекарственных препаратов, благодаря чему удается существенно снизить дозировки и длительность лечения различных заболеваний;
Купирует развитие и поддержание воспалительного процесса, в том числе аллергического, благодаря чему ускоряет выздоровление от хронических заболеваний;
Улучшает микроциркуляцию крови в периферических тканях (руки, ноги и др.);
Обладает отличными антидепрессивными свойствами, помогая снять раздражение, тревожность, страхи и отрицательные эмоции;
Купирует хронические воспалительные процессы в мочеполовых органах.
Польза янтарной кислоты при различных заболеваниях
На основании проведенных клинических исследований было выяснено, что препараты янтарной кислоты, применяемые в составе комплексной терапии различных заболеваний, повышают эффективность основных лекарств, удлиняют сроки ремиссии и позволяют снизить дозировку и длительность лечения.
Янтарная кислота при ИБС, ГБ (гипертонической болезни) и атеросклерозе сосудов ног
Добавление препаратов янтарной кислоты в схемы лечения хронической ИБС, гипертонической болезни и атеросклероза сосудов нижних конечностей позволяет существенно уменьшить количество и дозировки лекарств, а также укоротить продолжительность терапии. В качестве самостоятельных средств препараты янтарной кислоты могут применяться вместо нитратов (Нитроглицерина, Нитросорбита и т.д.) для купирования приступов стенокардии.
Как правило, рассасывание таблетки Янтарной кислоты эффективно купирует стенокардитические приступы у большинства больных, что позволяет снизить количество и частоту применения ими нитратов. Включение таблеток Янтарной кислоты в схему лечения ИБС и гипертонической болезни существенно улучшает общее самочувствие, уменьшает частоту и продолжительность приступов стенокардии, скачков давления, экстрасистолий и тахикардии, а также снижает выраженность одышки и отеков.
Подобные положительные изменения наступают в среднем через 10 – 20 дней приема Янтарной кислоты, что позволяет по прошествии этого срока снизить дозировки основных лекарств (бета-блокаторов, ингибиторов АПФ, блокаторов кальциевых каналов, сердечных гликозидов, Престариума, Аспирина и др.). Также благодаря включению в схему терапии Янтарной кислоты многим больным ИБС, ГБ и атеросклерозом сосудов через 15 – 20 дней регулярного приема "янтарки" отменяют мочегонные средства, поскольку отеки становятся менее выраженными, и необходимость их применения отпадает.
В настоящее время рекомендуется включать Янтарную кислоту в схемы терапии ИБС, ГБ и атеросклероза сосудов нижних конечностей в следующем количестве: по 1 таблетке 1 – 2 раза в день после еды. Через 15 – 20 дней после начала приема Янтарной кислоты необходимо провести повторное обследование, чтобы скорректировать дозировки лекарств и отменить ненужные на основании состояния человека.
Положительный результат включения в схемы терапии ИБС, ГБ и атеросклероза таблеток Янтарной кислоты подтверждается объективными данными обследований. Так, на ЭКГ регистрируется улучшение коронарного кровообращения и нормализация сердечного ритма, а в крови снижается уровень холестерина и нормализуется содержание фракций липидов высокой и низкой плотности. Янтарная кислота при церебральном атеросклерозе и дисциркуляторной энцефалопатии
При атеросклерозе сосудов головного мозга (церебральном) и дисциркуляторной энцефалопатии препараты янтарной кислоты в комплексе с другими лекарствами позволяют существенно улучшить результаты лечения.
Так, наилучший терапевтический эффект при данных заболеваниях был выявлен при совместном применении Янтарной кислоты в сочетании с Ноотропилом, Кавинтоном, Стугероном, Пикамилоном и Фезамом. Первые улучшения появляются через 3 – 5 дней, а после полного 2 – 3 месячного курса у людей существенно уменьшаются проявления склеротических симптомов, благодаря чему головокружения и головные боли появляются гораздо реже и имеют более низкую интенсивность, а также улучшает сон, память, настроение и концентрацию внимания.
Оптимально принимать Янтарную кислоту по 1 таблетке по 1 – 2 раза в сутки в сочетании с другими лекарствами на протяжении всего курса лечения. Кроме того, препараты для лечения энцефалопатии и церебрального атеросклероза нельзя принимать постоянно, после завершения одного курса терапии перед повторным необходимо обязательно делать перерыв.
Во время таких перерывов самочувствие у людей существенно ухудшается. Однако если в перерывах между повторными курсами терапии принимать Янтарную кислоту в сочетании с Танаканом или БАДами, содержащими экстракты Гинкго-билоба, то состояние людей ухудшается незначительно, что позволяет им переносить перерыв в лечении относительно легко.
В перерывах между курсами терапии рекомендуется принимать по 1 таблетке Янтарной кислоты по 1 разу в день. ... при облитерирующем атеросклерозе и хронической венозной недостаточности При данных заболеваниях включение в схему терапии Янтарной кислоты приводит к уменьшению выраженности болевого синдрома и зябкости в ногах, снижению частоты и длительности спазмов в мышцах (в том числе судорог), а также к восстановлению чувствительности в конечностях.
Данные положительные эффекты наилучшим образом достигаются при сочетании Янтарной кислоты с Гепариновой мазью, Лиотоном, Фастум-гелем, Тренталом, Агапурином и ножными ванночками. В таких случаях Янтарную кислоту рекомендуется принимать по 1 таблетке по 1 – 2 раза в сутки в сочетании с другими лекарствами. ...
при остеохондрозе и деформирующем остеоартрозе
При данных заболеваниях даже изолированное применение препаратов Янтарной кислоты существенно улучшает состояние суставов и общее самочувствие.
Так, уменьшаются боли и отек в области суставов, деформация становится менее выраженной, а объем движений увеличивается.
При остеохондрозе и деформирующем остеоартрозе Янтарную кислоту рекомендуется принимать по 1 таблетке по 2 раза в сутки в течение 2 – 3 месяцев. ...
при хронических бронхитах и бронхиальной астме
Применение препаратов Янтарной кислоты при хронических бронхитах и астме в периоды ремиссии в дозировке 0,5 – 1,5 г в сутки приводило к улучшению самочувствия и удлиняло межприступные промежутки.
Для достижения положительного результата Янтарную кислоту необходимо принимать в течение месяца. ... при острых респираторных инфекциях и простудах
Прием Янтарной кислоты по 1 таблетке по 2 раза в день в течение 2 – 3 недель в периоды сезонных эпидемий респираторных заболеваний предотвращает заражение человека, а даже если оно и происходит, то болезнь протекает гораздо легче, и выздоровление наступает быстрее.</t>
  </si>
  <si>
    <t xml:space="preserve">Тексты с изображений_x000d_
арная кислота 100 mv pat*c» 20 таблеток кислота «квадрат*с» янтарная 20 таблеток 100 мг кислота «квадрат*с» янтарная 20 таблеток 100 мг янтарная кислота «квадрат" (c) массой q.5.r исло*а таблетки (osna: инпаризя 100 мг ct(eudd пилескова бунгиал консава? 20 таблеток тары ran "#sans» пеповогелельные #морсой of f100 кисло сиедивающие агенть: и 336s кобдр 100 соворования лота. рная сонового медоступком ямосты карямт reconman mpat са года. кость kdd мремие ирпереноси honyla com #mas мсуль тироваться сухом, sчудью. вслокогатель 000 ари енком брачом. flepen 3 сосоводности #corestaraming nepa 20 «датай» cimucsiems уvpe и выпе son 9197: са bь1100 b6.0031 opcna обла #corestarian cip. 507143, wkin io уклобия olo. саренов 3. терелы marab реал 66999749" к us 06.15001 c718335213341994 #aricalis 03.06.20i5 «.rust» раций? js t*jo сать слеци? мрова оо кислота нтарная 213*s4s соворованной срол годаости: 1датд редикско «квадрат*с»_x000d_
</t>
  </si>
  <si>
    <t>http://ok.ru/group/68602594918435/topic/158657077759267</t>
  </si>
  <si>
    <t>10.05.2026 16:50</t>
  </si>
  <si>
    <t xml:space="preserve">Тексты с изображений_x000d_
арная кислота 100 mv pat*c» 20 таблеток кислота «квадрат*с» янтарная 20 таблеток 100 мг кислота «квадрат*с» янтарная 20 таблеток 100 мг янтарная кислота «квадрат" (c) массой q.5.r исло*а таблетки (osna: инпаризя 100 мг ct(eudd пилескова бунгиал консава? 20 таблеток тары ran "#sans» пеповогелельные #морсой of f100 кисло сиедивающие агенть: и 336s кобдр 100 соворования лота. рная сонового медоступком ямосты карямт reconman mpat са года. кость kdd мремие ирпереноси honyla com #mas мсуль тироваться сухом, sчудью. вслокогатель 000 ари енком брачом. flepen 3 сосоводности #corestaraming nepa 20 «датай» cimucsiems уvpe и выпе son 9197: са bь1100 b6.0031 opcna обла #corestarian cip. 507143, wkin io уклобия olo. саренов 3. терелы marab реал 66999749" к us 06.15001 c718335213341994 #aricalis 03.06.20i5 «.rust» раций? js t*jo сать слеци? мрова оо кислота нтарная 213*s4s соворованной срол годаости: 1датд редикско «квадрат*с»_x000d_
арная кислота 100 mv pat*c» 20 таблеток кислота «квадрат*с» янтарная 20 таблеток 100 мг кислота «квадрат*с» янтарная 20 таблеток 100 мг янтарная кислота «квадрат" (c) массой q.5.r исло*а таблетки (osna: инпаризя 100 мг ct(eudd пилескова бунгиал консава? 20 таблеток тары ran "#sans» пеповогелельные #морсой of f100 кисло сиедивающие агенть: и 336s кобдр 100 соворования лота. рная сонового медоступком ямосты карямт reconman mpat са года. кость kdd мремие ирпереноси honyla com #mas мсуль тироваться сухом, sчудью. вслокогатель 000 ари енком брачом. flepen 3 сосоводности #corestaraming nepa 20 «датай» cimucsiems уvpe и выпе son 9197: са bь1100 b6.0031 opcna обла #corestarian cip. 507143, wkin io уклобия olo. саренов 3. терелы marab реал 66999749" к us 06.15001 c718335213341994 #aricalis 03.06.20i5 «.rust» раций? js t*jo сать слеци? мрова оо кислота нтарная 213*s4s соворованной срол годаости: 1датд редикско «квадрат*с»_x000d_
</t>
  </si>
  <si>
    <t>http://ok.ru/group/64968977350691/topic/158657072909603</t>
  </si>
  <si>
    <t>10.05.2026 16:47</t>
  </si>
  <si>
    <t>@ОлегКузнецов-у3о Скунс! Ты что то голосом Юли-Людмилы заговорил? Это как понимать?🙄🤭Амортизаторы и стабилизаторы у процессора?🤗И это заявляет человек, когда то способный обслуживать декадно-шаговую (и даже координатную!!!) АТС??? НЕМЕДЛЕННО!!! Инъекцию Актовегина, Церебролизина, Винпоцетина, Кавинтона, Сермиона или Трентала, внутривенно или внутримышечно для быстрого эффекта.Не испытывай судьбу и слушай МЕНЯ внимательно! Завтра СРОЧНО сдать анализы на липидный профиль (холестерин), коагулограмму (свертываемость), уровень глюкозы, а также сделать УЗИ сосудов шеи/головы (УЗДГ) и МРТ/МРА головного мозга.С РЕЗУЛЬТАТАМИ ко мне!!!!</t>
  </si>
  <si>
    <t>http://www.youtube.com/watch?v=3VoJUSWFS_8&amp;lc=Ugz7pdi9kQIuVsXQkYt4AaABAg.AWcFa2zREKUAWcL2bdvnvR</t>
  </si>
  <si>
    <t>10.05.2026 16:45</t>
  </si>
  <si>
    <t>http://ok.ru/group/70000002368282/topic/158270539730202</t>
  </si>
  <si>
    <t>http://ok.ru/group/65900379045923/topic/158657067470115</t>
  </si>
  <si>
    <t>10.05.2026 16:40</t>
  </si>
  <si>
    <t>http://ok.ru/group/66285485228067/topic/158657063472419</t>
  </si>
  <si>
    <t>10.05.2026 16:35</t>
  </si>
  <si>
    <t>http://ok.ru/group/62637872906275/topic/158657060785443</t>
  </si>
  <si>
    <t>http://ok.ru/group/65890095595555/topic/158657060654371</t>
  </si>
  <si>
    <t>10.05.2026 16:20</t>
  </si>
  <si>
    <t>http://ok.ru/group/66453854027811/topic/158657051479331</t>
  </si>
  <si>
    <t>10.05.2026 14:12</t>
  </si>
  <si>
    <t>Добрый день.Год начался сложно. 4 января на кафельном полу с наледью подвернула ногу. Перелом основания пятой плюсневой кости,на сегодняшний день в стадии замедленной консолидации. У врачей прогнозы разные. Была 2 месяца в гипсе.После 1 месяца приступала сидя на 40%, лфк аккуратно.Потом 3 недели ходила на костылях,и как около 2х недель без них. В гипсе не наступала,кальций Д3 все 3 месяца,иногда магний, холодец,мясо. Голеностоп перестал беспокоить,но остаточные явления есть,все равно как не живой.Только сам перелом побаливает, тянущие боли особенно после сна.Делаю Алмаг , после него становится лучше на время.Трентал ,комбилипен начала пить после последнего назначения врача.Через месяц без полной консолидации сказали ставить пластину. Морально устала.Я далёко не спортсмен,но не хотелось бы операцию, из-за возможных рисков.Но если уже надо,то буду делать.Хотелось бы узнать ваше мнение на основе снимков.</t>
  </si>
  <si>
    <t>Ульяновская</t>
  </si>
  <si>
    <t>10.05.2026 12:13</t>
  </si>
  <si>
    <t>🚑 ТРОМБОЗ на курсе: Как снизить ГЕМАТОКРИТ без слива крови?
Видео в качестве на канале Фармакома www.youtube.com/@REALSTEELBB/
или в группе ЖС https://vk.com/wall-73953791_554106
Тайминг:
00:00 Вступление: чем опасен тромбоз и как его профилактировать.
01:43 Механизм образования тромба: фибрин, клетки крови и последствия (инфаркт, ТЭЛА).
02:35 «Золотой час»: сколько времени есть на спасение и что такое тромболизис.
03:52 Расширенный профиль: фолатный цикл и гомоцистеин.
06:11 Цена вопроса: сколько стоит диагностика тромбофилии в сетевых лабораториях.
06:51 Антикоагулянты: Ксарелто и Эликвис. Современные стандарты вместо Аспирина.
07:40 Тестостерон при рисках тромбоза: почему инъекции под запретом, а гели (Андрогель) разрешены.
11:55 Тромбоэмболия легочной артерии (ТЭЛА): почему это происходит внезапно.
13:12 Тромбы в сердце: специфика и группы риска.
14:23 Чек-лист перед курсом: генетика, гомоцистеин и коагулограмма.
15:29 Гематокрит: верхняя граница 54%. Почему при 52% сливаться еще рано.
16:10 Гидроксимочевина (цитостатики): альтернатива сливу крови для снижения эритроцитов. Опыт Павла.
18:07 Плюсы и минусы эритроцитофереза. Почему после слива падает ферритин.
20:50 Пентоксифиллин (Трентал): «качковская» классика из 90-х. Есть ли в нем смысл?
21:30 Почему Аспирин (Кардиомагнил) проигрывает современным препаратам в эффективности.
22:05 Тромбоциты в общем анализе крови: почему их количество не всегда говорит о риске тромбоза.
24:42 Обратная сторона профилактики: риск смертельных кровотечений при травмах.
26:13 Миксидол: может ли аптечный препарат снизить гематокрит?
30:59 Ошибка в дозировках аспирина: почему 500 мг не работают на разжижение крови
31:46 Схема «Безопасный курс»: ХГЧ + Андрогель + немного оксандролона.
32:55 Честный «компот» Павла Попова: «Колю то, что подарят».
35:18 Инсулиновые шприцы в дельты: почему Павел боится «нормальных» игл.
36:24 Эксперимент: можно ли вогнать 4 куба масла в плечо за раз?
37:20 Технический лайфхак: почему нельзя надеть инсулиновую иглу на шприц 5 мл.
39:11 Подкожное ГЗТ: схема применения энантата для ровного фона.
40:18 Критика ген-тестов: почему тесты на «витаминки» и «виды спорта» — это маркетинг, и какая генетика (рак, фертильность) действительно важна. https://vk.com/away.php?to=https%3A%2F%2Fwww.youtube.com%2F%40REALSTEELBB%2F&amp;utf=1</t>
  </si>
  <si>
    <t xml:space="preserve">Тексты с изображений_x000d_
как избежать образования тромбов? препарат для с ематокрита! как избежать образования тромбов? препарат для с гематокрита_x000d_
</t>
  </si>
  <si>
    <t>https://telegram.me/pharmacomlabsnews/5515</t>
  </si>
  <si>
    <t>https://telegram.me/pharmacomlabsnews</t>
  </si>
  <si>
    <t>10.05.2026 05:24</t>
  </si>
  <si>
    <t>Трентал — это лекарственный препарат, основное действующее вещество которого — пентоксифиллин. Он улучшает текучесть крови и микроциркуляцию, "разжижая" кровь и делая эритроциты более эластичными.
Основные формы выпуска:
· Таблетки 100 мг: Кишечнорастворимые, для начала терапии.
· Таблетки-пролонг 400 мг: Длительного действия, требуют приема 2-3 раза в сутки.
· Раствор для инъекций (ампулы 5 мл): Для капельниц (инфузий), применяется при тяжелых состояниях.
🩺 Для чего назначают
Препарат применяется при:
· Проблемах с сосудами ног ("перемежающаяся хромота", боли, трофические язвы при диабете).
· Нарушениях мозгового кровообращения (головокружения, ухудшение памяти, последствия инсульта).
· Проблемах с сосудами глаз и ушей (снижение слуха, нарушения сетчатки).
⚠️ Когда нельзя принимать
Препарат имеет серьезные противопоказания. Не применяйте его при:
· Острый инфаркт миокарда, инсульт по геморрагическому типу (кровоизлияние).
· Тяжелые нарушения ритма сердца и атеросклероз сосудов.
· Беременность, кормление грудью и возраст до 18 лет.
· Склонность к кровотечениям, язва желудка.
💊 Как принимать
· Таблетки нужно глотать целиком во время или после еды. Обычная доза — 400 мг 2-3 раза в день, но не более 1200 мг в сутки.
· При проблемах с почками (клиренс креатинина 👀 На что обратить внимание
· Побочные эффекты: часто возникает покраснение лица (“приливы”), головная боль, тошнота или головокружение.
· Опасность: препарат разжижает кровь, поэтому повышает риск кровотечений. Сообщите врачу, если принимаете другие разжижающие средства (аспирин, варфарин).</t>
  </si>
  <si>
    <t>https://telegram.me/informchane/15788292</t>
  </si>
  <si>
    <t>https://telegram.me/penesyer</t>
  </si>
  <si>
    <t>https://telegram.me/informchane</t>
  </si>
  <si>
    <t>10.05.2026 05:21</t>
  </si>
  <si>
    <t>https://telegram.me/informchane/15788288</t>
  </si>
  <si>
    <t>10.05.2026 04:39</t>
  </si>
  <si>
    <t>Что с моим лицом? Кломифен приводит к атрофии яичек? Тестостерон вызывает низкорослость?</t>
  </si>
  <si>
    <t>Консультации, составление курсов фармакологии, ПКТ, ГЗТ, терапии по повышению тестостерона, ведение по курсу:
Телеграм - https://t.me/kuznetsovgzt
Отзывы - https://vk.com/wall486501687_96
Тикток - https://www.tiktok.com/@alexander_cuznetsov
0:00 Александр приветсвую. Вопрос по ХГЧ. Я на гзт в дозировке 250 энантата в неделю. Трое детей, больше не планирую. Есть ли необходимость в ХГЧ, в данном случае? Переживания есть в том, чтоб яички не превратились в изюм.
1:41 Добрый день, Александр! Можно ли принимать УДХК для профилактики и поддержки печени? 33 года 85 кг, 4 дня в неделю в зале + день футбол. в зал хожу с 17 лет. На "темной стоне" был, но уже лет 7 назад как слез. Спасибо за вашу работу и заранее спасибо за ответ!
2:36 Александр спасибо за Ваши полезные ролики. Да, такая же ситуация, гематокрит 53,5 гемоглобин 183. На днях иду делать гемоэксфузию. Надо ли после этой процедуры прокапать железо? Ферритин сейчас 90.
3:23 Александр,доброго времени суток.Слышал следующую информацию,что бесконтрольное применение SERM,в т ч кломифена,ведёт к атрофии яичек,за счёт перегрузки клеток Лейдига и Сертоли. Вопрос,так ли это, и если так,то какой длительности курс кломифена и на каких дозировках потенциально может привести к таким последствиям. И такой вопрос,если я выхожу с курса,у меня тест,ЛГ и ФСГ около нулевые.Я подключаю кломид 50 мг в день,через неделю сдаю анализы и вижу что у меня ЛГ ,ФСГ и тест вышли в референс.Дальше есть смысл пропивать ещё неделю по 25мг кломифена,или можно сразу заканчивать пкт?
5:14 Александр, что стало с вашим лицом? Ринопластика? Вы стали намного красивее и моложе, сексуальнее!)))
5:54 Терзетта+ Метформин, как сочетаются?
7:31 Гематокрит 55,8, гемоглобин 182. Курс энка 250 неделя. Что делать то? Чтоб сливать кровь, куда идти, что говорить? Самое стремное, что бы я ни делал, гем всегда рос. На моё питье по 40 мл/кг веса, пентоксифилин, кардио ему вообще все равно
9:21 Здравствуйте, Александр. Не знаю, отвечали ли вы на этот вопрос уже, но вот лично, по вашему мнению, влияет ли приём тестостерона в раннем возрасте на скорость закрытия зон роста, или это всё же генетика. Заранее спасибо за ответ.
🎓 Данный материал носит исключительно образовательный и ознакомительный характер.
Я не занимаюсь продажей, рекламой или продвижением каких-либо препаратов, субстанций или биологически активных добавок. Информация, представленная в видео, основана на открытых научных данных и предназначена только для обсуждения теоретических аспектов спортивной физиологии и фармакологии.
Я не призываю к применению каких-либо запрещённых субстанций и не даю рекомендаций по их использованию. Моя цель — предоставление образовательной информации, а не поощрение действий, которые могут нанести вред здоровью или противоречить законодательству.
Помните: Любые решения, касающиеся вашего здоровья, приёма любых препаратов, спортивных добавок или изменения режима тренировок, должны приниматься только после очной консультации с квалифицированным врачом. Употребление допинга и веществ, запрещённых WADA, может преследоваться по закону и способно нанести непоправимый вред здоровью.
Автор не несёт ответственности за возможные последствия неправильного толкования или использования представленной информации. Все материалы канала не являются рекомендацией или руководством к действию и не должны рассматриваться как замена профессиональной медицинской консультации.</t>
  </si>
  <si>
    <t xml:space="preserve">Тексты с изображений_x000d_
#worlerinetore вопрос 9 что с моим лицом? вопрос кломифен приводит к атрофии яичек? вопрос тестостерон вызывает низкорослость?_x000d_
</t>
  </si>
  <si>
    <t>https://rutube.ru/video/67849f02f4eace26ab0fb5ad8f5636fb/</t>
  </si>
  <si>
    <t>10.05.2026 04:11</t>
  </si>
  <si>
    <t>[id766994370|Даниил], так касаемо побочек:
пью урсу 500 каждый день алт - аст по 20-30 т.е в низах рефах
липидка в норме
гем - 46 ( пентоксифиллин в помощь 400 ) + кардио 10к шагов всегша каждый божий день.пью воду по 3 литра
ну я не работаю целыми днями сижу дома так как учусь😅 у меня проблем в жизни нет сиди качайся да кушай да ставь</t>
  </si>
  <si>
    <t>http://vk.com/wall-231508037_3004?reply=6485&amp;thread=6479</t>
  </si>
  <si>
    <t>10.05.2026 03:41</t>
  </si>
  <si>
    <t>http://vk.com/wall753636546_6587</t>
  </si>
  <si>
    <t>10.05.2026 00:44</t>
  </si>
  <si>
    <t>По секрету скажу , я медик бывший, так вот ..... Тромбитал 100 мг., Янтарная кислота форте 400 мг., пентоксифиллин 100 мг., Ундевит -1 драже рассасывать, Мексидол 259 мг. Форте,Аспаркам 1 таб., глицин сублингвально 300 мг. Облегчит состояние 90%.</t>
  </si>
  <si>
    <t>http://vk.com/wall-32572053_91333?reply=91595</t>
  </si>
  <si>
    <t>09.05.2026 20:55</t>
  </si>
  <si>
    <t>[id839597617|Vi], "Дифтерия — бактериальное инфекционное заболевание, требующее срочной медицинской помощи. Лечение проводится в стационаре, так как высок риск осложнений и распространения инфекции.
мсч.75.мвд.рф
gemotest.ru
vidal.ru
Основные методы лечения дифтерии:
Противодифтерийная сыворотка (ПДС). Нейтрализует дифтерийный токсин, циркулирующий в крови. Вводится сразу после подтверждения диагноза, особенно эффективно в первые 2 суток болезни. Доза и способ введения зависят от тяжести течения.
Антибиотики. Назначаются для уничтожения возбудителя (дифтерийной палочки). Могут применяться пенициллины, цефалоспорины, макролиды, тетрациклины, а также комбинированные препараты (например, «Ампиокс»). Курс лечения может быть длительным — в некоторых случаях антибиотики принимают несколько недель после исчезновения симптомов.
Дезинтоксикационная терапия. Проводится для выведения токсинов из организма.
Симптоматическое лечение. Включает жаропонижающие и обезболивающие препараты при высокой температуре, при дыхательной недостаточности — подачу дополнительного кислорода через маску, в тяжёлых случаях — подключение к аппарату искусственной вентиляции лёгких (ИВЛ).
Местное лечение. Например, полоскание горла дезинфицирующим раствором для борьбы с бактериями.
Дополнительные меры. При миокардите показан полный покой, могут применяться триметазидин, мельдоний, пентоксифиллин. При полинейропатии — постельный режим, полноценное питание, профилактика вторичной инфекции."</t>
  </si>
  <si>
    <t>http://vk.com/wall-209406938_89343?reply=89353&amp;thread=89352</t>
  </si>
  <si>
    <t>09.05.2026 17:53</t>
  </si>
  <si>
    <t>Скажите наконец то о том что этот епучий пентоксифилин епашит желудок жестко ! И них он не поможет ! Поможет только слив крови ! Решается проблема мгновенно !</t>
  </si>
  <si>
    <t>http://www.youtube.com/watch?v=X6Npv1UnVgA&amp;lc=UgxceKbMaYE2iDDPzKd4AaABAg</t>
  </si>
  <si>
    <t>09.05.2026 17:00</t>
  </si>
  <si>
    <t>ТРОМБОЗ на курсе: Как снизить ГЕМАТОКРИТ без слива крови?</t>
  </si>
  <si>
    <t>🎥 В этом выпуске разбираем главную скрытую угрозу для любого спортсмена — тромбозы.
Вы узнаете:
🩸 Почему густая кровь убивает?
💊 Как правильно снизить гематокрит без постоянных сливов крови (эритроцитафереза)?
🧬 Какие генетические анализы (F2, F5) нужно сдать ДО начала приема препаратов?
🛑 Разрушаем мифы про Кардиомагнил и Аспирин, обсуждаем Ксарелто, Эликвис и копеечный аптечный препарат, который реально решает проблему густой крови.
📍 А также: эксклюзив про схемы ГЗТ (ХГЧ + Андрогель), подкожные инъекции тестостерона и генетику раковых заболеваний. Обязательно к просмотру всем, кто заботится о своем здоровье!
👍 Ставьте лайк, если было полезно!
✍ Делитесь в комментариях, что полезного узнал.
🔔 Не забывайте подписываться на канал!
Гость: Павел Попов:
►INST: https://www.instagram.com/ps.popov
Ведущий: Саша Евсеев:
►INST: https://www.instagram.com/evseevsasha2
►TG: https://t.me/evs_1channel
►Полезный БОТ с ГЗТ и ПКТ: https://salebot.site/evsmainbotlink_1?utm_source=youtube
Тайминг:
00:00 Вступление: чем опасен тромбоз и как его профилактировать.
01:43 Механизм образования тромба: фибрин, клетки крови и последствия (инфаркт, ТЭЛА).
02:35 «Золотой час»: сколько времени есть на спасение и что такое тромболизис.
03:52 Расширенный профиль: фолатный цикл и гомоцистеин.
06:11 Цена вопроса: сколько стоит диагностика тромбофилии в сетевых лабораториях.
06:51 Антикоагулянты: Ксарелто и Эликвис. Современные стандарты вместо Аспирина.
07:40 Тестостерон при рисках тромбоза: почему инъекции под запретом, а гели (Андрогель) разрешены.
11:55 Тромбоэмболия легочной артерии (ТЭЛА): почему это происходит внезапно.
13:12 Тромбы в сердце: специфика и группы риска.
14:23 Чек-лист перед курсом: генетика, гомоцистеин и коагулограмма.
15:29 Гематокрит: верхняя граница 54%. Почему при 52% сливаться еще рано.
16:10 Гидроксимочевина (цитостатики): альтернатива сливу крови для снижения эритроцитов. Опыт Павла.
18:07 Плюсы и минусы эритроцитофереза. Почему после слива падает ферритин.
20:50 Пентоксифиллин (Трентал): «качковская» классика из 90-х. Есть ли в нем смысл?
21:30 Почему Аспирин (Кардиомагнил) проигрывает современным препаратам в эффективности.
22:05 Тромбоциты в общем анализе крови: почему их количество не всегда говорит о риске тромбоза.
24:42 Обратная сторона профилактики: риск смертельных кровотечений при травмах.
26:13 Миксидол: может ли аптечный препарат снизить гематокрит?
30:59 Ошибка в дозировках аспирина: почему 500 мг не работают на разжижение крови
31:46 Схема «Безопасный курс»: ХГЧ + Андрогель + немного оксандролона.
32:55 Честный «компот» Павла Попова: «Колю то, что подарят».
35:18 Инсулиновые шприцы в дельты: почему Павел боится «нормальных» игл.
36:24 Эксперимент: можно ли вогнать 4 куба масла в плечо за раз?
37:20 Технический лайфхак: почему нельзя надеть инсулиновую иглу на шприц 5 мл.
39:11 Подкожное ГЗТ: схема применения энантата для ровного фона.
40:18 Критика ген-тестов: почему тесты на «витаминки» и «виды спорта» — это маркетинг, и какая генетика (рак, фертильность) действительно важна.
📌 Интересное видео:
Революция в похудении: Оземпик, Семавик, Мунджаро и другие пептиды. Вся правда!
https://youtu.be/_qTrTK7Tk3c
Вызывает ли ТЕСТОСТЕРОН рак простаты? ПСА, ДГПЖ и мужское здоровье после 30
https://youtu.be/rZBIe0qXjDY
Наши ресурсы:
► ТЕЛЕГРАМ КАНАЛ: https://t.me/+70BnY85wm1phYzAy
► VK: https://vk.com/bodyofsteel
► INST: https://www.instagram.com/realsteel_official
По вопросам рекламы, совместных видео, идей и т.д:
► Почта: realsteel.media.pr@gmail.com
► Телеграм: https://t.me/evseevsasha
⚠️ Внимание: Данное видео носит исключительно информационный характер. При возникновении проблем со здоровьем обязательно проконсультируйтесь со специалистом.
#подкаст #интервью #бодибилдинг #фитнес #спорт #здоровье #живаясталь #тромбоз #гематокрит #павелпопов #тестостерон #гзт</t>
  </si>
  <si>
    <t>Тексты с изображений_x000d_
как избежать образования тромбов? препарат для снижения гематокрита! ts 1 protocol: 300 mg wk 2. test a 300 mg zwk_x000d_
Расшифровки_x000d_
Транскрипт:Тромбоза. Чем опасные провоцирующие факторы? Как это можно диагностировать, профилактировать? &amp;gt;&amp;gt; Можно ли вам вообще фарму? А может вам вообще нужно сейчас уже что-то, чтобы профилактировать возможный тромб? Очевидно, гематокрит влияет на формирование тромбов. &amp;gt;&amp;gt; И что, пацаны, всё, всё, вопрос решён с гематокритом. &amp;gt;&amp;gt; И они после тромбоза дальше прогибали фарма. &amp;gt;&amp;gt; Пить или не пить? &amp;gt;&amp;gt; Вот в чём вопрос. Хуй его знает. &amp;gt;&amp;gt; Сами тромбоциты вообще в общем анализа крови нахера? Вроде бы тромбоз и тромбоциты. Однокоренные слова. Надо смотреть тромбоци, чтобы не было тромбоза, [ __ ] Пентоксифилин, мне кажется, каждая кочка его принимал. Вообще нахера я это делал? &amp;gt;&amp;gt; Кардио, вода, всё. &amp;gt;&amp;gt; Да, чтоб ты качался на ХГЧЕ два пакетика всю жизнь. Понял [смех] такое? &amp;gt;&amp;gt; Ну я [ __ ] это как бы факт. В плече мне максимум выгоняли четыре куба. &amp;gt;&amp;gt; За раз. &amp;gt;&amp;gt; За раз. &amp;gt;&amp;gt; А подкожный ты делаешь? &amp;gt;&amp;gt; Гематокрит. Я всё-таки за верхнюю границу, после которой надо сливаться или отменять препараты 54. &amp;gt;&amp;gt; 54. Привет, друзья. Лайк автоматом уже должен прилететь под этот выпуск, потому что Павел Попов сегодня с нами. А это живая стали. Меня зовут Александр Евсеев. Не забывайте, все ссылки полезные в описании. Подписывайтесь, лайки, комментарии, потому что сегодня снова полезная информация, как и всегда. Паша, привет. Большой &amp;gt;&amp;gt; привет. &amp;gt;&amp;gt; Спасибо большое, что пришёль. И мы сегодня такую тему будем обсуждать с тобой. На прошлый раз мы разговаривали про холестерин максимально информативно. А сегодня давай затродим такую тему, как тромбозы. Вообще, чем опасны провоцирующие факторы? Потому что я знаю, что спортсмены имеют в своём арсенале провоцирующие факторы к этой истории. И вот тромбозы чем опасны? Как это можно диагностировать, профилактировать? И вообще, что это такое? &amp;gt;&amp;gt; Тромбоз. Давай рассмотрим вариант, э, классического возникновения тромба и того, как это можно было бы предотвратить, что мы, собственно, стараемся делать на консультациях, но иногда чувствуешь себя мм беззащитным. Сейчас скажу, почему. Короче, аа можно ли узнать? Ну, мы понимаем, тромб - это вот, собственно, смесь из кучи клеток с тромбоцитами в основе. Всё это связано нитями фибрина. И вот это что-то может прилететь тебе куда-нибудь в сердце, в мозг, может прилететь в лёгкие, сделать тромбоэмболию лёгочной артерии, будешь кашлять кровью и помирать, всё такое. Соответственно, надо фибриноли сделать уже в отделениях реанимации. То есть водят препараты, которые могут растворить тромб, вот, и, допустим, дать тебе шанс выжить. Там, по-моему, настолько ограничено количество времени, поэтому если ты чисто вот не успел, не доехал, то уже всё, там что-то пару часов, по-моему, даётся. Да, &amp;gt;&amp;gt; да, да, да. Ну, какая тема? Ты можешь узнать вероятность развития тромбов заранее. Есть генетические тесты, ну, они тоже по крови сдаются. А где самые главные мутации генов F2, F5, мутация лейдена. &amp;gt;&amp;gt; Запоминайте. Они обычно идут, ну, мы вот, например, в своих протоколах, когда делаем чекап перед первой консультацией, я, чтобы человек, я же не знаю, кто придёт. Ну, в смысле, может, у человека денег полно, и он там может сдать всё вообще подряд, а может, у человека денег нихуя, и он там на последние кровные вот это всё делает. А, поэтому мы назначаем хотя бы два главных критерия вот эти F2, F5. Мм, если там есть мутация, э они могут быть гетторозиготными, то есть когда повреждён м один ген, или, соответственно, гумозиготными, когда повреждены оба гена. Вот. А и вот в зависимости от этого риски могут быть, ну, типа в два раза выше, чем в популяции, в три раза выше, чем в популяции, а, словить тромб. Вот если прийти в лабораторию и сказать мне, пожалуйста, расширенный генетический анализ на тему вот, собственно, тромбозов, вот они туда ещё добавят мутацию фалатного цикла. Это вот к тими гомоцистеина. Вот. Э они туда добавят ещё мутации, которые связаны с либо кровотечениями, либо вот с тромбофилией, образованием тромбов. Вот. И иногда, мм, когда приходят люди с полным спектром генетики, э-э, я даже, ну, чтобы не выходить за рамки своих знаний, э-э, давайте мы ещё к гематологу обратимся, чтобы понимать, а как нам себя вести, особенно если, то есть, можно ли вам вообще то есть вопрос, можно ли вам вообще фарму, а второй вопрос, а может вам вообще нужно сейчас уже что-то, чтобы профилактировать возможный тромб? То есть даже если вы просто живёте и как бы не касаетесь запрещённой фармакологии. И по генетике мы можем многое сказать. А есть тесты на агрегацию тромбоцитов, есть тесты м тоже по под тромбоцитом, есть тест на тромбодинамику. Вот тоже показательная история, но в итоге это оценивает, конечно, если ну стараться быть прямо правильными молодцами, это гематолог оценивает. Вот мы можем так проте есть, аэ, естественно, туда же вязкость крови, потому что, очевидно, гематокрит влияет на формирование тромбов, вот, и участвует в этом. Вот. И поэтому спортсмены очень часто заморачиваются вот там по гематокриту, типа вот у меня гематокрит такой высокий, а ты берёшь его генетику и смотришь, а там тоже, [ __ ] факторы. и смотришь тромбофили по остальным показателям, кагулограмме, вот это вот всё. У него там вообще куча факторов риска. Вот. И тогда даже у меня есть некоторые пациенты, которым мы отменяли терапию, потому что риски слишком высокие. &amp;gt;&amp;gt; То, что ты сейчас назначил, вот эта вот генетика, какие вот F2, F45, F5, это куда прийти? Это это что денег стоит? Вот просто пацанам практически применимо это. Где это сдать? В обычной лаборатории можно придомовой. &amp;gt;&amp;gt; Да, конечно, в обычной придомовой. Давай посмотрим, сколько это стоит. &amp;gt;&amp;gt; Просто звучит как-то дорого слишком. О, диагностика тромбофилии. Они смотрят F2 и F5. А, а, но у них сразу активность антитромбина 3, протеина C и уровня протеина S. Тоже важные факторы на самом деле. И вот если вот такой комплекс сдать в инвитро 9100. 9100. Ну вот смотри, вот пришёл тебе человечек и говорит: &amp;quot;Хочу курсануть&amp;quot;. Мы сдаём. Вот вы сдаёте вот это вот. И там чуть-чуть поломан ген, да, и провоцирующий фактор есть. Аэ дальше что? Ты просто ставишь его в курс, что тебе можешь отъебать, да, или что? И он уже сам принимает решение. &amp;gt;&amp;gt; Я ему говорю, типа, смотри, есть вариант номер один. А у нас есть препараты, которые снижают вероятность тромбообразования. Соответственно, это Ксарелта и Иликвис. Ну, из форм оральных. То есть мы не говорим про инъекционную типа клексана. Вот. И крелт иликвиз, э, могут значимо снизить риски. Даже там при высоком гематокрите. Вот аспирин сейчас перестали перви как первичную диагностику назначать. Его назначают после перенесённых инфарктов и инсультов, но до как бы вроде бы перестали. Вот. И поэтому я говорю, мы можем пить Косарел или Эликвис. Соответственно, таким образом предотвращать вот вероятность развития тромба. И тестостерон использовать каким образом? Вот здесь интересная такая штука в плане закона для врачей. Когда ты читаешь медицинскую литературу, там написано: &amp;quot;Если у человека был тромб или есть факторы риска тромбоза, то назначать ему инъекционный тестостерон нельзя&amp;quot;. То есть это как бы везде прописано прямо чётко. Но если всё-таки есть необходимость назначения ему тестостерона, ему можно назначить гелевую форму тестостерона. Я таких людей вывожу на схему ХГЧ 10035 в неделю и Андрогель два пакета в день. И у них тестостерон типа 45. &amp;gt;&amp;gt; Тоже интересно. Назначать нельзя, но если есть необходимость. Так врачи и назначают только когда есть необходимость. не могут назначить просто так. &amp;gt;&amp;gt; И смотри, ещё в чём прикол. А в медицинских статьях написано: &amp;quot;Гелевая форма тестостерона маловероятно приведёт к тромбозу, типа назначайте&amp;quot;. Но когда ты открываешь инструкцию к андрагелю, там в инструкции написано: &amp;quot;Нельзя назначать при тромбозах в анамнезе&amp;quot;. &amp;gt;&amp;gt; И то есть как бы если человек трамбанёт, ты подсядешь. Вот. И как бы такое вот не очень приятная такая тема. Ну вот надеемся, что не тромбанёт. &amp;gt;&amp;gt; Если даже есть провоцирующие факторы, нельзя назначать, да, получается, тромбоз это свершившийся факт. Вот у тебя есть тромб, его где-то нашли, да, и и вот он у тебя есть и есть, и ты это знаешь, что он оторвётся или не оторвётся, да, получается. Угу. А &amp;gt;&amp;gt; а как это можно узнать? Также УЗИ УЗИ УЗИ УЗИ чего-то. &amp;gt;&amp;gt; Ну вот смотри, допустим, вариант один. Э в глубоких венах голени образовался тромб большой. Он нарушает отток крови, и, соответственно, у тебя нога болит, раздувается и ну как бы как отёк такой большой. Вот, то есть застой крови. Вот ты это видишь и думаешь: &amp;quot;Надо сделать УЗИ&amp;quot;. Едешь, делаешь УЗИ. На УЗИ говорят: &amp;quot;Тромп&amp;quot;. И дальше ты, соответственно, поступаешь в отделение реанимационное или там, не знаю, какое. и тебе должны провести вот какой-то тромболизис, то есть препаратами соответствующими. Вот. То есть вряд ли хирурги туда полезут. Хотя всех протоколов, как уже с тром с тромбом себя вести, я просто не знаю, мне это, ну, не сильно пригодилось бы в практике. Вот. То есть это уже скоро помощная история. Вот. И иногда, э-э, что делают? Допустим, тромп там в Голене, он большой, зацепился за стенку, и тебе говорят: &amp;quot;Вот кали там Клексан или ешь ксарелто там или Эликвис в большой дозе&amp;quot;. А и будем ждать, чтобы тромб э сформиро, чтобы тромб удержался у стенки, то есть он будет постепенно становиться меньше. и припаян к стенке и типа не оторвётся уже. И ты ходишь как бы ждёшь, когда тромб растворится. Вот. И пока ты ходишь, а иногда если есть к тому показания, могут ещё и поставить сетку на сосуды, ведущие, соответственно, к лёгким. а-а, ставят сетку прямо вот эта операция, хирургическое вмешательство, чтобы если тромп оторвётся, он не попал в лёгочную артерию. То есть просто по пути сетка, через которую тромб не пройдёт. Вот. И ты ходишь с этой сеткой как страховкой, что тромб оторвётся и, ну, вот окажется там. &amp;gt;&amp;gt; А если он заткнул эту вену вот эту лёгочную, если заткнул? &amp;gt;&amp;gt; А, смотри, если тут можно мм по-разному. Вот если, например, тромп попадает в лёгочную артерию, мне сейчас на наверное, э, мою память о анатомии всех, э, м, органов мне, конечно, дадут хороших комментариев за за мою память. Вот. Ну, короче, если в разветвление м аорты попадает ээ тромб, то ты типа умираешь сразу рефлекторно. Просто там рефлекс такой вот если попадает в лёгочную артерию, то тромб разлетается по лёг лёгкому поражает мелкие сосуды, и у тебя начинает идти -э ну ты дышишь, у тебя кровь с пеной изо рта, вот, и ты задыхаешься. Вот. Мм и чтобы узнать, там, &amp;gt;&amp;gt; ну, всё, ну, всё равно умираешь, &amp;gt;&amp;gt; может быть, да, может быть, нет. То есть как, &amp;gt;&amp;gt; наверное, зависит, если ты в скорую там обратился, успел, не успел, там, да? Да, да, вот эти вот штуки. Ну, соответственно, смотрят, что в крови смотрят дедимер. Вот, чтобы понять, это тромп или не тромп, смотрят дедимер. То есть сдавать дедимер просто так, ну, типа узнать, это не анализ для получения рисков о тромбозах. Это анализ, который нужно сдавать, когда ты думаешь, что у тебя тромбоз, и как бы надо верифицировать. И вот если дедимер [ __ ] высокий и у тебя кровь изо рта, все такие, наверное, это тромбоэмболии лёгочная артерии. Да, [смех] да. Ну, бля, логично. &amp;gt;&amp;gt; Ну, и как бы вот встаёт вопрос, да, о тромболизисе. И это как бы та такая классика. Вот у кого-то тромбы могут образовываться, чтобы тромбы образовывались в сердце, например. Аэ, и это обычно с поражением клапанов бывает. Э, но это в основном внутривенные наркоманы. Но я как бы не знаю, это классическая история для внутривенных наркоманов, но это всё-таки больше из девяностых, что ли, когда люди кололись там одним один шприц на несколько человек. Это всё как бы было, ну, нестерильно. Вот. А так, если ты внутривенные наркоман и делаешь всё, как надо, то, наверное, с сердцем ничего не будет. Там вариантов умереть ещё куча. Помимо помимо тромба есть ещё ряд провоцирующих факторов. &amp;gt;&amp;gt; Да. Вот. И поэтому мм с тромбами с ними какая история? Нам нужно выделить э те анализы, которые мы можем посмотреть, чтобы минимизировать риск. А и, соответственно, те таблетки, которые мы можем пить, чтобы минимизировать риск или не должны пить. А-а и всё вот это основное. То есть, а если ты решаешь залезть на фарму, ты сдаёшь генетику, прямо приходишь в лабораторию, говоришь: &amp;quot;Не можешь не запоминать F2, F5&amp;quot;. Говоришь мне генетику тромбозов, пожалуйста? Это первый анализ. А второй анализ - это мы обсуждали в прошлый раз, гумоцистеин. Гумоцистеин тоже приводит к тромбозам, поэтому его и можно сразу мутацию фалатного цикла, но она будет входить в генетический тест. А что вот витамины Б в активную форму не превращаются, у тебя гумацистестн растёт. Вот, соответственно, м кагулограмма, в ней повышение фибриногена, фибрина фибриногена могут ээ говорить то, ну, что-то типа, что риск типа повыше. Вот. Но вообще каагулограмма - это больше для контроля свёртываемости крови на препаратах типа варфарина уже у людей, как бы столкнувшихся с проблемой тромбоза. Вот. Мм. И значит, ты вот это генетику ты сдал, гомоцистеин ты сдал, важно сдал общий анализ крови на предмет гематокрита. Вот гематокрит. Ээ я всё-таки за верхнюю границу, после которой надо сливаться или отменять препараты 54. &amp;gt;&amp;gt; 54 &amp;gt;&amp;gt; не 52. То есть потому что многие на пятидвух начинают сливаться и, на мой взгляд, очень неправильно делают, потому что потом из селезёнки выбрасываются новые эритроциты, и у них быстро поднимаются гематокриты. Это всё вот. А потом падает феритин и надо закапать железо. И как бы вот пока у тебя своя система работает и она, ну, на на пограничных значениях, но своя система, лучше в неё не лезть, потому что ты её регулировать сам хуй сможешь. Вот. А хотя м я вот в плане мм вязкости крови сейчас очень прирос к и назначаю более спокойно, а хотя раньше боялся. а-а препарат гидроксикарбомид, э гидроксимочевина, то бишь, а цитостатик, который снижает в костном мозге выработку, э, эритроцитов, тромбоцитов, лейкоцитов. То есть он как бы при полицитемии назначается, когда всех клеток крови а много. Вот и кровь очень густая. Аа бояться чего? боятся того, что упадут лейкоциты и на этом фоне снизится твоя мм твоя реакция на заболевания какие-то. &amp;gt;&amp;gt; Да. Да, вот это произойдёт. Но по факту я вот людям допустим назначаю, я ещё дозу мм не знал, какую дать, а все как бы боятся. И такие вот там по 500 мг типа начните, посмотрите, как будет. Я понял, 500 мг вообще нихуя не работает. 1.000 мг нихуя не работает. Я начинаю с 1лутыч мг. И каждую неделю мы смотрим показатели крови, общий анализ крови, ээ, ЛДГ, КФК, ну, короче, и феритин. &amp;gt;&amp;gt; И динамика какая? &amp;gt;&amp;gt; И динамика, что, э, ты ждёшь, когда у тебя падает гемоглобин, эритроциты и, соответственно, гематокрит. И где-то недели зареть ты можешь прийти к нормальным показателям. Вот. И &amp;gt;&amp;gt; факциты снижаются. Я вот ещё не столкнулся с этим. То есть лейкоты остаются как были. Вот. То есть они снизятся рано или поздно, но вот за 4-5 недель не успевают. &amp;gt;&amp;gt; Ты имеешь в виду именно на примерная протяжённость курса, там, да, 5ше 6 7во недель, &amp;gt;&amp;gt; да? Типа ты вот поел, снизил показатели и отменил препарат, и у тебя там за какое-то время снова вырастают показатели, а ты снова его попил. То есть это как альтернатива. Один вариант, ты идёшь, делаешь эритроцитоферез, ну, как бы тоже тяжёлая процедура. Ну, всё-таки там тебе фильтруют кровь, куда-то идти надо, там время это там, &amp;gt;&amp;gt; да? То есть это прямо геморрой. И вот после эритроцито Фереза, э, железо падает и тебе надо его восполнять. И вот это вот получается заёб ты кровь слил, железо упало, вколол железо, кровь снова густая. Да. &amp;gt;&amp;gt; А здесь ты как бы на таблетках всё сделал. Единственное, так как цитостатик, ну там нужно выдержать какое-то время, если там эта девушка, например, выступающих спортсменок в категориях &amp;gt;&amp;gt; не беременей, да? &amp;gt;&amp;gt; Да. Вот с беременностью осторожнее посмотреть. Я точные сроки не назову сейчас, когда за сколько нужно отменить препарат. Ну это можно найти в GPT или в инструкции. &amp;gt;&amp;gt; Ну это аптечные без безрецептурные. &amp;gt;&amp;gt; Аптечный безрецептурный. Да. Да. Вот. Э-э, и, соответственно, мм, у меня было много откликов. Я когда ещё в запрещённой сети, э-э, выкладывал по поводу вот этой истории, а, что вот как, а, как вы, типа, люди вокруг, делали ли такое? Мне пришло достаточно много хороших отзывов, что люди сами пробовали и типа нормально работало и ничего не падало лишнего и ничем не болели, и всё хорошо. Вот поэтому моя как бы лояльность к вот этому препарату, а он ещё стоит нихуя, там по 500 руб. пачка. Вот типа, ну вообще, что тебя может остановить? Ни что, только лень. Надо ходить вот каждую неделю небольшой список анализов сдавать, ну, чтобы это было подконтрольно. &amp;gt;&amp;gt; И что, пацаны, всё, всё, вопрос решён с гематокритом, что я не понял. Всё, больше не надо задавать его. Всё, Паша всё рассказал. Нашёл нашёлся всё-таки тот препарат, который может сниже. Сколько раз ты в жизни это слышал? Гематокрит как снизильный. &amp;gt;&amp;gt; На самом деле я вот про вот этот препарат слышал-то уже давно. И я сначала думал, что типа и про него известно вот в на качковских сайтах типа достаточно давно. &amp;gt;&amp;gt; В узких кругах, потому что прямо вот широкого применения это я не слышал, что используется, &amp;gt;&amp;gt; да, в узких. Ну то есть старые качки, которые кто кто пришёл к этому. Люди, которые сливали кровь. очень долго и заебались. &amp;gt;&amp;gt; Или кто забивал хер, [ __ ] и ходил 54-55 и голову не забивал себе. &amp;gt;&amp;gt; Ну вот что что-то подобноя. И поэтому вот есть таблетка, ну принимать её, естественно, строго под контролем врача. То есть гидроксимочевина - это не такая таблетка, типа, ну это цитостатик, то есть как бы надо следить за &amp;gt;&amp;gt; услышали? Ну аккуратненько, короче, не беги не бегите никуда там. Это всё как к врачу надо обратиться. Поэтому вот это все ерундой не занимайтесь самолечением. Я с детства, с детства, [ __ ] своего кочковского детства принимал пентоксифилин. Б, мне кажется, каждый кочка его принимал. Вообще нахера я это делал? Расширял сосуды. Ну и это &amp;gt;&amp;gt; мелкую кровеносную сетку, да? Что это мне дало? Давало, [ __ ] &amp;gt;&amp;gt; нихуя. Памп на тренировках максимум. &amp;gt;&amp;gt; Но почему-то мы это где-то кто-то сказал почему-то мы это делали. Вот, знаешь, было кардиомагнил, ээ пентоксифилин, и мы все были довольны, что у нас вот ээ если густая кровь, нам это поможет не трамбануть. Не знаю, лично было такое мнение у нас. Может быть, пацаны не знают такого, но была такая история. &amp;gt;&amp;gt; Ошибочная [ __ ] видишь. Всё-таки, если реально боишься, то ксарелта десятку утром или Эликвис по 2,5 утром вечером. &amp;gt;&amp;gt; Это что делает? Это антикоагулянты, и они влияют на пристеночные факторы свёртывания крови, и они более эффективны, чем аспирин, который, а, ну, вот кардиомагнил, который всего лишь снижает агрегацию тромбоцитов. То есть аспирин просто про склеивание тромбоцитов. &amp;gt;&amp;gt; Ну, а разве это не хорошо снижается, э, склеивание тромбоцитов? &amp;gt;&amp;gt; Это хорошо, но не не так эффективно. &amp;gt;&amp;gt; Не так эффективно &amp;gt;&amp;gt; на практике. Проста &amp;gt;&amp;gt; из всего списка анализов на тромбоз. Сами тромбоциты вообще в общем анализы крови нахера? Ты ничего про них не сказал? Или вообще не нахера &amp;gt;&amp;gt; они никак не меняются. &amp;gt;&amp;gt; Что там? Для чего они вообще там нужны? &amp;gt;&amp;gt; Тромбоциты. &amp;gt;&amp;gt; Вроде бы тромбоз и тромбоциты. Однокоренные слова. Надо смотреть тромбоциты, чтобы не было тромбоза. [ __ ] &amp;gt;&amp;gt; у некоторых бывает на курсе повышаются тромбоциты. Ну типа, но до 600 похуй. То есть выше 600 можно, ну, либо прекратить курс, либо зайти к гематологу, потому что странно, у меня очень мало у кого тромбоциты повышаются. Вот. Но что мы знаем про тромбоциты? Они повышаются при воспалениях. То есть вот как феритин, циреактивный бе, &amp;gt;&amp;gt; феритинжно повышенный, да, за 300 может выскочить их, &amp;gt;&amp;gt; да, циреактивный белок, соя, вот вот эти все показатели, просистемное воспаление и тромбоциты тоже бывают повышены при системном воспалении. Вот. То есть это как бы сигнал иногда к тому, чтобы какую-то поискать болячку у себя, а не снижать их каким-то путём там сли сливом крови и так далее. &amp;gt;&amp;gt; А это просто просто как маркёр чего-то, но не Да, не надо его прямо, &amp;gt;&amp;gt; да, то есть тромбоциты, их количество в крови не ассоциировано с риском тромбоза. То есть всю основную густую вот эту массу крови её составляют эритроцита. Вот и анаболики, и тестостерон. А в основном анаболике они увеличивают способность эритроцитов и тромбоцитов склеиваться между собой. И как бы анаболики они вот ну их нельзя, если ты был действительно если у тебя есть генетика тромбозов. А у меня просто много достаточно было пациентов, которые уже пережили по два-три тромба. Вот. И им как бы они, ну, то есть они попадали в клинику с тромбозом, им лечили тромбоз. Ну, там, в той или иной степени -э их выписывали в клинике, они не говорили, что сидят на фарме. И как бы никто им ничего не говорил, и они после тромбоза дальше пробали фарма. Вот. Никаких там дополнительных таблеток, &amp;gt;&amp;gt; а потом второй раз. И это ничего им не говорит, так как бы. Ну и да, &amp;gt;&amp;gt; то есть некоторые по три ра &amp;gt;&amp;gt; никто вот это не не это не делал соотношение причиноследственной связи, да. Как бы ума не хватило, [ __ ] &amp;gt;&amp;gt; да, не выходило. Вот. И поэтому, мм, вопрос, но пить ли? У некоторых бывает такая полипрагмазия, то есть человек такой: &amp;quot;Блин, страшно же, вдруг будет, риск-то повышается, даже если генетика нормальная. А может мне пить там ксарел или эликвис?&amp;quot; &amp;gt;&amp;gt; Просто так, &amp;gt;&amp;gt; просто так, да? &amp;gt;&amp;gt; Пить или не пить? &amp;gt;&amp;gt; Вот в чём вопрос. Ээ, хуй его знает. &amp;gt;&amp;gt; Спасибо за ответ, доктор. [смех] &amp;gt;&amp;gt; Да. То есть с точки зрения &amp;gt;&amp;gt; Сколько я тебе должен, бля? Хуй его знает. 5.000 руб. С точки зрения медицины, мы же взвешиваем риски и пользу. Вот риски приёма - это, соответственно, кровотечение. То есть, если, аэ, там зубы ты делаешь и там будет всё в кровище. Вот, соответственно, или, э, какая-то, не дай бог, там авария, травма и так и тому подобное, то больше вероятность, ну, потерять много крови. Вот. Потому что просто тромбы не будут образовываться. Да. Прикол такой, знаешь, такой сюрпил, э, пил ксарелту, чтобы не трамвало, а потом что-то случилось и умер от потери крови нахер, &amp;gt;&amp;gt; типа того. Да. &amp;gt;&amp;gt; Вот. И как бы м вот здесь предсказать, ну, типа хочешь пить, попей, не хочешь не попей. Ну, то есть чисто как на кофейный гуще. Я стараюсь вот людям, если, ну, э, мы следим за гематокритом, мы вот знаем генетику, мы знаем коагулограмму, знаем вот ещё пару анализов. А если я вижу, что у человека в целом всё хорошо, ну, или какие-то там минимальные отклонения, вот я как-то сам за ним наблюдаю, мы ничего не пьём. То есть просто я говорю: &amp;quot;Слушай, главный фактор - это для спортсмена в любом случае эритроцитоз&amp;quot;. Ну, то есть густая кровь. Вот. И поэтому кардио, вода и всё. И знаешь, что я ещё? Миксидол. Это такое сейчас кто-то скажет, что [ __ ] и для кого-то правда [ __ ] А Миксидол банальная таблетка, которая вообще почти от всего, мне кажется. Вот. А если 750 тире 1000 мг в день съедать, то у некоторых падает гематокрит. Типа, ну, он падает, знаешь, когда вот у тебя был бы, например, 53 гематокрит и он упадёт до п. Вот. Но если у тебя был 58, то слону дробина нихуя не изменится. &amp;gt;&amp;gt; Кстати, про Мексидол я что-то где-то на форуме слышал что-то. Пацаны пацаны пробуют использовать. Да, да, &amp;gt;&amp;gt; да, да. Пытаются. И вот некоторым заходят вот за эттакиназу и стрептокиназа или как она тоже там похоже произносится. За натокиназу я особо не топлю, потому что, ну, исследований мало и как бы вот назначение на такиназа для меня это как вот, ты знаешь, типа ты не решил высокий риск или нет, но тебе вроде сыкотно, что человек помрёт и ты такой вот тебе надтакиназа, она вроде работает, а вроде нет, и у тебя тромп вроде будет, а вроде нет. Поэтому вот как бы вот тебе натакиназа из серопепптаза. вот серопептаза. Вот продаются такие бады. Вот ээ по ним есть отдельные работы, что они вот ну влияют на коагуляцию. Э но мне это как вот я разочаровался в соу Пальмета. А у меня даже рилс на эту тему был. А соульмета - это бад, который типа замена финастерида или дутастерида. Вот он типа ДГТ снижает. Ингибитор 5 альфа. &amp;gt;&amp;gt; Да. Дадададада. Да. Вот. Ну, типа природный. Вот. И в исследованиях, э, по ДГПЖ он нихуя не работал. Ну, то есть не уменьшался размер процта, всё было как раньше. Вот мне потом писали, э-э, что типа некоторые ребята, что вот они пробовали и они следили именно за ДГТ и что уровень ДГТ у них, правда, падал на со Пальмета, но типа упавший ДГТ не значит вылеченную ДГПЖ, и поэтому как бы в итоговом контексте получилось, что не работает. Но у меня, кстати, вот единственное хорошо со Пальмента заходило, и, наверное, в этом плане я оставлю. у девчонок, кто на там типа оксандролоне, вот, и даже он им даёт какую-то гиперондрогенею, носовы пальметы у них волосы меньше сыпятся. Вот и я иногда назначаю как такой антиандроген. И получается с тромбами важно вот иметь какие-то исходные данные, &amp;gt;&amp;gt; да, по генетике, соответственно, знать, что вот у тебя риск там такой-то или такой-то. в идеале проконсультироваться с гематологом, если нет возможности, то следить за вот гематокритом в первую очередь. Вот, то есть просто общий анализ крови, а за феритином, чтобы тоже не рос слишком сильно или не падал. Вот у кого что случается. Фибрин можно сдавать отдельно. То есть как если он вдруг повышается, то ты чуть-чуть напрягаешься. Вот. И, может быть, делаешь дозу фармы ниже. Дедимер некоторые сдавали, как вот у меня были девочки, приходили, типа гинеколог посмотрела Дедимер, сказала, что он высокий, и мы не будем назначать эту самую комбинированную оральную контрацепцию, потому что она тоже увеличивает риски тромбозов. Вот. И вот это, конечно, тупейшая идея, потому что дедимер он повышается, когда у тебя уже есть тромб. &amp;gt;&amp;gt; А может у них был тромб? Нет, он просто он может повышаться чуть-чуть от курения, стресса, ну, от всякой хуйни. Вот. И он был у них чуть-чуть повышен. И как бы если он чуть-чуть повышен, это просто связь с какими-то вот событиями, которые у них происходили, не более того. То есть когда Дадимир нужен, вот тот человек, который вот сейчас &amp;gt;&amp;gt; опухшей ногой. &amp;gt;&amp;gt; С опухшей ногой, блюющий. &amp;gt;&amp;gt; Так, там и так понятно, что там уже что-то это нахера сдавать ещё Дадимир, если там вот, [ __ ] нога вот такая. &amp;gt;&amp;gt; Да хуй его знает. Ну, диагностика, ну, надо посмотретьмер. Вот. Ээ, да, ты сам, может, тебя, [ __ ] кто укусил там, аллергия у тебя так проявляется. Хуй его знает. Ну, как там есть дифференциальная диагностика. Экстренные таблетки, которые спасёт человека. Раньше говорили, там, выпий 300 или 500 мг аспирина, э, если вот что-то там случилось, типа инфаркта или что-то подобное. Нихуя так не работает, не получается. аспирин вообще в дозе вот как он продаётся как жаропонижающая 500 мг и так далее он теряет свои свойства по антиагрегации то есть [фыркает] ээ вот когда люди делали вот эти коктейли типа кофеин эфидрин и аспирин и они клали туда аспирин &amp;gt;&amp;gt; аспирин пожалуйста вот очень лютая связка была ну наверное не за счёт аспирина &amp;gt;&amp;gt; да и вот аспирин аспирин там вообще нахуй был то есть люди клали если бы они клали аспирину как 75 мг кардиомагнилия. Ещё в нём был бы смысл. А они покупали шипучие таблетки и брали вот по 500, по 1.000 мг. И это просто снимает воспаление и снижает температуру и болевой синдром у людей там, кто болеет. Вот. И абсолютно не влияет на гемостаз. Вот. Мм, и поэтому надо знать исходные факторы. А лучше на фоне, если ты знаешь, что у тебя есть продорасположенность, лучший курс, на мой взгляд, - это ХГЧ Плюс Андрогель. Плюс иногда, когда хочется себя побаловать, три таблетки аксандролона, там три таблетки Торенобола и обратно на Хгчеты. Андрогельного пакетика. Ты что, издеваешься на над пацанами? Как накачаться, [ __ ] на Хгче? [откашливается] На двух пакетиках Андрогели, бля, пацаны-то нормально заряжают, бля. Хгче, говорит, и два пакетика. Сам так качайся, [ __ ] На ХгЧе два пакетика. Да, чтобы ты качался на ХГЧе два пакетика всю жизнь. Понял? Такое подсверм же в больницах, если они всё-таки рассказывают, ну, про свой бэкграунд, вот им говорят: &amp;quot;Никогда в жизни никакого, нахуй, тестостерона&amp;quot;. И они ходят по полгода после больницы со своим тестостероном. Они ещё напуганы. Им там сказали: &amp;quot;Всё, ничего не ешьте, они без поката это делают&amp;quot;. То есть у них это всё восстанавливается еле-еле. И вот он приходит, и ему как раз надо что-нибудь, чтобы, [ __ ] просто живым быть. А ХГЧ Андрагель, вот я, знаешь, вот я сам делаю относительно большие дозы, и я могу, например, взять э и там уколоть, вот стоит у меня бочонок там тронбаллона, да, и я могу взять и уколоть 5 дней подряд по 200 мг. Ну просто потому что вот он стоял первее, чем другой препарат. И мне мне лень, &amp;gt;&amp;gt; да, мне лень было тянуться, и я вот доставал до него вот. И мне как бы вообще похуй лютые схемы. &amp;gt;&amp;gt; Вот. То есть у меня как бы нету какой-то одной схемы по препаратам. Кто что-нибудь подарит, я и использую. Потом ещё кто-нибудь что-нибудь подарит, я их использую. И как-то вот оно идёт. И то есть я сам, ну, на, э, относительно больших дозах, то есть не не за 2 там гма, конечно. Вот. Но сами препараты, то есть там тростоло успел поделать вот и на мне нихуя не работает, потому что я сплю мало. И если ты не спишь, то ты нихуя не восстанавливаешься. И такие дела. Вот. И поэтому я с одной стороны понимаю, вот как бы если бы со мной такое случилось, ну и вот были бы эти факторы повышены, я сдал, слава богу, не повышенно, вот ээ я бы пил ЦРЛ-то и продолжал. Мне похуй было бы. То есть, ну я [ __ ] это как бы факт. Это мы знаем, &amp;gt;&amp;gt; да. И как бы если человек такой же [ __ ] то он может сделать так же, вот просто вот разжая кровь дополнительно. А если человек не [ __ ] и он проходил вот по совету врачей вообще без тестостерона и он хочет именно то есть вот смотри качество жизни на андрогеле плюс хгч вот что ты либида ты встаёшь радостный по утрам, что ты не загруженный ты не срываешься там не ревнуешь [ __ ] что ты не ёбнутый что ты вот вот вот не ходишь постоянно вот такой вот это андрогели хгча &amp;gt;&amp;gt; да работает это я так уж понятное дело что не накачаться это нет если для восстановления уровня жизни. Я понимаю, что ХГЧ андрогель, два пакетика, да, имеет место быть легко. Пожалуйста, это уж так это повыделываться, говорю, качаться на ХГ2 пакетик. А что у тебя сейчас ещё может в курсе? Вот лично у тебя вотн там тест, да, что-то есть &amp;gt;&amp;gt; тут чуть-чуть примо прилетело. Я поколол, надеюсь, настоящий. Вот тросталом мне давали. Ээ этот самый микс5 подкалываю. &amp;gt;&amp;gt; А ещё есть у тебя? Да, [смех] осталось, да. И я как-то и у меня я сам себе, короче, уколы, ну вот нормальным шприцом не могу делать, боюсь. Не знаю, как. Я могу себе инсулинкой в плечо колоть под 90°, да? Инсулинкой, которая со сменной иглой, там потолще она. Вот. И масло в плечо вообще легко заходит. Я мне сейчас вообще все уколы в плечи делают. То есть я прихожу, я, короче, на я же к детям езжу постоянно, почти каждый день. Вот. И а там бывшая жена. Вот я говорю: &amp;quot;Аня, слушай, пожалуйста, можешь меня уколоть?&amp;quot; И она колет. И вот я как к детям съездил, так и укололся. &amp;gt;&amp;gt; Ну задницу боишься ей, да, светить. &amp;gt;&amp;gt; А &amp;gt;&amp;gt; поэтому поэтому только плите показываешь. &amp;gt;&amp;gt; Не, на заднице. Я когда вот в клинике ещё работал, вот мы делали в заднице, и там что-то уже столько фиброзов, очагов было, что я &amp;gt;&amp;gt; такая же [ __ ] А просто, знаешь, я уже ставишь и даже такой хрустик такой лёгенький уже ощущается такой, знаешь, пацаны, кто знает в теме такой х такой раз такой, бля, поставил. Нет. Ага, вроде бы, блин, ну масло инсулинкой, потому что такие объём...</t>
  </si>
  <si>
    <t>http://www.youtube.com/watch?v=X6Npv1UnVgA</t>
  </si>
  <si>
    <t>09.05.2026 13:38</t>
  </si>
  <si>
    <t>В январе 2026 с битрона я перешла на тибон. Приемы на ночь с магнием и пустырником наладили сон. А дневные приемы вызывали головокружение и частое мочеиспускание, перестала пить днем. Начались головные боли, муть, беспамятство. Врач назначила пикамилон и пентоксифиллин 2 раза в день, это помогло мне немного улучшить мозговую деятельность.
В конце апреле начала дневной прием Тироид рус. И именно он мне вернул трудоспособное состояние днем.
Также я заменила свои комплексные витамины на витамины Eva для женщин. Также пью железо, Вит д, омега 3 и многое другое по ситуации. Мне 41 лет, щитовидка своя, гипотериоз с 30 лет.</t>
  </si>
  <si>
    <t>http://vk.com/wall-50079856_1448915?reply=1449933</t>
  </si>
  <si>
    <t>09.05.2026 11:53</t>
  </si>
  <si>
    <t>Здравствуйте
Вероятнее всего развивается компрессионно -ишемическая нейропатия.
В таком случае рекомендуют проведение стимуляционной энмг нижних конечностей. Либо для начала узи области куда делали блокаду , для исключения гематом
Из медикаментозных методов лечения рекомендуют при отсутствии противопоказаний и аллергических реакций :
Дексаметазон вм утром
Вазонит- 600 мг в сутки. препарат для улучшения кровообращения в периферических нервах ( нервы конечностей)
Нейромидин 40 мг/суи- препарат для улучшения нервно-мышечной проводимости.
Если боли не купируются нпвс , рекомендуют в таком случае противоэпилептические ( габапентин , Прегабалин ) либо антидепрессанты ( дулоксетин , венлафаксин, амитриптилин) с противоболевым эффектом. Так как происходит нарушение регуляции болевой чувствительности.
Головной мозг начинает избыточно посылать патологические импульсы , которые генерируют боль. Чтобы эти импульсы оборвать и нужны эти препараты.</t>
  </si>
  <si>
    <t>https://sprosivracha.com/questions/4321477-bolit-stopa#a27631612</t>
  </si>
  <si>
    <t>09.05.2026 08:42</t>
  </si>
  <si>
    <t>https://www.facebook.com/4341714079382308</t>
  </si>
  <si>
    <t>09.05.2026 07:17</t>
  </si>
  <si>
    <t>Гость Врач диагностировал уменя болезнь Шамберга.Назначила лечение крем Акридерм ГК,утром ивечером наносить на ноги,14дней.Табл.Никсар 20мг,один раз в день,Пентоксифилин300мг табл один раз в день.Мне помогло лечение.Сосудистые пятна ушли.
Здравствуйте. Пятна больше не появлялись? Я 27 лет с такими пятнами живу.</t>
  </si>
  <si>
    <t>https://www.woman.ru/health/medley7/thread/4982316/2/#m103883691</t>
  </si>
  <si>
    <t>09.05.2026 06:34</t>
  </si>
  <si>
    <t>https://www.facebook.com/27014442684856550</t>
  </si>
  <si>
    <t>Магаданская</t>
  </si>
  <si>
    <t>09.05.2026 04:20</t>
  </si>
  <si>
    <t>В 2000х пила анаприлин прописывали при подъёме АД и тахе, глицин.
В 2013 г - кололи мексидол, пила таблы трентал, уколы Мильгаммы, валерьянка, пустырник, глицин, физио процедуры на ШОП(быстро ввлезла тогда).</t>
  </si>
  <si>
    <t>https://telegram.me/menyanakrilo/1440026</t>
  </si>
  <si>
    <t>https://telegram.me/nastyadushk</t>
  </si>
  <si>
    <t>https://telegram.me/menyanakrilo</t>
  </si>
  <si>
    <t>09.05.2026 01:13</t>
  </si>
  <si>
    <t>https://www.facebook.com/3146579549063808</t>
  </si>
  <si>
    <t>09.05.2026 01:12</t>
  </si>
  <si>
    <t>https://www.facebook.com/4270782516505552</t>
  </si>
  <si>
    <t>09.05.2026 01:00</t>
  </si>
  <si>
    <t>Ось де мудра рекомендація...
Почему после 60 лет. болят все суставы и ухудшается их подвижность?
«В 20 лет мы думаем, что тело вечно. В 40 — договариваемся с ним. В 60 — выясняется, что организм всю жизнь вёл свой дневник и теперь предъявляет счёт».
— Из приёма у невролога
Помните, как в юности можно было спать на голом полу, утром встать и побежать? А сейчас вы спите на ортопедическом матрасе с подушкой под шеей, просыпаетесь — и вас будто кто-то отбивал в мясном цехе всю ночь.
Шея не поворачивается. Поясница простреливает. Пальцы рук немеют, кисти затекают. Ноги после получаса сидения «отключаются», надо разминаться минуты три, прежде чем пойти. А после того как помогли даче перетащить пару ящиков — на следующий день лежишь пластом и не понимаешь, каким чудом раньше таскал эти же ящики без подготовки.
И самый главный вопрос, который мучает всех после пятидесяти, а особенно после шестидесяти: «Раньше такого не было! Что со мной происходит?»
Давайте разбираться. Спойлер: вы не сломались. Вы просто вошли в возраст, когда три процесса — саркопения, остеохондроз и остеопороз — наконец встретились и подружились. А началось всё с тихого убийцы, которого вы даже не замечаете.
Часть 1. Начало конца: микроциркуляция.
Тихий убийца, с которого всё началось.
В 25 лет кровь бежит по капиллярам как горная река. Позвоночник получает питание, мышцы — кислород, суставы — смазку. Вы этого не замечаете — так и должно быть.
К 50–60 годам сосуды теряют эластичность. Холестериновые бляшки, возрастные изменения стенок, многолетнее сидение — капилляры сужаются, некоторые закрываются совсем. Кровоток замедляется. Организм переходит в режим экономии.
Как это ощущается:
· Утром после сна пальцы рук «деревянные», надо растирать минуты три-пять.
· После получаса сидения ноги затекают так, что начинаешь ковылять, как пингвин.
· Ноги холодеют быстрее, чем всё тело — даже летом надеваете носки покрепче, а на даче греете их у печки.
Это всё ОНА, родимая — нарушенная микроциркуляция. Медленный кровоток → ткани голодают → сначала страдают самые удалённые участки (пальцы, кисти, стопы), а потом и всё остальное.
А потом запускается трио убийц.
Часть 2. Триединство старости.
САРКОПЕНИЯ — мышцы уходят в тишине.
Саркопения — это возрастная потеря мышечной массы. После 40 лет человек теряет 1–2% мышц в год. После 60 — ещё быстрее.
Без мышц позвоночник и суставы остаются без корсета. Каждый ваш шаг, каждый поворот головы — теперь удар по костям и хрящам, потому что мышечный амортизатор изношен.
Как это ощущается:
· Стало тяжелее подниматься по лестнице. Нет, лифт не сломался — это ноги уже не те.
· Сумку из магазина до дома донести — целая экспедиция.
· После обычной прогулки — болят колени и тазобедренные суставы. Раньше ходил полтора часа — и хоть бы что, сейчас с трудом добираешь до скамейки через полчаса.
Чем это грозит дальше: истощение мышц → позвоночник остаётся без поддержки → нагрузка на межпозвонковые диски и суставы растёт в геометрической прогрессии. Дальше по цепочке: остеохондроз.
ОСТЕОХОНДРОЗ — межпозвоночные диски усыхают.
Остеохондроз — это усыхание. Межпозвонковый диск на 80% состоит из воды. С годами он теряет влагу, становится плоским, жестким, перестаёт амортизировать .
Позвонки начинают тереться друг о друга. Края костей разрастаются (это остеофиты — костяные шипы), сдавливают нервы и сосуды .
Как это ощущается:
· Утром проснулись — шея не поворачивается. «Проклятая подушка!» — Подушка ни при чём. Это шейный остеохондроз .
· После дня на даче — поясницу «скрутило», разогнуться не могу. Это поясничный остеохондроз .
· Тянет ногу или руку, пальцы немеют — это диск защемил нервный корешок.
· Хруст в шее при поворотах, щелчки в пояснице.
Парадокс остеохондроза, о котором молчат врачи
Вот что интересно: остеохондроз — это нормальное старение. К 60 годам изменения в дисках есть у всех . И удивительно не то, что у вас болит спина. Удивительно, если бы она не болела.
Но большинство болей — не от самих дисков. Болит от того, что мышцы ослабли (саркопения), суставы износились, а нервные корешки зажаты. И ещё от того, что вы начали жалеть себя, меньше двигаться — и всё закрутилось по спирали вниз .
ОСТЕОПОРОЗ — кости становятся стеклянными.
Если остеохондроз — это усыхание дисков, то остеопороз — это вымывание кальция из костей .
Представьте, что кость — это бетонная стена. В молодости она армирована, прочная. При остеопорозе арматура исчезает, остаётся один хрупкий бетон. Резко повернулись, неловко упали — и перелом. У пожилых перелом шейки бедра или компрессионный перелом позвоночника случается «на ровном месте» .
Как это ощущается:
· Уменьшился рост. Были 170 — стали 168? Это осели позвонки.
· Спина сутулится, появился «вдовий горб».
· Кости «ноют» без видимой причины особенно в сырую погоду.
· Раньше упадёшь — ничего, сейчас упал — уже месяц восстанавливаешься.
Часть 3. Круг замыкается
Теперь сложите три разрушительных процесса:
1. Сосуды не доставляют питание.
2. Мышцы слабеют и перестают держать корсет.
3. Диски усыхают, кости становятся хрупкими.
Круг замкнулся. Это и есть старение опорно-двигательного аппарата. И теперь понятно, почему «раньше такого не было»:
В 50 лет вы ещё живёте на остаточном ресурсе сосудов и мышц.
В 60 лет вы пересели на донышко бочки.
В 70+ живёте на том, что удалось сохранить.
Ничего личного — только биология .
Часть 4. Почему немеют пальцы и затекают ноги.
Теперь к частым вопросам, которые вы задаёте.
«Почему после сна у меня немеют кисти рук?»
Вы спите с согнутыми локтями или с запрокинутой головой. В сонной позе сосуды пережимаются, нервы забиваются, кровоток замедляется. Утром нужно время, чтобы всё «включилось» опять.
Плюс шейный остеохондроз. Если диск в шее просел и защемил сосуд или нерв, идущий к руке — онемение и «мурашки» в пальцах будут появляться всё чаще .
«Почему затекают ноги, когда сижу?»
Гравитация. Кровь застаивается в венах ног, отток затруднён — отсюда отёки, ощущение тяжести и одеревенение. Плюс, если изношены колени или тазобедренные суставы, кровообращение вокруг них нарушается дополнительно.
«Почему после физической нагрузки всё болит?»
Потому что вы перестали быть спортсменом в 30, а сейчас решили вспомнить молодость. Слабые мышцы, изношенные диски и суставы, замедленный кровоток — организм уже не восстанавливается за пару часов. Ему нужны дни и недели. Это не лень. Это биология.
Лечение должно быть, но не героическим:
· Без нагрузки в острый период — первые дни отдых, не надо геройствовать.
· Постепенное введение движения — когда боль утихла, начинаем по чуть-чуть. Ходьба, плавание, скандинавская ходьба, ЛФК.
· Без фанатизма — устали, заболело — остановились, отдохнули. Завтра попробуем снова, но чуть дольше.
· Лекарства только как поддержка — это не главное лечение. Главное — движение и терпение.
Часть 5. Что делать? Диагностика, лечение и прогноз
Как диагностировать
Не надо гадать на кофейной гуще. Вот список обследований, которые покажут вашу реальную картину:
Что проверить Как Что ищем
Кости и суставы Денситометрия, рентген, МРТ, КТ Остеопороз, артроз, грыжи, протрузии
Сосуды УЗИ сосудов конечностей и шеи Атеросклероз, замедление кровотока, бляшки в позвоночных артериях
Нервы ЭНМГ (электронейромиография) на руки и ноги Есть ли защемления корешков, страдает ли проведение импульса
Мышцы Биоимпеданс (анализ состава тела) Сколько мышц реально осталось, сколько жира и воды
Кальций и витамин D Анализ крови Кальций общий + ионизированный, витамин 25(OH)D
Гормоны ТТГ, тестостерон, эстрадиол Причины, почему кости и мышцы разрушаются быстрее
Как лечить?
Никакой магии. Вот реальная стратегия.
БАЗА (основная терапия на годы):
· Ходьба каждый день. 30–40 минут в спокойном темпе. Лучше скандинавские палки — они разгружают колени и включают плечевой пояс.
· ЛФК. Это не фитнес, а медицинская реабилитация. Врач подбирает именно ваши упражнения .
· Плавание или аквааэробика. Вода снимает нагрузку с позвоночника и суставов, при этом мышцы работают. Ищите группу «Золотой возраст».
· Ортопедический режим. Матрас, подушка, обувь, трость если нужно. Всё, что разгружает больные места.
ПИТАНИЕ:
· Белок. Мясо, рыба, яйца, творог, бобовые. Каждый день, а не по праздникам. Мышцы строятся из белка.
· Кальций. Творог, сыр, кунжут, рыба с костями (сардины), кальциевые добавки.
· Витамин D. С сентября по май — обязательно в каплях (дозу подбирает врач по анализу крови). Без него кальций не усваивается .
· Магний, цинк, витамины группы B — для нервов и сосудов.
ЛЕКАРСТВА:
Что Когда Как долго?
Обезболивающие (НПВП) Только при обострении, на короткий курс (3–7 дней) Эпизодически
Миорелаксанты Сильный мышечный спазм, коротким курсом (до 2 недель) Эпизодически
Хондропротекторы Спорно, но некоторые отмечают эффект. Курсами по 3–6 месяцев, раз в год Возможно, не ждите чуда
Препараты кальция + D При остеопорозе и высоком риске. Ежедневно, годами Долго, под контролем анализов
Сосудистые препараты Трентал, Актовегин, мексидол — улучшают микроциркуляцию. Курсами 2–4 недели, 1–2 раза в год По назначению врача
Витамины группы B Для нервной системы. Курсами 1–2 раза в год По назначению врача
Прогноз и когда нужна операция.
К сожалению, полностью остановить старение скелета нельзя . Но можно затормозить.
Хороший прогноз: вы будете ходить, обслуживать себя, радоваться жизни — если занимаетесь, лечитесь и не запускаете. Многие живут с остеохондрозом и артрозом десятилетиями, не чувствуя сильной боли .
Когда операция неизбежна:
· Грыжа диска, которая сдавливает спинной мозг — начинают отказывать ноги, нарушается контроль таза .
· Стеноз позвоночного канала — кости и связки перекрыли канал, ноги немеют, идти не можете.
· Перелом шейки бедра — здесь или эндопротез, или обездвиженность и печальный исход.
· Разрушенный коленный или тазобедренный сустав — артроз 4 стадии. Тогда ходить не можете вообще, боль невыносимая.
Замена сустава (эндопротезирование) давно не эксперимент, это рутина. После операции, через 2–3 месяца реабилитации, вы ходите без боли, забыв, что когда-то мучились. Не бойтесь — современные эндопротезы служат 15–20 лет. Лучше с новым суставом, чем без ног.
Итог: что делать прямо сейчас
1. Примите факт. Вы стареете, организм меняется — это норма, а не болезнь.
2. Проверьте сосуды. УЗИ, липидный профиль, ферритин, витамин D. Тихий убийца должен быть выявлен.
3. Начните ходить. Каждый день. Лучше с палками. Лучше в парке.
4. Лечите зубы и желудок. Без этого кости не усваивают кальций.
5. Ешьте белок и пейте воду. Без них мышцы превращаются в желе.
6. Спите на правильной подушке и матрасе. Не жалейте денег на здоровый сон.
7. Найдите врача, который ведёт вас годами. Не «лечит обострение», а сопровождает старение. Невролог + терапевт + врач ЛФК.
И помните: возраст — не приговор. Если вы в 70 ходите в парк каждый день, делаете зарядку, плаваете, правильно питаетесь — вы в лучшей форме, чем сосед в 50, который лежит на диване и жалуется на жизнь.
Движение — жизнь. Но с умом, без надрыва, без «через не могу». И тогда ваши кости, мышцы и сосуды прослужат вам долго и без лишних сюрпризов.
P.S. А онемение в пальцах, затекание в ногах и боль по утрам — это ваша охранная сигнализация. Не глушите её обезболивающими. Найдите причину. Часто достаточно начать двигаться, сменить подушку и попить витамины, чтобы утро перестало быть пыткой.</t>
  </si>
  <si>
    <t>https://www.facebook.com/2177791156342271</t>
  </si>
  <si>
    <t>Винницкая</t>
  </si>
  <si>
    <t>09.05.2026 00:50</t>
  </si>
  <si>
    <t>Здравствуйте. Помогите пожалуйста с такой ситуацией.
Делала МРТ, поставили стеноз позвоночного канала тяжёлой степени с грыжей.
Пошла к невропатологу по месту жительства, так как стала болеть спина и ноги, сильнее чем обычно, он назначил дексалгин на 5 дней, но мне не легче стало, открыл мне больничный на 6 дней, я пришла на повторный прием с жалобами теми же, невропатолог такое ощущение слышать не хочет, закрывает больничный, типо нет у меня жалоб, но при этом назначает докалывать Дексалгин который мне не помогает.
И вот с болевым синдромом, и без как такового лечения я хожу на работу.
Посоветуйте куда обратиться или какое лечение можно будет ещё попробовать.
До этого капала Пентоксифиллин, пью обезболивающее (разные, какие есть все наверное перепробовала), ЛФК делаю.
Фото прилагаю.</t>
  </si>
  <si>
    <t xml:space="preserve">Тексты с изображений_x000d_
протокол на мр—сканах поясничного отдела позвоночника взвешенных по t1, t2 ис жироподавлением исследованы сегменты: th12s4 частично визуализировано тело th11 позвонка смещение позвонков не выявлено аномалий развития не выявлено признаков спондилолиза: не выявлено лордоз поясничного отдела позвоночника сглажен ось позвоночника отклонена влево дегенеративные изменения тел позвонков: определяются мелкие краевые остео фиты дегенеративные изменения дисков высота гидратация межпозвонковых дисков снижена 8 l1.l2 шакже oo этом сегменте определяется задняя ме дианная парамедианная корешковая слева протрузия до 7*0 mm спинно" mo зговой канал на этом уровне сужен до g mm корешки не дифференцируются, цереброспинальная жидкость не видна дорсально виден эпидуральный жир shizas степень с 8 сравнении с исследованием от 12 04 2024 года без динамики дугоотросчатые суставы не изменены связки без особенностей видимые мягкие ткани: определяется небольшое количество свободной жи#кости 8 позадиматочном пространстве заключение: мр—признаки дистрофических изменений поясничного отдела позвоночник@ 21 степени с грыжей диска и стенозом позвоночного канала тяжелой степени врач 7*кондратьева ha заключение алл4ся охончет ельномы ш(агнозом поттино оыль hntepbujtk/pollio ло*ктол врих(ом совскупности@с ктинуко ректгуютого 4р грилдан роосжасе@й п2оорглорными танидьий (согласко федеральному #1юну №323 633 of el кqб осноеах о8ср)инны здорока? сослеловлниту выланные изоорженнами неоохоривло сохранить и предостав ить пра поеторных при поегорных заключення шленкисс тричу ректекологу 8 непосредственно печашему ipsty @ла оценти динамоса_x000d_
8201f906 s 240_x000d_
2ei41p908 s 240 88_x000d_
десдряс s 240_x000d_
</t>
  </si>
  <si>
    <t>http://vk.com/wall199272441_9678</t>
  </si>
  <si>
    <t>09.05.2026 00:34</t>
  </si>
  <si>
    <t>https://www.facebook.com/27566638152939792</t>
  </si>
  <si>
    <t>09.05.2026 00:29</t>
  </si>
  <si>
    <t>Диклоберил, комплекс витамина "В", Трентал+Натрий хлор внутри венно, Л-Лизин +натрий хлор, внутри венно,
Таблетки: Мелбек, Каделта Тотал, Терафлекс,
Магнитная и парафиновая физиотерапия и гимнастика</t>
  </si>
  <si>
    <t>http://www.youtube.com/watch?v=o9t1cO2VPRM&amp;lc=Ugz4qbEtp9pjROn9SrJ4AaABAg.AWYzBmxiyJdAWZ-NeDfiXe</t>
  </si>
  <si>
    <t>08.05.2026 23:20</t>
  </si>
  <si>
    <t>Почему после 60 лет. болят все суставы и ухудшается их подвижность? «В 20 лет мы думаем, что тело вечно. В 40 — договариваемся с ним. В 60 — выясняется, что организм всю жизнь вёл свой дневник и теперь предъявляет счёт».</t>
  </si>
  <si>
    <t>http://ok.ru/profile/575282624141/statuses/158752479219853</t>
  </si>
  <si>
    <t>08.05.2026 22:54</t>
  </si>
  <si>
    <t>https://www.facebook.com/2458026427963145</t>
  </si>
  <si>
    <t>Харьковская</t>
  </si>
  <si>
    <t>08.05.2026 21:59</t>
  </si>
  <si>
    <t>https://www.facebook.com/3319448958233909</t>
  </si>
  <si>
    <t>08.05.2026 21:37</t>
  </si>
  <si>
    <t>Добрый день.
1. Нет никаких корреляций картины МРТ с тяжестью клинических симптомов . Например, небольшая грыжа с у меренным стенозом может вызывать тяжелую радикулопатию с выпадением неврологических функций и наоборот -тяжелый комбинированный стеноз может не сопровождаться неврологической симптоматикой.
2. Если доктор вас смотрел неврологически ,вероятно , он не нашел существенных выпадений .Если не смотрел -обязательно нужно оценивать клинически и динамику. Данные неврологичесокго статуса были бы более полезны чем описание МРТ ,в данном вопросе.
3. По терапии . НПВС применяются в остром болевом синдроме . Противоболевая терапия -мера не столь длительная. Если боль хроническая-меры иные, адъюванты. Пентоксифиллин и прочее, исторически применялись,но без пользы. Важно правильно разобраться в причинах болей. Поставить диагноз (заключение мрт не является таковым). После чего можно речь вести лечебных мероприятиях. Как правило ,требуется соблюдение ортопедического режима, занятия ЛФК, реабилитация,минимум препаратов.Вам нужен грамотный невролог.</t>
  </si>
  <si>
    <t>http://vk.com/wall-119027_522632?reply=522647</t>
  </si>
  <si>
    <t>08.05.2026 20:00</t>
  </si>
  <si>
    <t xml:space="preserve">Тексты с изображений_x000d_
протокол на мр—сканах поясничного отдела позвоночника взвешенных по t1, t2 ис жироподавлением исследованы сегменты: th12s4 частично визуализировано тело th11 позвонка смещение позвонков не выявлено аномалий развития не выявлено признаков спондилолиза: не выявлено лордоз поясничного отдела позвоночника сглажен ось позвоночника отклонена влево дегенеративные изменения тел позвонков: определяются мелкие краевые остео фиты дегенеративные изменения дисков высота гидратация межпозвонковых дисков снижена 8 l1.l2 шакже oo этом сегменте определяется задняя ме дианная парамедианная корешковая слева протрузия до 7*0 mm спинно" mo зговой канал на этом уровне сужен до g mm корешки не дифференцируются, цереброспинальная жидкость не видна дорсально виден эпидуральный жир shizas степень с 8 сравнении с исследованием от 12 04 2024 года без динамики дугоотросчатые суставы не изменены связки без особенностей видимые мягкие ткани: определяется небольшое количество свободной жи#кости 8 позадиматочном пространстве заключение: мр—признаки дистрофических изменений поясничного отдела позвоночник@ 21 степени с грыжей диска и стенозом позвоночного канала тяжелой степени врач 7*кондратьева ha заключение алл4ся охончет ельномы ш(агнозом поттино оыль hntepbujtk/pollio ло*ктол врих(ом совскупности@с ктинуко ректгуютого 4р грилдан роосжасе@й п2оорглорными танидьий (согласко федеральному #1юну №323 633 of el кqб осноеах о8ср)инны здорока? сослеловлниту выланные изоорженнами неоохоривло сохранить и предостав ить пра поеторных при поегорных заключення шленкисс тричу ректекологу 8 непосредственно печашему ipsty @ла оценти динамоса_x000d_
8201f906 s 240_x000d_
2ei41p908 s 240 88_x000d_
</t>
  </si>
  <si>
    <t>http://vk.com/wall-119027_522632</t>
  </si>
  <si>
    <t>08.05.2026 19:34</t>
  </si>
  <si>
    <t>Когда в аптечке Элениум. Реланиум. Пентоксефилин и Тарен что внук привез из армии</t>
  </si>
  <si>
    <t>http://vk.com/wall-58175895_907?reply=3145</t>
  </si>
  <si>
    <t>08.05.2026 19:06</t>
  </si>
  <si>
    <t>Мб тадалафил и/или пентоксифиллин + снимается на пампе</t>
  </si>
  <si>
    <t>http://www.youtube.com/watch?v=38rDcd9Cj48&amp;lc=UgxUxWNjIW8FkCat2GV4AaABAg.AWYNyNPzw8RAWYOlF0SPw3</t>
  </si>
  <si>
    <t>08.05.2026 18:42</t>
  </si>
  <si>
    <t>https://www.facebook.com/3697546320401997</t>
  </si>
  <si>
    <t>08.05.2026 18:14</t>
  </si>
  <si>
    <t>Уважаемый Антон Вячеславович, доброго дня! Вчера выписали из неврологии в гос. клинике, делали капельницы дексы, пентоксифилина, магнит, лазер , токи и иглоукадвания, мануал. терапия - через 2 недели началось облегчение ,а после резкое обострение - прострел в пояснице , там с болью в пояснице меня и выписали. Пошел сделал паравертебрал блокаду в кпс и l4 l5. Невролог который делал , смотрел мой МРТ и сказал у что у него тоже Б. Бехтерева и ему помогает только лфк и жёсткий аутоимунный протокол - диета. Чтобы выйти в ремиссию он принимал метотрексат. Доктор подтвердил Ваше мнение что у меня ревмотология это основное , а на фоне неврология. Так же я обратился к ревматологу , он смотрел диск и анализы , так же говорит что у меня аксиальный спондилоартрит. Советует метотрексат и генную инженерию. Вопрос - если у меня ревмотолгия , почему тогда стреляет током в пояснице и от боли не сплю по ночам ? Есть ли смысл повторять блокады ? А можно узнать Ваше мнение о АУТОИМУННОМ ПРОТОКОЛЕ при ревмотологии ? Может помочь или это не доказано ? Спасибо за ответ ! С надеждой , Евгений</t>
  </si>
  <si>
    <t>https://telegram.me/epifanovnews1/102443</t>
  </si>
  <si>
    <t>https://telegram.me/udzhin80</t>
  </si>
  <si>
    <t>https://telegram.me/epifanovnews1</t>
  </si>
  <si>
    <t>08.05.2026 18:07</t>
  </si>
  <si>
    <t>https://www.facebook.com/2855744877929588</t>
  </si>
  <si>
    <t>Житомирская</t>
  </si>
  <si>
    <t>08.05.2026 17:21</t>
  </si>
  <si>
    <t>Пентоксифиллин не повышает уровень гемоглобина.
Повышение гемоглобина все таки имеет стойкий характер, поэтому консультация гематолога и дообследования показаны.
До визита к гематологу можно обсудить с терапевтом назначение низких доз ацетилсалициловой кислоты, для улучшения текучести крови, и обязательно увеличить питьевой режим и поддерживать его постоянно.</t>
  </si>
  <si>
    <t>https://sprosivracha.com/questions/4318945-povyshennyy-gemoglobin-u-muzhchiny#a27620042</t>
  </si>
  <si>
    <t>08.05.2026 17:17</t>
  </si>
  <si>
    <t>Екатерина Александровна, В начале февраля был 168. Но был немного высокий холестерин и он назначил мне пентоксифиллин и розувастатин
И в конце марта начале апреля был 190. На следующий день, попил воды как следует - 180.</t>
  </si>
  <si>
    <t>https://sprosivracha.com/questions/4318945-povyshennyy-gemoglobin-u-muzhchiny#a27619995</t>
  </si>
  <si>
    <t>08.05.2026 17:10</t>
  </si>
  <si>
    <t>Екатерина Александровна, да , была динамика , падал гемоглобин , держал диету, без белка , но он начал пентоксифилин пить , может на фоне него опять повышаться показатели ?</t>
  </si>
  <si>
    <t>https://sprosivracha.com/questions/4318945-povyshennyy-gemoglobin-u-muzhchiny#a27619924</t>
  </si>
  <si>
    <t>08.05.2026 17:07</t>
  </si>
  <si>
    <t>У меня осенью из-за сильнейших болей головы (4 суток подряд ), повредился лицевой нерв справа (глаз не закрывался, рот кривой, жевать проблема, в общем перекосило), к врачу неврологу попал только через месяц после случившегося (Запись такая, всегда много, и сложно, ещё и через терапевта сначала нужно , потом уж терапевт даст добро на невролога, в общем проще сдохнуть сразу). Невролог посмотрела и назначила Трентал, Пентоксифиллин и дали бумажку с упражнениями всякими: тренировать говорить перед зеркалом всякие штуки, звуки, слова и пр.). Я поделал маленько и забросил эту бумажку. Сейчас глаз вроде выправился , закрывается и открывается норм, но при жевании пищи немного закрывается. А вот рот немного остался кривоват что ли. Ну так сам сейчас лицо растираю, иногда, упражнения всякие делаю. В общем на медицину и каких то врачей надеяться не стоит. Лучше заниматься своим телом и здоровьем самому. И прямо сейчас начинать.</t>
  </si>
  <si>
    <t>http://vk.com/wall-211243521_27268?reply=27379</t>
  </si>
  <si>
    <t>08.05.2026 16:59</t>
  </si>
  <si>
    <t>Вам нужно определить причину болей. Начните с эндокринолога, у вас же СД2. А он вас направит к специалистам. Если это из-за проблем с сосудами, можно трентал попить для улучшения микроциркуляции крови</t>
  </si>
  <si>
    <t>http://vk.com/wall-197092538_142634?reply=142635</t>
  </si>
  <si>
    <t>Мурманская</t>
  </si>
  <si>
    <t>08.05.2026 16:51</t>
  </si>
  <si>
    <t>http://vk.com/wall193966433_137488</t>
  </si>
  <si>
    <t>Карелия</t>
  </si>
  <si>
    <t>08.05.2026 16:50</t>
  </si>
  <si>
    <t>https://www.facebook.com/26283595121337074</t>
  </si>
  <si>
    <t>08.05.2026 16:42</t>
  </si>
  <si>
    <t>https://www.facebook.com/100005165671504/posts/3368594746656015</t>
  </si>
  <si>
    <t>Днепропетровская</t>
  </si>
  <si>
    <t>08.05.2026 16:33</t>
  </si>
  <si>
    <t>Попробуй те трентал попить для улучшения кровообращения</t>
  </si>
  <si>
    <t>http://vk.com/wall-88570414_284324?reply=284368</t>
  </si>
  <si>
    <t>08.05.2026 16:29</t>
  </si>
  <si>
    <t>Проверьте сосуды, у меня тоже немели ноги, сделала узи сосудов, и вен, назначали трентал в комплексной терапии для улучшения кровообращения</t>
  </si>
  <si>
    <t>https://forum.baby.ru/blogs/post/2635337922-2574673918/#comment2635344570</t>
  </si>
  <si>
    <t>Ивановская</t>
  </si>
  <si>
    <t>08.05.2026 16:24</t>
  </si>
  <si>
    <t>При атеросклерозе сосудов отцу назначали трентал для улучшения кровообращения и пил он его масяца три наверное.</t>
  </si>
  <si>
    <t>https://dzen.ru/a/afxgP1U4_3gzMjJM?comment-request=1#comment_3295704034</t>
  </si>
  <si>
    <t>08.05.2026 15:42</t>
  </si>
  <si>
    <t>Доктор, вот мне капали пентоксифиллин в больнице, это реально помогает или тоже ерунда. Просто побочки были.</t>
  </si>
  <si>
    <t>https://dzen.ru/a/afpTufrI7SJ8oO1G?comment-request=1#comment_3295641134</t>
  </si>
  <si>
    <t>08.05.2026 15:26</t>
  </si>
  <si>
    <t>https://www.facebook.com/1663207778201819</t>
  </si>
  <si>
    <t>08.05.2026 15:18</t>
  </si>
  <si>
    <t>https://www.facebook.com/3986936568116634</t>
  </si>
  <si>
    <t>08.05.2026 15:11</t>
  </si>
  <si>
    <t>Жизнь в Руанде, Вазонит, он же пентоксифиллин,он же Трентал.
Перед применением внимательно прочтите инструкцию,т.к. много условий по его ограничению. Должно быть четкое показание, отсутствовать противопоказания,а также внимательно ознакомиться с разделом по взаимодействию с другими препаратами.</t>
  </si>
  <si>
    <t>https://dzen.ru/a/afoO8zFnET4Ieus_?comment-request=1#comment_3295589724</t>
  </si>
  <si>
    <t>Вазонит, Пентоксифиллин, Трентал</t>
  </si>
  <si>
    <t>08.05.2026 12:37</t>
  </si>
  <si>
    <t>Толковая статья...
Почему после 60 лет. болят все суставы и ухудшается их подвижность?
«В 20 лет мы думаем, что тело вечно. В 40 — договариваемся с ним. В 60 — выясняется, что организм всю жизнь вёл свой дневник и теперь предъявляет счёт».
— Из приёма у невролога
Помните, как в юности можно было спать на голом полу, утром встать и побежать? А сейчас вы спите на ортопедическом матрасе с подушкой под шеей, просыпаетесь — и вас будто кто-то отбивал в мясном цехе всю ночь.
Шея не поворачивается. Поясница простреливает. Пальцы рук немеют, кисти затекают. Ноги после получаса сидения «отключаются», надо разминаться минуты три, прежде чем пойти. А после того как помогли даче перетащить пару ящиков — на следующий день лежишь пластом и не понимаешь, каким чудом раньше таскал эти же ящики без подготовки.
И самый главный вопрос, который мучает всех после пятидесяти, а особенно после шестидесяти: «Раньше такого не было! Что со мной происходит?»
Давайте разбираться. Спойлер: вы не сломались. Вы просто вошли в возраст, когда три процесса — саркопения, остеохондроз и остеопороз — наконец встретились и подружились. А началось всё с тихого убийцы, которого вы даже не замечаете.
Часть 1. Начало конца: микроциркуляция.
Тихий убийца, с которого всё началось.
В 25 лет кровь бежит по капиллярам как горная река. Позвоночник получает питание, мышцы — кислород, суставы — смазку. Вы этого не замечаете — так и должно быть.
К 50–60 годам сосуды теряют эластичность. Холестериновые бляшки, возрастные изменения стенок, многолетнее сидение — капилляры сужаются, некоторые закрываются совсем. Кровоток замедляется. Организм переходит в режим экономии.
Как это ощущается:
· Утром после сна пальцы рук «деревянные», надо растирать минуты три-пять.
· После получаса сидения ноги затекают так, что начинаешь ковылять, как пингвин.
· Ноги холодеют быстрее, чем всё тело — даже летом надеваете носки покрепче, а на даче греете их у печки.
Это всё ОНА, родимая — нарушенная микроциркуляция. Медленный кровоток → ткани голодают → сначала страдают самые удалённые участки (пальцы, кисти, стопы), а потом и всё остальное.
А потом запускается трио убийц.
Часть 2. Триединство старости.
САРКОПЕНИЯ — мышцы уходят в тишине.
Саркопения — это возрастная потеря мышечной массы. После 40 лет человек теряет 1–2% мышц в год. После 60 — ещё быстрее.
Без мышц позвоночник и суставы остаются без корсета. Каждый ваш шаг, каждый поворот головы — теперь удар по костям и хрящам, потому что мышечный амортизатор изношен.
Как это ощущается:
· Стало тяжелее подниматься по лестнице. Нет, лифт не сломался — это ноги уже не те.
· Сумку из магазина до дома донести — целая экспедиция.
· После обычной прогулки — болят колени и тазобедренные суставы. Раньше ходил полтора часа — и хоть бы что, сейчас с трудом добираешь до скамейки через полчаса.
Чем это грозит дальше: истощение мышц → позвоночник остаётся без поддержки → нагрузка на межпозвонковые диски и суставы растёт в геометрической прогрессии. Дальше по цепочке: остеохондроз.
ОСТЕОХОНДРОЗ — межпозвоночные диски усыхают.
Остеохондроз — это усыхание. Межпозвонковый диск на 80% состоит из воды. С годами он теряет влагу, становится плоским, жестким, перестаёт амортизировать .
Позвонки начинают тереться друг о друга. Края костей разрастаются (это остеофиты — костяные шипы), сдавливают нервы и сосуды .
Как это ощущается:
· Утром проснулись — шея не поворачивается. «Проклятая подушка!» — Подушка ни при чём. Это шейный остеохондроз .
· После дня на даче — поясницу «скрутило», разогнуться не могу. Это поясничный остеохондроз .
· Тянет ногу или руку, пальцы немеют — это диск защемил нервный корешок.
· Хруст в шее при поворотах, щелчки в пояснице.
Парадокс остеохондроза, о котором молчат врачи
Вот что интересно: остеохондроз — это нормальное старение. К 60 годам изменения в дисках есть у всех . И удивительно не то, что у вас болит спина. Удивительно, если бы она не болела.
Но большинство болей — не от самих дисков. Болит от того, что мышцы ослабли (саркопения), суставы износились, а нервные корешки зажаты. И ещё от того, что вы начали жалеть себя, меньше двигаться — и всё закрутилось по спирали вниз .
ОСТЕОПОРОЗ — кости становятся стеклянными.
Если остеохондроз — это усыхание дисков, то остеопороз — это вымывание кальция из костей .
Представьте, что кость — это бетонная стена. В молодости она армирована, прочная. При остеопорозе арматура исчезает, остаётся один хрупкий бетон. Резко повернулись, неловко упали — и перелом. У пожилых перелом шейки бедра или компрессионный перелом позвоночника случается «на ровном месте» .
Как это ощущается:
· Уменьшился рост. Были 170 — стали 168? Это осели позвонки.
· Спина сутулится, появился «вдовий горб».
· Кости «ноют» без видимой причины особенно в сырую погоду.
· Раньше упадёшь — ничего, сейчас упал — уже месяц восстанавливаешься.
Часть 3. Круг замыкается
Теперь сложите три разрушительных процесса:
1. Сосуды не доставляют питание.
2. Мышцы слабеют и перестают держать корсет.
3. Диски усыхают, кости становятся хрупкими.
Круг замкнулся. Это и есть старение опорно-двигательного аппарата. И теперь понятно, почему «раньше такого не было»:
В 50 лет вы ещё живёте на остаточном ресурсе сосудов и мышц.
В 60 лет вы пересели на донышко бочки.
В 70+ живёте на том, что удалось сохранить.
Ничего личного — только биология .
Часть 4. Почему немеют пальцы и затекают ноги.
Теперь к частым вопросам, которые вы задаёте.
«Почему после сна у меня немеют кисти рук?»
Вы спите с согнутыми локтями или с запрокинутой головой. В сонной позе сосуды пережимаются, нервы забиваются, кровоток замедляется. Утром нужно время, чтобы всё «включилось» опять.
Плюс шейный остеохондроз. Если диск в шее просел и защемил сосуд или нерв, идущий к руке — онемение и «мурашки» в пальцах будут появляться всё чаще .
«Почему затекают ноги, когда сижу?»
Гравитация. Кровь застаивается в венах ног, отток затруднён — отсюда отёки, ощущение тяжести и одеревенение. Плюс, если изношены колени или тазобедренные суставы, кровообращение вокруг них нарушается дополнительно.
«Почему после физической нагрузки всё болит?»
Потому что вы перестали быть спортсменом в 30, а сейчас решили вспомнить молодость. Слабые мышцы, изношенные диски и суставы, замедленный кровоток — организм уже не восстанавливается за пару часов. Ему нужны дни и недели. Это не лень. Это биология.
Лечение должно быть, но не героическим:
· Без нагрузки в острый период — первые дни отдых, не надо геройствовать.
· Постепенное введение движения — когда боль утихла, начинаем по чуть-чуть. Ходьба, плавание, скандинавская ходьба, ЛФК.
· Без фанатизма — устали, заболело — остановились, отдохнули. Завтра попробуем снова, но чуть дольше.
· Лекарства только как поддержка — это не главное лечение. Главное — движение и терпение.
Часть 5. Что делать? Диагностика, лечение и прогноз
Как диагностировать
Не надо гадать на кофейной гуще. Вот список обследований, которые покажут вашу реальную картину:
Что проверить Как Что ищем
Кости и суставы Денситометрия, рентген, МРТ, КТ Остеопороз, артроз, грыжи, протрузии
Сосуды УЗИ сосудов конечностей и шеи Атеросклероз, замедление кровотока, бляшки в позвоночных артериях
Нервы ЭНМГ (электронейромиография) на руки и ноги Есть ли защемления корешков, страдает ли проведение импульса
Мышцы Биоимпеданс (анализ состава тела) Сколько мышц реально осталось, сколько жира и воды
Кальций и витамин D Анализ крови Кальций общий + ионизированный, витамин 25(OH)D
Гормоны ТТГ, тестостерон, эстрадиол Причины, почему кости и мышцы разрушаются быстрее
Как лечить?
Никакой магии. Вот реальная стратегия.
БАЗА (основная терапия на годы):
· Ходьба каждый день. 30–40 минут в спокойном темпе. Лучше скандинавские палки — они разгружают колени и включают плечевой пояс.
· ЛФК. Это не фитнес, а медицинская реабилитация. Врач подбирает именно ваши упражнения .
· Плавание или аквааэробика. Вода снимает нагрузку с позвоночника и суставов, при этом мышцы работают. Ищите группу «Золотой возраст».
· Ортопедический режим. Матрас, подушка, обувь, трость если нужно. Всё, что разгружает больные места.
ПИТАНИЕ:
· Белок. Мясо, рыба, яйца, творог, бобовые. Каждый день, а не по праздникам. Мышцы строятся из белка.
· Кальций. Творог, сыр, кунжут, рыба с костями (сардины), кальциевые добавки.
· Витамин D. С сентября по май — обязательно в каплях (дозу подбирает врач по анализу крови). Без него кальций не усваивается .
· Магний, цинк, витамины группы B — для нервов и сосудов.
ЛЕКАРСТВА:
Что Когда Как долго?
Обезболивающие (НПВП) Только при обострении, на короткий курс (3–7 дней) Эпизодически
Миорелаксанты Сильный мышечный спазм, коротким курсом (до 2 недель) Эпизодически
Хондропротекторы Спорно, но некоторые отмечают эффект. Курсами по 3–6 месяцев, раз в год Возможно, не ждите чуда
Препараты кальция + D При остеопорозе и высоком риске. Ежедневно, годами Долго, под контролем анализов
Сосудистые препараты Трентал, Актовегин, мексидол — улучшают микроциркуляцию. Курсами 2–4 недели, 1–2 раза в год По назначению врача
Витамины группы B Для нервной системы. Курсами 1–2 раза в год По назначению врача
Прогноз и когда нужна операция.
К сожалению, полностью остановить старение скелета нельзя . Но можно затормозить.
Хороший прогноз: вы будете ходить, обслуживать себя, радоваться жизни — если занимаетесь, лечитесь и не запускаете. Многие живут с остеохондрозом и артрозом десятилетиями, не чувствуя сильной боли .
Когда операция неизбежна:
· Грыжа диска, которая сдавливает спинной мозг — начинают отказывать ноги, нарушается контроль таза .
· Стеноз позвоночного канала — кости и связки перекрыли канал, ноги немеют, идти не можете.
· Перелом шейки бедра — здесь или эндопротез, или обездвиженность и печальный исход.
· Разрушенный коленный или тазобедренный сустав — артроз 4 стадии. Тогда ходить не можете вообще, боль невыносимая.
Замена сустава (эндопротезирование) давно не эксперимент, это рутина. После операции, через 2–3 месяца реабилитации, вы ходите без боли, забыв, что когда-то мучились. Не бойтесь — современные эндопротезы служат 15–20 лет. Лучше с новым суставом, чем без ног.
Итог: что делать прямо сейчас
1. Примите факт. Вы стареете, организм меняется — это норма, а не болезнь.
2. Проверьте сосуды. УЗИ, липидный профиль, ферритин, витамин D. Тихий убийца должен быть выявлен.
3. Начните ходить. Каждый день. Лучше с палками. Лучше в парке.
4. Лечите зубы и желудок. Без этого кости не усваивают кальций.
5. Ешьте белок и пейте воду. Без них мышцы превращаются в желе.
6. Спите на правильной подушке и матрасе. Не жалейте денег на здоровый сон.
7. Найдите врача, который ведёт вас годами. Не «лечит обострение», а сопровождает старение. Невролог + терапевт + врач ЛФК.
И помните: возраст — не приговор. Если вы в 70 ходите в парк каждый день, делаете зарядку, плаваете, правильно питаетесь — вы в лучшей форме, чем сосед в 50, который лежит на диване и жалуется на жизнь.
Движение — жизнь. Но с умом, без надрыва, без «через не могу». И тогда ваши кости, мышцы и сосуды прослужат вам долго и без лишних сюрпризов.
P.S. А онемение в пальцах, затекание в ногах и боль по утрам — это ваша охранная сигнализация. Не глушите её обезболивающими. Найдите причину. Часто достаточно начать двигаться, сменить подушку и попить витамины, чтобы утро перестало быть пыткой.</t>
  </si>
  <si>
    <t>https://www.facebook.com/26660940306933794</t>
  </si>
  <si>
    <t>08.05.2026 12:29</t>
  </si>
  <si>
    <t>https://www.facebook.com/2304050573457643</t>
  </si>
  <si>
    <t>08.05.2026 10:25</t>
  </si>
  <si>
    <t>Почему после 60 болят все суставы и ухудшается их подвижность</t>
  </si>
  <si>
    <t>Почему после 60 болят все суставы и ухудшается их подвижность «В 20 лет мы думаем, что тело вечно. В 40 — договариваемся с ним. В 60 — выясняется, что организм всю жизнь вёл свой дневник и теперь предъявляет счёт». — Из приёма у невролога Помните, как в юности можно было спать на голом полу, утром встать и побежать? А сейчас вы спите на ортопедическом матрасе с подушкой под шеей, просыпаетесь — и вас будто кто-то отбивал в мясном цехе всю ночь. Шея не поворачивается. Поясница простреливает. Пальцы рук немеют, кисти затекают. Ноги после получаса сидения «отключаются», надо разминаться минуты три, прежде чем пойти. А после того как помогли даче перетащить пару ящиков — на следующий день лежишь пластом и не понимаешь, каким чудом раньше таскал эти же ящики без подготовки. И самый главный вопрос, который мучает всех после пятидесяти, а особенно после шестидесяти: «Раньше такого не было! Что со мной происходит?» Давайте разбираться. Спойлер: вы не сломались. Вы просто вошли в возраст, когда три процесса — саркопения, остеохондроз и остеопороз — наконец встретились и подружились. А началось всё с тихого убийцы, которого вы даже не замечаете. Часть 1. Начало конца: микроциркуляция Тихий убийца, с которого всё началось В 25 лет кровь бежит по капиллярам как горная река. Позвоночник получает питание, мышцы — кислород, суставы — смазку. Вы этого не замечаете — так и должно быть. К 50–60 годам сосуды теряют эластичность. Холестериновые бляшки, возрастные изменения стенок, многолетнее сидение — капилляры сужаются, некоторые закрываются совсем. Кровоток замедляется. Организм переходит в режим экономии. Как это ощущается: · Утром после сна пальцы рук «деревянные», надо растирать минуты три-пять. · После получаса сидения ноги затекают так, что начинаешь ковылять, как пингвин. · Ноги холодеют быстрее, чем всё тело — даже летом надеваете носки покрепче, а на даче греете их у печки. Это всё ОНА, родимая — нарушенная микроциркуляция. Медленный кровоток → ткани голодают → сначала страдают самые удалённые участки (пальцы, кисти, стопы), а потом и всё остальное. А потом запускается трио убийц. Часть 2. Триединство старости САРКОПЕНИЯ — мышцы уходят в тишине Саркопения — это возрастная потеря мышечной массы. После 40 лет человек теряет 1–2% мышц в год. После 60 — ещё быстрее. Без мышц позвоночник и суставы остаются без корсета. Каждый ваш шаг, каждый поворот головы — теперь удар по костям и хрящам, потому что мышечный амортизатор изношен. Как это ощущается: · Стало тяжелее подниматься по лестнице. Нет, лифт не сломался — это ноги уже не те. · Сумку из магазина до дома донести — целая экспедиция. · После обычной прогулки — болят колени и тазобедренные суставы. Раньше ходил полтора часа — и хоть бы что, сейчас с трудом добираешь до скамейки через полчаса. Чем это грозит дальше: истощение мышц → позвоночник остаётся без поддержки → нагрузка на межпозвонковые диски и суставы растёт в геометрической прогрессии. Дальше по цепочке: остеохондроз. ОСТЕОХОНДРОЗ — межпозвоночные диски усыхают. Остеохондроз — это усыхание. Межпозвонковый диск на 80% состоит из воды. С годами он теряет влагу, становится плоским, жестким, перестаёт амортизировать . Позвонки начинают тереться друг о друга. Края костей разрастаются (это остеофиты — костяные шипы), сдавливают нервы и сосуды . Как это ощущается: · Утром проснулись — шея не поворачивается. «Проклятая подушка!» — Подушка ни при чём. Это шейный остеохондроз . · После дня на даче — поясницу «скрутило», разогнуться не могу. Это поясничный остеохондроз . · Тянет ногу или руку, пальцы немеют — это диск защемил нервный корешок. · Хруст в шее при поворотах, щелчки в пояснице. Парадокс остеохондроза, о котором молчат врачи Вот что интересно: остеохондроз — это нормальное старение. К 60 годам изменения в дисках есть у всех . И удивительно не то, что у вас болит спина. Удивительно, если бы она не болела. Но большинство болей — не от самих дисков. Болит от того, что мышцы ослабли (саркопения), суставы износились, а нервные корешки зажаты. И ещё от того, что вы начали жалеть себя, меньше двигаться — и всё закрутилось по спирали вниз . ОСТЕОПОРОЗ — кости становятся стеклянными Если остеохондроз — это усыхание дисков, то остеопороз — это вымывание кальция из костей . Представьте, что кость — это бетонная стена. В молодости она армирована, прочная. При остеопорозе арматура исчезает, остаётся один хрупкий бетон. Резко повернулись, неловко упали — и перелом. У пожилых перелом шейки бедра или компрессионный перелом позвоночника случается «на ровном месте» . Как это ощущается: · Уменьшился рост. Были 170 — стали 168? Это осели позвонки. · Спина сутулится, появился «вдовий горб». · Кости «ноют» без видимой причины особенно в сырую погоду. · Раньше упадёшь — ничего, сейчас упал — уже месяц восстанавливаешься. Часть 3. Круг замыкается Теперь сложите три разрушительных процесса: 1. Сосуды не доставляют питание 2. Мышцы слабеют и перестают держать корсет 3. Диски усыхают, кости становятся хрупкими Круг замкнулся. Это и есть старение опорно-двигательного аппарата. И теперь понятно, почему «раньше такого не было»: В 50 лет вы ещё живёте на остаточном ресурсе сосудов и мышц. В 60 лет вы пересели на донышко бочки. В 70+ живёте на том, что удалось сохранить. Ничего личного — только биология . Часть 4. Почему немеют пальцы и затекают ноги Теперь к частым вопросам, которые вы задаёте. «Почему после сна у меня немеют кисти рук?» Вы спите с согнутыми локтями или с запрокинутой головой. В сонной позе сосуды пережимаются, нервы забиваются, кровоток замедляется. Утром нужно время, чтобы всё «включилось» опять. Плюс шейный остеохондроз. Если диск в шее просел и защемил сосуд или нерв, идущий к руке — онемение и «мурашки» в пальцах будут появляться всё чаще . «Почему затекают ноги, когда сижу?» Гравитация. Кровь застаивается в венах ног, отток затруднён — отсюда отёки, ощущение тяжести и одеревенение. Плюс, если изношены колени или тазобедренные суставы, кровообращение вокруг них нарушается дополнительно. «Почему после физической нагрузки всё болит?» Потому что вы перестали быть спортсменом в 30, а сейчас решили вспомнить молодость. Слабые мышцы, изношенные диски и суставы, замедленный кровоток — организм уже не восстанавливается за пару часов. Ему нужны дни и недели. Это не лень. Это биология. Лечение должно быть, но не героическим: · Без нагрузки в острый период — первые дни отдых, не надо геройствовать. · Постепенное введение движения — когда боль утихла, начинаем по чуть-чуть. Ходьба, плавание, скандинавская ходьба, ЛФК. · Без фанатизма — устали, заболело — остановились, отдохнули. Завтра попробуем снова, но чуть дольше. · Лекарства только как поддержка — это не главное лечение. Главное — движение и терпение. Часть 5. Что делать? Диагностика, лечение и прогноз Как диагностировать Не надо гадать на кофейной гуще. Вот список обследований, которые покажут вашу реальную картину: Что проверить Как Что ищем Кости и суставы Денситометрия, рентген, МРТ, КТ Остеопороз, артроз, грыжи, протрузии Сосуды УЗИ сосудов конечностей и шеи Атеросклероз, замедление кровотока, бляшки в позвоночных артериях Нервы ЭНМГ (электронейромиография) на руки и ноги Есть ли защемления корешков, страдает ли проведение импульса Мышцы Биоимпеданс (анализ состава тела) Сколько мышц реально осталось, сколько жира и воды Кальций и витамин D Анализ крови Кальций общий + ионизированный, витамин 25(OH)D Гормоны ТТГ, тестостерон, эстрадиол Причины, почему кости и мышцы разрушаются быстрее Как лечить? Никакой магии. Вот реальная стратегия. БАЗА (основная терапия на годы): · Ходьба каждый день. 30–40 минут в спокойном темпе. Лучше скандинавские палки — они разгружают колени и включают плечевой пояс. · ЛФК. Это не фитнес, а медицинская реабилитация. Врач подбирает именно ваши упражнения . · Плавание или аквааэробика. Вода снимает нагрузку с позвоночника и суставов, при этом мышцы работают. Ищите группу «Золотой возраст». · Ортопедический режим. Матрас, подушка, обувь, трость если нужно. Всё, что разгружает больные места. ПИТАНИЕ: · Белок. Мясо, рыба, яйца, творог, бобовые. Каждый день, а не по праздникам. Мышцы строятся из белка. · Кальций. Творог, сыр, кунжут, рыба с костями (сардины), кальциевые добавки. · Витамин D. С сентября по май — обязательно в каплях (дозу подбирает врач по анализу крови). Без него кальций не усваивается . · Магний, цинк, витамины группы B — для нервов и сосудов. ЛЕКАРСТВА: Что Когда Как долго Обезболивающие (НПВП) Только при обострении, на короткий курс (3–7 дней) Эпизодически Миорелаксанты Сильный мышечный спазм, коротким курсом (до 2 недель) Эпизодически Хондропротекторы Спорно, но некоторые отмечают эффект. Курсами по 3–6 месяцев, раз в год Возможно, не ждите чуда Препараты кальция + D При остеопорозе и высоком риске. Ежедневно, годами Долго, под контролем анализов Сосудистые препараты Трентал, Актовегин, мексидол — улучшают микроциркуляцию. Курсами 2–4 недели, 1–2 раза в год По назначению врача Витамины группы B Для нервной системы. Курсами 1–2 раза в год По назначению врача Прогноз и когда нужна операция. К сожалению, полностью остановить старение скелета нельзя . Но можно затормозить. Хороший прогноз: вы будете ходить, обслуживать себя, радоваться жизни — если занимаетесь, лечитесь и не запускаете. Многие живут с остеохондрозом и артрозом десятилетиями, не чувствуя сильной боли . Когда операция неизбежна: · Грыжа диска, которая сдавливает спинной мозг — начинают отказывать ноги, нарушается контроль таза . · Стеноз позвоночного канала — кости и связки перекрыли канал, ноги немеют, идти не можете. · Перелом шейки бедра — здесь или эндопротез, или обездвиженность и печальный исход. · Разрушенный коленный или тазобедренный сустав — артроз 4 стадии. Тогда ходить не можете вообще, боль невыносимая. Замена сустава (эндопротезирование) давно не эксперимент, это рутина. После операции, через 2–3 месяца реабилитации, вы ходите без боли, забыв, что когда-то мучились. Не бойтесь — современные эндопротезы служат 15–20 лет. Лучше с новым суставом, чем без ног. Итог: что делать прямо сейчас 1. Примите факт. Вы стареете, организм меняется — это норма, а не болезнь. 2. Проверьте сосуды. УЗИ, липидный профиль, ферритин, витамин D. Тихий убийца должен быть выявлен. 3. Начните ходить. Каждый день. Лучше с палками. Лучше в парке. 4. Лечите зубы и желудок. Без этого кости не усваивают кальций. 5. Ешьте белок и пейте воду. Без них мышцы превращаются в желе. 6. Спите на правильной подушке и матрасе. Не жалейте денег на здоровый сон. 7. Найдите врача, который ведёт вас годами. Не «лечит обострение», а сопровождает старение. Невролог + терапевт + врач ЛФК. И помните: возраст — не приговор. Если вы в 70 ходите в парк каждый день, делаете зарядку, плаваете, правильно питаетесь — вы в лучшей форме, чем сосед в 50, который лежит на диване и жалуется на жизнь. Движение — жизнь. Но с умом, без надрыва, без «через не могу». И тогда ваши кости, мышцы и сосуды прослужат вам долго и без лишних сюрпризов. P.S. А онемение в пальцах, затекание в ногах и боль по утрам — это ваша охранная сигнализация. Не глушите её обезболивающими. Найдите причину. Часто достаточно начать двигаться, сменить подушку и попить витамины, чтобы утро перестало быть пыткой.</t>
  </si>
  <si>
    <t>https://dzen.ru/a/afjAO370Rn0ayo9j</t>
  </si>
  <si>
    <t>08.05.2026 08:00</t>
  </si>
  <si>
    <t>Здравствуйте! Подскажите пожалуйста, работает ли Вазонит?</t>
  </si>
  <si>
    <t>https://dzen.ru/a/afoO8zFnET4Ieus_?comment-request=1#comment_3295120474</t>
  </si>
  <si>
    <t>08.05.2026 03:31</t>
  </si>
  <si>
    <t>35.0 недель 🌱
(Божеее… 😱 )
УЗИ Жени (съездили в ЦИР к доктору Курганникову АС) и потом плановый приём с Шамановой МБ 😌
Даа, сегодня он дал сфоткать личико) Но был уткнут в плаценту) Но это уже ладно. Первая мысль у меня, когда увидела: «Ну пирожочек!» 🥹 🔺 Да, пухленький эчпочмажек же, ну ☺️
Вес ~ 2100 кг 🙏🏻
Мы перевалили через планку 2 кг 🥳 Всё, это уже отлично)
Тот факт, что это соответствует 8 процентилю для этого срока…ну Бог с ним уже 😄 🙏🏻 А процентиль животика уже даже не написали 🙈 😅 Просто там и просто параметры фетометрии сегодня не сильно блистали. Опережающая голова обычно компенсировала ситуацию, но сегодня и она ниже вот этого среднего 50 процентиля, и все остальное.
Я ещё зачем-то сравнила параметры с теми, что были неделю назад 🙈 БПР головы вообще не изменился за неделю, но я думаю, все ок там.
Вес всё ещё набирается, он прибавил + 200 г с прошлого УЗИ 🙏🏻 Кровотоки в норме держатся. КТГ домашнее ежедневно хорошее. В ПН было КТГ в ЦИР, на 10 баллов 😌 🤌🏻
Марию Борисовну это все очень радует. Они то как раз встречают на своей практике вот эти случаи полного прекращения набора веса у ребёнка, и тогда КС в срочном порядке, не дожидаясь. А у нас не так, и это хорошо. У нас есть возможность дальше продвигаться к доношенному сроку, до которого всего каких-то 2 недели остается.
ЦПО (важный показатель на УЗИ, о котором я писала вот здесь уже) сегодня 2,16 👌🏻 Очень хорошо.
Но МБ назначает мне ещё 3 капельницы актовегина и пентоксифилина 💉 🫡 Капаем их! Поддержку пьём и колем! И спокойно допекаем пирожочка 🍀
Срок доношенности 37 недель, срок зрелости легких, важен же не только в плане легких, но и зрелости нервной системы, ЖКТ, например. Я просто медитативно каждое утро стараюсь думать первым делом об этом. Что прошел ещё один день и малыш созрел ещё немножко) 🌿</t>
  </si>
  <si>
    <t>https://telegram.me/ecoterina_blog/4499</t>
  </si>
  <si>
    <t>08.05.2026 03:03</t>
  </si>
  <si>
    <t>Инсоляции противопоказаны. Это связано с механизмом выработки витамина Д, который при саркоидозе действует неправильно, вызывая активацию заболевания и повреждения кожи солнечной радиацией с высвобождением провоспалительных цитокинов, в т.ч. ФНО-альфа, с которым мы боремся пентоксифиллином, а некоторые и чем потяжелее. Риск - дело благородное. Я летом буду весь в одежде ибо нормальное самочувствие дороже тона кожи. Кстати ☝️ арабки очень часто на пляжах все время покрытые полностью, и это не просто так - у них оказывается саркоидоз сильно распространен и солнце - враг #1</t>
  </si>
  <si>
    <t>http://vk.com/wall-17990792_94569?reply=94570</t>
  </si>
  <si>
    <t>08.05.2026 02:18</t>
  </si>
  <si>
    <t>Ссылки пока не могу открыть, но трентал, диклофенак, да и мази с кортикоидами для такого возраста детей не применяются</t>
  </si>
  <si>
    <t>https://forums.rusmedserv.com/showpost.php?p=3139132&amp;postcount=3</t>
  </si>
  <si>
    <t>08.05.2026 00:30</t>
  </si>
  <si>
    <t>Если подтвердится трентал капельно хорошо помогает</t>
  </si>
  <si>
    <t>http://vk.com/wall-166491509_870591?reply=870802</t>
  </si>
  <si>
    <t>07.05.2026 23:58</t>
  </si>
  <si>
    <t>Актовегин, либо трентал, пить месяц, но не из дешевых препарат! Мне невропатолог назначал! Улучшений не заметила!</t>
  </si>
  <si>
    <t>http://vk.com/wall-118324715_644837?reply=644857</t>
  </si>
  <si>
    <t>07.05.2026 16:50</t>
  </si>
  <si>
    <t>Внук, купите Черновой трость. Она на ваши гривны 350. И все. И будет она ходить потихоньку. И в конце - то концов! Пентоксифиллин 100 мг 2 мес, Дексаметазон 0, 5 по схеме 7 дней, Мелоксикам, НПВС курс. Обойдется все в 300 гривен. Нельзя же приковали бабку к табуретке.</t>
  </si>
  <si>
    <t>http://www.youtube.com/watch?v=MGHOR2C0g0g&amp;lc=UgybgyJv9AS6ufMLbXB4AaABAg</t>
  </si>
  <si>
    <t>07.05.2026 15:12</t>
  </si>
  <si>
    <t>А подозрения на диабетическую стопу нет? Может проблемы с сосудами, тогда нужно что то пить для улучшения кровообращения, вроде трентала</t>
  </si>
  <si>
    <t>http://vk.com/wall-118324715_644748?reply=644814</t>
  </si>
  <si>
    <t>Трентал, Тромбообразование и полинейропатия нижних конечностей</t>
  </si>
  <si>
    <t>07.05.2026 14:56</t>
  </si>
  <si>
    <t>Да, движение это жизнь, но не всегда получается вести активный образ жизни, поэтому приходится в профилактических целях для улучшения кровообращения принимать трентал</t>
  </si>
  <si>
    <t>http://vk.com/wall-153134547_1597?reply=1598</t>
  </si>
  <si>
    <t>Мордовия</t>
  </si>
  <si>
    <t>07.05.2026 14:50</t>
  </si>
  <si>
    <t>Моему дедуле при онемении и судорогах в ногах назначали трентал, для улучшения кровообращения</t>
  </si>
  <si>
    <t>http://vk.com/wall-222205353_67412?reply=67438</t>
  </si>
  <si>
    <t>Смоленская</t>
  </si>
  <si>
    <t>07.05.2026 11:58</t>
  </si>
  <si>
    <t>[club213272284|Онкология. Форум для общения], напишите и мне пожалуйста, такая же ситуация, полинейропатия нижних и верхних конечностей, Дулоксента-не подошла, сейчас Пентоксифиллин, от него тоже нет толка, и сил терпеть эту больше тоже нет.</t>
  </si>
  <si>
    <t>http://vk.com/wall-213272284_2040?reply=10603&amp;thread=2041</t>
  </si>
  <si>
    <t>Владимирская</t>
  </si>
  <si>
    <t>07.05.2026 11:56</t>
  </si>
  <si>
    <t>У меня после 6 курсов химии развилась полинейропатия, ступни ног жжёт и покалывает,пальцев на ногах и руках не чувствую,выписали Дулоксенту-она не подошла, сейчас Пентоксифиллин от него тоже толку нет, боли в подошвах нескончаемые, а впереди операция по удалению матки, как я буду передвигаться не понимаю, сил уже нет.</t>
  </si>
  <si>
    <t>http://vk.com/wall-213272284_3186?reply=10602</t>
  </si>
  <si>
    <t>07.05.2026 06:25</t>
  </si>
  <si>
    <t>пентоксифилинчик наше всё, высокий гематокрит…</t>
  </si>
  <si>
    <t>https://telegram.me/dariashuer_chat/138363</t>
  </si>
  <si>
    <t>https://telegram.me/beketovrk</t>
  </si>
  <si>
    <t>https://telegram.me/dariashuer_chat</t>
  </si>
  <si>
    <t>06.05.2026 23:41</t>
  </si>
  <si>
    <t>Болезнь Пертеса у девочки 8 лет под ?
Добрый день!
в 7 лет ребенок (девочка) жаловалась на боль в правом тазобедренном суставе и хромала. На очном приеме у травматолога-ортопеда и снимкам рентгена был поставлен диагноз Реактивный артрит правого тазобедренного сустава. На фоне лечения (нурофен, мидокалм и мазь долобене) все прошло за неделю.
Ровно через год, 01.04.26г. после 4х часового катания на роликах, а затем растяжки на танцах начались опять боли в правом тазобедренном суставе и хромота. Сразу пошли к тому же врачу, сделали рентген, по рентгену все хорошо, но отправили на МРТ. За неделю лечения теми же препаратами,что и год назад, улучшений не было.14.04.26г. по результатам МРТ выявлено: МР-картина фокального перифизарного отека головок бедренных костей, преимущественно справа, отека вертлужной впадины справа, более вероятно постнагрузочного характера. Правосторонний синовит. Ссылка на МРТ Назначили деклофинак 50 мг. На фоне диклофинака боль ушла сразу. Но хромать дочь не перестала.
Сдали анализы на ревматоидный фактор, СРБ, Фибриноген, ТТГ, анализы в норме. На очном приеме врач сказал, что ограничение в движениях правого сустава концентрического характера и даже есть ухудшения.Отправил на повторное мрт. 02.05.26г. Заключение: Убедительных данных за асептический некроз головок бедренных костей не выявлено. МР-признаки артрита1-2ст. правого тазобедренного сустава с явлениями выраженного бурсита. Ссылка на мрт
Но врач склоняется к началу болезни Пертеса, тк по диску МРТ правая головка стала меньше, чем левая, а отека стало больше. Ребенок волочит ногу за собой.
Рекомендации врача: проконсультироваться с другими врачами травматологами (оперирующими), сдать анализы на АЦЦП, антинуклеарный фактор, АСЛО.
Лечение: Трентал 50 мг 2 раза в день 2 недели, компресс с гидрокортизоновой мазью на ночь 2 недели. Костыли.
Хронических заболеваний нет. Болела сезонным гриппом, орви, бронхит.
Рост 138 см, вес 38 кг.
Очень хочу послушать Ваше мнение, по поводу подозрения на болезнь Пертеса.
https://forums.rusmedserv.com/showthread.php?t=501236</t>
  </si>
  <si>
    <t xml:space="preserve">Тексты с изображений_x000d_
болезнь пертеса у девочки do лет под с добрый день! в 1 лет ребенок (девочка) жаловалась на боль в правом тазобедренном суставе и хромала на очном приеме а травматолога—ортопеда и снимкам рентгена был поставлен диагноз реактивный артрит правого тазобедренного сустава на фоне лечения (нурофен, мидокалм и мазь долобене) все прошло за неделю ровно через год, 01. 04% 26г. после 4х часового катания на роликах, с затем растяжки на танцах начались опять боли в правом тазобедренном суставе и хромота сразу пошли к тому же врачу, сдела._x000d_
</t>
  </si>
  <si>
    <t>http://vk.com/wall-235949966_989</t>
  </si>
  <si>
    <t>06.05.2026 23:09</t>
  </si>
  <si>
    <t>Болезнь Пертеса у девочки 8 лет под ? Добрый день! в 7 лет ребенок (девочка) жаловалась на боль в правом тазобедренном суставе и хромала.</t>
  </si>
  <si>
    <t>Болезнь Пертеса у девочки 8 лет под ?
Добрый день!
в 7 лет ребенок (девочка) жаловалась на боль в правом тазобедренном суставе и хромала. На очном приеме у травматолога-ортопеда и снимкам рентгена был поставлен диагноз Реактивный артрит правого тазобедренного сустава. На фоне лечения (нурофен, мидокалм и мазь долобене) все прошло за неделю.
Ровно через год, 01.04.26г. после 4х часового катания на роликах, а затем растяжки на танцах начались опять боли в правом тазобедренном суставе и хромота. Сразу пошли к тому же врачу, сделали рентген, по рентгену все хорошо, но отправили на МРТ. За неделю лечения теми же препаратами,что и год назад, улучшений не было.14.04.26г. по результатам МРТ выявлено: МР-картина фокального перифизарного отека головок бедренных костей, преимущественно справа, отека вертлужной впадины справа, более вероятно постнагрузочного характера. Правосторонний синовит. Ссылка на МРТ Назначили деклофинак 50 мг. На фоне диклофинака боль ушла сразу. Но хромать дочь не перестала.
Сдали анализы на ревматоидный фактор, СРБ, Фибриноген, ТТГ, анализы в норме. На очном приеме врач сказал, что ограничение в движениях правого сустава концентрического характера и даже есть ухудшения.Отправил на повторное мрт. 02.05.26г. Заключение: Убедительных данных за асептический некроз головок бедренных костей не выявлено. МР-признаки артрита1-2ст. правого тазобедренного сустава с явлениями выраженного бурсита. Ссылка на мрт
Но врач склоняется к началу болезни Пертеса, тк по диску МРТ правая головка стала меньше, чем левая, а отека стало больше. Ребенок волочит ногу за собой.
Рекомендации врача: проконсультироваться с другими врачами травматологами (оперирующими), сдать анализы на АЦЦП, антинуклеарный фактор, АСЛО.
Лечение: Трентал 50 мг 2 раза в день 2 недели, компресс с гидрокортизоновой мазью на ночь 2 недели. Костыли.
Хронических заболеваний нет. Болела сезонным гриппом, орви, бронхит.
Рост 138 см, вес 38 кг.
Очень хочу послушать Ваше мнение, по поводу подозрения на болезнь Пертеса.
https://forums.rusmedserv.com/showthread.php?t=501236
Наш канал в Телеграм: https://t.me/forums_rms
Болезнь Пертеса у девочки 8 лет под ? - Травматология, ортопедия и эстетическая хирургия
Болезнь Пертеса у девочки 8 лет под ?
https://forums.rusmedserv.com/showthread.php?t=501236</t>
  </si>
  <si>
    <t xml:space="preserve">Тексты с изображений_x000d_
болезнь пертеса #comentalistagram девочки oo лет под к добрый день! в соворовиновались лет ребенок (девочка) жаловалась на боль в правом тазобедренном суставе и хромала на очном приеме санинования травматолога—ортопеда и снимкам рентгена был поставлен диагноз реактивный артрит правого тазобедренного сустава на фоне лечения (нурофен мидокалм и мазь долобене) все прошло 3а неделю ровно через год, 01.04.26г. после 4х часового катания на роликах, со затем растяжки на танцах начались опять боли в правом тазобедренном суставе и хромота сразу пошли к тому же врачу, сдела._x000d_
</t>
  </si>
  <si>
    <t>http://ok.ru/group/55780516757702/topic/157461700921542</t>
  </si>
  <si>
    <t>06.05.2026 22:03</t>
  </si>
  <si>
    <t>Отзыв о Трентал таблетки п/о плен. кишечнораст. 100мг 60шт</t>
  </si>
  <si>
    <t>https://www.ozon.ru/product/754700631/reviews?ruuid=019dfdd0-bbdf-7103-823e-8df716f756e4</t>
  </si>
  <si>
    <t>06.05.2026 20:20</t>
  </si>
  <si>
    <t>Болезнь Пертеса у девочки 8 лет под ?
Добрый день!
в 7 лет ребенок (девочка) жаловалась на боль в правом тазобедренном суставе и хромала. На очном приеме у травматолога-ортопеда и снимкам рентгена был поставлен диагноз Реактивный артрит правого тазобедренного сустава. На фоне лечения (нурофен, мидокалм и мазь долобене) все прошло за неделю.
Ровно через год, 01.04.26г. после 4х часового катания на роликах, а затем растяжки на танцах начались опять боли в правом тазобедренном суставе и хромота. Сразу пошли к тому же врачу, сделали рентген, по рентгену все хорошо, но отправили на МРТ. За неделю лечения теми же препаратами,что и год назад, улучшений не было.14.04.26г. по результатам МРТ выявлено: МР-картина фокального перифизарного отека головок бедренных костей, преимущественно справа, отека вертлужной впадины справа, более вероятно постнагрузочного характера. Правосторонний синовит. Ссылка на МРТ Назначили деклофинак 50 мг. На фоне диклофинака боль ушла сразу. Но хромать дочь не перестала.
Сдали анализы на ревматоидный фактор, СРБ, Фибриноген, ТТГ, анализы в норме. На очном приеме врач сказал, что ограничение в движениях правого сустава концентрического характера и даже есть ухудшения.Отправил на повторное мрт. 02.05.26г. Заключение: Убедительных данных за асептический некроз головок бедренных костей не выявлено. МР-признаки артрита1-2ст. правого тазобедренного сустава с явлениями выраженного бурсита. Ссылка на мрт
Но врач склоняется к началу болезни Пертеса, тк по диску МРТ правая головка стала меньше, чем левая, а отека стало больше. Ребенок волочит ногу за собой.
Рекомендации врача: проконсультироваться с другими врачами травматологами (оперирующими), сдать анализы на АЦЦП, антинуклеарный фактор, АСЛО.
Лечение: Трентал 50 мг 2 раза в день 2 недели, компресс с гидрокортизоновой мазью на ночь 2 недели. Костыли.
Хронических заболеваний нет. Болела сезонным гриппом, орви, бронхит.
Рост 138 см, вес 38 кг.
Очень хочу послушать Ваше мнение, по поводу подозрения на болезнь Пертеса.
https://forums.rusmedserv.com/showthread.php?t=501236
Rusmedserv
Болезнь Пертеса у девочки 8 лет под ?
Болезнь Пертеса у девочки 8 лет под ? - Травматология, ортопедия и эстетическая хирургия</t>
  </si>
  <si>
    <t xml:space="preserve">Тексты с изображений_x000d_
болезнь пертеса у девочки 8 лет под ( добрый день! в пороводности лет ребенок (девочка) жаловалась на боль в правом тазобедренном суставе и хромала на очном приеме у травматолога—ортопеда и снимкам рентгена был поставлен диагноз реактивный артрит правого тазобедренного сустава на фоне лечения (нурофен, мидокалм и мазь долобене) все прошло за неделю ровно через год, 01. 04.26г. после 4x часового катания на роликах, с затем растяжки на танцах начались опять боли 8 правом тазобедренном суставе и хромота сразу пошли к тому же врачу, сдела._x000d_
</t>
  </si>
  <si>
    <t>https://telegram.me/forums_rms/10466</t>
  </si>
  <si>
    <t>https://telegram.me/forums_rms</t>
  </si>
  <si>
    <t>06.05.2026 19:46</t>
  </si>
  <si>
    <t>Добрый день!
в 7 лет ребенок (девочка) жаловалась на боль в правом тазобедренном суставе и хромала. На очном приеме у травматолога-ортопеда и снимкам рентгена был поставлен диагноз Реактивный артрит правого тазобедренного сустава. На фоне лечения (нурофен, мидокалм и мазь долобене) все прошло за неделю.
Ровно через год, 01.04.26г. после 4х часового катания на роликах, а затем растяжки на танцах начались опять боли в правом тазобедренном суставе и хромота. Сразу пошли к тому же врачу, сделали рентген, по рентгену все хорошо, но отправили на МРТ. За неделю лечения теми же препаратами,что и год назад, улучшений не было.14.04.26г. по результатам МРТ выявлено: МР-картина фокального перифизарного отека головок бедренных костей, преимущественно справа, отека вертлужной впадины справа, более вероятно постнагрузочного характера. Правосторонний синовит. Ссылка на МРТ [ Ссылки доступны только зарегистрированным пользователям ] Назначили деклофинак 50 мг. На фоне диклофинака боль ушла сразу. Но хромать дочь не перестала.
Сдали анализы на ревматоидный фактор, СРБ, Фибриноген, ТТГ, анализы в норме. На очном приеме врач сказал, что ограничение в движениях правого сустава концентрического характера и даже есть ухудшения.Отправил на повторное мрт. 02.05.26г. Заключение: Убедительных данных за асептический некроз головок бедренных костей не выявлено. МР-признаки артрита1-2ст. правого тазобедренного сустава с явлениями выраженного бурсита. Ссылка на мрт [ Ссылки доступны только зарегистрированным пользователям ]
Но врач склоняется к началу болезни Пертеса, тк по диску МРТ правая головка стала меньше, чем левая, а отека стало больше. Ребенок волочит ногу за собой.
Рекомендации врача: проконсультироваться с другими врачами травматологами (оперирующими), сдать анализы на АЦЦП, антинуклеарный фактор, АСЛО.
Лечение: Трентал 50 мг 2 раза в день 2 недели, компресс с гидрокортизоновой мазью на ночь 2 недели. Костыли.
Хронических заболеваний нет. Болела сезонным гриппом, орви, бронхит.
Рост 138 см, вес 38 кг.
Очень хочу послушать Ваше мнение, по поводу подозрения на болезнь Пертеса.</t>
  </si>
  <si>
    <t>https://forums.rusmedserv.com/showpost.php?p=3139049&amp;postcount=1</t>
  </si>
  <si>
    <t>06.05.2026 19:26</t>
  </si>
  <si>
    <t>[id462483018|Сережа], у меня тоже железо выше нормы было, но у меня это из-за добавки, которую пил на курсе. На фарме уровень железа понижается, поэтому начал пить "железо хелат", но видимо долго или много пил, показатель повысился чуть выше нормы, перестал пить его и всё нормализовалось.
А вообще на личном опыте скажу, что от оральных стероидов и тренболона заработал фиброз 2 степени, лечился примерно год бициклолом(в аптеках продаётся, Китай делает "Бэйцзин Юнион Фармасьютикал Фэктори") курс 6 месяцев по 1 таблетке 3 раза в день, потом перерыв на месяц и далее курсами по 3 месяца с перерывами в 1 месяц между курсами. Так его можно пить на постоянной основе хоть всю жизнь. Лишним не будет. Если бюджет позволяет.
К бициклолу урсодезоксихолиевая кислота 3 месяца курс месяц перерыв.
И тиоковая кислота 2 месяца курс 3 месяца перерыв.
Это что касается печени, что её почистить и восстановить.
Гематокрит-это уже сложнее. Я на курсах всегда купирую эту проблему пентоксифилином(расширяет сосуды и делает кровь более текучей) 1 таблетка 3 раза в день, кардиомагнилом(ацетилсалициловая кислота) 1 таблетка в день. Это чисто чтоб кровь разжижать. И ливазо 1 таблетка вечером для снижения плохого холестерина.
Ну и банально, но немаловажно-воды больше пить.
Можно добавить Мильдронат инъекии курсом 1 укол(5мл) внутримышечно раз в день на протяжении 20 дней. Для сердца лишним не будет. Это если с почками нет проблем.
Для понимания того, что происходит с кровью сдай анализы:
Гематокрит
Эритроциты
Гемоглобин
Тромбоциты
ЛПНП
Для печени сдай:
АЛТ
АСТ
ГГТ
Щелочная фосфатаза
Билирубин общий
Билирубин прямой
Если есть отклонения, то лучше сходить на узи печени, желчного пузыря, а потом к гепатологу.</t>
  </si>
  <si>
    <t>http://vk.com/wall-231508037_6308?reply=6389&amp;thread=6320</t>
  </si>
  <si>
    <t>06.05.2026 15:28</t>
  </si>
  <si>
    <t>Закрываем на карантин: обзор апрельских писем Росздравнадзора</t>
  </si>
  <si>
    <t xml:space="preserve">Перечень лекарственных средств, лишенных регистрации и отозванных из оборота в апреле
В апреле 2026 года по решению производителей из гражданского оборота было отозвано 14 серий лекарственных препаратов. Обращение еще 11 серий было прекращено Росздравнадзором из‑за обнаруженных несоответствий отобранных образцов требованиям нормативной документации. Кроме того, появилась информация об отмене государственной регистрации одного препарата.
Мы собрали всю важную официальную информацию из писем Росздравнадзора в одной статье: списки отозванных препаратов, причины отзыва и краткие инструкции, как действовать в случае обнаружения их в ассортименте аптеки.
Отзыв
Отзыв препаратов происходит по инициативе производителя или его представителя (в случае с импортными ЛС), а Росздравнадзор информирует об этом всех участников процесса обращения ЛС и рекомендует им, как поступить. Рекомендации при отзыве ЛП стандартные.
Что делать производителю?
Предоставить в Росздравнадзор сведения об изъятии из обращения указанной серии лекарственного препарата.
Что делать аптекам и другим субъектам обращения ЛС?
Предоставить в территориальный орган Росздравнадзора сведения, подтверждающие возврат указанной серии лекарственного препарата поставщикам (производителю).
Мы объединили отзываемые препараты в одной таблице. В качестве причины в письмах Росздравнадзора зачастую указано "несоответствие качества препарата требованиям нормативной документации" по тому или иному показателю.
Таблица 1. Отозванные препараты
  Препарат Серия Производитель Несоответствие показателю    "Пульмибуд, суспензия для ингаляций дозированная, 0,25 мг/мл, 2 мл, ампулы (20), пачки картонные" 052025 АО "Акрихин", "Дженетик С.П.А." (Италия) В связи с выявлением несоответствия данной серии лекарственного препарата установленным требованиям к маркировке вторичной упаковки: отсутствует дата производства.   "Амлодипин, таблетки, 10 мг, 120 шт., банки (1), пачки картонные" 330524 ЗАО "Канонфарма продакшн" (Россия) "Упаковка"   "Амлодипин-Прана, таблетки, 5 мг, 10 шт., упаковки ячейковые контурные (9), пачки картонные" 260425 ООО "Пранафарм" (Россия) "Примеси"   "Амлодипин-Прана, таблетки, 5 мг, 10 шт., упаковки ячейковые контурные (3), пачки картонные" 180425 ООО "Пранафарм" (Россия) "Примеси"   "Бетагистин, таблетки, 24 мг, 10 шт., упаковки ячейковые контурные (6), пачки картонные" 680325 ООО "Пранафарм" (Россия) "Родственные примеси"   "Клопидогрел, таблетки, покрытые пленочной оболочкой, 75 мг, 10 шт., упаковки ячейковые контурные (3), пачки картонные" 200624 ООО "Пранафарм" (Россия) "Родственные примеси"   "Бетагистин, таблетки, 16 мг, 10 шт., упаковки ячейковые контурные (3), пачки картонные" 50125, 40125 ООО "Пранафарм" (Россия) "Родственные примеси"   "Диакарб, таблетки, 250 мг, 10 шт., упаковки ячейковые контурные (3), пачки картонные" 6080924, 6090924, 6100924 АО "Акрихин" (Россия) "Растворение"   "Магникардил, таблетки, покрытые пленочной оболочкой, 150 мг + 30,39 мг, 100 шт., банки (1), пачки картонные" 80724 АО "Авва Рус" (Россия) "Примеси"   "Омез ДСР, капсулы с модифицированным высвобождением, мг + 20 мг, 10 шт., блистеры (3), пачки картонные" В2501248, В2501249 "Д-р Редди'с Лабораторис Лтд" (Индия) В связи с несоответствием установленным требованиям по показателю "Растворение (Домперидон)", выявленным при изучении стабильности  
Прекращение обращения
Следующая группа - это ЛС, оборот которых прекращен по инициативе Росздравнадзора после обнаружения в ходе проверок несоответствия серий препаратов нормативным требованиям.
Что делать аптекам?
Провести проверку наличия указанных серий лекарственных препаратов и, в случае обнаружения таких ЛС, поместить их в карантин. О результатах проверки нужно проинформировать территориальные органы Росздравнадзора.
Таблица 2. Лекарственные средства, оборот которых приостановлен Росздравнадзором
  Препарат Серия Производитель Несоответствие показателю   "Амлодипин Медисорб, таблетки, 10 мг, 10 шт., упаковки ячейковые контурные (3), пачки картонные" 010190524 АО "Медисорб" (Россия) "Примеси"   "Промез, капсулы, 20 мг, 10 шт., стрипы (3), пачки картонные" PMZ-250101 "Протекх Биосистемс Пвт.Лтд." (Индия) "Маркировка"   "Амлодипин-Прана, таблетки, 10 мг, 10 шт., упаковки ячейковые контурные (3), пачки картонные" 110425 ООО "Пранафарм" (Россия) "Примеси: Родственные примеси"   "Амлодипин-Прана, таблетки, 5 мг, 10 шт., упаковки ячейковые контурные (6), пачки картонные" 470725 ООО "Пранафарм" (Россия) "Примеси: Родственные примеси"   "Эналаприл-ФПО, таблетки, 20 мг, 10 шт., упаковки ячейковые контурные (2), пачки картонные" 401023 АО "Алиум" (Россия) "Количественное определение"   "Атенолол, таблетки, 50 мг, 10 шт., упаковки ячейковые контурные (3), пачки картонные" 3170724 ОАО "БЗМП" (Республика Беларусь) "Растворение"   "Промез, капсулы, 20 мг, 10 шт., стрипы (3), пачки картонные" PMZ-240701 "Протекх Биосистемс Пвт.Лтд." (Индия) "Маркировка"   "Трентал 400, таблетки с пролонгированным высвобождением, покрытые пленочной оболочкой, 400 мг, 10 шт., блистеры (6), пачки картонные" 2Р2437А "Зентива Прайвет Лимитед" (Индия) "Средняя масса таблеток"   "Пропицил, таблетки, 50 мг, 20 шт., флаконы, пачки картонные" 2401RUS "Клоке Фарма-Сервис ГмбХ" (Германия) "Маркировка"   "Амлодипин, таблетки, 10 мг, 120 шт., банки (1), пачки картонные" 330524 ЗАО "Канонфарма продакшн" (Россия) "Упаковка"   "Урсофальк, капсулы, 250 мг, 25 шт., блистеры (4), пачки картонные" А326110 "Д-р Фальк Фарма ГмбХ" (Германия) "Маркировка"  
На посерийный выборочный контроль в апреле были переведены:
с 30 апреля 2026 года лекарственное средство "Промез, капсулы, 20 мг, 10 шт., стрипы (3), пачки картонные" производства "Протекх Биосистемс Пвт. Лтд." (Индия);
с 27 апреля 2026 года препарат "Амлодипин-Прана, таблетки, 5 мг, 10 шт., упаковки ячейковые контурные (6), пачки картонные" производства ООО "Пранафарм" (Россия);
с 03 апреля 2026 года лекарственного средства "Иринотекан-Промомед, концентрат для приготовления раствора для инфузий, 20 мг/мл, 11.5 мл, флаконы (1), пачки картонные" производства АО "Биохимик" (Россия);
с 03 апреля 2026 года лекарственный препарат "Иринотекан-Промомед, концентрат для приготовления раствора для инфузий, 20 мг/мл, 7.5 мл, флаконы (1), пачки картонные" производства АО "Биохимик" (Россия).
Сняты с посерийного контроля серии 10226, 20226, 30226 препарата "Цитрамон П, таблетки, 10 шт., упаковки ячейковые контурные (2), пачки картонные" производства ОАО "Дальхимфарм" (Россия) на основании протоколов испытаний ФГБУ "ИМЦЭУАОСМП" Росздравнадзора (Хабаровский филиал).
Кроме того, Федеральная служба по надзору в сфере здравоохранения сообщила о выявлении партий недоброкачественных лекарственных препаратов:
"Альбиомин 20 %, раствор для инфузий, 50 мл, флаконы (1), пачки картонные" серии С234585Р01 производства "Биотест Фарма ГмбХ" (Германия), качество которого не соответствует установленным требованиям нормативной документации по показателю "Стерильность";
"Аспаркам-УБФ, таблетки, 175 мг + 175 мг, 10 шт., упаковки ячейковые контурные (5), пачки картонные" серии 3411025 производства ОАО "Уралбиофарм" (Россия), качество которого не соответствует требованиям нормативного документа по качеству по показателю "Растворение".
Также 9 апреля 2026 года было принято решение о прекращении гражданского оборота серии 4F176A лекарственного препарата "Ультракаин Д-С, раствор для инъекций, 40 мг/мл+0,005 мг/мл, 1,7 мл, картриджи (100), пачки картонные" производства "Санофи-Авентис Дойчланд ГмбХ", Германия, (регистрационные удостоверения: П N015119/01, дата государственной регистрации 13.08.2008, 2 ЛП-№ (006293) - (РГ-RU), дата регистрации 19.07.2024).
Отмена государственной регистрации ЛС и исключение фармсубстанций
Последними в нашем списке идут лекарственные средства, регистрация которых была прекращена в течение прошлого месяца. Причины для отмены регистрации могут быть разные: закрытие производственной площадки, результаты новых клинических исследований, истечение срока действия первичной регистрации и так далее.
Важно помнить, что в случае, если производитель / владелец РУ / уполномоченное лицо не продлил срок действия РУ лекарственного препарата либо производитель / владелец / уполномоченное лицо подал заявление об отмене регистрации ЛП, согласно Федеральному закону от 30.01.2024 № 1 ФЗ, в России разрешается обращение лекарственных препаратов с отмененным регистрационным удостоверением, произведенных и введенных в оборот в период действия РУ, до истечения их срока годности.
Во всех остальных случаях реализация препарата после его исключения из реестра запрещена, является правонарушением по статье 6.33 Кодекса об административных правонарушениях и влечет наложение административного штрафа в размере до нескольких сотен тысяч рублей или приостановление деятельности на срок до 90 суток. При этом стоит отметить, что сообщение об отзыве ЛС по причине отмены регистрации появляется позже, чем информация об отмене. Поэтому очень важно вовремя отслеживать препараты, лишенные регистрации, и причины отзыва, чтобы не допустить правонарушения.
ВАЖНО! При прочтении таблицы обращайте внимание не только на торговое наименование и владельца регистрационного удостоверения, но и на лекарственную форму препарата.
Таблица 3. Препараты, лишившиеся государственной регистрации
  Торговое наименование (МНН) Лекарственная форма Производитель ЛС Номер и владелец регистрационного удостоверения Фармакотерапевтическая группа   Калетра
(лопинавир+ритонавир) Таблетки, покрытые пленочной оболочкой АО "Ортат" (Российская Федерация) ЛП-№(000604)-(РГ-RU) от 28.02.2022 выдано ООО "ЭббВи" (Российская Федерация) Противовирусные средства системного действия; противовирусные средства прямого действия; комбинации противовирусных средств для лечения ВИЧ-инфекций  
Следите за оперативными сообщениями о прекращении импорта или производства лекарственных препаратов (и об изменениях в инструкциях и новых данных по безопасности применения ЛС) в разделе "Новости", а также не пропускайте наш следующий ежемесячный обзор с перечислением всех изъятых и отозванных из обращения серий ЛС. 
</t>
  </si>
  <si>
    <t>https://sojuzpharma.ru/news/20434-zakryvaem_na_karantin_obzor_aprelskih_pisem_roszdravnadzora</t>
  </si>
  <si>
    <t>Статья</t>
  </si>
  <si>
    <t>06.05.2026 15:20</t>
  </si>
  <si>
    <t>Мне не помог,на повторном узи все то же нарушение кровотока ,когда мне его прописали мой врач был в отпуске,другая сказала мне пить его 2 раза в день 2 недели,позовчера уже к своей подошла она мне Трентал,Л-картинин,Курантил ,прописала и я сопзу начала лечение ,посмотрим через 2 недели изменилось ли что нибудь.</t>
  </si>
  <si>
    <t>https://mom.life/post/69f747fe2de14efde303cbd5#69fac3d8e8c6822ae4011c05#69faf9da454f54ae7a03399a</t>
  </si>
  <si>
    <t>06.05.2026 15:14</t>
  </si>
  <si>
    <t>У моей бабули диабет всю жизнь, но диабетической стопы не появилось, ей уже 84года. Наблюдается у эндокринологоа, кардиолога, Узи сосудов делает , на диете сидит, жирное, сладкое не ест, для улучшения кровообращения курсами трентал пропивает. В общем придерживается всех рекомендаций врачей</t>
  </si>
  <si>
    <t>http://vk.com/wall-149047382_3160608?reply=3160981</t>
  </si>
  <si>
    <t>06.05.2026 15:00</t>
  </si>
  <si>
    <t>Здравствуйте
Онемение вероятнее всего связано с послеоперационным отеком после вмешательства.
Коротки курсом можно принимать нпвс. Например , Налгезин форте 1100мг/ сут.
Вазонит- 600 мг в сутки. препарат для улучшения кровообращения в периферических нервах ( нервы конечностей)
Нейромидин 40 мг/суи- препарат для улучшения нервно-мышечной проводимости.</t>
  </si>
  <si>
    <t>https://sprosivracha.com/questions/4315220-oslozhneniya-posle-operacii-na-pozvonochnike#a27581739</t>
  </si>
  <si>
    <t>06.05.2026 14:59</t>
  </si>
  <si>
    <t>Познавательная статья. Когда у моего дедушки возникли проблемы с сосудами, и у него стали болеть ноги, ему диагностировали перемежающуюся хромоту, в комплексной терапии для улучшения кровообращения назначали трентал</t>
  </si>
  <si>
    <t>https://dzen.ru/a/afXo7pQU6TCKBLMB?comment-request=1#comment_3292156994</t>
  </si>
  <si>
    <t>06.05.2026 14:00</t>
  </si>
  <si>
    <t>[id15401333|Сергей], зачем так много пентоксифиллина, скорее всего, вы не так поняли, 400мг на весь день делить, или за раз выпить.</t>
  </si>
  <si>
    <t>http://vk.com/wall-17990792_94483?reply=94565&amp;thread=94506</t>
  </si>
  <si>
    <t>06.05.2026 12:37</t>
  </si>
  <si>
    <t>Прогинова 1*3, эстрожель 2клика *2, доростал так же до 8.1-8.4, в последний раз пила два месяца Актовегин 1*2 и пентоксифиллин (его без назначения врача 400мг*1) эндометрий впервые дорос до 10.4</t>
  </si>
  <si>
    <t>https://telegram.me/chatmcf/833168</t>
  </si>
  <si>
    <t>https://telegram.me/papri_ka</t>
  </si>
  <si>
    <t>06.05.2026 10:27</t>
  </si>
  <si>
    <t>Мои препараты и добавки , когда присутствует самый жесткий Ас: утро , ципралекс, небилонг АМ, , Тадалафил, конефрон, трентал, мексидол, обед, конефрон и мексидол, ужин , урсосан, кардионагнил , витамины регулярно, Реамберин 1 р в нед вв, по показаниям анастрозол и каберголин, из добавок изотоник и претреник , иногда фенибут курсом на ночь плюс мелатонин… вроде ничего не забыл….анализы раз в три недели</t>
  </si>
  <si>
    <t>https://www.threads.com/@kirill19720708/post/DX-2smniNAc</t>
  </si>
  <si>
    <t>06.05.2026 04:57</t>
  </si>
  <si>
    <t>Училка на пенсии, меня с самых простых озоновских лекарств тошнит типа фурагина и пентоксифиллина. Не представляю, какого качества они выпускают нейролептики, антидепрессанты, а тем более лекарства для лечения онкологии. У них только цены качественно высокие. Причём самые высокие.</t>
  </si>
  <si>
    <t>https://dzen.ru/a/aflmXVU4_3gzLpFg?comment-request=1#comment_3291663484</t>
  </si>
  <si>
    <t>06.05.2026 01:23</t>
  </si>
  <si>
    <t>Да и пока такие эритроциты кидай 600 Вазонит на ночь</t>
  </si>
  <si>
    <t>https://telegram.me/dgdschat/120927</t>
  </si>
  <si>
    <t>05.05.2026 23:55</t>
  </si>
  <si>
    <t>Что дает ОМС, лишь отчетность, но не лечение, если даже обезболить не могут! К хирургу прождал два часа, потом оказалось нет в записи, хотя позвонили по телефону. Надоели с навязчивой диспансеризацией, деньги надо отмывать. Неврологический профиль в дневном стационаре лечат лишь цитофлавином и пентоксифиллином, это при многоуровневом стенозе.. Лишь ухудшение, вот она медицина в России, лишь одно название осталось!?</t>
  </si>
  <si>
    <t>https://dzen.ru/a/afioQdsi4zPEjbpu?comment-request=1#comment_3296707653</t>
  </si>
  <si>
    <t>05.05.2026 22:23</t>
  </si>
  <si>
    <t>Здравствуйте. В свое время мне врач- онколог рекомендовал улучшить качество жизни, только положительные эмоции и отговорил от биопсии. Саркоидоз - странная болезнь. Живу так 14 лет. В динамике КТ. При приеме пентоксифиллина вся побочка из инструкции. Одышка присутствует, но заметила, что мне легче от детралекса, или совпадение второй год подряд.</t>
  </si>
  <si>
    <t>http://vk.com/wall-17990792_94549?reply=94564</t>
  </si>
  <si>
    <t>05.05.2026 22:02</t>
  </si>
  <si>
    <t>03 - Помогите!
Bevel писал(а):
Теперь самое главное: за 10 месяцев эта болячка меня истощила полностью. Я похудел на 11 кг, слабость, с утра еле поднимаюсь с кровати. Хочется волком завыть - похоже депрессия накрыла. Что делать я не знаю. Врачи каких-то особых назначений не делают, только АБТ короткими курсами и всякие вспомогательные препараты типа Трентала, витамина Е, БАДов.
Может стоило сразу пока силы были длинный курс антиков пропить. Но кто же тогда знал. Теперь не знаю куда дальше двигать. Что посоветуете?
Я за полгода потерял 27кг мышечной массы. Весил 96кг, вес упал до 69. Был качком, стал инвалидом. У меня хронический хлам. После заражения пролечился коротким курсом АТБ , 3 года без симптомов, а потом резко вес начал падать, боли в кишечнике начались и потом полный пздц.
Моё мнение - потеря веса это либо онкология, либо внутриклеточная инфекция. Если тебе помогали антибиотики, то скорее второе.</t>
  </si>
  <si>
    <t>https://hron-prostatit.ru/forum/viewtopic.php?p=445285#p445285</t>
  </si>
  <si>
    <t>05.05.2026 21:15</t>
  </si>
  <si>
    <t>Липидограмма (липидный профиль), холестерин, атеросклероз: простыми словами о сложном обмене липидов</t>
  </si>
  <si>
    <t>Холестерин повышен, что делать? Липидный профиль (липидограмма) расшифровка. На что следует обращать внимание? Все показатели холестерина. Общий холестерин; липопротеины, аполипопротеины А1 и В, их соотношение, липопротеиды низкой плотности, липопротеиды высокой плотности, триглицериды. Что такое хиломикроны? В каком возрасте следует выполнять первую липидограмму?
Эти и некоторые другие вопросы рассмотрит врач, хирург, кандидат медицинских наук, доцент, Гаин Михаил Юрьевич.
🔥 Также подписывайтесь на канал в Яндекс Дзен: https://dzen.ru/surgery
🔥 Если имеется страничка в VK, то подписывайтесь и вступайте в сообщество: https://vk.com/video/@surgeryhealthcare
🔥 Отправить благодарность: https://www.donationalerts.com/r/mike_12345
Данный материал представлен исключительно в информационных целях. Он не должен использоваться в качестве замены медицинскому обследованию, диагностике, лечению и назначениям врачей, для самодиагностики или самолечения.
Малоинвазивная Хирургия Аналитика Здоровья
Minimally Invasive Surgery Health Analytics
@surgery-healthcare
#атеросклероз, #холестерин, #лечениеатеросклероза, #чисткаартерий, #липопротеина, #триглицериды, #ГаинМихаилЮрьевич, #облитерирующийатеросклероз, #атеросклерознижнихконечностей, #липопротеидынизкойплотности, #аполипопротеины, #биохимическийанализкрови, #холестериновыеотложениясосудов, #какизбежатьатеросклероз, #хиломикроны, #липопротеинынизкойплотностикакснизить, #липопротеиныбиохимия, #холестеринснизить, #хирургия, #аналитиказдоровья, #вопросхирургу, #малоинвазивнаяхирургияаналитиказдоровья, #minimallyinvasivesurgeryhealthanalytics, #surgeryhealthcare
Ключевые фразы и слова:
Липопротеиды высокой и низкой плотности; аполипопротеи а1 и b; липопротеины плазмы крови; липопротеины очень низкой плотности; как очистить сонные артерии; как очистить артерии естественным путем; гипертоническая болезнь; гипертония; как избежать инфаркта и инсульта? Как снизить холестерин без лекарств; чистка артерий нижних конечностей; как разжижать кровь; питание при атеросклерозе сосудов; атеросклероз нижних конечностей; питание при атеросклерозе; питание при ишемической болезни сердца; питание при атеросклерозе по шишонину; холестерин берг; питание при атеросклерозе сосудов головного мозга; правильное питание; правильное питание для мужчин; правильные продукты питания; продукты для похудения; атеросклероз сосудов головного мозга; атеросклероз аорты; атеросклероз сосудов; холестерин норма таблица; атеросклероз брюшной аорты; атеросклероз лечение; атеросклероз бца; атеросклероз сердца; атеросклероз аорты и коронарных артерий; атеросклероз сосудов нижних конечностей; облитерирующий атеросклероз нижних конечностей; липопротеиды низкой плотности, липопротеиды высокой плотности; липопротеины низкой плотности, липопротеины повышены; холестерин снизить; холестерин; холестерин что это такое; холестерин повышен что делать; холестерин норма; холестерин в крови; холестериновые отложения в сосудах; холестерин диета не нужна доктор евдокименко; холестерин доктор берг; холестерин алексей ворон; холестерин шишонин; холестерин ксения черная; атеросклеротические поражения артерий, атеросклеротический кардиосклероз; какие полезные продукты стоит кушать; продукты полезные для сосудов; диета при атеросклерозе; диета при атеросклерозе сосудов шеи, сосудов головного мозга, высокое давление что делать; курение; сахарный диабет; ожирение; рацион питания; ишемическая болезнь сердца; нарушения мозгового кровообращения; мезотромбоз; лечение гипертонии без таблеток; ковид 19; корона; коронавирус; трентал; никотиновая кислота; диабетическая ангиопатия; сахарный диабет; ожирение; статины; аторвастатин, симвастатин, розувастатин, эзетимиб, эзетрол, алирокумаб ( Пралуент), эволокумаб (Репата), фибраты (Фенофибрат), омега 3 польза; омега 6 польза и вред; Ловаза, Васцепа, Эпанова; желчные кислоты, печень; холестирамин; биохимический анализ крови; триглицериды мясников; триглицериды повышены причина.</t>
  </si>
  <si>
    <t xml:space="preserve">Тексты с изображений_x000d_
холестерин? «хороший» #luber «плохой»???_x000d_
</t>
  </si>
  <si>
    <t>https://rutube.ru/video/79f85b419d01b3bdd36fb4ed836d4ce5/</t>
  </si>
  <si>
    <t>05.05.2026 16:49</t>
  </si>
  <si>
    <t>http://vk.com/wall207151277_3014</t>
  </si>
  <si>
    <t>Нижегородская</t>
  </si>
  <si>
    <t>05.05.2026 15:47</t>
  </si>
  <si>
    <t>Спасибо док. А как насчёт того, что я перестал чувствовать сексуальное влечение и утренние эрекции стали реже ? С чем это может быть связано. Был у уролога. Он выписал мне вазонит 2 таблетки в день и потом тадалафил 5мг в день один раз. Не скажу что что то поменялось. Желание не появилось особо. У меня ЗОЖ и правильное питание. Странно все это конечно. Пропил всевозможные бады, цинк и тд. Неужели осталось ссылаться на возраст.</t>
  </si>
  <si>
    <t>https://sprosivracha.com/questions/4308136-gzt-v-38-let-nizkiy-testosteron#a27564208</t>
  </si>
  <si>
    <t>05.05.2026 15:10</t>
  </si>
  <si>
    <t>К ингибиторам циклооксигеназы 1 относится
1) тикагрелор
2) пентоксифиллин
3) ацетилсалициловая кислота
4) клопидогрел
.
.
.
.
.
.
.
.
.
.
Правильный ответ: ацетилсалициловая кислота 😊
#фармакология #фармацевт #фармация #аптека
Купить тесты с ответами в PDF:
medik-otvet.ru/product/klinik_farma/ ✅</t>
  </si>
  <si>
    <t>http://vk.com/wall-226278715_1065</t>
  </si>
  <si>
    <t>05.05.2026 14:43</t>
  </si>
  <si>
    <t>Безусловно в первую очередь к врачам. У моей бабули проблема с диабетической стопой была, ей для улучшения кровообращения трентал назначали</t>
  </si>
  <si>
    <t>https://telegram.me/ivnvo/12458?comment=279989</t>
  </si>
  <si>
    <t>https://telegram.me/ivnvo</t>
  </si>
  <si>
    <t>05.05.2026 14:15</t>
  </si>
  <si>
    <t>Онемение и судороги трентал снимает. Проконсультируйтесь в врачом, может вам назначит</t>
  </si>
  <si>
    <t>http://vk.com/wall-61391520_829584?reply=829602</t>
  </si>
  <si>
    <t>05.05.2026 14:12</t>
  </si>
  <si>
    <t>Делали мне операцию по удалению тромба. Теперь для разжижения крови трентал пью курсами для профилактики.</t>
  </si>
  <si>
    <t>http://vk.com/wall-221308444_4582?reply=4587</t>
  </si>
  <si>
    <t>05.05.2026 14:05</t>
  </si>
  <si>
    <t>Из-за проблем с сосудами у моего родственника начала развиваться полинейропатия. В комплексной терапии назначали трентал для улучшения кровоснабжения нервов и тканей</t>
  </si>
  <si>
    <t>https://dzen.ru/a/afYkC6OOEmuhhdGQ?comment-request=1#comment_3290450624</t>
  </si>
  <si>
    <t>05.05.2026 13:57</t>
  </si>
  <si>
    <t>Олег.О., неправда, у нас сестра умирала, сначала мы её подкалывали диклофенаком, долго тянули, потом трентал вроде в таблетках, затем он уже недействовал, ибо слаб. Перешли на Перемидол.,а уже потом на,, морфин,, , и нужно дозу на сколько раз больному хватает. 2 укола или 3 в день. Главное, чтобы человек не выл от боли. Но дозу обычно увеличивается ближе к концу жизни. И ограничивать в уколе нельзя. Хотя врачи некоторые уговаривают да меньше колите мол. Говоря это, видимо не понимают эту страшную боль. Просто нужно всегда быть по уходу при больном и все лекарства должны быть бесперебойно. А было наверно не так. Очень даже жаль. А ещё мода есть у врачей придерживать дозу. Вот так было у сестры в 2016 году. Царство небесное им.</t>
  </si>
  <si>
    <t>https://dzen.ru/a/afjanVU4_3gzLhql?comment-request=1#comment_3282913531</t>
  </si>
  <si>
    <t>05.05.2026 13:47</t>
  </si>
  <si>
    <t>У моего деда была перемежающаяся хромота, ему трентал назначали пить курсами, говорит легче стало</t>
  </si>
  <si>
    <t>http://vk.com/wall-37094416_1421649?reply=1421677</t>
  </si>
  <si>
    <t>05.05.2026 03:18</t>
  </si>
  <si>
    <t>Есть база - это клинические рекомендации Минздрава РФ по заболеванию D86 - саркоидоз. Любой врач при назначении лечения должен руководствоваться этим документом. 7 лет назад они тоже были (ищите в Яндексе: клинические рекомендации саркоидоз 2019) Первая линия как и тогда - пентоксифиллин + витамин Е, препараты и дозировка назначаются только врачом. Оставить пациента с диагнозом и без рекомендаций по лечению врач не может, что-то тут нечисто…</t>
  </si>
  <si>
    <t>http://vk.com/wall-17990792_94549?reply=94554</t>
  </si>
  <si>
    <t>05.05.2026 02:17</t>
  </si>
  <si>
    <t xml:space="preserve">Тексты с изображений_x000d_
ca у telegr_x000d_
Расшифровки_x000d_
Ситуация мне не хватила. Чуть-чуть. Одной таблетки не хватило. Вот такие вот таблетосы. Это симкокси. Не изучают. По идее это все обезболы. Если мне все правильно объяснили. Let's go. Одна нахуй. Что дальше? Кто дальше? Ты кто? Пентоксифилин. Пентоксифилинчик. Вот такие вот таблетосички. Две шестьсот? Почему две шестьсот? Ладно. Чего? А, они по сто грамм. По сто грамм? Миллиграмм. По сто миллиграмм, наверное, надо двести. Два раза в день. Это я сейчас заебусь вот эту всю байдуровщику кружить себе._x000d_
</t>
  </si>
  <si>
    <t>https://telegram.me/koikchan/7494</t>
  </si>
  <si>
    <t>https://telegram.me/koikchan</t>
  </si>
  <si>
    <t>05.05.2026 01:27</t>
  </si>
  <si>
    <t>04.05.2026
Утро- 120/75/56
турмацин атоми (во время еды - 2 темных (19)
Вальсакор 80 (422)
расторопша 1 шт - начало (2)
после еды:
ИГОРЬ -
карведилол 25 мг - (551)
ПЕНТОКСИФИЛЛИН (17) 3 В ДЕНЬ
эспиро (риолма) 25 мг (41)
спирулина - (2) Гинко Билоба - 2—
День
спирулина - 2 капс (2)--—
ВИТАМИН с (47)----—
вечер -
фазостабил 75 мг (43)
ливазо (питавастор) 2 мг (43)
вальсакор 80 мг - 20 ч
турмацин атоми 2 белых во время еды (17)
налгезин - 1 в день 275 мг
габапентин 1 на ночь (10)-----</t>
  </si>
  <si>
    <t>http://vk.com/wall-185694161_87?reply=88</t>
  </si>
  <si>
    <t>05.05.2026 00:57</t>
  </si>
  <si>
    <t>План поддерживающего режима Константина Лукина🔥
💪 Фармподдержка:
— OxyTest E 500мг в неделю
— OxуDeca N 250мг в неделю
— OxyTropin 5 ед (2,5 ед утром, 2,5 ед после тренировки)
✔️ План питания:
4000 ккал
— Б 300
— Ж 120
— У 460
✔️ План тренировок:
— Борьба
— Спина
— Борьба
— Задняя поверхность бедра
— Борьба
— Плечи-грудь
— Передняя поверхность бедра
✔️ БАДы и аптека:
— Витамин D 300.000 раз в месяц
*Перед тренировкой*
— Пентоксифилин 300
— Цитрулин 5г
— Аргинин 5г
— Бета Аланин 5г
* Перед сном*
— Глицин 1500
— Мелатонин 5мг
— Магний 400 мг
— Дафлон 500мг
По всем вопросам и для консультации пишите менеджеру:
📩 @Andrew_OxyShop
Для помощи в консультации по вопросам здоровья отмечайте в чате нашего варча-эндокринолога:
🩺@drAibolit_spb https://oxyshop-market.de/catalog/oxy-test-e/ https://oxyshop-market.de/catalog/oxy-deca-n/ https://oxyshop-market.de/catalog/oxytropin/ https://t.me/+smNqDrWps3RkODky</t>
  </si>
  <si>
    <t>https://telegram.me/c/2605536942/19032</t>
  </si>
  <si>
    <t>https://telegram.me/2605536942</t>
  </si>
  <si>
    <t>05.05.2026 00:23</t>
  </si>
  <si>
    <t>Сейчас первая линия это пентоксифиллин + витамин е .</t>
  </si>
  <si>
    <t>http://vk.com/wall-17990792_94549?reply=94550</t>
  </si>
  <si>
    <t>04.05.2026 23:35</t>
  </si>
  <si>
    <t>Каши, яйца, мясо, хлебцы из цельнозерновой, овощи. Готовлю либо вареное либо на гриле без ничего. Минимум соли "отеки". Пьет Кардиомагнил + атровастатин 40 пожизненно, вазонит, паповерин раз в год курсом. Прописывали ницерголин курс - пропили. Эндокринолог прописал диета стол какой-то там. Контроль сахара после еды 11 до еды 7, при необходимости подкалывать инсулин - какой уже не скажу - беру просто по рецепту по мере скончания. Таблеток не прописали потому что там ещё сопутствующие заболевания ишемия и т.д.</t>
  </si>
  <si>
    <t>https://pikabu.ru/story/zhaluyus_13943619?cid=391420434</t>
  </si>
  <si>
    <t>04.05.2026 22:02</t>
  </si>
  <si>
    <t>[id364243908|Ангелина], у нас биопсию в городе не делают.А в Москве по результатам биопсии что-нибудь подбирают? Скорее всего тоже самое назначают,кроме трентала(пентоксифиллина).Вам подобрали новое лечение? Форсигу принимаете?</t>
  </si>
  <si>
    <t>http://vk.com/wall-5626752_98449?reply=98495&amp;thread=98452</t>
  </si>
  <si>
    <t>04.05.2026 18:50</t>
  </si>
  <si>
    <t>Тринтал</t>
  </si>
  <si>
    <t>https://telegram.me/darixana_nukus/2480383</t>
  </si>
  <si>
    <t>https://telegram.me/2141007721</t>
  </si>
  <si>
    <t>https://telegram.me/darixana_nukus</t>
  </si>
  <si>
    <t>04.05.2026 17:02</t>
  </si>
  <si>
    <t>Пациенту с постиммобилизационной контрактурой тазобедренного сустава целесообразно назначить
1) диадинамические токи
2) флюктуирующие токи
3) токи Ледюка
4) электрофорез трентала
.
.
.
.
.
.
.
.
.
.
Правильный ответ: диадинамические токи 😊
#физиотерапия #физиотерапевт #аккредитация
Купить тесты с ответами в PDF:
Среднее: medik-otvet.ru/product/fizioterapiya/
Ординатура: medik-otvet.ru/product/fizioterapiya_test/ ✅</t>
  </si>
  <si>
    <t>http://vk.com/wall-215871371_1850</t>
  </si>
  <si>
    <t>04.05.2026 16:19</t>
  </si>
  <si>
    <t>Нам прописали трентал для улучшения кровотока, повторно пропить перед холодами, не допускать переохлаждения
В остальном прогноз благоприятный, только наблюдать</t>
  </si>
  <si>
    <t>https://telegram.me/boston_terrier_here/54052</t>
  </si>
  <si>
    <t>https://telegram.me/xeniatu</t>
  </si>
  <si>
    <t>https://telegram.me/boston_terrier_here</t>
  </si>
  <si>
    <t>04.05.2026 16:05</t>
  </si>
  <si>
    <t>Флеболога я вам не подскажу, если вы думаете, что у вас проблемы с сосудами и венами, то для улучшения кровообращения мне назначали трентал.</t>
  </si>
  <si>
    <t>http://vk.com/wall-126883252_374658?reply=374676</t>
  </si>
  <si>
    <t>04.05.2026 15:58</t>
  </si>
  <si>
    <t>Проконсультируйтесь с врачом, знакомому родителей при трофической язве трентал назначали. Если вы его, конечно, не принимаете его</t>
  </si>
  <si>
    <t>http://vk.com/wall-55541786_309162?reply=309171</t>
  </si>
  <si>
    <t>04.05.2026 10:45</t>
  </si>
  <si>
    <t>Отзыв о Пентоксифиллин, таблетки покрыт. плен. об. кишечнорастворимые 100 мг, 60 шт.</t>
  </si>
  <si>
    <t>https://www.ozon.ru/product/711343209/reviews?ruuid=019df117-8bf9-7aef-8220-54de348dfa00</t>
  </si>
  <si>
    <t>04.05.2026 02:42</t>
  </si>
  <si>
    <t>Если он не встаёт или ему трудно встать с постели, то больше похоже на болезнь Паркинсона. Деменция и депрессия обычно развиваются как сопутствующие.
Неврологу бы его показать. При удачно подобранных лекарствах (леводопа, амантадин, трентал..., состояние значительно улучшается. В любом случае, просите его больше пить чистой воды, выходить на солнце, делать простые посильные физические упражнения🙏</t>
  </si>
  <si>
    <t>https://telegram.me/pravoslavievtelege/32022?comment=2532958</t>
  </si>
  <si>
    <t>https://telegram.me/alpentour</t>
  </si>
  <si>
    <t>https://telegram.me/pravoslavievtelege</t>
  </si>
  <si>
    <t>03.05.2026 22:06</t>
  </si>
  <si>
    <t>Ничего критичного, можно добавить Пентоксифиллин</t>
  </si>
  <si>
    <t>https://telegram.me/c/1455776108/86183</t>
  </si>
  <si>
    <t>https://telegram.me/trean_den</t>
  </si>
  <si>
    <t>https://telegram.me/1455776108</t>
  </si>
  <si>
    <t>03.05.2026 09:43</t>
  </si>
  <si>
    <t>При такой пятке основное не мази, а сочетание разгрузки, контроля инфекции и нормального кровоснабжения.
Если кровоток в стопе снижен, рана может заживать месяцами. Поэтому маме желательно, чтобы хирург или сосудистый хирург оценил пульсацию на стопе и сделал УЗДГ артерий ног
Для перевязок при сухом некрозе не рекомендуют жирные мази толстым слоем. После очистки раны используют Левомеколь 1-2 раза в день 7-10 дней, если есть воспаление или отделяемое.
Когда рана станет чище и появятся грануляции, рекомендуют Солкосерил гель или Пронтосан гель под повязки. При диабетических ранах хорошо работают повязки с серебром Аквасель Ag, Мепилекс Ag. Они поддерживают влажное заживление и не пересушивают ткани.
Для улучшения микроциркуляции назначают пентоксифиллин 400 мг 2-3 раза в день до 1 месяца или капельно, но в 88 лет и при диабете это только после очного осмотра и оценки давления, сердца и почек.
Самостоятельно начинать сосудистые капельницы не стоит. Из важного еще это белковое питание, достаточное питье, контроль сахара. Если сахар высокий, пролежни практически не заживают
И еще момент сверлящая боль в пятке бывает признаком глубокой инфекции или вовлечения кости, поэтому надо сделать рентген или КТ пяточной кости</t>
  </si>
  <si>
    <t>https://sprosivracha.com/questions/4308352-prolezhni-na-pyatke#a27526577</t>
  </si>
  <si>
    <t>03.05.2026 01:25</t>
  </si>
  <si>
    <t>Почему немеет подбородок у взрослого мужчины</t>
  </si>
  <si>
    <t xml:space="preserve">Немеет подбородок у взрослого мужчины - это не просто странное ощущение, которое можно списать на усталость или неудобное положение тела. Это тревожный сигнал, который может указывать на серьезные нарушения в работе нервной системы, позвоночника или даже быть ранним признаком системного заболевания. Многие мужчины сталкиваются с онемением подбородка и нижней части лица, особенно после 40 лет, но игнорируют симптом, считая его временным. Однако статистика показывает, что более 60% случаев онемения лицевых зон связаны с патологиями, требующими диагностики и лечения. В этой статье вы получите исчерпывающий анализ причин, механизмов развития, диагностических подходов и практических решений, если немеет подбородок у взрослого мужчины. Вы узнаете, какие состояния могут скрываться за этим симптомом, как отличить безобидную реакцию от опасного сигнала организма, и какие шаги нужно предпринять уже сегодня, чтобы избежать осложнений. Информация основана на клинических исследованиях, данных неврологической практики и актуальных медицинских рекомендациях 2025-2026 годов.
Почему немеет подбородок у взрослого мужчины: ключевые причины и механизмы
Онемение подбородка у взрослого мужчины - это проявление дисфункции чувствительных нервов, иннервирующих нижнюю часть лица. Основной нерв, ответственный за эту зону, - нижнечелюстной нерв (нижний альвеолярный нерв), являющийся ветвью тройничного нерва (V пара черепных нервов). Когда этот нерв подвергается компрессии, воспалению, травме или метаболическим нарушениям, возникает потеря чувствительности, покалывание, "ползание мурашек" или ощущение "ватности" в области подбородка, нижней губы и иногда передних отделов языка. Частота таких жалоб среди мужчин старше 35 лет составляет около 12% по данным эпидемиологических исследований, опубликованных в журнале *Neurology Today* (2025). При этом лишь каждый третий обращается к врачу, что увеличивает риск прогрессирования скрытых заболеваний.
 Наиболее распространенные причины онемения подбородка можно разделить на несколько групп: неврологические, стоматологические, травматические, системные и опухолевые. Среди неврологических факторов лидирует шейный остеохондроз с компрессией корешков спинного мозга C2-C3, которые могут влиять на проводимость сигналов к тройничному нерву через рефлекторные дуги. Другой частой причиной является невралгия тройничного нерва, хотя она чаще поражает верхние ветви, в редких случаях затрагивает и нижнюю. Также важным фактором является диабетическая полинейропатия: при длительном сахарном диабете II типа повреждаются периферические нервы, включая чувствительные ветви лица. Исследования показывают, что у мужчин с диабетом риск онемения подбородка в 3,7 раза выше, чем у здоровых сверстников.
 Стоматологические причины часто недооцениваются. Вмешательства на нижней челюсти - такие как удаление зуба мудрости, имплантация или протезирование - могут привести к временному или длительному повреждению нижнего альвеолярного нерва. По данным клинических наблюдений, до 15% пациентов после сложных экстракций сообщают о временном онемении подбородка, которое проходит в течение нескольких недель. Однако у 2-3% людей симптом сохраняется более 6 месяцев, требуя нейрохирургического вмешательства. Травмы лица и челюсти, особенно переломы нижней челюсти, также могут вызывать компрессию или разрыв нерва. Здесь важно понимать, что даже незначительные ушибы при занятиях спортом или ДТП могут иметь отсроченное действие - отек формируется постепенно, сдавливая нерв.
 Системные заболевания, такие как рассеянный склероз, васкулиты, дефицит витамина B12 или аутоиммунные процессы, также могут проявляться онемением подбородка. Например, при дефиците B12 развивается субакутальная комбинационная миелопатия, которая может начинаться с парестезий в конечностях и лице. У мужчин старше 50 лет онемение подбородка может быть первым симптомом опухоли головного мозга, особенно если оно сочетается с головными болями, нарушением зрения или координации. Метастазы в кости черепа или первичные опухоли в области основания черепа могут сдавливать тройничный нерв или его корешки.
Какие болезни вызывают онемение подбородка: сравнительный анализ патологий
Чтобы понять, почему немеет подбородок у взрослого мужчины, необходимо провести дифференциальную диагностику между различными заболеваниями. Ниже представлена таблица сравнения наиболее вероятных причин, их характерных признаков, распространенности и методов подтверждения.
Причина Характерные симптомы Вероятность у мужчин 30-60 лет Диагностика Прогноз Шейный остеохондроз Онемение подбородка + боль в шее, головокружение, хруст при поворотах Высокая (до 28%) МРТ шейного отдела, ЭНМГ Благоприятный при лечении Стоматологическая травма Онемение после удаления зуба, имплантации Средняя (10-15%) Клинический осмотр, панорамный снимок Часто обратимо за 3-12 мес. Диабетическая нейропатия Онемение симметричное, + онемение стоп, жжение в ногах Высокая при СД II типа Гликемия, HbA1c, ЭНМГ Зависит от контроля сахара Невралгия тройничного нерва Резкие стреляющие боли, триггерные зоны Низкая (2-4%) МРТ с контрастированием Хороший при медикаментозной терапии Опухоль ЦНС Постепенное нарастание симптомов, головная боль, тошнота Низкая, но опасная МРТ головного мозга Зависит от типа и стадии Дефицит витамина B12 Анемия, усталость, покалывание в руках и ногах Средняя (особенно при вегетарианстве) Анализ крови на B12, MMA Обратим при замещении 
Из таблицы видно, что наиболее частыми причинами являются остеохондроз и стоматологические вмешательства. Однако важно помнить: если онемение подбородка появилось внезапно, односторонне и не связано с травмой или операцией, необходимо исключить центральные патологии - инсульт, опухоль или рассеянный склероз. Особенно тревожным считается сочетание онемения с другими неврологическими симптомами: нарушением речи, слабостью в руке, двоением в глазах. По данным Национального института неврологических расстройств, до 7% мужчин с изолированным онемением лица имеют признаки преходящего нарушения мозгового кровообращения (ТИА), которое может перерасти в инсульт.
 Еще один важный момент - локализация и симметричность. Если немеет только правый или левый подбородок - это чаще указывает на периферическое поражение (например, компрессию нерва). Если онемение симметричное, охватывает обе стороны - возможны системные причины: метаболические нарушения, дефицит витаминов, токсическое воздействие. У мужчин, злоупотребляющих алкоголем, часто развивается алкогольная нейропатия, при которой поражаются как периферические, так и черепные нервы.
Пошаговая диагностика: что делать, если немеет подбородок
Если у взрослого мужчины немеет подбородок, первое, что нужно сделать - не паниковать, но и не затягивать с визитом к врачу. Ниже приведена пошаговая инструкция действий, основанная на алгоритмах диагностики, рекомендованных Европейской ассоциацией неврологов (2025).
Оцените ситуацию: Запишите, когда началось онемение, с какой стороны, есть ли боль, жжение, покалывание. Были ли недавние стоматологические процедуры, травмы, инфекции? Сохраняется ли симптом постоянно или он проходит и возвращается?
Проверьте другие симптомы: Есть ли слабость в руке или ноге, нарушение речи, головокружение, проблемы со зрением? Эти признаки требуют немедленного обращения в скорую помощь.
Обратитесь к терапевту или неврологу: Первичный врач проведет неврологический осмотр: проверит чувствительность, мышечную силу, рефлексы, координацию. На основе этого будет решено, к какому специалисту направить дальше - стоматологу, неврологу, эндокринологу или онкологу.
Пройдите инструментальные исследования: В зависимости от подозреваемой причины назначаются: 
МРТ шейного отдела позвоночника - при подозрении на остеохондроз;
МРТ головного мозга - при подозрении на опухоль, инсульт, рассеянный склероз;
Электронейромиография (ЭНМГ) - для оценки проводимости нервов;
Панорамный снимок или КТ челюсти - при стоматологической травме.
Сдайте анализы крови: Обязательно - общий анализ, глюкоза, HbA1c, витамин B12, фолиевая кислота, маркеры воспаления (СРБ, РФ), антитела при подозрении на аутоиммунные болезни.
Получите лечение: После установления диагноза начинается терапия. Она может включать медикаменты, физиотерапию, коррекцию образа жизни или хирургическое вмешательство.
Важно: если онемение началось внезапно, особенно при наличии факторов риска (гипертония, курение, ожирение, высокий холестерин), необходимо сразу вызвать скорую. Это может быть проявлением транзиторного ишемического удара (ТИА), который предшествует инсульту в 30% случаев. По данным ВОЗ, своевременная диагностика и лечение в первые 4,5 часа позволяют предотвратить необратимые последствия в 70% случаев.
Лечение и восстановление: практические подходы и примеры
Лечение, если немеет подбородок у взрослого мужчины, зависит от установленной причины. Ниже представлены наиболее эффективные методы, подтвержденные клиническими исследованиями.
 При остеохондрозе: Комплексная терапия включает противовоспалительные препараты (НПВС), миорелаксанты, физиотерапию (магнитотерапия, ЛФК, тракционная терапия). Важно нормализовать осанку, исключить длительное сидение, использовать эргономичные подушки. В одном из кейсов - мужчина 48 лет с хроническим онемением подбородка и болями в шее - после 6 недель ЛФК и коррекции рабочего места симптом полностью исчез.
 При стоматологической травме: В первые месяцы применяют нейропротекторы (альфа-липоевая кислота, витамины группы B), физиолечение (электростимуляция нерва). При отсутствии восстановления через 6-9 месяцев возможно хирургическое декомпрессирование нерва. Эффективность операции - до 60% в случаях, когда нерв не поврежден полностью.
 При диабете: Ключевой фактор - контроль уровня глюкозы. HbA1c должен быть ниже 7%. Добавляют препараты, улучшающие микроциркуляцию (пентоксифиллин, берберин), антиоксиданты. У одного пациента с 10-летним стажем диабета онемение подбородка исчезло через 4 месяца после начала строгого контроля сахара и приема альфа-липоевой кислоты.
 При дефиците B12: Назначают внутримышечные инъекции цианокобаламина или пероральный метилкобаламин. Полное восстановление чувствительности занимает от 2 до 6 месяцев. Особенно важно при вегетарианской диете или заболеваниях ЖКТ.
 При опухолях: Лечение зависит от типа и локализации новообразования. Может применяться хирургия, лучевая или химиотерапия. Прогноз во многом определяется ранней диагностикой.
Распространенные ошибки и как их избежать
Многие мужчины, столкнувшись с онемением подбородка, допускают типичные ошибки, которые усугубляют ситуацию:
Игнорирование симптома: "Пройдет само" - самая опасная установка. Особенно если симптом сохраняется более 3 дней.
Самолечение: Прием НПВС или витаминов без диагноза может маскировать серьезное заболевание.
Откладывание визита к врачу: Чем раньше начата диагностика, тем выше шанс на полное восстановление.
Недооценка стоматологических причин: Не все понимают, что удаление зуба может повлиять на нервы лица.
Отказ от МРТ: Из-за страха или стоимости. Но это ключевой метод визуализации нервов и мозга.
Чтобы избежать этих ошибок, используйте чек-лист:
Чек-лист: что делать при онемении подбородка 
Записал симптомы (время, локализация, характер)?
Проверил наличие других неврологических признаков?
Записался на прием к врачу в течение 48 часов?
Подготовил историю болезни (диабет, травмы, операции)?
Готов пройти необходимые обследования?
Вопросы и ответы: что важно знать мужчине
Может ли онемение подбородка быть признаком инсульта? Да, особенно если оно появилось внезапно, сочетается с нарушением речи, слабостью в руке или головокружением. Это требует немедленного вмешательства. Даже изолированное онемение может быть ТИА - "мини-инсультом", предвестником крупного.
Через сколько проходит онемение после удаления зуба мудрости? В 85% случаев - в течение 3-8 недель. Если симптом сохраняется дольше 3 месяцев, требуется консультация нейрохирурга. Полное восстановление возможно до 12 месяцев, но не гарантировано.
Может ли стресс вызывать онемение подбородка? Сам по себе стресс не повреждает нервы, но может усиливать симптомы при уже существующем поражении. Также при хроническом напряжении мышц шеи и лица возможна ирритация нервных окончаний, что создает ощущение онемения.
Нужно ли делать МРТ при легком онемении? Да, если симптом не исчезает за 3-5 дней. МРТ - единственный способ увидеть компрессию нерва, опухоль или демиелинизацию. Рентген не показывает мягкие ткани и нервы.
Можно ли восстановить чувствительность полностью? В большинстве случаев - да, особенно при своевременной диагностике. При необратимом повреждении нерва (например, при разрыве) восстановление может быть частичным.
Заключение: что делать, если немеет подбородок
Онемение подбородка у взрослого мужчины - это не просто дискомфорт, а потенциальный сигнал о нарушениях в нервной системе. Причины могут быть как относительно безобидными (например, следствие стоматологической операции), так и крайне серьезными (опухоль, инсульт, диабетическая нейропатия). Ключевой фактор успеха - своевременная диагностика. Чем раньше начато обследование, тем выше шанс на полное восстановление чувствительности и предотвращение осложнений. Не стоит игнорировать этот симптом, надеясь, что он "пройдет сам". Используйте предоставленный чек-лист, пройдите необходимые обследования и работайте с врачами. Помните: ваше здоровье - в ваших руках, и первый шаг к выздоровлению - осознанное обращение за помощью. 
</t>
  </si>
  <si>
    <t>https://dadanews.ru/obschestvo/pochemu-nemeet-podborodok-u-vzroslogo-muzhchiny/</t>
  </si>
  <si>
    <t>03.05.2026 00:48</t>
  </si>
  <si>
    <t>Пентоксифилин, тот-же самый трентал. Трентал- импортный, пентоксифилин выпускает Россия.</t>
  </si>
  <si>
    <t>http://ok.ru/group/70000001016930/topic/157362037103970#QUFBQm5lbk9zSzBpbHc9PToxNTczNjIwMzcxMDM5NzA6MQ==</t>
  </si>
  <si>
    <t>03.05.2026 00:44</t>
  </si>
  <si>
    <t>Трентал есть в аптеках, только, что проколола три укола,тысяча с копейками</t>
  </si>
  <si>
    <t>http://ok.ru/group/70000001016930/topic/157362037103970#QUFBQm5lbktZeTAvNHc9PToxNTczNjIwMzcxMDM5NzA6MQ==</t>
  </si>
  <si>
    <t>02.05.2026 22:23</t>
  </si>
  <si>
    <t>Хороший доктор 6 сезон 19 серия</t>
  </si>
  <si>
    <t xml:space="preserve">Расшифровки_x000d_
ЛИМФЕДЕМА САН-ХОСЕ, БОЛЬНИЦА СВЯТОГО БОНАВЕНТУРЫ ВОДОРАСТВОРИМЫЕ СУБСТАНЦИИ ПРОХОДЯТ ЧЕРЕЗ ПОРЫ И все вместе! Да! Зажигайте! Да! И все вместе! Зажигайте, вот так! Backstreet вернулись, о да! Боже мой, мы снова здесь! Я всё, что тебе нужно, так что лучше зажигай. ДОКТОР ФЭЙВЕЛЛ: ЧТО ВЫ РЕШИЛИ? МАЛЬЧИК ИЛИ ДЕВОЧКА? ПРОСТИТЕ, ДАВАЙТЕ ПЕРЕНЕСЁМ_x000d_
Previously on The Good Doctor ... I want to do another embryo transfer ASAP. You have some lettuce. - Oh. - No, no, no. Here. Dr. Glassman, it would be hard to lose my father just as I am about to become one. Do the scan for me. Please hold still. I'm breathing. You moved your head. Shaun, go away and let the technician do his job. I sent him out for coffee. I am now scanning the location of your prior tumor. Did you decline maintenance chemotherapy? It's hard to hold still while I'm talking. Dr. Blaize recommended six cycles of temozolomide. The slight benefit of that stuff wasn't worth the constant nausea. The benefit is statistically-- Shaun, I made my choice. You chose wrong. There's a spot on your brain. There's the right ovary. And that looks like the-- Corpus luteum. The endometrium is smooth and around 13 millimeters, which means my uterine infection is cleared. Carrying the pregnancy to term should be a lot easier this time. Your transfer is on my schedule for tomorrow evening. Fantastic. And you have two high-grade embryos available. Do you want a boy or a girl? You don't have to decide now. Just let me know before the embryo transfer. Seven and a half hours. Uninterrupted? Didn't even have to wake up to use the bathroom. So? Six hours, 45 minutes. Oh, winner, winner, pancakes for dinner. I really thought I had it in the bag. How'd you do, Danny? How much sleep you get? Over or under? No clue. Hold up. - Morning, all. - Morning. Dr. Allen. Good morning, Dr. Kalu. Park is doing a hip arthroscopy today. I'd like to scrub in. Sorry, I'm already assigned to Park. I'm thinking about specializing in ortho, so how about a trade? How about no? Sorry I asked. Go, team. Brady Sullivan. Oil rig worker. Metal sheet hit him. Severe chest and pelvic injuries. O2 sats are critical. Brady, I'm Dr. Andrews. He's non-responsive. Sluggish pupils. major hemorrhage. GCS six, no head trauma. Three-inch right-sided sucking chest wound. Collapsed lung. That's from the support hook. The metal sheet he was welding caused another injury. How deep does this go? Down to the spinal column. He's nearly cut in half. It's scar tissue from the radiation. Could be, but the FA value-- Is more consistent with a glioblastoma recurrence. That's right, and the path of the radiation they blasted me with, that Swiss cheese look, textbook necrosis. The irregular shape implies a multifocal cancerous lesion. I've been looking at brain scans since before electricity. I think I know what scar tissue looks like. You are not objective here. Oh, right, and you are? Neither of you are. If that lesion is cancer, a DNA spinal fluid analysis will confirm it. Yes. That is objective. I'll do a spinal tap and send it to the lab. Should have results in 24 hours. Fine. I'll set it up. O2 sat's 68. Chest tube's in, draining a lot of blood. Every time I clamp a bleeder, another one pops up. Dr. Lim? Where do you want us? We're busy with the chest trauma. I need you guys on the pelvic injury. How do we remove it? You don't. It's the only reason he didn't bleed out. I need you four to figure out a plan to reattach his lower half. Read every journal. Study every case report. Check all the international surgery registries. Look everywhere. PA ruptured. Gotta move him. OR one, now. Give me the baby. No, no, no, no, no, no. I'm here for Jazz. - Just hand her to me. - I don't know you. I don't know you. - Sir, please. - Hold on, let me talk to him. I'm a doctor here. I can help you. I don't need a doctor. I need Jazz. Jazz. Is Jazz the mother? You're trying to help the baby? Jazz... Jazz passed out and then the, uh... the flashing lights took her. An ambulance? There's an encampment over on Elm. Is that where you and Jazz were? Then she's a patient here. They didn't see the baby in her tent. She didn't sound good. She... she needs her mama. You did the right thing bringing her here. Can I examine her? Uh... and you'll... you'll find... you'll find Jazz? I promise. We have a code pink. The baby's in heart failure. You may have saved her life. Found another tear in the pulmonary artery. A big one. Every major artery in this lung is damaged. His body needs to divert every resource it has to his vital organs. We should amputate his lower half. We're not there yet. It's barely hanging on. But it is. We're gonna try to save it. It's a big job to hand the residents. Good thing I hire the best. This vessel's too damaged to repair. I need to clamp the trunk. Start the clock on lung ischemia. I think we should sack the upper segmental pulmonary artery. That would mean he'd lose his upper lung lobe. He has a physical job. If we end up amputating, he's not gonna be working oil rigs. But he could be playing wheelchair basketball. PTFE graft on his artery could save his lung. Okay. Central line is in. Pushing milrinone to increase cardiac output. Severely decreased heart function, but her chambers look normal. Increasing high flow oxygen. BP is improving a little. - Found it. In her posterior chest, there's a critical-- Narrowing of her aorta. Her eye spacing is approximately six millimeters wider than the upper limit of normal. She also has slightly low-set ears and her hands are swollen. She has Turner syndrome. If we don't get that narrowing fixed in the next few days, she'll die. It won't be easy to access, but I need an angio for a better view. I'll locate the mother and get consent. Brady's pelvis is broken and separated from the spinal column. So to reattach his lower half, we need to repair the pelvis, plus all the damaged organs, plus the major vascular injuries, and then find a way to ensure it all heals. Are we even doing the right thing by trying to fix this? You want to give up before we even start? I've just never read anything supporting reattaching this kind of injury. Could kill him. Amputation is the safest thing to do. Lim already knows about that option. - Our job is to find a better one. - No, our job-- Danny's right. We need to divide and conquer. I will work on organ damage. I'll focus on public fractures. I need intraoperative imaging to build a 3D model. Oh, well, I'll go with you. I need to see the full extent of the vascular injuries. That leaves you to figure out how these repairs heal. I'll see what I can find. - This is the baby's mom? - We think so. She was brought in a few hours ago from a homeless encampment with a delayed postpartum infection. She's septic. They're optimistic she'll pull through. Soon, let's hope. We've got some big decisions to make for her baby. Her name's Jasmine West. She's homeless and has bipolar disorder. County records show the baby was born seven weeks ago. No dad in the picture, no other family. And this was all she had on her when EMS brought her in. We need your consent for the baby's diagnostic angiogram. Sure. The baby's Turner syndrome makes every procedure, even a diagnostic test, a little riskier. Well, this is your area of expertise. Her baby's name is Eden. Pretty close to the upper lung bifurcation. I reinforced it with sealant. With a synthetic wrap? Are you questioning my surgical skills? getting defensive? Okay. We're done. Let's test it. Good job. Cardiac function stable. You're good to go. Inserting the catheter. What a cute little girl. Little girls are cute. - Mine would be really cute. - Yeah, she'd be adorable. A boy could be adorable too. Are you trying to pick your embryo? I'm leaning towards a girl. I have a playbook to work from. My playbook didn't help me much. A lot of my issues with Kellan came from me trying to stop him from making the mistakes I made. If I'd had a daughter, maybe I wouldn't have dumped all my baggage on her. You should choose a girl. But you're having a boy. We didn't get to choose. In all long-term health metrics, females are more likely to outperform males, although they'll probably make less money. The narrowing is longer than it measured on echo. We should resect the narrowed segment and do an aortic anastomosis. Huge surgery for a baby. It's the only definitive treatment. Very definitive if she dies on the table. Balloon dilation is safer. We can do a bigger procedure in a few years when Eden can tolerate it. Her heart failure could relapse between surgeries. Your two-step approach is safer, but only if the baby gets daily medication and regular follow-up care. That's a lot to ask of a homeless mom. I'll page CPS You two practice the surgery. A lot. His pelvis looks like a jigsaw puzzle with a 100 missing pieces. Jared may be right. You're taking his side. I'm not taking anyone's side. - Scans don't lie. - Okay. I'm not sure if you're mad at him or me, but we all need to get along. Well, you two seemed to be getting along pretty well at the taco truck the other night. That was nothing. Mm-hmm. You're spying on me? I was getting a taco. This green-eyed monster thing is not a good look for you. I'm not jealous. But you're right. We're supposed to be a team. He's just not a good fit. Let's just focus on the patient. Can't see how we're gonna repair all of that arterial damage. What if we don't? They could bypass it. All of it. This paper by Dr. Alice Chen features interesting data on tumor treating fields for GBM tumors. I'm trying to enjoy my tuna melt. Dr. Chen is starting a new study soon. You should call her. I'm not gonna spend the day chasing down cancer treatments because I don't have cancer. Okay, there is a higher probability of cancer relapse because you refused maintenance chemotherapy. I'm not gonna talk about this. Recurrent GBM causes much worse symptoms than temozolomide. That's the decision I made. I'm going crazy. There are three crib sets I like. I just can't decide. Could you guys go to the store after work tonight and pick your fave? I have to go practice the baby's surgery. I will see you after work. Oh, my God! Should I be worried? About me? No. We're going to kill him trying to save the lobe of his lung. Removing it still leaves him with 4/5ths capacity. When there's a chance you might lose half your body, everything you have left matters. I need lobectomy instruments. This is my OR, my department. My hospital. And when a doctor's judgment is compromised, it's my responsibility to step in and protect our patients. In what possible way am I compromised? Are you implying that my time in a wheelchair is affecting my objectivity? How could it not? This is my patient. And I'm your boss. You can either do this with me, or I'll find someone who will. Deaver retractor. After they fix the colon, Lim can use some preserved bowel to create a new bladder like these Korean surgeons did. That would work perfectly with what I found. We can bypass all of the artery injuries through two Dacron conduits directly to his lower extremities. And the improved blood flow would help with my idea with his pelvis. So skin flaps, Dacron artery bypass, neo-bladder, bowel repair with biomaterials, and... a badass, Wolverine-like adamantium skeleton. It's experimental, but it's pretty damn cool. Now, how do we make sure all this heals? There's one study in Canada. A cocktail of recumbent growth hormones and pentoxifylline showed a threefold increase in traumatic wound healing rates. That's great. There's only four patients, and none of them had the same injuries as Brady. So no one got cut in half with a metal sheet on an oil rig? Great, I guess we just toss that study out. I'm just saying, I wish we had something better. I'll happily take a threefold increase. This is a workable plan. Good, because Lim wants an update. Some promising ideas, but there's a lot of frail tissue to heal. I found a study using growth hormones to accelerate the healing. Interesting. Would that work here? There was a threefold plan that we had-- Well, hang on, I want to hear from the guy who did the research. I'm not confident it would. You guys said you had a workable plan. It can work. Jared's being overly cautious. If you close the pelvis without good vascular support, all these repairs will get necrotic. We will have good support. The Dacron conduit to restore blood flow-- Not normal flow and not quick enough. Oh, dude, you've been doom and gloom from the start. - I've been-- - Enough. Find a way to heal him. I don't care who it comes from, but I need it soon. The nurse said she's responding to the medication. How long will Eden be in the hospital after the surgery? Two weeks. Jasmine's on the wait list for long-term housing. She might have a place by then. Also, uh, is this safe if she keeps breastfeeding? The police found this This is a bipolar mood stabilizer. It's safe. How long has she been taking this? She saw her psychiatrist for the first time in years about five weeks ago. She responded to it in the past. She had a follow-up scheduled with him tomorrow. There's another treatment option for Eden. I know, I know. It's disgusting. You're gonna think, "What are the percentages?" Trust me, you change his diapers and you are gonna bond with your son. Okay, here is the Angelic Dream Set. And be attentive to Lea. Be extra attentive. She's gonna be sleep-deprived. You are gonna be sleep-deprived. You're both gonna want to lose it. Don't. This mattress is very comfortable. This dark wood is a little bit funereal. The baby won't care about the color. It's all about first impressions. It's a newborn, you know? Clean slate. You want to surround it with beautiful things. A stuffed, soft-- No, you don't want to do that. That's a hazard. But these spinny things-- what do you call these? Mobiles, mobiles. You know, everywhere he looks, you want him to be interested, stimulated. Beautiful sounds. Beautiful music. Mozart. Joni Mitchell. If you want to talk about something other than selecting a crib, it should be brain cancer treatments. Oh my God! I don't want to think about that. I can't not think about it. In 12 hours, we will have results-- - Exactly. - We should be prepared. Okay, Shaun, stop. Just... just stop for a second Sit down. If I have cancer, I'd be at stage four, right? There's no miracle cure for that. You still haven't called Dr. Chen in Cleveland. I read her paper. It doesn't work with recurrent GBM. How can you think about teddy bears when you might be dying? If you're right, Shaun, then I won't be here when your son is born. I won't be here to help you. We'll know when we know. I like the lighter wood. So do I. What else should I know about diapers? Lung lobe is out. These segmental vessels are damaged. Running 7-0 sutures should fix them. Why bother? The upper lobe is out. If we can get Perez's Dacron graft to work, we could use them to save his lower half. Very unlikely. The residents are working on it. And obviously not succeeding. First, I'm compromised, now you're slagging on the residents? Two are on probation, you let another one go, and her replacement is someone I fired. He's also the world's most experienced first-year, and he brings a new perspective to the mix. And training these guys is my job. Your job is to make my job easier. I thought it was to run a great surgical department. If you were doing that, I wouldn't have to think about that department as much as I have recently. Vessel loops. You changed the baby's surgery? We weren't giving Jasmine enough credit. She's done a lot to turn her life around since Eden was born. For seven weeks. And with this new treatment plan, she has to keep it up for seven years. A baby can change a person. Code pink, NICU bed three. That's Eden. Lim asked for my opinion. I met so many rich, entitled guys like you in college, and I couldn't stand them-- even the ones I slept with. If you can't handle the hard work, just get in your Lamborghini and go home. Sherry Lewis. One of my last patients in Denver. Late-stage ovarian cancer. Treatment's pelvic exenteration. You remove everything. The bladder, colon, uterus, and vagina. Now, in success, the patient lives with colostomy and urostomy bags, severe menopause, and absolutely no sex life. Well, it's brutal but effective. Would have been. But I talked my attending out of it, in favor of an experimental surgery. A wide excision of all the tumors, then you reconstruct the entire pelvic floor with TRAM flaps. Incredibly advanced. The type of stuff you're talking about doing to Brady. Sherry, um... Sherry died on the table. And I left Denver. We take risks and people die. But if we play it safe, they die too. I'd rather regret fighting too hard for a patient than not hard enough. Why would your daughter shave your cat? Long story. Point being, don't get a cat. Kids are gonna tell you they're gonna clean the litter box. They're not gonna clean the litter box. Don't fall for that trap. You made a lot of mistakes. Yeah. It all boils down to Maddy's mom basically raised her while I focused on work. You were a surgeon. She was a real estate agent. I love surgery. I love poking around in people's brains. It's very exciting. And I get to save some lives while I'm at it. Saving lives is very exciting. So were Maddy's first steps, her first words, her first piano recital, or so I heard. Work over family, and that's what you get. You're not gonna make the same mistakes. I don't think I will. We are very different people. Are we? I have learned some very useful things from you. Well, right back at you. The baby needs surgery. The crib needs to be assembled. Go. But you chose work way too often. When should I prioritize family? When you have a sick baby and a piece of furniture, the sick baby wins every time. Go. I got this. Serial debridement. Helps healing a little, but... it increases infection risk a lot. Well, then I'm tapped out. Me too. I guess we should tell Lim. Lamborghinis. Now, most sports cars use pressurized combustion to achieve that kind of performance, but not Lambos. No, no, no, no. To reduce engine wear, they use vacuums to pour gas into the pistons. Now, Brady's organs won't heal because we can't get enough flow to them, but if you force more blood into the area, well, then we cause lethally high abdominal compartment pressure. So... Let's pull in the blood passively by creating a vacuum using internal suction devices. A low pressure system with low tissue stress is better for healing. That's... That's a brilliant idea. But it won't work. Not without blood coming into the right areas. I need your help with that. Where do you need the blood? It's what we proposed earlier, plus a healing plan that Jared-- I can read. Good work. It's four experimental techniques rolled into an eight-hour surgery with lousy odds of success. Let's give it a try. Dacron conduits are connected to the aorta. Do the anastomosis sites look secure enough? Any weak spots in there will move that metal. He'll bleed out. They know. On three. One, two, three. We have hemostasis. And good blood flow through the conduits. Tissue's perfusing. Yes! Yes! Time to move on to the pelvic fractures. This is much more important than assembling a crib. But patients will always need surgery, and my family will always need attention. If there's no clear choice between a patient and your family, pick the one that's related to you. Hmm. Obviously, choose family when you can, but sacrifice is part of the job. That's a good point. But you are divorced. That is more sacrifice than I want. Fair. Eden's O2 sat just dropped a bit. I'm nowhere near her lungs. Turner syndrome causes leaky vessels. The stress on Eden's body is causing lymph fluid to build up. We can drain it with a chest tube. Her chest is so small, you'd risk a collapsed lung and pleural infection. I could clear the lung with diuretics. The risks and benefits of both treatments are nearly identical. But that also means it doesn't matter which one we choose, which makes the choice easy. I find inserting chest tubes particularly satisfying, so I will do that. of a boy and a girl are nearly identical too. But girls kick ass. This implant's gonna be a tight fit around the cauda equina. The bioengineer's mapping algorithm was designed to optimize stability. Well, Brady's not an algorithm. His nerves are gonna run where they run. I'll set it in position. Nerve impingement. I'll expand the narrowing with a rod. Wait, there's an alternate algorithm that can fix that. Settle down, Dr. Allen. I got this. That's $100,000 worth of tech, and she's using a rod. Nerve activity flattening. One more minute. The old cantilever maneuver. Nice work. Can't beat the classics. Eden's surgery went well, so I was hoping Jasmine might-- V-fib. Ran a code for an hour, but... she'd just been through too much. Vacuum devices are in position. Let's see if they work. Keep a close eye on his intra-abdominal pressure. We have vacuum. IA pressure's okay. Time for the tissue flaps. Looking good, Lambo. a small spike in IA pressure. Increasing vacuum suction. Still climbing. Pressure's compressing his organs. He's getting ischemic. I'm going up to 55. He's in shock. I did this. You didn't do anything. We're in this together. We need to amputate. Not yet. Audrey, pressure's too high. We're killing his organs. I think he's wrong. Then fight for your patient. All right. We need a Liston amputation knife, a bone saw, and a set of 5 1/2-inch hemostats. He can handle 75. With that kind of pressure, he'll bleed out. Normally, yes. But the Dacron conduits Dr. Perez chose are more rigid than typical vessels. They'll hold up. Let's do it. I trust my residents, Marcus, and I need you to trust me. Let's go to 75. Brady's family are here. Is my husband-- The surgery was a success. It will be a long recovery, but-- Oh. Thank you for saving my dad. I'll take you to him. I should be dead on my feet, but I just feel-- - Awesome? - Yeah. It's been 24 hours. I just need a minute. A minute won't change the results. No, it won't. No cancerous DNA detected. I was wrong! Yes, you were. ♪ Everybody ♪ ♪ Yeah ♪ ♪ Rock your body, yeah ♪ ♪ Rock your body right ♪ What? ♪ Backstreet's back, all right ♪ I'm gonna keep up this same energy with some Whitney. You were right. You always are. You're learning. ♪ Oh, my God, we're back again ♪ You know, before when I was bitching about Jared, it's because... Well, I am a little jealous. A little? What you saw between Jared and I-- It's none of my business. You deserve somebody who's ready to fully commit. Somebody who makes you happy. Whoever that may be. - ♪ Yeah ♪ - Danny! We need your boy band face for the chorus. - Come here. - Yeah, we need those abs. Get up here, baby! ♪ Am I everything you need ♪ ♪ You better rock your body now ♪ ♪ Rock your body ♪ The new surgical robot is operational, and I just landed the perfect nephrectomy for its inaugural run. Dibs. Ah, you did the last cool case. This one's going to Dr. Murphy. This is cool. Dr. Park should take it. I have to finish setting up our nursery. Hey. Good job today. Thanks. I've been under the microscope with the board lately, and I am stressed. Things were said that probably shouldn't have been. Things weren't said. You said them. If you don't trust me, fire me. And if you do, then stay out of my way. Dalisay? The baby's upset. Her heart? No, everything's fine there. I just... I think she needs some company. I'll get to her when I can, but I'm slammed. I'm here, Eden. You can open your eyes now. It's so sweet. The crib. The dresser. It's the Angelic Dream Set. The dark walnut was funereal, but it also came in natural pine. Oh, our little peanut is gonna love it. Whatcha got there? There are two screws missing. That is not good. No Biggie, Shaun. It's just a couple screws. No, that means Dr. Glassman missed a step. Dr. Glassman doesn't have brain cancer, but there is something wrong with his brain._x000d_
</t>
  </si>
  <si>
    <t>http://vk.com/video-237610432_456239650</t>
  </si>
  <si>
    <t>02.05.2026 20:17</t>
  </si>
  <si>
    <t>[id15401333|Сергей], мне онколог в Напалкова тоже так говорил. Но я там был после EBUS одновременно с проведением КТ туловища (лимфоузлы средостения+брюха), и так как лимфоузлы на фоне «активного наблюдения» (600мг пентоксифиллина+400мг вит.Е) начали уменьшаться, он посчитал извлечение целого лимфоузла нецелесообразным, так как от такого лечения при лимфопролиферативных заболеваниях не уменьшаются, и это уже полноценная торакальная хирургия со сдуваением и последующим надуванием легкого с долгим восстановлением, возможны осложнения и т.д.</t>
  </si>
  <si>
    <t>http://vk.com/wall-17990792_94516?reply=94531&amp;thread=94525</t>
  </si>
  <si>
    <t>02.05.2026 18:20</t>
  </si>
  <si>
    <t>Но пентоксифиллин есть</t>
  </si>
  <si>
    <t>http://ok.ru/group/70000001016930/topic/157362037103970#QUFBQm5laHJpSjBISnc9PToxNTczNjIwMzcxMDM5NzA6MQ==</t>
  </si>
  <si>
    <t>02.05.2026 18:00</t>
  </si>
  <si>
    <t>Трентала уже давно нет в аптеках...</t>
  </si>
  <si>
    <t>http://ok.ru/group/70000001016930/topic/157362037103970#QUFBQm5laFpSUjArOFE9PToxNTczNjIwMzcxMDM5NzA6MQ==</t>
  </si>
  <si>
    <t>Забайкальский</t>
  </si>
  <si>
    <t>02.05.2026 17:48</t>
  </si>
  <si>
    <t>Хотя бы пентоксифиллин
В дерматологическом журнале американской медицинской ассоциации д-р А.И.Рубинштейн и соавторы опубликовали JAMA Dermatology опубликовали результаты клинического исследования 2 фазы, посвященного оценке эффективности перорального аналога пентоксифиллина (PCS499) у пациентов с липоидным некробиозом (ЛН).
В открытом нерандомизированном исследовании приняли участие 12 женщин с гистологически подтвержденным диагнозом ЛН (средний возраст – 41 год). Все женщины получали PCS499 в дозировке 900 мг дважды в день на протяжении 6 месяцев, в некоторых случаев продлением ещё на 6 месяцев.
Препарат продемонстрировал благоприятную переносимость.
Наиболее частыми нежелательными явлениями (НЯ) были легкие нарушения со стороны желудочно-кишечного тракта (33%), серьезных НЯ зарегистрировано не было.
У двух пациенток с язвенной формой ЛН к 6 месяцу терапии отмечено было уменьшение площади язвы &gt;75% и полное закрытие в последующие 6 месяцев продолженного лечения.
Из 10 больных, завершивших лечение, 50% достигли статуса «чистая или почти чистая кожа» (по IGA 0/1) в среднем за 111 дней.
Зафиксированы были значимые улучшения состояния кожи по оценке лечащего врача (PGA), по шкале выраженности пигментации и воспаления ЛН (NLCUS) и результатам опросника Skindex-29.
По мнению исследователей, с учетом фактического отсутствие одобренных американским Управлением по санитарному надзору за качеством пищевых продуктов и медикаментов (FDA) методов лечения ЛН, полученные данные свидетельствуют о необходимости проведение более крупных контролируемых исследований.</t>
  </si>
  <si>
    <t xml:space="preserve">Тексты с изображений_x000d_
короводности_x000d_
</t>
  </si>
  <si>
    <t>https://max.ru/id7730183173_biz/AZ3oTiz3Ro4</t>
  </si>
  <si>
    <t>02.05.2026 16:25</t>
  </si>
  <si>
    <t>Можно проколоть мовалис у него есть другое название фармацевт знает
Нервные болезни долго лечатся
Хорошо в капельнице пентоксифиллин или трентал это только ценой разные</t>
  </si>
  <si>
    <t>http://ok.ru/group/70000001016930/topic/157362037103970#QUFBQm5lZ0J4d1FiK3c9PToxNTczNjIwMzcxMDM5NzA6MQ==</t>
  </si>
  <si>
    <t>02.05.2026 10:50</t>
  </si>
  <si>
    <t>Боли при мочеиспускании</t>
  </si>
  <si>
    <t>Здравствуйте. Нахожусь на лечении у ревматолога с геморрагическим васкулитом (в ремиссии). Принимаю препараты : Преднизолон 5мг- 1 раз/в сутки и Пентоксифиллин 100мг- 3 раза/в сутки. Больше недели температура днем 37-37,3 Сделали УЗИ почек( эхопризнаки цистита. неспецефические изменения в паренхиме почек)и 2 раза сдавала мочу. Моча была нормальная. Врач соответсвенно при отсутсвии жалоб и МОА ничего не назначила, кроме Амоксиклав 10 дней, так как подозрения были на мой хронический тонзилит. За это время кроме температуры и боли в пояснице ничего не беспоколило. С болью в пояснице обратилась к нейрохирургу, который назначил в свою очерь препараты : Эторикоксиб 90мг- 1 раз / 5 дней и Толперизон 150 мг- 3 раза/в сутки. Принимаю препараты 3- ий день. Сегодня утром стало больно писать. Подскажите это цистит? Мне нужно от него пролечиться?</t>
  </si>
  <si>
    <t>02.05.2026 01:07</t>
  </si>
  <si>
    <t>Я не врач, но у меня коксартроз 2-3 и асептический некроз. Прошлый год ходила с палочкой, кололи геалуронку, делала prp, капала пентоксефилин, пила и пью трентал. Прошла реабилитацию в больнице на дневном стационаре- физиотерапия, магнит, ванны.. стало легче, прям гораздо, хирург у которого хотела делать операцию прямым доступом, сказал: коллеги постарались, по возможности, если нет болей, тянуть делая при этом все что только можно делать! Мне 52 года. Сейчас хочу еще опять пройти курс prp!</t>
  </si>
  <si>
    <t>https://www.threads.com/@oksanaderunets/post/DXzjcwhiJZU</t>
  </si>
  <si>
    <t>02.05.2026 00:20</t>
  </si>
  <si>
    <t>[id510022494|Айна], вы же были у невролога, ничего не прописал? Мне хорошо помогают препараты с цинаризином (арлеверт например) уходит головокружение и голова проясняется. Но в первые дни приема сильная сонливость. Есть куча препаратов для улучшения кровообращения: мексидол, пентоксифилин, цинаризин, фезам и т.д. В уколах и таблетках. Но это лучше с хорошим неврологом обсудить. Также массаж шеи очень хорошо бы сделать, да хоть на ипликатлре Кузнецова лежать. Ещё бы МРТ мозга сделать, но это как невролог скажет</t>
  </si>
  <si>
    <t>http://vk.com/wall-50079856_1448049?reply=1448219&amp;thread=1448201</t>
  </si>
  <si>
    <t>01.05.2026 22:15</t>
  </si>
  <si>
    <t>Проснулась как-то утром а на голову как будто аквариум надели. Ничего не слышу. Мужу говорю "вызывай скорую!" Приехала неотложка , что-то укололи, посоветовали настойку пиона и пустырника. (Я не шучу) Пошла к ЛОРу. Говорит , что уши чистые, пробок нет. Через неделю левое ухо отошло, а правое так и не слышит уже лет 15. К неврологу обращалась. Выписал капли в нос (но для мозга якобы) и ещё что-то. Эффекта ноль. А через год примерно после этого случая утром на работе онемела половина тела. Я спустилась в неврологию. Положили , начали капать вроде Трентал(не помню уже) и фроксепарин в живот. Потихоньку стало проходить (через месяц прошло). На МРТ всё чисто(небольшой сосудистый рисунок в лобной доле). На узи БЦА (делала недавно перед операцией на артерии-тромб) оказалось сужение по левой позвоночной артерии. Я думаю что к этому привело сдавление (я голову закидывала смотря тв на кухне, т.к. очень высоко повесили). КОММЕНТ ДЛЯ ДОКТОРА☝️</t>
  </si>
  <si>
    <t>https://dzen.ru/video/watch/69f486532464ba6c78065e52?comment-request=1#comment_3290396633</t>
  </si>
  <si>
    <t>01.05.2026 22:09</t>
  </si>
  <si>
    <t>Как правило - это пост вакцинальный васкулит с повреждением волосяных фолликулов. Может ли отрасти шерсть ? Будем надеятся, что отрастет , но процесс может затягиваться от 6 мес и более. Можно пробовать пентоксифиллин и локально протопик и увлажнение. Что касается самой вакцинации ( раз в 2-5-10 лет) это решение ваше и вашего врача</t>
  </si>
  <si>
    <t>https://www.threads.com/@tatjana.onufrieva/post/DXzO_aPjeYm</t>
  </si>
  <si>
    <t>01.05.2026 21:04</t>
  </si>
  <si>
    <t>[id566754207|Маша], мне при люмбаго ишалгия ставили капельницы с дексаметазоном и тренталом, помогло уже с третьей капельницы</t>
  </si>
  <si>
    <t>http://vk.com/wall-15752015_302735?reply=302816&amp;thread=302795</t>
  </si>
  <si>
    <t>01.05.2026 20:45</t>
  </si>
  <si>
    <t>Мне помогли только капельницы с дексаметазоном и тренталом</t>
  </si>
  <si>
    <t>http://vk.com/wall-15752015_302735?reply=302808</t>
  </si>
  <si>
    <t>01.05.2026 19:39</t>
  </si>
  <si>
    <t>Для начала мрт, чтобы узнать наличие грыжи или протрузии. Мне люмбагоишалгия лечили капельницами с дексаметазоном и тренталом, уколы артрозан и комбилипен</t>
  </si>
  <si>
    <t>http://vk.com/wall-88570414_283946?reply=284019</t>
  </si>
  <si>
    <t>Приморский</t>
  </si>
  <si>
    <t>01.05.2026 17:52</t>
  </si>
  <si>
    <t>Чем можно заменить трентал (таблетки)?</t>
  </si>
  <si>
    <t>Давайте будем честными: когда врач выписывает рецепт, мы часто первым делом бежим не в аптеку, а в интернет. И вопрос «Чем можно заменить трентал (таблетки)?» в поисковой строке — классика жанра. Трентал, этот старый добрый пентоксифиллин, десятилетиями верой и правдой служит тем, у кого «барахлит» кровообращение. Но времена меняются, цены кусаются, да и побочки порой заставляют задуматься о поисках альтернативы. Почему вообще ищут аналоги? Как говорится, не всё то золото, что блестит, и не каждое дорогое лекарство — единственное спасение. Оригинальный препарат из Германии хорош, спору нет. Но когда бюджет поет романсы, невольно начинаешь чесать затылок. Бывает и так, что от таблеток начинает «штормить» или желудок объявляет забастовку. Вот тут-то и всплывает та самая мысль: а чем можно заменить трентал (таблетки) без потери качества лечения? Прямые аналоги: те же яйца, только в профиль Самый простой путь — найти так называемые дженерики. Это препараты, в которых действующее вещество (пентоксифиллин) абсолютно идентично оригиналу. Пентоксифиллин. Самый бюджетный вариант. Производят его все кому не лень, от российских заводов до восточноевропейских гигантов. Дешево и сердито? Пожалуй. Но иногда чистота сырья в копеечных таблетках может подкачать. Вазонит. Популярный австрийский аналог. У него есть одна крутая фишка — пролонгированное действие. Таблетка растворяется медленно, поддерживая нужную концентрацию в крови весь день. Удобно, не так ли? Косвенные заменители: другой подход к той же проблеме Иногда, обсуждая с доктором, чем можно заменить трентал (таблетки), вы можете услышать названия лекарств с совершенно другим составом. Это не ошибка. Если Трентал не идет, врачи смотрят в сторону ангиопротекторов и корректоров микроциркуляции с иным механизмом действия. Курантил (Дипиридамол). Любимец многих врачей. Он не только улучшает текучесть крови, но и подстегивает иммунитет. Часто назначается, если нужно «разжижить» кровь, не трогая давление слишком сильно. Кавинтон (Винпоцетин). Если проблема в основном «в голове», то есть нарушено именно мозговое кровообращение, Кавинтон может стать отличным выбором. Он действует мягче и прицельнее. Танакан или препараты Гинкго Билоба. Для тех, кто боится жесткой химии, есть растительные варианты. Конечно, это не тяжелая артиллерия, но для профилактики и при легких нарушениях — самое оно. Важное «но», которое нельзя игнорировать Знаете, в чем главная ловушка? Пытаясь самостоятельно решить, чем можно заменить трентал (таблетки), легко наломать дров. Кровь — штука тонкая. Переборщили с аналогом — получили риск кровотечения, недотянули — не избавились от онемения в ногах или головокружения. Прежде чем выкинуть старый рецепт, спросите себя: а готов ли я рисковать своим самочувствием ради экономии в пару сотен рублей? Самодеятельность в аптеке хороша, когда покупаешь пластырь, но не тогда, когда речь идет о сосудах. Обязательно обсудите свои планы с лечащим врачом, ведь только он знает нюансы вашего организма. Берегите себя, и пусть ваши сосуды работают как швейцарские часы!</t>
  </si>
  <si>
    <t>https://dzen.ru/a/afSFvhFy5VS5ykfz</t>
  </si>
  <si>
    <t>01.05.2026 17:35</t>
  </si>
  <si>
    <t>1200 мг это многовато, меня бы точно сильно мутило. Попробуйте размазать свою дозировку по таблеточке по всему своему времени бодрствования. С будильниками или по часам, например каждые 40 минут. Это неудобно, но может облегчить ощущения. Длительных и необратимых побочек пентоксифиллин не даёт - ничего не испортится и не отвалится, я у нескольких специалистов спрашивал.</t>
  </si>
  <si>
    <t>http://vk.com/wall-17990792_94483?reply=94521&amp;thread=94506</t>
  </si>
  <si>
    <t>01.05.2026 15:29</t>
  </si>
  <si>
    <t>Вообще при проблемах в сердце пентоксифиллин не рекомендуется, так как он приводит к синдрому обкрадывания, ухудшая кровоток в сердце. Это и может давать одышку в том числе.
А УЗИ сосудов ног делали?</t>
  </si>
  <si>
    <t>https://sprosivracha.com/questions/4304858-odyshka-posle-aksh#a27499163</t>
  </si>
  <si>
    <t>01.05.2026 15:25</t>
  </si>
  <si>
    <t>Алена Германовна, здравствуйте. Спасибо за отклик. 3 дня капали Актовегин и Пентоксифиллин . Лекарства ежедневные в эпикризе из кардиоцентра. Капельницы назначены из-за некроза на ноге после взятия материала для АКШ</t>
  </si>
  <si>
    <t>https://sprosivracha.com/questions/4304858-odyshka-posle-aksh#a27499100</t>
  </si>
  <si>
    <t>01.05.2026 14:48</t>
  </si>
  <si>
    <t>@Дарья Смирнова я сделала физио в кулакова в прошлом цикле, в этом врач прописал суперлимф и овариамин. Буду делать, потому что терять нечего...
Мне курантил назначили. Спросила про трентал, сказала, что пока не надо.</t>
  </si>
  <si>
    <t>https://www.babyplan.ru/forums/topic/139903-povtorjajushhiesja-bhb/?do=findComment&amp;comment=22361671</t>
  </si>
  <si>
    <t>01.05.2026 10:21</t>
  </si>
  <si>
    <t>Брак в препарате для разжижения крови нашел Росздравнадзор
Партия «Трентала 400» изъята оборота в аптеках Свердловской области. При выявлении определенной серии упаковок его должны поместить в карантинную зону и снять с продажи.
«Производством лекарства занимается индийская компания „Зентива Прайвет Лимитед“. Причиной изъятия стало выявленное несоответствие по показателю „Средняя масса таблеток“», — говорится в предписании.
Лекарство назначают при нарушениях периферического кровообращения, включая атеросклероз, перемежающуюся хромоту. Также его выписывают диабетикам при ангиопатии.</t>
  </si>
  <si>
    <t xml:space="preserve">Тексты с изображений_x000d_
#шашишупрееверессово алтека ura.ru_x000d_
</t>
  </si>
  <si>
    <t>http://vk.com/wall-99694181_1417030</t>
  </si>
  <si>
    <t>01.05.2026 06:46</t>
  </si>
  <si>
    <t>@La Belle Трентал назначил ре , для улучшения кровотока. Суперлимф ставила после овуляции вагинально в цикле лечения антибиотиками. Но у меня была другая ситуация: эндометрий дорастал до 8-9 мм, при этом происходили бхб. Беременности срывались сразу. Я изучила схемы лечения хэ у девочек и пропила подобную схему сама. Перед этим я сдавала посев к аб и имела на руках анализ, подтверждающий Хэ (3 клетки). Помогло ли мое лечение или пришло мое время, не знаю …
В вашем случае должен быть комплексный подход, препараты и физио. В Нова Клиник советуют Маланову (надеюсь не ошиблась с фамилией). Она занимается физио, готовит эндометрий к переносу. Если есть возможность, можно с ней проконсультироваться.</t>
  </si>
  <si>
    <t>https://www.babyplan.ru/forums/topic/139903-povtorjajushhiesja-bhb/?do=findComment&amp;comment=22361575</t>
  </si>
  <si>
    <t>01.05.2026 04:32</t>
  </si>
  <si>
    <t>Аптечный арсенал натурального атлета.
В этой краткой заметке хочу поделиться с посетителями тренажерного зала, советами, какие фармакологические препараты можно принимать в натуральном бодибилдинге и пауэрлифтинге, без ущерба для здоровья и повышения показателей. Ведь, если мы выбрали натуральный путь в спорте, это не значит, что вход в аптеку нам закрыт ;)
Итак поехали:
1) Первое что я мог бы посоветовать натуральному атлету, пришедшему в аптеку это купить витаминные и минеральные комплексы, например, комплевит.
2) Купить отдельные минералы, препараты которые содержат кальций, магний и калий, например, кальцемин (он содержит еще и цинку), панангин или аспаркам (дешевле).
3) Для сердечка, советую купить рибоксин, его врачи так и величают «Витамин для сердца».
4) Для улучшения многих процессов в организме купите липоевую кислоту.
5) Не забываем о полезных жирах и покупаем рыбий жир и льняное масло.
6) Также отлично стимулирует обменные процессы Калий оротат. .
7) Для накачки и пампинга на тренировки можете приобрести агапурин или трентал (действующее вещество пентоксифиллин).
8) Для повышения энергии приобретите кофеин и женьшень.
9) Для более серьезных натуральных атлетов в аптеке продаются инсулин и гонадотропин (не знаете - не покупайте)</t>
  </si>
  <si>
    <t>http://vk.com/wall2084950_519</t>
  </si>
  <si>
    <t>01.05.2026 03:59</t>
  </si>
  <si>
    <t>03 - Помогите!
Привет форумчанам, если еще кто живой остался на форуме. Пишу от отчаяния, нужна помощь хотя бы советом. Мне 41 и год назад заболел простатитом (или даже не знаю чем) - диагнозы разные ставили (везикулит, СХТБ, застойные явления). Никогда не болел ЗППП, до этого не обращался к урологам - не чувствовал никаких симптомов.
В июле 2025 года у меня появились "грызущие" боли внизу живота над лобком, немного правее от центра (не в паху). Ранее два раза отмечал болезненное семяизвержение в апреле того же года и примерно 4-5 дней учащенного мочеиспускания в мае. В июне никаких симптомов не было.
После появления болей обратился к урологу за медпомощью. Выполнил следующие анализы/исследования:
ОАК + биохимия,
ОАМ + бактериальный посев с опр. чувствительности к антибиотикам,
анализ на ПСА,
ТРУЗИ простаты,
анализ секрета простаты,
бакпосев эякулята,
анализ на половые гормоны,
МРТ без контраста (тк аллергик),
андрофлор из уретры.
В общем кроме УПМ в андрофлоре (Enterobacteriaceae/Enterococcus spp, Peptostreptococcus spp. / Parvimonas spp. Eubacterium spp.) ничего не нашли.
По трузи - кальцинаты слева и участок низкой гипоэхогенности справа. Как раз где примерно болит. Сейчас жду очереди на МРТ с контрастом, рискну сделаю.
В начале пропил короткий курс Таваника 10 дней, вроде полегче стало, но не прошло полностью. Постепенно стали добавляться новые симптомы: проблемы с эрекцией, боли в промежности, зуд/"свирбение" внизу живота по ночам, тянущая боль в пояснице после теплой ванны.
Пробовал моксифлоксацин 10 дней, кларитромицин 10 дней, доксициклин 7 дней, 10 дней орнидозол. После последнего вроде чуть-чуть легче стало.
Замачал что в уретре есть содержимое - пенистая жижа, оч немного и не вытекает. Думал трихи, но посев и мазок ПЦР отрицательный. Не женат, половой жизни больше 5 лет нет, только маст*****я.
Теперь самое главное: за 10 месяцев эта болячка меня истощила полностью. Я похудел на 11 кг, слабость, с утра еле поднимаюсь с кровати. Хочется волком завыть - похоже депрессия накрыла. Что делать я не знаю. Врачи каких-то особых назначений не делают, только АБТ короткими курсами и всякие вспомогательные препараты типа Трентала, витамина Е, БАДов.
Может стоило сразу пока силы были длинный курс антиков пропить. Но кто же тогда знал. Теперь не знаю куда дальше двигать. Что посоветуете?</t>
  </si>
  <si>
    <t>https://hron-prostatit.ru/forum/viewtopic.php?p=445237#p445237</t>
  </si>
  <si>
    <t>01.05.2026 03:53</t>
  </si>
  <si>
    <t>Цитата:
Здравствуйте. Подскажите пожалуйста, есть ли Трентал в ампулах и какая цена
Здравствуйте
ONPENT 153 лиры
Если не будет, то VASOPLAN в ту же цену</t>
  </si>
  <si>
    <t>https://ftour.otzyv.ru/tema/269515/1340/#9031488</t>
  </si>
  <si>
    <t>01.05.2026 00:46</t>
  </si>
  <si>
    <t>Можно принимать.
Из медикаментозных методов лечения рекомендуют при отсутствии противопоказаний и аллергических реакций :
Вазонит- 600 мг в сутки. препарат для улучшения кровообращения в периферических нервах ( нервы конечностей)
Нейромидин 40 мг/суи- препарат для улучшения нервно-мышечной проводимости.</t>
  </si>
  <si>
    <t>https://sprosivracha.com/questions/4302256-rasseyanyy-skleroz-vozmozhno-obostrenie#a27491471</t>
  </si>
  <si>
    <t>01.05.2026 00:00</t>
  </si>
  <si>
    <t>Брак в препарате для разжижения крови нашел Росздравнадзор Партия «Трентала 400» изъята оборота в аптеках Свердловской области. При выявлении определенной серии упаковок его должны поместить в карантинную зону и снять с продажи.</t>
  </si>
  <si>
    <t>Брак в препарате для разжижения крови нашел Росздравнадзор
Партия «Трентала 400» изъята оборота в аптеках Свердловской области. При выявлении определенной серии упаковок его должны поместить в карантинную зону и снять с продажи.
«Производством лекарства занимается индийская компания „Зентива Прайвет Лимитед“. Причиной изъятия стало выявленное несоответствие по показателю „Средняя масса таблеток“», — говорится в предписании.
Лекарство назначают при нарушениях периферического кровообращения, включая атеросклероз, перемежающуюся хромоту. Также его выписывают диабетикам при ангиопатии.
MAКС для всего, для новостей — URA.RU
По материалам MAX-канала "URA.RU"
Подробнее: https://ekaterinburg-news.ru/society/2026/04/30/7645.html
Партия «Трентала 400» изъята оборота в аптеках Свердловской области. При выявлении определенной серии упаковок его должны поместить в карантинную зону и снять с пр...
Брак в препарате для разжижения крови нашел Росздравнадзор - Лента новостей Екатеринбурга
https://ekaterinburg-news.ru/society/2026/04/30/7645.html</t>
  </si>
  <si>
    <t xml:space="preserve">Тексты с изображений_x000d_
arathipitibe???????? аптека инин!!!!!!!!!!!!!!!!!!!!! ura.ru_x000d_
</t>
  </si>
  <si>
    <t>http://ok.ru/group/54782456954971/topic/157785426277211</t>
  </si>
  <si>
    <t>Брак в препарате для разжижения крови нашел Росздравнадзор
Партия «Трентала 400» изъята оборота в аптеках Свердловской области. При выявлении определенной серии упаковок его должны поместить в карантинную зону и снять с продажи.
«Производством лекарства занимается индийская компания „Зентива Прайвет Лимитед“. Причиной изъятия стало выявленное несоответствие по показателю „Средняя масса таблеток“», — говорится в предписании.
Лекарство назначают при нарушениях периферического кровообращения, включая атеросклероз, перемежающуюся хромоту. Также его выписывают диабетикам при ангиопатии.
MAКС для всего, для новостей — URA.RU
По материалам MAX-канала "URA.RU"</t>
  </si>
  <si>
    <t xml:space="preserve">Тексты с изображений_x000d_
#wimiditio??????????? антека) ura.ru_x000d_
</t>
  </si>
  <si>
    <t>http://vk.com/wall-64593569_108201</t>
  </si>
  <si>
    <t>Название отчета:</t>
  </si>
  <si>
    <t>Тромболикс, Трентал</t>
  </si>
  <si>
    <t>Период:</t>
  </si>
  <si>
    <t>01 - 31 мая 2026</t>
  </si>
  <si>
    <t>Контекст:</t>
  </si>
  <si>
    <t>Объекты:</t>
  </si>
  <si>
    <t>Тромболикс, Вессел, Трентал, Вазонит, Пентоксифиллин, Тромбообразование и полинейропатия нижних конечностей, Пиаскледин</t>
  </si>
  <si>
    <t>Область поиска:</t>
  </si>
  <si>
    <t>Тексты сообщений, Расшифровки видео Youtube</t>
  </si>
  <si>
    <t>Язык:</t>
  </si>
  <si>
    <t>Неизвестный, Русский</t>
  </si>
  <si>
    <t>Дополнительно:</t>
  </si>
  <si>
    <t>исключены спам и объявления</t>
  </si>
  <si>
    <t>Всего сообщений в отчёте:</t>
  </si>
  <si>
    <t>3 006 (экспортировано:389)</t>
  </si>
  <si>
    <t>Дата подготовки:</t>
  </si>
  <si>
    <t>10 июня 2026</t>
  </si>
</sst>
</file>

<file path=xl/styles.xml><?xml version="1.0" encoding="utf-8"?>
<styleSheet xmlns="http://schemas.openxmlformats.org/spreadsheetml/2006/main">
  <numFmts count="6">
    <numFmt numFmtId="177" formatCode="dd MMMM yyyy"/>
    <numFmt numFmtId="178" formatCode="dd.MM.yyyy HH:mm"/>
    <numFmt numFmtId="179" formatCode="0.00%"/>
    <numFmt numFmtId="180" formatCode="0.0%"/>
    <numFmt numFmtId="181" formatCode="dd.MM.yyyy"/>
    <numFmt numFmtId="182" formatCode="#,##0.00"/>
  </numFmts>
  <fonts count="12">
    <font>
      <sz val="10"/>
      <color theme="1"/>
      <name val="Arial"/>
      <family val="2"/>
    </font>
    <font>
      <u val="single"/>
      <sz val="10"/>
      <color rgb="FF0000FF"/>
      <name val="Arial"/>
      <family val="2"/>
    </font>
    <font>
      <u val="single"/>
      <sz val="10"/>
      <color rgb="FF005061"/>
      <name val="Arial"/>
      <family val="2"/>
    </font>
    <font>
      <sz val="11"/>
      <color rgb="FF585A5D"/>
      <name val="Arial"/>
      <family val="2"/>
    </font>
    <font>
      <b/>
      <sz val="11"/>
      <color rgb="FF585A5D"/>
      <name val="Arial"/>
      <family val="2"/>
    </font>
    <font>
      <sz val="10"/>
      <color rgb="FF585A5D"/>
      <name val="Arial"/>
      <family val="2"/>
    </font>
    <font>
      <u val="single"/>
      <sz val="10"/>
      <color rgb="FF585A5D"/>
      <name val="Arial"/>
      <family val="2"/>
    </font>
    <font>
      <b/>
      <sz val="12"/>
      <color rgb="FF044654"/>
      <name val="Arial"/>
      <family val="2"/>
    </font>
    <font>
      <b/>
      <u val="single"/>
      <sz val="11"/>
      <color rgb="FFFFFFFF"/>
      <name val="Arial"/>
      <family val="2"/>
    </font>
    <font>
      <b/>
      <sz val="18"/>
      <color rgb="FF585A5D"/>
      <name val="Arial"/>
      <family val="2"/>
    </font>
    <font>
      <b/>
      <sz val="11"/>
      <color rgb="FFFFFFFF"/>
      <name val="Arial"/>
      <family val="2"/>
    </font>
    <font>
      <sz val="10"/>
      <color rgb="FF447F8B"/>
      <name val="Arial"/>
      <family val="2"/>
    </font>
  </fonts>
  <fills count="4">
    <fill>
      <patternFill patternType="none"/>
    </fill>
    <fill>
      <patternFill patternType="gray125"/>
    </fill>
    <fill>
      <patternFill patternType="solid">
        <fgColor rgb="FFE4EDEE"/>
        <bgColor indexed="64"/>
      </patternFill>
    </fill>
    <fill>
      <patternFill patternType="solid">
        <fgColor rgb="FF005061"/>
        <bgColor indexed="64"/>
      </patternFill>
    </fill>
  </fills>
  <borders count="4">
    <border>
      <left/>
      <right/>
      <top/>
      <bottom/>
      <diagonal/>
    </border>
    <border>
      <left style="thin">
        <color rgb="FFCCD3DB"/>
      </left>
      <right style="thin">
        <color rgb="FFCCD3DB"/>
      </right>
      <top style="thin">
        <color rgb="FFCCD3DB"/>
      </top>
      <bottom style="thin">
        <color rgb="FFCCD3DB"/>
      </bottom>
    </border>
    <border>
      <left/>
      <right/>
      <top/>
      <bottom style="thin">
        <color rgb="FFCCD3DB"/>
      </bottom>
    </border>
    <border>
      <left/>
      <right/>
      <top style="thin">
        <color rgb="FFCCD3DB"/>
      </top>
      <bottom/>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1" fillId="0" borderId="0">
      <alignment/>
      <protection/>
    </xf>
  </cellStyleXfs>
  <cellXfs count="41">
    <xf numFmtId="0" fontId="0" fillId="0" borderId="0" xfId="0"/>
    <xf numFmtId="0" fontId="11" fillId="2" borderId="0" xfId="0" applyFill="1" applyAlignment="1">
      <alignment horizontal="left"/>
    </xf>
    <xf numFmtId="0" fontId="9" fillId="0" borderId="0" xfId="0" applyFont="1"/>
    <xf numFmtId="0" fontId="2" fillId="2" borderId="0" xfId="0" applyFont="1" applyFill="1" applyAlignment="1">
      <alignment horizontal="left"/>
    </xf>
    <xf numFmtId="0" fontId="1" fillId="2" borderId="0" xfId="20" applyFont="1" applyFill="1" applyAlignment="1">
      <alignment horizontal="left"/>
      <protection/>
    </xf>
    <xf numFmtId="0" fontId="10" fillId="3" borderId="0" xfId="0" applyFont="1" applyFill="1" applyAlignment="1">
      <alignment horizontal="left" vertical="center" wrapText="1"/>
    </xf>
    <xf numFmtId="0" fontId="10" fillId="3" borderId="0" xfId="0" applyFont="1" applyFill="1" applyAlignment="1">
      <alignment horizontal="center" vertical="center" wrapText="1"/>
    </xf>
    <xf numFmtId="3" fontId="3" fillId="0" borderId="1" xfId="0" applyNumberFormat="1" applyFont="1" applyBorder="1" applyAlignment="1">
      <alignment horizontal="left" vertical="center"/>
    </xf>
    <xf numFmtId="3" fontId="3" fillId="0" borderId="1" xfId="0" applyNumberFormat="1" applyFont="1" applyBorder="1" applyAlignment="1">
      <alignment horizontal="center" vertical="center"/>
    </xf>
    <xf numFmtId="3" fontId="4" fillId="0" borderId="1" xfId="0" applyNumberFormat="1" applyFont="1" applyBorder="1" applyAlignment="1">
      <alignment horizontal="left" vertical="center"/>
    </xf>
    <xf numFmtId="3" fontId="4" fillId="0" borderId="1" xfId="0" applyNumberFormat="1" applyFont="1" applyBorder="1" applyAlignment="1">
      <alignment horizontal="center" vertical="center"/>
    </xf>
    <xf numFmtId="182" fontId="4" fillId="0" borderId="1" xfId="0" applyNumberFormat="1" applyFont="1" applyBorder="1" applyAlignment="1">
      <alignment horizontal="center" vertical="center"/>
    </xf>
    <xf numFmtId="0" fontId="9" fillId="0" borderId="0" xfId="0" applyFont="1" applyAlignment="1">
      <alignment/>
    </xf>
    <xf numFmtId="181" fontId="3" fillId="0" borderId="1" xfId="0" applyNumberFormat="1" applyFont="1" applyBorder="1" applyAlignment="1">
      <alignment horizontal="left" vertical="center"/>
    </xf>
    <xf numFmtId="182" fontId="3" fillId="0" borderId="1" xfId="0" applyNumberFormat="1" applyFont="1" applyBorder="1" applyAlignment="1">
      <alignment horizontal="center" vertical="center"/>
    </xf>
    <xf numFmtId="181" fontId="4" fillId="0" borderId="1" xfId="0" applyNumberFormat="1" applyFont="1" applyBorder="1" applyAlignment="1">
      <alignment horizontal="left" vertical="center"/>
    </xf>
    <xf numFmtId="0" fontId="3" fillId="0" borderId="1" xfId="0" applyNumberFormat="1" applyFont="1" applyBorder="1" applyAlignment="1">
      <alignment horizontal="left" vertical="center"/>
    </xf>
    <xf numFmtId="0" fontId="3" fillId="0" borderId="1" xfId="0" applyNumberFormat="1" applyFont="1" applyBorder="1" applyAlignment="1">
      <alignment horizontal="center" vertical="center"/>
    </xf>
    <xf numFmtId="0" fontId="1" fillId="0" borderId="0" xfId="20">
      <alignment/>
      <protection/>
    </xf>
    <xf numFmtId="0" fontId="1" fillId="3" borderId="0" xfId="20" applyFont="1" applyFill="1" applyAlignment="1">
      <alignment horizontal="center" vertical="center" wrapText="1"/>
      <protection/>
    </xf>
    <xf numFmtId="0" fontId="8" fillId="3" borderId="2" xfId="0" applyFont="1" applyFill="1" applyBorder="1" applyAlignment="1">
      <alignment horizontal="center" vertical="center" wrapText="1"/>
    </xf>
    <xf numFmtId="180" fontId="3" fillId="0" borderId="1" xfId="0" applyNumberFormat="1" applyFont="1" applyBorder="1" applyAlignment="1">
      <alignment horizontal="center" vertical="center"/>
    </xf>
    <xf numFmtId="180" fontId="4" fillId="0" borderId="1" xfId="0" applyNumberFormat="1" applyFont="1" applyBorder="1" applyAlignment="1">
      <alignment horizontal="center" vertical="center"/>
    </xf>
    <xf numFmtId="1" fontId="3" fillId="0" borderId="1" xfId="0" applyNumberFormat="1" applyFont="1" applyBorder="1" applyAlignment="1">
      <alignment horizontal="center" vertical="center"/>
    </xf>
    <xf numFmtId="0" fontId="3" fillId="0" borderId="0" xfId="0" applyNumberFormat="1" applyFont="1" applyAlignment="1">
      <alignment horizontal="left" vertical="center"/>
    </xf>
    <xf numFmtId="0" fontId="3" fillId="0" borderId="3" xfId="0" applyNumberFormat="1" applyFont="1" applyBorder="1" applyAlignment="1">
      <alignment horizontal="left" vertical="center"/>
    </xf>
    <xf numFmtId="179" fontId="3" fillId="0" borderId="1" xfId="0" applyNumberFormat="1" applyFont="1" applyBorder="1" applyAlignment="1">
      <alignment horizontal="center" vertical="center"/>
    </xf>
    <xf numFmtId="0" fontId="7" fillId="0" borderId="0" xfId="0" applyFont="1" applyAlignment="1">
      <alignment/>
    </xf>
    <xf numFmtId="3" fontId="5" fillId="0" borderId="1" xfId="0" applyNumberFormat="1" applyFont="1" applyBorder="1" applyAlignment="1">
      <alignment horizontal="left" vertical="center"/>
    </xf>
    <xf numFmtId="178" fontId="5" fillId="0" borderId="1" xfId="0" applyNumberFormat="1" applyFont="1" applyBorder="1" applyAlignment="1">
      <alignment horizontal="left" vertical="center"/>
    </xf>
    <xf numFmtId="0" fontId="5" fillId="0" borderId="1" xfId="0" applyNumberFormat="1" applyFont="1" applyBorder="1" applyAlignment="1">
      <alignment horizontal="left" vertical="center"/>
    </xf>
    <xf numFmtId="0" fontId="5" fillId="0" borderId="1" xfId="0" applyNumberFormat="1" applyFont="1" applyBorder="1" applyAlignment="1">
      <alignment horizontal="left" vertical="top" wrapText="1"/>
    </xf>
    <xf numFmtId="0" fontId="6" fillId="0" borderId="1" xfId="0" applyNumberFormat="1" applyFont="1" applyBorder="1" applyAlignment="1">
      <alignment horizontal="left"/>
    </xf>
    <xf numFmtId="3" fontId="5" fillId="0" borderId="1" xfId="0" applyNumberFormat="1" applyFont="1" applyBorder="1" applyAlignment="1">
      <alignment horizontal="center" vertical="center"/>
    </xf>
    <xf numFmtId="1" fontId="5" fillId="0" borderId="1" xfId="0" applyNumberFormat="1" applyFont="1" applyBorder="1" applyAlignment="1">
      <alignment horizontal="left" vertical="center"/>
    </xf>
    <xf numFmtId="0" fontId="0" fillId="0" borderId="0" xfId="0" quotePrefix="1"/>
    <xf numFmtId="0" fontId="4" fillId="0" borderId="0" xfId="0" applyFont="1" applyAlignment="1">
      <alignment horizontal="left" vertical="center"/>
    </xf>
    <xf numFmtId="0" fontId="3" fillId="0" borderId="0" xfId="0" applyFont="1" applyAlignment="1">
      <alignment horizontal="left" vertical="center"/>
    </xf>
    <xf numFmtId="177" fontId="3" fillId="0" borderId="0" xfId="0" applyNumberFormat="1" applyFont="1" applyAlignment="1">
      <alignment horizontal="left" vertical="center"/>
    </xf>
    <xf numFmtId="0" fontId="2" fillId="0" borderId="0" xfId="0" applyFont="1"/>
    <xf numFmtId="0" fontId="1" fillId="0" borderId="0" xfId="20" applyFont="1">
      <alignment/>
      <protection/>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5" Type="http://schemas.openxmlformats.org/officeDocument/2006/relationships/worksheet" Target="worksheets/sheet23.xml" /><Relationship Id="rId19" Type="http://schemas.openxmlformats.org/officeDocument/2006/relationships/worksheet" Target="worksheets/sheet17.xml" /><Relationship Id="rId13" Type="http://schemas.openxmlformats.org/officeDocument/2006/relationships/worksheet" Target="worksheets/sheet11.xml" /><Relationship Id="rId24" Type="http://schemas.openxmlformats.org/officeDocument/2006/relationships/worksheet" Target="worksheets/sheet22.xml" /><Relationship Id="rId2" Type="http://schemas.openxmlformats.org/officeDocument/2006/relationships/styles" Target="styles.xml" /><Relationship Id="rId26" Type="http://schemas.openxmlformats.org/officeDocument/2006/relationships/worksheet" Target="worksheets/sheet24.xml" /><Relationship Id="rId8" Type="http://schemas.openxmlformats.org/officeDocument/2006/relationships/worksheet" Target="worksheets/sheet6.xml" /><Relationship Id="rId21" Type="http://schemas.openxmlformats.org/officeDocument/2006/relationships/worksheet" Target="worksheets/sheet19.xml" /><Relationship Id="rId10" Type="http://schemas.openxmlformats.org/officeDocument/2006/relationships/worksheet" Target="worksheets/sheet8.xml" /><Relationship Id="rId4" Type="http://schemas.openxmlformats.org/officeDocument/2006/relationships/worksheet" Target="worksheets/sheet2.xml" /><Relationship Id="rId14" Type="http://schemas.openxmlformats.org/officeDocument/2006/relationships/worksheet" Target="worksheets/sheet12.xml" /><Relationship Id="rId23" Type="http://schemas.openxmlformats.org/officeDocument/2006/relationships/worksheet" Target="worksheets/sheet21.xml" /><Relationship Id="rId22" Type="http://schemas.openxmlformats.org/officeDocument/2006/relationships/worksheet" Target="worksheets/sheet20.xml" /><Relationship Id="rId29" Type="http://schemas.openxmlformats.org/officeDocument/2006/relationships/calcChain" Target="calcChain.xml" /><Relationship Id="rId17" Type="http://schemas.openxmlformats.org/officeDocument/2006/relationships/worksheet" Target="worksheets/sheet15.xml" /><Relationship Id="rId5" Type="http://schemas.openxmlformats.org/officeDocument/2006/relationships/worksheet" Target="worksheets/sheet3.xml" /><Relationship Id="rId3" Type="http://schemas.openxmlformats.org/officeDocument/2006/relationships/worksheet" Target="worksheets/sheet1.xml" /><Relationship Id="rId6" Type="http://schemas.openxmlformats.org/officeDocument/2006/relationships/worksheet" Target="worksheets/sheet4.xml" /><Relationship Id="rId18" Type="http://schemas.openxmlformats.org/officeDocument/2006/relationships/worksheet" Target="worksheets/sheet16.xml" /><Relationship Id="rId11" Type="http://schemas.openxmlformats.org/officeDocument/2006/relationships/worksheet" Target="worksheets/sheet9.xml" /><Relationship Id="rId20" Type="http://schemas.openxmlformats.org/officeDocument/2006/relationships/worksheet" Target="worksheets/sheet18.xml" /><Relationship Id="rId28" Type="http://schemas.openxmlformats.org/officeDocument/2006/relationships/sharedStrings" Target="sharedStrings.xml" /><Relationship Id="rId27" Type="http://schemas.openxmlformats.org/officeDocument/2006/relationships/worksheet" Target="worksheets/sheet25.xml" /><Relationship Id="rId12" Type="http://schemas.openxmlformats.org/officeDocument/2006/relationships/worksheet" Target="worksheets/sheet10.xml" /><Relationship Id="rId7" Type="http://schemas.openxmlformats.org/officeDocument/2006/relationships/worksheet" Target="worksheets/sheet5.xml" /><Relationship Id="rId16" Type="http://schemas.openxmlformats.org/officeDocument/2006/relationships/worksheet" Target="worksheets/sheet14.xml" /><Relationship Id="rId9" Type="http://schemas.openxmlformats.org/officeDocument/2006/relationships/worksheet" Target="worksheets/sheet7.xml" /><Relationship Id="rId1" Type="http://schemas.openxmlformats.org/officeDocument/2006/relationships/theme" Target="theme/theme1.xml" /><Relationship Id="rId15" Type="http://schemas.openxmlformats.org/officeDocument/2006/relationships/worksheet" Target="worksheets/sheet13.xml" /></Relationships>
</file>

<file path=xl/charts/chart1.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Сообщения</a:t>
            </a:r>
          </a:p>
        </c:rich>
      </c:tx>
      <c:layout/>
      <c:overlay val="0"/>
      <c:spPr>
        <a:noFill/>
        <a:ln>
          <a:noFill/>
        </a:ln>
      </c:spPr>
    </c:title>
    <c:autoTitleDeleted val="0"/>
    <c:plotArea>
      <c:layout/>
      <c:lineChart>
        <c:grouping val="standard"/>
        <c:varyColors val="0"/>
        <c:ser>
          <c:idx val="0"/>
          <c:order val="0"/>
          <c:spPr>
            <a:ln cap="rnd" cmpd="sng">
              <a:solidFill>
                <a:srgbClr val="297180"/>
              </a:solidFill>
              <a:prstDash val="solid"/>
              <a:round/>
            </a:ln>
          </c:spPr>
          <c:marker>
            <c:symbol val="circle"/>
            <c:size val="5"/>
            <c:spPr>
              <a:solidFill>
                <a:srgbClr val="297180"/>
              </a:solidFill>
              <a:ln>
                <a:noFill/>
              </a:ln>
            </c:spPr>
          </c:marker>
          <c:cat>
            <c:numRef>
              <c:f>Динамика!$B$7:$B$37</c:f>
              <c:numCache/>
            </c:numRef>
          </c:cat>
          <c:val>
            <c:numRef>
              <c:f>Динамика!$C$7:$C$37</c:f>
              <c:numCache/>
            </c:numRef>
          </c:val>
          <c:smooth val="1"/>
        </c:ser>
        <c:marker val="1"/>
        <c:axId val="51349735"/>
        <c:axId val="15547431"/>
      </c:lineChart>
      <c:catAx>
        <c:axId val="51349735"/>
        <c:scaling>
          <c:orientation val="minMax"/>
        </c:scaling>
        <c:delete val="0"/>
        <c:axPos val="b"/>
        <c:numFmt formatCode="General" sourceLinked="1"/>
        <c:majorTickMark val="out"/>
        <c:minorTickMark val="none"/>
        <c:tickLblPos val="nextTo"/>
        <c:crossAx val="15547431"/>
        <c:crosses val="autoZero"/>
        <c:lblOffset val="100"/>
        <c:noMultiLvlLbl val="0"/>
      </c:catAx>
      <c:valAx>
        <c:axId val="15547431"/>
        <c:scaling>
          <c:orientation val="minMax"/>
        </c:scaling>
        <c:delete val="0"/>
        <c:axPos val="l"/>
        <c:majorGridlines>
          <c:spPr>
            <a:ln/>
          </c:spPr>
        </c:majorGridlines>
        <c:numFmt formatCode="#,##0" sourceLinked="0"/>
        <c:majorTickMark val="out"/>
        <c:minorTickMark val="none"/>
        <c:tickLblPos val="nextTo"/>
        <c:crossAx val="51349735"/>
        <c:crosses val="autoZero"/>
        <c:crossBetween val="between"/>
      </c:valAx>
      <c:spPr>
        <a:solidFill>
          <a:srgbClr val="FFFFFF"/>
        </a:solidFill>
        <a:ln w="12700" cap="flat">
          <a:solidFill>
            <a:srgbClr val="CCD3DB"/>
          </a:solidFill>
          <a:round/>
        </a:ln>
      </c:spPr>
    </c:plotArea>
    <c:plotVisOnly val="1"/>
    <c:dispBlanksAs val="gap"/>
    <c:showDLblsOverMax val="0"/>
  </c:chart>
  <c:txPr>
    <a:bodyPr vert="horz" rot="0" wrap="square"/>
    <a:lstStyle/>
    <a:p>
      <a:pPr>
        <a:defRPr lang="en-US" sz="1100" u="none" baseline="0">
          <a:latin typeface="Arial"/>
          <a:ea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СМ Индекс</a:t>
            </a:r>
          </a:p>
        </c:rich>
      </c:tx>
      <c:layout/>
      <c:overlay val="0"/>
      <c:spPr>
        <a:noFill/>
        <a:ln>
          <a:noFill/>
        </a:ln>
      </c:spPr>
    </c:title>
    <c:autoTitleDeleted val="0"/>
    <c:plotArea>
      <c:layout/>
      <c:lineChart>
        <c:grouping val="standard"/>
        <c:varyColors val="0"/>
        <c:ser>
          <c:idx val="0"/>
          <c:order val="0"/>
          <c:spPr>
            <a:ln cap="rnd" cmpd="sng">
              <a:solidFill>
                <a:srgbClr val="297180"/>
              </a:solidFill>
              <a:prstDash val="solid"/>
              <a:round/>
            </a:ln>
          </c:spPr>
          <c:marker>
            <c:symbol val="circle"/>
            <c:size val="5"/>
            <c:spPr>
              <a:solidFill>
                <a:srgbClr val="297180"/>
              </a:solidFill>
              <a:ln>
                <a:noFill/>
              </a:ln>
            </c:spPr>
          </c:marker>
          <c:cat>
            <c:numRef>
              <c:f>Динамика!$B$7:$B$37</c:f>
              <c:numCache/>
            </c:numRef>
          </c:cat>
          <c:val>
            <c:numRef>
              <c:f>Динамика!$D$7:$D$37</c:f>
              <c:numCache/>
            </c:numRef>
          </c:val>
          <c:smooth val="1"/>
        </c:ser>
        <c:marker val="1"/>
        <c:axId val="67037870"/>
        <c:axId val="22738112"/>
      </c:lineChart>
      <c:catAx>
        <c:axId val="67037870"/>
        <c:scaling>
          <c:orientation val="minMax"/>
        </c:scaling>
        <c:delete val="0"/>
        <c:axPos val="b"/>
        <c:numFmt formatCode="General" sourceLinked="1"/>
        <c:majorTickMark val="out"/>
        <c:minorTickMark val="none"/>
        <c:tickLblPos val="nextTo"/>
        <c:crossAx val="22738112"/>
        <c:crosses val="autoZero"/>
        <c:lblOffset val="100"/>
        <c:noMultiLvlLbl val="0"/>
      </c:catAx>
      <c:valAx>
        <c:axId val="22738112"/>
        <c:scaling>
          <c:orientation val="minMax"/>
        </c:scaling>
        <c:delete val="0"/>
        <c:axPos val="l"/>
        <c:majorGridlines>
          <c:spPr>
            <a:ln/>
          </c:spPr>
        </c:majorGridlines>
        <c:numFmt formatCode="#,##0" sourceLinked="0"/>
        <c:majorTickMark val="out"/>
        <c:minorTickMark val="none"/>
        <c:tickLblPos val="nextTo"/>
        <c:crossAx val="67037870"/>
        <c:crosses val="autoZero"/>
        <c:crossBetween val="between"/>
      </c:valAx>
      <c:spPr>
        <a:solidFill>
          <a:srgbClr val="FFFFFF"/>
        </a:solidFill>
        <a:ln w="12700" cap="flat">
          <a:solidFill>
            <a:srgbClr val="CCD3DB"/>
          </a:solidFill>
          <a:round/>
        </a:ln>
      </c:spPr>
    </c:plotArea>
    <c:plotVisOnly val="1"/>
    <c:dispBlanksAs val="gap"/>
    <c:showDLblsOverMax val="0"/>
  </c:chart>
  <c:txPr>
    <a:bodyPr vert="horz" rot="0" wrap="square"/>
    <a:lstStyle/>
    <a:p>
      <a:pPr>
        <a:defRPr lang="en-US" sz="1100" u="none" baseline="0">
          <a:latin typeface="Arial"/>
          <a:ea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Аудитория</a:t>
            </a:r>
          </a:p>
        </c:rich>
      </c:tx>
      <c:layout/>
      <c:overlay val="0"/>
      <c:spPr>
        <a:noFill/>
        <a:ln>
          <a:noFill/>
        </a:ln>
      </c:spPr>
    </c:title>
    <c:autoTitleDeleted val="0"/>
    <c:plotArea>
      <c:layout/>
      <c:lineChart>
        <c:grouping val="standard"/>
        <c:varyColors val="0"/>
        <c:ser>
          <c:idx val="0"/>
          <c:order val="0"/>
          <c:spPr>
            <a:ln cap="rnd" cmpd="sng">
              <a:solidFill>
                <a:srgbClr val="297180"/>
              </a:solidFill>
              <a:prstDash val="solid"/>
              <a:round/>
            </a:ln>
          </c:spPr>
          <c:marker>
            <c:symbol val="circle"/>
            <c:size val="5"/>
            <c:spPr>
              <a:solidFill>
                <a:srgbClr val="297180"/>
              </a:solidFill>
              <a:ln>
                <a:noFill/>
              </a:ln>
            </c:spPr>
          </c:marker>
          <c:cat>
            <c:numRef>
              <c:f>Динамика!$B$7:$B$37</c:f>
              <c:numCache/>
            </c:numRef>
          </c:cat>
          <c:val>
            <c:numRef>
              <c:f>Динамика!$E$7:$E$37</c:f>
              <c:numCache/>
            </c:numRef>
          </c:val>
          <c:smooth val="1"/>
        </c:ser>
        <c:marker val="1"/>
        <c:axId val="57272701"/>
        <c:axId val="26413935"/>
      </c:lineChart>
      <c:catAx>
        <c:axId val="57272701"/>
        <c:scaling>
          <c:orientation val="minMax"/>
        </c:scaling>
        <c:delete val="0"/>
        <c:axPos val="b"/>
        <c:numFmt formatCode="General" sourceLinked="1"/>
        <c:majorTickMark val="out"/>
        <c:minorTickMark val="none"/>
        <c:tickLblPos val="nextTo"/>
        <c:crossAx val="26413935"/>
        <c:crosses val="autoZero"/>
        <c:lblOffset val="100"/>
        <c:noMultiLvlLbl val="0"/>
      </c:catAx>
      <c:valAx>
        <c:axId val="26413935"/>
        <c:scaling>
          <c:orientation val="minMax"/>
        </c:scaling>
        <c:delete val="0"/>
        <c:axPos val="l"/>
        <c:majorGridlines>
          <c:spPr>
            <a:ln/>
          </c:spPr>
        </c:majorGridlines>
        <c:numFmt formatCode="#,##0" sourceLinked="0"/>
        <c:majorTickMark val="out"/>
        <c:minorTickMark val="none"/>
        <c:tickLblPos val="nextTo"/>
        <c:crossAx val="57272701"/>
        <c:crosses val="autoZero"/>
        <c:crossBetween val="between"/>
      </c:valAx>
      <c:spPr>
        <a:solidFill>
          <a:srgbClr val="FFFFFF"/>
        </a:solidFill>
        <a:ln w="12700" cap="flat">
          <a:solidFill>
            <a:srgbClr val="CCD3DB"/>
          </a:solidFill>
          <a:round/>
        </a:ln>
      </c:spPr>
    </c:plotArea>
    <c:plotVisOnly val="1"/>
    <c:dispBlanksAs val="gap"/>
    <c:showDLblsOverMax val="0"/>
  </c:chart>
  <c:txPr>
    <a:bodyPr vert="horz" rot="0" wrap="square"/>
    <a:lstStyle/>
    <a:p>
      <a:pPr>
        <a:defRPr lang="en-US" sz="1100" u="none" baseline="0">
          <a:latin typeface="Arial"/>
          <a:ea typeface="Arial"/>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Просмотры</a:t>
            </a:r>
          </a:p>
        </c:rich>
      </c:tx>
      <c:layout/>
      <c:overlay val="0"/>
      <c:spPr>
        <a:noFill/>
        <a:ln>
          <a:noFill/>
        </a:ln>
      </c:spPr>
    </c:title>
    <c:autoTitleDeleted val="0"/>
    <c:plotArea>
      <c:layout/>
      <c:lineChart>
        <c:grouping val="standard"/>
        <c:varyColors val="0"/>
        <c:ser>
          <c:idx val="0"/>
          <c:order val="0"/>
          <c:spPr>
            <a:ln cap="rnd" cmpd="sng">
              <a:solidFill>
                <a:srgbClr val="297180"/>
              </a:solidFill>
              <a:prstDash val="solid"/>
              <a:round/>
            </a:ln>
          </c:spPr>
          <c:marker>
            <c:symbol val="circle"/>
            <c:size val="5"/>
            <c:spPr>
              <a:solidFill>
                <a:srgbClr val="297180"/>
              </a:solidFill>
              <a:ln>
                <a:noFill/>
              </a:ln>
            </c:spPr>
          </c:marker>
          <c:cat>
            <c:numRef>
              <c:f>Динамика!$B$7:$B$37</c:f>
              <c:numCache/>
            </c:numRef>
          </c:cat>
          <c:val>
            <c:numRef>
              <c:f>Динамика!$F$7:$F$37</c:f>
              <c:numCache/>
            </c:numRef>
          </c:val>
          <c:smooth val="1"/>
        </c:ser>
        <c:marker val="1"/>
        <c:axId val="12159027"/>
        <c:axId val="16090389"/>
      </c:lineChart>
      <c:catAx>
        <c:axId val="12159027"/>
        <c:scaling>
          <c:orientation val="minMax"/>
        </c:scaling>
        <c:delete val="0"/>
        <c:axPos val="b"/>
        <c:numFmt formatCode="General" sourceLinked="1"/>
        <c:majorTickMark val="out"/>
        <c:minorTickMark val="none"/>
        <c:tickLblPos val="nextTo"/>
        <c:crossAx val="16090389"/>
        <c:crosses val="autoZero"/>
        <c:lblOffset val="100"/>
        <c:noMultiLvlLbl val="0"/>
      </c:catAx>
      <c:valAx>
        <c:axId val="16090389"/>
        <c:scaling>
          <c:orientation val="minMax"/>
        </c:scaling>
        <c:delete val="0"/>
        <c:axPos val="l"/>
        <c:majorGridlines>
          <c:spPr>
            <a:ln/>
          </c:spPr>
        </c:majorGridlines>
        <c:numFmt formatCode="#,##0" sourceLinked="0"/>
        <c:majorTickMark val="out"/>
        <c:minorTickMark val="none"/>
        <c:tickLblPos val="nextTo"/>
        <c:crossAx val="12159027"/>
        <c:crosses val="autoZero"/>
        <c:crossBetween val="between"/>
      </c:valAx>
      <c:spPr>
        <a:solidFill>
          <a:srgbClr val="FFFFFF"/>
        </a:solidFill>
        <a:ln w="12700" cap="flat">
          <a:solidFill>
            <a:srgbClr val="CCD3DB"/>
          </a:solidFill>
          <a:round/>
        </a:ln>
      </c:spPr>
    </c:plotArea>
    <c:plotVisOnly val="1"/>
    <c:dispBlanksAs val="gap"/>
    <c:showDLblsOverMax val="0"/>
  </c:chart>
  <c:txPr>
    <a:bodyPr vert="horz" rot="0" wrap="square"/>
    <a:lstStyle/>
    <a:p>
      <a:pPr>
        <a:defRPr lang="en-US" sz="1100" u="none" baseline="0">
          <a:latin typeface="Arial"/>
          <a:ea typeface="Arial"/>
        </a:defRPr>
      </a:pPr>
      <a:endParaRPr lang="en-US"/>
    </a:p>
  </c:txPr>
</c:chartSpace>
</file>

<file path=xl/charts/chart5.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Вовлечённость</a:t>
            </a:r>
          </a:p>
        </c:rich>
      </c:tx>
      <c:layout/>
      <c:overlay val="0"/>
      <c:spPr>
        <a:noFill/>
        <a:ln>
          <a:noFill/>
        </a:ln>
      </c:spPr>
    </c:title>
    <c:autoTitleDeleted val="0"/>
    <c:plotArea>
      <c:layout/>
      <c:lineChart>
        <c:grouping val="standard"/>
        <c:varyColors val="0"/>
        <c:ser>
          <c:idx val="0"/>
          <c:order val="0"/>
          <c:spPr>
            <a:ln cap="rnd" cmpd="sng">
              <a:solidFill>
                <a:srgbClr val="297180"/>
              </a:solidFill>
              <a:prstDash val="solid"/>
              <a:round/>
            </a:ln>
          </c:spPr>
          <c:marker>
            <c:symbol val="circle"/>
            <c:size val="5"/>
            <c:spPr>
              <a:solidFill>
                <a:srgbClr val="297180"/>
              </a:solidFill>
              <a:ln>
                <a:noFill/>
              </a:ln>
            </c:spPr>
          </c:marker>
          <c:cat>
            <c:numRef>
              <c:f>Динамика!$B$7:$B$37</c:f>
              <c:numCache/>
            </c:numRef>
          </c:cat>
          <c:val>
            <c:numRef>
              <c:f>Динамика!$G$7:$G$37</c:f>
              <c:numCache/>
            </c:numRef>
          </c:val>
          <c:smooth val="1"/>
        </c:ser>
        <c:marker val="1"/>
        <c:axId val="34684115"/>
        <c:axId val="1409222"/>
      </c:lineChart>
      <c:catAx>
        <c:axId val="34684115"/>
        <c:scaling>
          <c:orientation val="minMax"/>
        </c:scaling>
        <c:delete val="0"/>
        <c:axPos val="b"/>
        <c:numFmt formatCode="General" sourceLinked="1"/>
        <c:majorTickMark val="out"/>
        <c:minorTickMark val="none"/>
        <c:tickLblPos val="nextTo"/>
        <c:crossAx val="1409222"/>
        <c:crosses val="autoZero"/>
        <c:lblOffset val="100"/>
        <c:noMultiLvlLbl val="0"/>
      </c:catAx>
      <c:valAx>
        <c:axId val="1409222"/>
        <c:scaling>
          <c:orientation val="minMax"/>
        </c:scaling>
        <c:delete val="0"/>
        <c:axPos val="l"/>
        <c:majorGridlines>
          <c:spPr>
            <a:ln/>
          </c:spPr>
        </c:majorGridlines>
        <c:numFmt formatCode="#,##0" sourceLinked="0"/>
        <c:majorTickMark val="out"/>
        <c:minorTickMark val="none"/>
        <c:tickLblPos val="nextTo"/>
        <c:crossAx val="34684115"/>
        <c:crosses val="autoZero"/>
        <c:crossBetween val="between"/>
      </c:valAx>
      <c:spPr>
        <a:solidFill>
          <a:srgbClr val="FFFFFF"/>
        </a:solidFill>
        <a:ln w="12700" cap="flat">
          <a:solidFill>
            <a:srgbClr val="CCD3DB"/>
          </a:solidFill>
          <a:round/>
        </a:ln>
      </c:spPr>
    </c:plotArea>
    <c:plotVisOnly val="1"/>
    <c:dispBlanksAs val="gap"/>
    <c:showDLblsOverMax val="0"/>
  </c:chart>
  <c:txPr>
    <a:bodyPr vert="horz" rot="0" wrap="square"/>
    <a:lstStyle/>
    <a:p>
      <a:pPr>
        <a:defRPr lang="en-US" sz="1100" u="none" baseline="0">
          <a:latin typeface="Arial"/>
          <a:ea typeface="Arial"/>
        </a:defRPr>
      </a:pPr>
      <a:endParaRPr lang="en-US"/>
    </a:p>
  </c:txPr>
</c:chartSpace>
</file>

<file path=xl/charts/chart6.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Тональность</a:t>
            </a:r>
          </a:p>
        </c:rich>
      </c:tx>
      <c:layout/>
      <c:overlay val="0"/>
      <c:spPr>
        <a:noFill/>
        <a:ln>
          <a:noFill/>
        </a:ln>
      </c:spPr>
    </c:title>
    <c:autoTitleDeleted val="0"/>
    <c:plotArea>
      <c:layout/>
      <c:doughnutChart>
        <c:varyColors val="1"/>
        <c:ser>
          <c:idx val="0"/>
          <c:order val="0"/>
          <c:explosion val="0"/>
          <c:dPt>
            <c:idx val="0"/>
            <c:spPr>
              <a:solidFill>
                <a:srgbClr val="98D497"/>
              </a:solidFill>
            </c:spPr>
          </c:dPt>
          <c:dPt>
            <c:idx val="1"/>
            <c:spPr>
              <a:solidFill>
                <a:srgbClr val="CCD3DB"/>
              </a:solidFill>
            </c:spPr>
          </c:dPt>
          <c:dPt>
            <c:idx val="2"/>
            <c:spPr>
              <a:solidFill>
                <a:srgbClr val="FC6C73"/>
              </a:solidFill>
            </c:spPr>
          </c:dPt>
          <c:dLbls>
            <c:numFmt formatCode="General" sourceLinked="1"/>
            <c:showLegendKey val="0"/>
            <c:showVal val="0"/>
            <c:showCatName val="0"/>
            <c:showSerName val="0"/>
            <c:showPercent val="1"/>
            <c:showBubbleSize val="0"/>
            <c:showLeaderLines val="1"/>
          </c:dLbls>
          <c:cat>
            <c:strRef>
              <c:f>Тональность!$C$66:$E$66</c:f>
              <c:strCache/>
            </c:strRef>
          </c:cat>
          <c:val>
            <c:numRef>
              <c:f>Тональность!$F$98:$H$98</c:f>
              <c:numCache/>
            </c:numRef>
          </c:val>
        </c:ser>
        <c:holeSize val="50"/>
      </c:doughnutChart>
      <c:spPr>
        <a:solidFill>
          <a:srgbClr val="FFFFFF"/>
        </a:solidFill>
        <a:ln w="12700">
          <a:noFill/>
        </a:ln>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7.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Тональность - динамика</a:t>
            </a:r>
          </a:p>
        </c:rich>
      </c:tx>
      <c:layout/>
      <c:overlay val="0"/>
      <c:spPr>
        <a:noFill/>
        <a:ln>
          <a:noFill/>
        </a:ln>
      </c:spPr>
    </c:title>
    <c:autoTitleDeleted val="0"/>
    <c:plotArea>
      <c:layout/>
      <c:lineChart>
        <c:grouping val="standard"/>
        <c:varyColors val="0"/>
        <c:ser>
          <c:idx val="0"/>
          <c:order val="0"/>
          <c:tx>
            <c:strRef>
              <c:f>Тональность!$C$66</c:f>
            </c:strRef>
          </c:tx>
          <c:spPr>
            <a:ln cap="rnd" cmpd="sng">
              <a:solidFill>
                <a:srgbClr val="98D497"/>
              </a:solidFill>
              <a:prstDash val="solid"/>
              <a:round/>
            </a:ln>
          </c:spPr>
          <c:marker>
            <c:symbol val="circle"/>
            <c:size val="5"/>
            <c:spPr>
              <a:solidFill>
                <a:srgbClr val="98D497"/>
              </a:solidFill>
              <a:ln>
                <a:noFill/>
              </a:ln>
            </c:spPr>
          </c:marker>
          <c:cat>
            <c:numRef>
              <c:f>Тональность!$B$67:$B$97</c:f>
              <c:numCache/>
            </c:numRef>
          </c:cat>
          <c:val>
            <c:numRef>
              <c:f>Тональность!$C$67:$C$97</c:f>
              <c:numCache/>
            </c:numRef>
          </c:val>
          <c:smooth val="1"/>
        </c:ser>
        <c:ser>
          <c:idx val="1"/>
          <c:order val="1"/>
          <c:tx>
            <c:strRef>
              <c:f>Тональность!$D$66</c:f>
            </c:strRef>
          </c:tx>
          <c:spPr>
            <a:ln cap="rnd" cmpd="sng">
              <a:solidFill>
                <a:srgbClr val="CCD3DB"/>
              </a:solidFill>
              <a:prstDash val="solid"/>
              <a:round/>
            </a:ln>
          </c:spPr>
          <c:marker>
            <c:symbol val="circle"/>
            <c:size val="5"/>
            <c:spPr>
              <a:solidFill>
                <a:srgbClr val="CCD3DB"/>
              </a:solidFill>
              <a:ln>
                <a:noFill/>
              </a:ln>
            </c:spPr>
          </c:marker>
          <c:cat>
            <c:numRef>
              <c:f>Тональность!$B$67:$B$97</c:f>
              <c:numCache/>
            </c:numRef>
          </c:cat>
          <c:val>
            <c:numRef>
              <c:f>Тональность!$D$67:$D$97</c:f>
              <c:numCache/>
            </c:numRef>
          </c:val>
          <c:smooth val="1"/>
        </c:ser>
        <c:ser>
          <c:idx val="2"/>
          <c:order val="2"/>
          <c:tx>
            <c:strRef>
              <c:f>Тональность!$E$66</c:f>
            </c:strRef>
          </c:tx>
          <c:spPr>
            <a:ln cap="rnd" cmpd="sng">
              <a:solidFill>
                <a:srgbClr val="FC6C73"/>
              </a:solidFill>
              <a:prstDash val="solid"/>
              <a:round/>
            </a:ln>
          </c:spPr>
          <c:marker>
            <c:symbol val="circle"/>
            <c:size val="5"/>
            <c:spPr>
              <a:solidFill>
                <a:srgbClr val="FC6C73"/>
              </a:solidFill>
              <a:ln>
                <a:noFill/>
              </a:ln>
            </c:spPr>
          </c:marker>
          <c:cat>
            <c:numRef>
              <c:f>Тональность!$B$67:$B$97</c:f>
              <c:numCache/>
            </c:numRef>
          </c:cat>
          <c:val>
            <c:numRef>
              <c:f>Тональность!$E$67:$E$97</c:f>
              <c:numCache/>
            </c:numRef>
          </c:val>
          <c:smooth val="1"/>
        </c:ser>
        <c:marker val="1"/>
        <c:axId val="54214286"/>
        <c:axId val="61061420"/>
      </c:lineChart>
      <c:catAx>
        <c:axId val="54214286"/>
        <c:scaling>
          <c:orientation val="minMax"/>
        </c:scaling>
        <c:delete val="0"/>
        <c:axPos val="b"/>
        <c:numFmt formatCode="General" sourceLinked="1"/>
        <c:majorTickMark val="out"/>
        <c:minorTickMark val="none"/>
        <c:tickLblPos val="nextTo"/>
        <c:spPr>
          <a:ln>
            <a:noFill/>
          </a:ln>
        </c:spPr>
        <c:crossAx val="61061420"/>
        <c:crosses val="autoZero"/>
        <c:lblOffset val="100"/>
        <c:noMultiLvlLbl val="0"/>
      </c:catAx>
      <c:valAx>
        <c:axId val="61061420"/>
        <c:scaling>
          <c:orientation val="minMax"/>
        </c:scaling>
        <c:delete val="0"/>
        <c:axPos val="l"/>
        <c:majorGridlines>
          <c:spPr>
            <a:ln/>
          </c:spPr>
        </c:majorGridlines>
        <c:numFmt formatCode="#,##0" sourceLinked="0"/>
        <c:majorTickMark val="out"/>
        <c:minorTickMark val="none"/>
        <c:tickLblPos val="nextTo"/>
        <c:spPr>
          <a:ln>
            <a:noFill/>
          </a:ln>
        </c:spPr>
        <c:crossAx val="54214286"/>
        <c:crosses val="autoZero"/>
        <c:crossBetween val="between"/>
      </c:valAx>
      <c:spPr>
        <a:solidFill>
          <a:srgbClr val="FFFFFF"/>
        </a:solidFill>
        <a:ln w="12700">
          <a:noFill/>
          <a:round/>
        </a:ln>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8.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Тональность - динамика</a:t>
            </a:r>
          </a:p>
        </c:rich>
      </c:tx>
      <c:layout/>
      <c:overlay val="0"/>
      <c:spPr>
        <a:noFill/>
        <a:ln>
          <a:noFill/>
        </a:ln>
      </c:spPr>
    </c:title>
    <c:autoTitleDeleted val="0"/>
    <c:plotArea>
      <c:layout/>
      <c:barChart>
        <c:barDir val="col"/>
        <c:grouping val="stacked"/>
        <c:varyColors val="0"/>
        <c:ser>
          <c:idx val="0"/>
          <c:order val="0"/>
          <c:tx>
            <c:strRef>
              <c:f>Тональность!$C$66</c:f>
            </c:strRef>
          </c:tx>
          <c:spPr>
            <a:solidFill>
              <a:srgbClr val="98D497"/>
            </a:solidFill>
          </c:spPr>
          <c:invertIfNegative val="0"/>
          <c:cat>
            <c:numRef>
              <c:f>Тональность!$B$67:$B$97</c:f>
              <c:numCache/>
            </c:numRef>
          </c:cat>
          <c:val>
            <c:numRef>
              <c:f>Тональность!$C$67:$C$97</c:f>
              <c:numCache/>
            </c:numRef>
          </c:val>
        </c:ser>
        <c:ser>
          <c:idx val="1"/>
          <c:order val="1"/>
          <c:tx>
            <c:strRef>
              <c:f>Тональность!$D$66</c:f>
            </c:strRef>
          </c:tx>
          <c:spPr>
            <a:solidFill>
              <a:srgbClr val="CCD3DB"/>
            </a:solidFill>
          </c:spPr>
          <c:invertIfNegative val="0"/>
          <c:cat>
            <c:numRef>
              <c:f>Тональность!$B$67:$B$97</c:f>
              <c:numCache/>
            </c:numRef>
          </c:cat>
          <c:val>
            <c:numRef>
              <c:f>Тональность!$D$67:$D$97</c:f>
              <c:numCache/>
            </c:numRef>
          </c:val>
        </c:ser>
        <c:ser>
          <c:idx val="2"/>
          <c:order val="2"/>
          <c:tx>
            <c:strRef>
              <c:f>Тональность!$E$66</c:f>
            </c:strRef>
          </c:tx>
          <c:spPr>
            <a:solidFill>
              <a:srgbClr val="FC6C73"/>
            </a:solidFill>
          </c:spPr>
          <c:invertIfNegative val="0"/>
          <c:cat>
            <c:numRef>
              <c:f>Тональность!$B$67:$B$97</c:f>
              <c:numCache/>
            </c:numRef>
          </c:cat>
          <c:val>
            <c:numRef>
              <c:f>Тональность!$E$67:$E$97</c:f>
              <c:numCache/>
            </c:numRef>
          </c:val>
        </c:ser>
        <c:overlap val="100"/>
        <c:axId val="45553353"/>
        <c:axId val="16687591"/>
      </c:barChart>
      <c:catAx>
        <c:axId val="45553353"/>
        <c:scaling>
          <c:orientation val="minMax"/>
        </c:scaling>
        <c:delete val="0"/>
        <c:axPos val="b"/>
        <c:numFmt formatCode="General" sourceLinked="1"/>
        <c:majorTickMark val="none"/>
        <c:minorTickMark val="none"/>
        <c:tickLblPos val="nextTo"/>
        <c:crossAx val="16687591"/>
        <c:crosses val="autoZero"/>
        <c:lblOffset val="100"/>
        <c:tickLblSkip val="1"/>
        <c:noMultiLvlLbl val="0"/>
      </c:catAx>
      <c:valAx>
        <c:axId val="16687591"/>
        <c:scaling>
          <c:orientation val="minMax"/>
        </c:scaling>
        <c:delete val="1"/>
        <c:axPos val="l"/>
        <c:majorGridlines>
          <c:spPr>
            <a:ln>
              <a:noFill/>
            </a:ln>
          </c:spPr>
        </c:majorGridlines>
        <c:majorTickMark val="out"/>
        <c:minorTickMark val="none"/>
        <c:tickLblPos val="nextTo"/>
        <c:crossAx val="45553353"/>
        <c:crosses val="autoZero"/>
        <c:crossBetween val="between"/>
      </c:valAx>
      <c:spPr>
        <a:solidFill>
          <a:srgbClr val="FFFFFF"/>
        </a:solidFill>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9.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Топ-10 мнений</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Мнения!$B$20:$B$22</c:f>
              <c:strCache/>
            </c:strRef>
          </c:cat>
          <c:val>
            <c:numRef>
              <c:f>Мнения!$D$20:$D$22</c:f>
              <c:numCache/>
            </c:numRef>
          </c:val>
        </c:ser>
        <c:axId val="15505657"/>
        <c:axId val="27359785"/>
      </c:barChart>
      <c:catAx>
        <c:axId val="15505657"/>
        <c:scaling>
          <c:orientation val="maxMin"/>
        </c:scaling>
        <c:delete val="0"/>
        <c:axPos val="l"/>
        <c:numFmt formatCode="General" sourceLinked="1"/>
        <c:majorTickMark val="none"/>
        <c:minorTickMark val="none"/>
        <c:tickLblPos val="nextTo"/>
        <c:crossAx val="27359785"/>
        <c:crosses val="autoZero"/>
        <c:lblOffset val="100"/>
        <c:noMultiLvlLbl val="0"/>
      </c:catAx>
      <c:valAx>
        <c:axId val="27359785"/>
        <c:scaling>
          <c:orientation val="minMax"/>
        </c:scaling>
        <c:delete val="1"/>
        <c:axPos val="t"/>
        <c:majorGridlines>
          <c:spPr>
            <a:ln>
              <a:noFill/>
            </a:ln>
          </c:spPr>
        </c:majorGridlines>
        <c:majorTickMark val="out"/>
        <c:minorTickMark val="none"/>
        <c:tickLblPos val="nextTo"/>
        <c:crossAx val="15505657"/>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10.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Тональность по тегам</a:t>
            </a:r>
          </a:p>
        </c:rich>
      </c:tx>
      <c:layout/>
      <c:overlay val="0"/>
      <c:spPr>
        <a:noFill/>
        <a:ln>
          <a:noFill/>
        </a:ln>
      </c:spPr>
    </c:title>
    <c:autoTitleDeleted val="0"/>
    <c:plotArea>
      <c:layout/>
      <c:barChart>
        <c:barDir val="bar"/>
        <c:grouping val="stacked"/>
        <c:varyColors val="0"/>
        <c:ser>
          <c:idx val="0"/>
          <c:order val="0"/>
          <c:tx>
            <c:strRef>
              <c:f>Теги!$D$24</c:f>
            </c:strRef>
          </c:tx>
          <c:spPr>
            <a:solidFill>
              <a:srgbClr val="98D497"/>
            </a:solidFill>
          </c:spPr>
          <c:invertIfNegative val="0"/>
          <c:dLbls>
            <c:numFmt formatCode="General" sourceLinked="1"/>
            <c:showLegendKey val="0"/>
            <c:showVal val="0"/>
            <c:showCatName val="0"/>
            <c:showSerName val="0"/>
            <c:showPercent val="0"/>
            <c:showBubbleSize val="0"/>
            <c:showLeaderLines val="0"/>
            <c:separator> </c:separator>
          </c:dLbls>
          <c:cat>
            <c:strRef>
              <c:f>Теги!$B$25:$B$28</c:f>
              <c:strCache/>
            </c:strRef>
          </c:cat>
          <c:val>
            <c:numRef>
              <c:f>Теги!$D$25:$D$28</c:f>
              <c:numCache/>
            </c:numRef>
          </c:val>
        </c:ser>
        <c:ser>
          <c:idx val="1"/>
          <c:order val="1"/>
          <c:tx>
            <c:strRef>
              <c:f>Теги!$E$24</c:f>
            </c:strRef>
          </c:tx>
          <c:spPr>
            <a:solidFill>
              <a:srgbClr val="CCD3DB"/>
            </a:solidFill>
          </c:spPr>
          <c:invertIfNegative val="0"/>
          <c:dLbls>
            <c:numFmt formatCode="General" sourceLinked="1"/>
            <c:showLegendKey val="0"/>
            <c:showVal val="0"/>
            <c:showCatName val="0"/>
            <c:showSerName val="0"/>
            <c:showPercent val="0"/>
            <c:showBubbleSize val="0"/>
            <c:showLeaderLines val="0"/>
            <c:separator> </c:separator>
          </c:dLbls>
          <c:cat>
            <c:strRef>
              <c:f>Теги!$B$25:$B$28</c:f>
              <c:strCache/>
            </c:strRef>
          </c:cat>
          <c:val>
            <c:numRef>
              <c:f>Теги!$E$25:$E$28</c:f>
              <c:numCache/>
            </c:numRef>
          </c:val>
        </c:ser>
        <c:ser>
          <c:idx val="2"/>
          <c:order val="2"/>
          <c:tx>
            <c:strRef>
              <c:f>Теги!$F$24</c:f>
            </c:strRef>
          </c:tx>
          <c:spPr>
            <a:solidFill>
              <a:srgbClr val="FC6C73"/>
            </a:solidFill>
          </c:spPr>
          <c:invertIfNegative val="0"/>
          <c:dLbls>
            <c:numFmt formatCode="General" sourceLinked="1"/>
            <c:showLegendKey val="0"/>
            <c:showVal val="0"/>
            <c:showCatName val="0"/>
            <c:showSerName val="0"/>
            <c:showPercent val="0"/>
            <c:showBubbleSize val="0"/>
            <c:showLeaderLines val="0"/>
            <c:separator> </c:separator>
          </c:dLbls>
          <c:cat>
            <c:strRef>
              <c:f>Теги!$B$25:$B$28</c:f>
              <c:strCache/>
            </c:strRef>
          </c:cat>
          <c:val>
            <c:numRef>
              <c:f>Теги!$F$25:$F$28</c:f>
              <c:numCache/>
            </c:numRef>
          </c:val>
        </c:ser>
        <c:overlap val="100"/>
        <c:axId val="26502270"/>
        <c:axId val="55138450"/>
      </c:barChart>
      <c:catAx>
        <c:axId val="26502270"/>
        <c:scaling>
          <c:orientation val="maxMin"/>
        </c:scaling>
        <c:delete val="0"/>
        <c:axPos val="l"/>
        <c:numFmt formatCode="General" sourceLinked="1"/>
        <c:majorTickMark val="none"/>
        <c:minorTickMark val="none"/>
        <c:tickLblPos val="nextTo"/>
        <c:crossAx val="55138450"/>
        <c:crosses val="autoZero"/>
        <c:lblOffset val="100"/>
        <c:noMultiLvlLbl val="0"/>
      </c:catAx>
      <c:valAx>
        <c:axId val="55138450"/>
        <c:scaling>
          <c:orientation val="minMax"/>
        </c:scaling>
        <c:delete val="0"/>
        <c:axPos val="t"/>
        <c:majorGridlines>
          <c:spPr>
            <a:ln>
              <a:noFill/>
            </a:ln>
          </c:spPr>
        </c:majorGridlines>
        <c:numFmt formatCode="General" sourceLinked="1"/>
        <c:majorTickMark val="out"/>
        <c:minorTickMark val="none"/>
        <c:tickLblPos val="nextTo"/>
        <c:crossAx val="26502270"/>
        <c:crosses val="autoZero"/>
        <c:crossBetween val="between"/>
      </c:valAx>
      <c:spPr>
        <a:solidFill>
          <a:srgbClr val="FFFFFF"/>
        </a:solidFill>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11.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Динамика тегов</a:t>
            </a:r>
          </a:p>
        </c:rich>
      </c:tx>
      <c:layout/>
      <c:overlay val="0"/>
      <c:spPr>
        <a:noFill/>
        <a:ln>
          <a:noFill/>
        </a:ln>
      </c:spPr>
    </c:title>
    <c:autoTitleDeleted val="0"/>
    <c:plotArea>
      <c:layout/>
      <c:lineChart>
        <c:grouping val="standard"/>
        <c:varyColors val="0"/>
        <c:ser>
          <c:idx val="0"/>
          <c:order val="0"/>
          <c:tx>
            <c:strRef>
              <c:f>Теги!$C$45</c:f>
            </c:strRef>
          </c:tx>
          <c:spPr>
            <a:ln cap="rnd" cmpd="sng">
              <a:prstDash val="solid"/>
              <a:round/>
            </a:ln>
          </c:spPr>
          <c:marker>
            <c:symbol val="circle"/>
            <c:size val="5"/>
            <c:spPr>
              <a:ln>
                <a:noFill/>
              </a:ln>
            </c:spPr>
          </c:marker>
          <c:cat>
            <c:numRef>
              <c:f>Теги!$B$46:$B$76</c:f>
              <c:numCache/>
            </c:numRef>
          </c:cat>
          <c:val>
            <c:numRef>
              <c:f>Теги!$C$46:$C$76</c:f>
              <c:numCache/>
            </c:numRef>
          </c:val>
          <c:smooth val="1"/>
        </c:ser>
        <c:ser>
          <c:idx val="1"/>
          <c:order val="1"/>
          <c:tx>
            <c:strRef>
              <c:f>Теги!$D$45</c:f>
            </c:strRef>
          </c:tx>
          <c:spPr>
            <a:ln cap="rnd" cmpd="sng">
              <a:prstDash val="solid"/>
              <a:round/>
            </a:ln>
          </c:spPr>
          <c:marker>
            <c:symbol val="circle"/>
            <c:size val="5"/>
            <c:spPr>
              <a:ln>
                <a:noFill/>
              </a:ln>
            </c:spPr>
          </c:marker>
          <c:cat>
            <c:numRef>
              <c:f>Теги!$B$46:$B$76</c:f>
              <c:numCache/>
            </c:numRef>
          </c:cat>
          <c:val>
            <c:numRef>
              <c:f>Теги!$D$46:$D$76</c:f>
              <c:numCache/>
            </c:numRef>
          </c:val>
          <c:smooth val="1"/>
        </c:ser>
        <c:ser>
          <c:idx val="2"/>
          <c:order val="2"/>
          <c:tx>
            <c:strRef>
              <c:f>Теги!$E$45</c:f>
            </c:strRef>
          </c:tx>
          <c:spPr>
            <a:ln cap="rnd" cmpd="sng">
              <a:prstDash val="solid"/>
              <a:round/>
            </a:ln>
          </c:spPr>
          <c:marker>
            <c:symbol val="circle"/>
            <c:size val="5"/>
            <c:spPr>
              <a:ln>
                <a:noFill/>
              </a:ln>
            </c:spPr>
          </c:marker>
          <c:cat>
            <c:numRef>
              <c:f>Теги!$B$46:$B$76</c:f>
              <c:numCache/>
            </c:numRef>
          </c:cat>
          <c:val>
            <c:numRef>
              <c:f>Теги!$E$46:$E$76</c:f>
              <c:numCache/>
            </c:numRef>
          </c:val>
          <c:smooth val="1"/>
        </c:ser>
        <c:marker val="1"/>
        <c:axId val="61893468"/>
        <c:axId val="28712451"/>
      </c:lineChart>
      <c:catAx>
        <c:axId val="61893468"/>
        <c:scaling>
          <c:orientation val="minMax"/>
        </c:scaling>
        <c:delete val="0"/>
        <c:axPos val="b"/>
        <c:numFmt formatCode="General" sourceLinked="1"/>
        <c:majorTickMark val="out"/>
        <c:minorTickMark val="none"/>
        <c:tickLblPos val="nextTo"/>
        <c:spPr>
          <a:ln>
            <a:noFill/>
          </a:ln>
        </c:spPr>
        <c:crossAx val="28712451"/>
        <c:crosses val="autoZero"/>
        <c:lblOffset val="100"/>
        <c:noMultiLvlLbl val="0"/>
      </c:catAx>
      <c:valAx>
        <c:axId val="28712451"/>
        <c:scaling>
          <c:orientation val="minMax"/>
        </c:scaling>
        <c:delete val="0"/>
        <c:axPos val="l"/>
        <c:majorGridlines>
          <c:spPr>
            <a:ln/>
          </c:spPr>
        </c:majorGridlines>
        <c:numFmt formatCode="#,##0" sourceLinked="0"/>
        <c:majorTickMark val="out"/>
        <c:minorTickMark val="none"/>
        <c:tickLblPos val="nextTo"/>
        <c:spPr>
          <a:ln>
            <a:noFill/>
          </a:ln>
        </c:spPr>
        <c:crossAx val="61893468"/>
        <c:crosses val="autoZero"/>
        <c:crossBetween val="between"/>
      </c:valAx>
      <c:spPr>
        <a:solidFill>
          <a:srgbClr val="FFFFFF"/>
        </a:solidFill>
        <a:ln w="12700">
          <a:noFill/>
          <a:round/>
        </a:ln>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12.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Оценки в отзывах</a:t>
            </a:r>
          </a:p>
        </c:rich>
      </c:tx>
      <c:layout/>
      <c:overlay val="0"/>
      <c:spPr>
        <a:noFill/>
        <a:ln>
          <a:noFill/>
        </a:ln>
      </c:spPr>
    </c:title>
    <c:autoTitleDeleted val="0"/>
    <c:plotArea>
      <c:layout/>
      <c:barChart>
        <c:barDir val="col"/>
        <c:grouping val="clustered"/>
        <c:varyColors val="0"/>
        <c:ser>
          <c:idx val="0"/>
          <c:order val="0"/>
          <c:tx>
            <c:strRef>
              <c:f>Оценки!$C$6</c:f>
            </c:strRef>
          </c:tx>
          <c:spPr>
            <a:solidFill>
              <a:srgbClr val="5B9BD5"/>
            </a:solidFill>
          </c:spPr>
          <c:invertIfNegative val="0"/>
          <c:dLbls>
            <c:numFmt formatCode="General" sourceLinked="1"/>
            <c:dLblPos val="outEnd"/>
            <c:showLegendKey val="0"/>
            <c:showVal val="1"/>
            <c:showCatName val="0"/>
            <c:showSerName val="0"/>
            <c:showPercent val="0"/>
            <c:showBubbleSize val="0"/>
            <c:showLeaderLines val="0"/>
          </c:dLbls>
          <c:cat>
            <c:strRef>
              <c:f>Оценки!$B$7:$B$11</c:f>
              <c:strCache/>
            </c:strRef>
          </c:cat>
          <c:val>
            <c:numRef>
              <c:f>Оценки!$C$7:$C$11</c:f>
              <c:numCache/>
            </c:numRef>
          </c:val>
        </c:ser>
        <c:axId val="34963526"/>
        <c:axId val="41823409"/>
      </c:barChart>
      <c:catAx>
        <c:axId val="34963526"/>
        <c:scaling>
          <c:orientation val="minMax"/>
        </c:scaling>
        <c:delete val="0"/>
        <c:axPos val="b"/>
        <c:numFmt formatCode="General" sourceLinked="1"/>
        <c:majorTickMark val="none"/>
        <c:minorTickMark val="none"/>
        <c:tickLblPos val="nextTo"/>
        <c:crossAx val="41823409"/>
        <c:crosses val="autoZero"/>
        <c:lblOffset val="100"/>
        <c:tickLblSkip val="1"/>
        <c:noMultiLvlLbl val="0"/>
      </c:catAx>
      <c:valAx>
        <c:axId val="41823409"/>
        <c:scaling>
          <c:orientation val="minMax"/>
        </c:scaling>
        <c:delete val="1"/>
        <c:axPos val="l"/>
        <c:majorGridlines>
          <c:spPr>
            <a:ln>
              <a:noFill/>
            </a:ln>
          </c:spPr>
        </c:majorGridlines>
        <c:majorTickMark val="out"/>
        <c:minorTickMark val="none"/>
        <c:tickLblPos val="nextTo"/>
        <c:crossAx val="34963526"/>
        <c:crosses val="autoZero"/>
        <c:crossBetween val="between"/>
      </c:valAx>
      <c:spPr>
        <a:solidFill>
          <a:srgbClr val="FFFFFF"/>
        </a:solidFill>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13.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Оценка по дням</a:t>
            </a:r>
          </a:p>
        </c:rich>
      </c:tx>
      <c:layout/>
      <c:overlay val="0"/>
      <c:spPr>
        <a:noFill/>
        <a:ln>
          <a:noFill/>
        </a:ln>
      </c:spPr>
    </c:title>
    <c:autoTitleDeleted val="0"/>
    <c:plotArea>
      <c:layout/>
      <c:lineChart>
        <c:grouping val="standard"/>
        <c:varyColors val="0"/>
        <c:ser>
          <c:idx val="0"/>
          <c:order val="0"/>
          <c:tx>
            <c:strRef>
              <c:f>Оценки!$C$44</c:f>
            </c:strRef>
          </c:tx>
          <c:spPr>
            <a:ln cap="rnd" cmpd="sng">
              <a:prstDash val="solid"/>
              <a:round/>
            </a:ln>
          </c:spPr>
          <c:marker>
            <c:symbol val="circle"/>
            <c:size val="5"/>
            <c:spPr>
              <a:ln>
                <a:noFill/>
              </a:ln>
            </c:spPr>
          </c:marker>
          <c:cat>
            <c:numRef>
              <c:f>Оценки!$B$45:$B$75</c:f>
              <c:numCache/>
            </c:numRef>
          </c:cat>
          <c:val>
            <c:numRef>
              <c:f>Оценки!$C$45:$C$75</c:f>
              <c:numCache/>
            </c:numRef>
          </c:val>
          <c:smooth val="1"/>
        </c:ser>
        <c:ser>
          <c:idx val="1"/>
          <c:order val="1"/>
          <c:tx>
            <c:strRef>
              <c:f>Оценки!$D$44</c:f>
            </c:strRef>
          </c:tx>
          <c:spPr>
            <a:ln cap="rnd" cmpd="sng">
              <a:prstDash val="solid"/>
              <a:round/>
            </a:ln>
          </c:spPr>
          <c:marker>
            <c:symbol val="circle"/>
            <c:size val="5"/>
            <c:spPr>
              <a:ln>
                <a:noFill/>
              </a:ln>
            </c:spPr>
          </c:marker>
          <c:cat>
            <c:numRef>
              <c:f>Оценки!$B$45:$B$75</c:f>
              <c:numCache/>
            </c:numRef>
          </c:cat>
          <c:val>
            <c:numRef>
              <c:f>Оценки!$D$45:$D$75</c:f>
              <c:numCache/>
            </c:numRef>
          </c:val>
          <c:smooth val="1"/>
        </c:ser>
        <c:ser>
          <c:idx val="2"/>
          <c:order val="2"/>
          <c:tx>
            <c:strRef>
              <c:f>Оценки!$E$44</c:f>
            </c:strRef>
          </c:tx>
          <c:spPr>
            <a:ln cap="rnd" cmpd="sng">
              <a:prstDash val="solid"/>
              <a:round/>
            </a:ln>
          </c:spPr>
          <c:marker>
            <c:symbol val="circle"/>
            <c:size val="5"/>
            <c:spPr>
              <a:ln>
                <a:noFill/>
              </a:ln>
            </c:spPr>
          </c:marker>
          <c:cat>
            <c:numRef>
              <c:f>Оценки!$B$45:$B$75</c:f>
              <c:numCache/>
            </c:numRef>
          </c:cat>
          <c:val>
            <c:numRef>
              <c:f>Оценки!$E$45:$E$75</c:f>
              <c:numCache/>
            </c:numRef>
          </c:val>
          <c:smooth val="1"/>
        </c:ser>
        <c:ser>
          <c:idx val="3"/>
          <c:order val="3"/>
          <c:tx>
            <c:strRef>
              <c:f>Оценки!$F$44</c:f>
            </c:strRef>
          </c:tx>
          <c:spPr>
            <a:ln cap="rnd" cmpd="sng">
              <a:prstDash val="solid"/>
              <a:round/>
            </a:ln>
          </c:spPr>
          <c:marker>
            <c:symbol val="circle"/>
            <c:size val="5"/>
            <c:spPr>
              <a:ln>
                <a:noFill/>
              </a:ln>
            </c:spPr>
          </c:marker>
          <c:cat>
            <c:numRef>
              <c:f>Оценки!$B$45:$B$75</c:f>
              <c:numCache/>
            </c:numRef>
          </c:cat>
          <c:val>
            <c:numRef>
              <c:f>Оценки!$F$45:$F$75</c:f>
              <c:numCache/>
            </c:numRef>
          </c:val>
          <c:smooth val="1"/>
        </c:ser>
        <c:ser>
          <c:idx val="4"/>
          <c:order val="4"/>
          <c:tx>
            <c:strRef>
              <c:f>Оценки!$G$44</c:f>
            </c:strRef>
          </c:tx>
          <c:spPr>
            <a:ln cap="rnd" cmpd="sng">
              <a:prstDash val="solid"/>
              <a:round/>
            </a:ln>
          </c:spPr>
          <c:marker>
            <c:symbol val="circle"/>
            <c:size val="5"/>
            <c:spPr>
              <a:ln>
                <a:noFill/>
              </a:ln>
            </c:spPr>
          </c:marker>
          <c:cat>
            <c:numRef>
              <c:f>Оценки!$B$45:$B$75</c:f>
              <c:numCache/>
            </c:numRef>
          </c:cat>
          <c:val>
            <c:numRef>
              <c:f>Оценки!$G$45:$G$75</c:f>
              <c:numCache/>
            </c:numRef>
          </c:val>
          <c:smooth val="1"/>
        </c:ser>
        <c:marker val="1"/>
        <c:axId val="27980083"/>
        <c:axId val="39247518"/>
      </c:lineChart>
      <c:catAx>
        <c:axId val="27980083"/>
        <c:scaling>
          <c:orientation val="minMax"/>
        </c:scaling>
        <c:delete val="0"/>
        <c:axPos val="b"/>
        <c:numFmt formatCode="General" sourceLinked="1"/>
        <c:majorTickMark val="out"/>
        <c:minorTickMark val="none"/>
        <c:tickLblPos val="nextTo"/>
        <c:spPr>
          <a:ln>
            <a:noFill/>
          </a:ln>
        </c:spPr>
        <c:crossAx val="39247518"/>
        <c:crosses val="autoZero"/>
        <c:lblOffset val="100"/>
        <c:noMultiLvlLbl val="0"/>
      </c:catAx>
      <c:valAx>
        <c:axId val="39247518"/>
        <c:scaling>
          <c:orientation val="minMax"/>
        </c:scaling>
        <c:delete val="0"/>
        <c:axPos val="l"/>
        <c:majorGridlines>
          <c:spPr>
            <a:ln/>
          </c:spPr>
        </c:majorGridlines>
        <c:numFmt formatCode="#,##0" sourceLinked="0"/>
        <c:majorTickMark val="out"/>
        <c:minorTickMark val="none"/>
        <c:tickLblPos val="nextTo"/>
        <c:spPr>
          <a:ln>
            <a:noFill/>
          </a:ln>
        </c:spPr>
        <c:crossAx val="27980083"/>
        <c:crosses val="autoZero"/>
        <c:crossBetween val="between"/>
      </c:valAx>
      <c:spPr>
        <a:solidFill>
          <a:srgbClr val="FFFFFF"/>
        </a:solidFill>
        <a:ln w="12700">
          <a:noFill/>
          <a:round/>
        </a:ln>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14.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Средняя оценка</a:t>
            </a:r>
          </a:p>
        </c:rich>
      </c:tx>
      <c:layout/>
      <c:overlay val="0"/>
      <c:spPr>
        <a:noFill/>
        <a:ln>
          <a:noFill/>
        </a:ln>
      </c:spPr>
    </c:title>
    <c:autoTitleDeleted val="0"/>
    <c:plotArea>
      <c:layout/>
      <c:lineChart>
        <c:grouping val="standard"/>
        <c:varyColors val="0"/>
        <c:ser>
          <c:idx val="0"/>
          <c:order val="0"/>
          <c:tx>
            <c:strRef>
              <c:f>Оценки!$H$44</c:f>
            </c:strRef>
          </c:tx>
          <c:spPr>
            <a:ln cap="rnd" cmpd="sng">
              <a:prstDash val="solid"/>
              <a:round/>
            </a:ln>
          </c:spPr>
          <c:marker>
            <c:symbol val="circle"/>
            <c:size val="5"/>
            <c:spPr>
              <a:ln>
                <a:noFill/>
              </a:ln>
            </c:spPr>
          </c:marker>
          <c:cat>
            <c:numRef>
              <c:f>Оценки!$B$45:$B$75</c:f>
              <c:numCache/>
            </c:numRef>
          </c:cat>
          <c:val>
            <c:numRef>
              <c:f>Оценки!$H$45:$H$75</c:f>
              <c:numCache/>
            </c:numRef>
          </c:val>
          <c:smooth val="1"/>
        </c:ser>
        <c:marker val="1"/>
        <c:axId val="67037639"/>
        <c:axId val="22593346"/>
      </c:lineChart>
      <c:catAx>
        <c:axId val="67037639"/>
        <c:scaling>
          <c:orientation val="minMax"/>
        </c:scaling>
        <c:delete val="0"/>
        <c:axPos val="b"/>
        <c:numFmt formatCode="General" sourceLinked="1"/>
        <c:majorTickMark val="out"/>
        <c:minorTickMark val="none"/>
        <c:tickLblPos val="nextTo"/>
        <c:spPr>
          <a:ln>
            <a:noFill/>
          </a:ln>
        </c:spPr>
        <c:crossAx val="22593346"/>
        <c:crosses val="autoZero"/>
        <c:lblOffset val="100"/>
        <c:noMultiLvlLbl val="0"/>
      </c:catAx>
      <c:valAx>
        <c:axId val="22593346"/>
        <c:scaling>
          <c:orientation val="minMax"/>
        </c:scaling>
        <c:delete val="0"/>
        <c:axPos val="l"/>
        <c:majorGridlines>
          <c:spPr>
            <a:ln/>
          </c:spPr>
        </c:majorGridlines>
        <c:numFmt formatCode="#,##0" sourceLinked="0"/>
        <c:majorTickMark val="out"/>
        <c:minorTickMark val="none"/>
        <c:tickLblPos val="nextTo"/>
        <c:spPr>
          <a:ln>
            <a:noFill/>
          </a:ln>
        </c:spPr>
        <c:crossAx val="67037639"/>
        <c:crosses val="autoZero"/>
        <c:crossBetween val="between"/>
      </c:valAx>
      <c:spPr>
        <a:solidFill>
          <a:srgbClr val="FFFFFF"/>
        </a:solidFill>
        <a:ln w="12700">
          <a:noFill/>
          <a:round/>
        </a:ln>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15.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Типы площадок</a:t>
            </a:r>
          </a:p>
        </c:rich>
      </c:tx>
      <c:layout/>
      <c:overlay val="0"/>
      <c:spPr>
        <a:noFill/>
        <a:ln>
          <a:noFill/>
        </a:ln>
      </c:spPr>
    </c:title>
    <c:autoTitleDeleted val="0"/>
    <c:plotArea>
      <c:layout/>
      <c:pieChart>
        <c:varyColors val="1"/>
        <c:ser>
          <c:idx val="0"/>
          <c:order val="0"/>
          <c:explosion val="0"/>
          <c:dPt>
            <c:idx val="0"/>
            <c:spPr>
              <a:solidFill>
                <a:srgbClr val="5B9BD5"/>
              </a:solidFill>
            </c:spPr>
          </c:dPt>
          <c:dPt>
            <c:idx val="1"/>
            <c:spPr>
              <a:solidFill>
                <a:srgbClr val="70AD47"/>
              </a:solidFill>
            </c:spPr>
          </c:dPt>
          <c:dPt>
            <c:idx val="2"/>
            <c:spPr>
              <a:solidFill>
                <a:srgbClr val="BC13FE"/>
              </a:solidFill>
            </c:spPr>
          </c:dPt>
          <c:dPt>
            <c:idx val="3"/>
            <c:spPr>
              <a:solidFill>
                <a:srgbClr val="A5A5A5"/>
              </a:solidFill>
            </c:spPr>
          </c:dPt>
          <c:dPt>
            <c:idx val="4"/>
            <c:spPr>
              <a:solidFill>
                <a:srgbClr val="FFC000"/>
              </a:solidFill>
            </c:spPr>
          </c:dPt>
          <c:dPt>
            <c:idx val="5"/>
            <c:spPr>
              <a:solidFill>
                <a:srgbClr val="4472C4"/>
              </a:solidFill>
            </c:spPr>
          </c:dPt>
          <c:dPt>
            <c:idx val="6"/>
            <c:spPr>
              <a:solidFill>
                <a:srgbClr val="ED7D31"/>
              </a:solidFill>
            </c:spPr>
          </c:dPt>
          <c:dLbls>
            <c:numFmt formatCode="General" sourceLinked="1"/>
            <c:dLblPos val="bestFit"/>
            <c:showLegendKey val="0"/>
            <c:showVal val="0"/>
            <c:showCatName val="1"/>
            <c:showSerName val="0"/>
            <c:showPercent val="1"/>
            <c:showBubbleSize val="0"/>
            <c:showLeaderLines val="1"/>
          </c:dLbls>
          <c:cat>
            <c:strRef>
              <c:f>'Типы площадок'!$C$31:$I$31</c:f>
              <c:strCache/>
            </c:strRef>
          </c:cat>
          <c:val>
            <c:numRef>
              <c:f>'Типы площадок'!$C$32:$I$32</c:f>
              <c:numCache/>
            </c:numRef>
          </c:val>
        </c:ser>
      </c:pieChart>
      <c:spPr>
        <a:solidFill>
          <a:srgbClr val="FFFFFF"/>
        </a:solidFill>
        <a:ln w="12700">
          <a:noFill/>
        </a:ln>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16.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Топ-10 площадок</a:t>
            </a:r>
          </a:p>
        </c:rich>
      </c:tx>
      <c:layout/>
      <c:overlay val="0"/>
      <c:spPr>
        <a:noFill/>
        <a:ln>
          <a:noFill/>
        </a:ln>
      </c:spPr>
    </c:title>
    <c:autoTitleDeleted val="0"/>
    <c:plotArea>
      <c:layout/>
      <c:barChart>
        <c:barDir val="bar"/>
        <c:grouping val="stacked"/>
        <c:varyColors val="0"/>
        <c:ser>
          <c:idx val="0"/>
          <c:order val="0"/>
          <c:tx>
            <c:strRef>
              <c:f>Площадки!$K$27</c:f>
            </c:strRef>
          </c:tx>
          <c:spPr>
            <a:solidFill>
              <a:srgbClr val="98D497"/>
            </a:solidFill>
          </c:spPr>
          <c:invertIfNegative val="0"/>
          <c:dLbls>
            <c:numFmt formatCode="General" sourceLinked="1"/>
            <c:showLegendKey val="0"/>
            <c:showVal val="0"/>
            <c:showCatName val="0"/>
            <c:showSerName val="0"/>
            <c:showPercent val="0"/>
            <c:showBubbleSize val="0"/>
            <c:showLeaderLines val="0"/>
            <c:separator> </c:separator>
          </c:dLbls>
          <c:cat>
            <c:strRef>
              <c:f>Площадки!$B$28:$B$38</c:f>
              <c:strCache/>
            </c:strRef>
          </c:cat>
          <c:val>
            <c:numRef>
              <c:f>Площадки!$K$28:$K$38</c:f>
              <c:numCache/>
            </c:numRef>
          </c:val>
        </c:ser>
        <c:ser>
          <c:idx val="1"/>
          <c:order val="1"/>
          <c:tx>
            <c:strRef>
              <c:f>Площадки!$L$27</c:f>
            </c:strRef>
          </c:tx>
          <c:spPr>
            <a:solidFill>
              <a:srgbClr val="CCD3DB"/>
            </a:solidFill>
          </c:spPr>
          <c:invertIfNegative val="0"/>
          <c:dLbls>
            <c:numFmt formatCode="General" sourceLinked="1"/>
            <c:showLegendKey val="0"/>
            <c:showVal val="0"/>
            <c:showCatName val="0"/>
            <c:showSerName val="0"/>
            <c:showPercent val="0"/>
            <c:showBubbleSize val="0"/>
            <c:showLeaderLines val="0"/>
            <c:separator> </c:separator>
          </c:dLbls>
          <c:cat>
            <c:strRef>
              <c:f>Площадки!$B$28:$B$38</c:f>
              <c:strCache/>
            </c:strRef>
          </c:cat>
          <c:val>
            <c:numRef>
              <c:f>Площадки!$L$28:$L$38</c:f>
              <c:numCache/>
            </c:numRef>
          </c:val>
        </c:ser>
        <c:ser>
          <c:idx val="2"/>
          <c:order val="2"/>
          <c:tx>
            <c:strRef>
              <c:f>Площадки!$M$27</c:f>
            </c:strRef>
          </c:tx>
          <c:spPr>
            <a:solidFill>
              <a:srgbClr val="FC6C73"/>
            </a:solidFill>
          </c:spPr>
          <c:invertIfNegative val="0"/>
          <c:dLbls>
            <c:numFmt formatCode="General" sourceLinked="1"/>
            <c:showLegendKey val="0"/>
            <c:showVal val="0"/>
            <c:showCatName val="0"/>
            <c:showSerName val="0"/>
            <c:showPercent val="0"/>
            <c:showBubbleSize val="0"/>
            <c:showLeaderLines val="0"/>
            <c:separator> </c:separator>
          </c:dLbls>
          <c:cat>
            <c:strRef>
              <c:f>Площадки!$B$28:$B$38</c:f>
              <c:strCache/>
            </c:strRef>
          </c:cat>
          <c:val>
            <c:numRef>
              <c:f>Площадки!$M$28:$M$38</c:f>
              <c:numCache/>
            </c:numRef>
          </c:val>
        </c:ser>
        <c:overlap val="100"/>
        <c:axId val="38922595"/>
        <c:axId val="33213487"/>
      </c:barChart>
      <c:catAx>
        <c:axId val="38922595"/>
        <c:scaling>
          <c:orientation val="maxMin"/>
        </c:scaling>
        <c:delete val="0"/>
        <c:axPos val="l"/>
        <c:numFmt formatCode="General" sourceLinked="1"/>
        <c:majorTickMark val="none"/>
        <c:minorTickMark val="none"/>
        <c:tickLblPos val="nextTo"/>
        <c:crossAx val="33213487"/>
        <c:crosses val="autoZero"/>
        <c:lblOffset val="100"/>
        <c:noMultiLvlLbl val="0"/>
      </c:catAx>
      <c:valAx>
        <c:axId val="33213487"/>
        <c:scaling>
          <c:orientation val="minMax"/>
        </c:scaling>
        <c:delete val="0"/>
        <c:axPos val="t"/>
        <c:majorGridlines>
          <c:spPr>
            <a:ln>
              <a:noFill/>
            </a:ln>
          </c:spPr>
        </c:majorGridlines>
        <c:numFmt formatCode="General" sourceLinked="1"/>
        <c:majorTickMark val="out"/>
        <c:minorTickMark val="none"/>
        <c:tickLblPos val="nextTo"/>
        <c:crossAx val="38922595"/>
        <c:crosses val="autoZero"/>
        <c:crossBetween val="between"/>
      </c:valAx>
      <c:spPr>
        <a:solidFill>
          <a:srgbClr val="FFFFFF"/>
        </a:solidFill>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17.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Топ-10 групп</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Группы!$B$28:$B$37</c:f>
              <c:strCache/>
            </c:strRef>
          </c:cat>
          <c:val>
            <c:numRef>
              <c:f>Группы!$G$28:$G$37</c:f>
              <c:numCache/>
            </c:numRef>
          </c:val>
        </c:ser>
        <c:axId val="3928620"/>
        <c:axId val="39468601"/>
      </c:barChart>
      <c:catAx>
        <c:axId val="3928620"/>
        <c:scaling>
          <c:orientation val="maxMin"/>
        </c:scaling>
        <c:delete val="0"/>
        <c:axPos val="l"/>
        <c:numFmt formatCode="General" sourceLinked="1"/>
        <c:majorTickMark val="none"/>
        <c:minorTickMark val="none"/>
        <c:tickLblPos val="nextTo"/>
        <c:crossAx val="39468601"/>
        <c:crosses val="autoZero"/>
        <c:lblOffset val="100"/>
        <c:noMultiLvlLbl val="0"/>
      </c:catAx>
      <c:valAx>
        <c:axId val="39468601"/>
        <c:scaling>
          <c:orientation val="minMax"/>
        </c:scaling>
        <c:delete val="1"/>
        <c:axPos val="t"/>
        <c:majorGridlines>
          <c:spPr>
            <a:ln>
              <a:noFill/>
            </a:ln>
          </c:spPr>
        </c:majorGridlines>
        <c:majorTickMark val="out"/>
        <c:minorTickMark val="none"/>
        <c:tickLblPos val="nextTo"/>
        <c:crossAx val="3928620"/>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18.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Топ-10 авторов</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Авторы!$B$28:$B$37</c:f>
              <c:strCache/>
            </c:strRef>
          </c:cat>
          <c:val>
            <c:numRef>
              <c:f>Авторы!$G$28:$G$37</c:f>
              <c:numCache/>
            </c:numRef>
          </c:val>
        </c:ser>
        <c:axId val="40307944"/>
        <c:axId val="26641517"/>
      </c:barChart>
      <c:catAx>
        <c:axId val="40307944"/>
        <c:scaling>
          <c:orientation val="maxMin"/>
        </c:scaling>
        <c:delete val="0"/>
        <c:axPos val="l"/>
        <c:numFmt formatCode="General" sourceLinked="1"/>
        <c:majorTickMark val="none"/>
        <c:minorTickMark val="none"/>
        <c:tickLblPos val="nextTo"/>
        <c:crossAx val="26641517"/>
        <c:crosses val="autoZero"/>
        <c:lblOffset val="100"/>
        <c:noMultiLvlLbl val="0"/>
      </c:catAx>
      <c:valAx>
        <c:axId val="26641517"/>
        <c:scaling>
          <c:orientation val="minMax"/>
        </c:scaling>
        <c:delete val="1"/>
        <c:axPos val="t"/>
        <c:majorGridlines>
          <c:spPr>
            <a:ln>
              <a:noFill/>
            </a:ln>
          </c:spPr>
        </c:majorGridlines>
        <c:majorTickMark val="out"/>
        <c:minorTickMark val="none"/>
        <c:tickLblPos val="nextTo"/>
        <c:crossAx val="40307944"/>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19.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Пол авторов</a:t>
            </a:r>
          </a:p>
        </c:rich>
      </c:tx>
      <c:layout/>
      <c:overlay val="0"/>
      <c:spPr>
        <a:noFill/>
        <a:ln>
          <a:noFill/>
        </a:ln>
      </c:spPr>
    </c:title>
    <c:autoTitleDeleted val="0"/>
    <c:plotArea>
      <c:layout/>
      <c:doughnutChart>
        <c:varyColors val="1"/>
        <c:ser>
          <c:idx val="0"/>
          <c:order val="0"/>
          <c:explosion val="0"/>
          <c:dPt>
            <c:idx val="0"/>
            <c:spPr>
              <a:solidFill>
                <a:srgbClr val="FFC000"/>
              </a:solidFill>
            </c:spPr>
          </c:dPt>
          <c:dPt>
            <c:idx val="1"/>
            <c:spPr>
              <a:solidFill>
                <a:srgbClr val="297180"/>
              </a:solidFill>
            </c:spPr>
          </c:dPt>
          <c:dLbls>
            <c:numFmt formatCode="General" sourceLinked="1"/>
            <c:showLegendKey val="0"/>
            <c:showVal val="0"/>
            <c:showCatName val="0"/>
            <c:showSerName val="0"/>
            <c:showPercent val="1"/>
            <c:showBubbleSize val="0"/>
            <c:showLeaderLines val="1"/>
          </c:dLbls>
          <c:cat>
            <c:strRef>
              <c:f>'Соцдем авторов'!$B$7:$B$8</c:f>
              <c:strCache/>
            </c:strRef>
          </c:cat>
          <c:val>
            <c:numRef>
              <c:f>'Соцдем авторов'!$E$7:$E$8</c:f>
              <c:numCache/>
            </c:numRef>
          </c:val>
        </c:ser>
        <c:holeSize val="50"/>
      </c:doughnutChart>
      <c:spPr>
        <a:solidFill>
          <a:srgbClr val="FFFFFF"/>
        </a:solidFill>
        <a:ln w="12700">
          <a:noFill/>
        </a:ln>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20.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Возраст авторов</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'Соцдем авторов'!$B$12:$B$16</c:f>
              <c:strCache/>
            </c:strRef>
          </c:cat>
          <c:val>
            <c:numRef>
              <c:f>'Соцдем авторов'!$E$12:$E$16</c:f>
              <c:numCache/>
            </c:numRef>
          </c:val>
        </c:ser>
        <c:axId val="27215343"/>
        <c:axId val="31046949"/>
      </c:barChart>
      <c:catAx>
        <c:axId val="27215343"/>
        <c:scaling>
          <c:orientation val="maxMin"/>
        </c:scaling>
        <c:delete val="0"/>
        <c:axPos val="l"/>
        <c:numFmt formatCode="General" sourceLinked="1"/>
        <c:majorTickMark val="none"/>
        <c:minorTickMark val="none"/>
        <c:tickLblPos val="nextTo"/>
        <c:crossAx val="31046949"/>
        <c:crosses val="autoZero"/>
        <c:lblOffset val="100"/>
        <c:noMultiLvlLbl val="0"/>
      </c:catAx>
      <c:valAx>
        <c:axId val="31046949"/>
        <c:scaling>
          <c:orientation val="minMax"/>
        </c:scaling>
        <c:delete val="1"/>
        <c:axPos val="t"/>
        <c:majorGridlines>
          <c:spPr>
            <a:ln>
              <a:noFill/>
            </a:ln>
          </c:spPr>
        </c:majorGridlines>
        <c:majorTickMark val="out"/>
        <c:minorTickMark val="none"/>
        <c:tickLblPos val="nextTo"/>
        <c:crossAx val="27215343"/>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21.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Семейное положение авторов</a:t>
            </a:r>
          </a:p>
        </c:rich>
      </c:tx>
      <c:layout/>
      <c:overlay val="0"/>
      <c:spPr>
        <a:noFill/>
        <a:ln>
          <a:noFill/>
        </a:ln>
      </c:spPr>
    </c:title>
    <c:autoTitleDeleted val="0"/>
    <c:plotArea>
      <c:layout/>
      <c:doughnutChart>
        <c:varyColors val="1"/>
        <c:ser>
          <c:idx val="0"/>
          <c:order val="0"/>
          <c:explosion val="0"/>
          <c:dPt>
            <c:idx val="0"/>
            <c:spPr>
              <a:solidFill>
                <a:srgbClr val="FFC000"/>
              </a:solidFill>
            </c:spPr>
          </c:dPt>
          <c:dPt>
            <c:idx val="1"/>
            <c:spPr>
              <a:solidFill>
                <a:srgbClr val="297180"/>
              </a:solidFill>
            </c:spPr>
          </c:dPt>
          <c:dLbls>
            <c:numFmt formatCode="General" sourceLinked="1"/>
            <c:showLegendKey val="0"/>
            <c:showVal val="0"/>
            <c:showCatName val="0"/>
            <c:showSerName val="0"/>
            <c:showPercent val="1"/>
            <c:showBubbleSize val="0"/>
            <c:showLeaderLines val="1"/>
          </c:dLbls>
          <c:cat>
            <c:strRef>
              <c:f>'Соцдем авторов'!$B$20:$B$21</c:f>
              <c:strCache/>
            </c:strRef>
          </c:cat>
          <c:val>
            <c:numRef>
              <c:f>'Соцдем авторов'!$E$20:$E$21</c:f>
              <c:numCache/>
            </c:numRef>
          </c:val>
        </c:ser>
        <c:holeSize val="50"/>
      </c:doughnutChart>
      <c:spPr>
        <a:solidFill>
          <a:srgbClr val="FFFFFF"/>
        </a:solidFill>
        <a:ln w="12700">
          <a:noFill/>
        </a:ln>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22.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Образование авторов</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'Соцдем авторов'!$B$25:$B$27</c:f>
              <c:strCache/>
            </c:strRef>
          </c:cat>
          <c:val>
            <c:numRef>
              <c:f>'Соцдем авторов'!$E$25:$E$27</c:f>
              <c:numCache/>
            </c:numRef>
          </c:val>
        </c:ser>
        <c:axId val="54441617"/>
        <c:axId val="1817016"/>
      </c:barChart>
      <c:catAx>
        <c:axId val="54441617"/>
        <c:scaling>
          <c:orientation val="maxMin"/>
        </c:scaling>
        <c:delete val="0"/>
        <c:axPos val="l"/>
        <c:numFmt formatCode="General" sourceLinked="1"/>
        <c:majorTickMark val="none"/>
        <c:minorTickMark val="none"/>
        <c:tickLblPos val="nextTo"/>
        <c:crossAx val="1817016"/>
        <c:crosses val="autoZero"/>
        <c:lblOffset val="100"/>
        <c:noMultiLvlLbl val="0"/>
      </c:catAx>
      <c:valAx>
        <c:axId val="1817016"/>
        <c:scaling>
          <c:orientation val="minMax"/>
        </c:scaling>
        <c:delete val="1"/>
        <c:axPos val="t"/>
        <c:majorGridlines>
          <c:spPr>
            <a:ln>
              <a:noFill/>
            </a:ln>
          </c:spPr>
        </c:majorGridlines>
        <c:majorTickMark val="out"/>
        <c:minorTickMark val="none"/>
        <c:tickLblPos val="nextTo"/>
        <c:crossAx val="54441617"/>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23.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Интересы авторов</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'Соцдем авторов'!$B$40:$B$45</c:f>
              <c:strCache/>
            </c:strRef>
          </c:cat>
          <c:val>
            <c:numRef>
              <c:f>'Соцдем авторов'!$D$40:$D$45</c:f>
              <c:numCache/>
            </c:numRef>
          </c:val>
        </c:ser>
        <c:axId val="2015853"/>
        <c:axId val="51948836"/>
      </c:barChart>
      <c:catAx>
        <c:axId val="2015853"/>
        <c:scaling>
          <c:orientation val="maxMin"/>
        </c:scaling>
        <c:delete val="0"/>
        <c:axPos val="l"/>
        <c:numFmt formatCode="General" sourceLinked="1"/>
        <c:majorTickMark val="none"/>
        <c:minorTickMark val="none"/>
        <c:tickLblPos val="nextTo"/>
        <c:crossAx val="51948836"/>
        <c:crosses val="autoZero"/>
        <c:lblOffset val="100"/>
        <c:noMultiLvlLbl val="0"/>
      </c:catAx>
      <c:valAx>
        <c:axId val="51948836"/>
        <c:scaling>
          <c:orientation val="minMax"/>
        </c:scaling>
        <c:delete val="1"/>
        <c:axPos val="t"/>
        <c:majorGridlines>
          <c:spPr>
            <a:ln>
              <a:noFill/>
            </a:ln>
          </c:spPr>
        </c:majorGridlines>
        <c:majorTickMark val="out"/>
        <c:minorTickMark val="none"/>
        <c:tickLblPos val="nextTo"/>
        <c:crossAx val="2015853"/>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24.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Топ-10 стран авторов</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'Соцдем авторов'!$B$49:$B$54</c:f>
              <c:strCache/>
            </c:strRef>
          </c:cat>
          <c:val>
            <c:numRef>
              <c:f>'Соцдем авторов'!$E$49:$E$54</c:f>
              <c:numCache/>
            </c:numRef>
          </c:val>
        </c:ser>
        <c:axId val="29103001"/>
        <c:axId val="2874018"/>
      </c:barChart>
      <c:catAx>
        <c:axId val="29103001"/>
        <c:scaling>
          <c:orientation val="maxMin"/>
        </c:scaling>
        <c:delete val="0"/>
        <c:axPos val="l"/>
        <c:numFmt formatCode="General" sourceLinked="1"/>
        <c:majorTickMark val="none"/>
        <c:minorTickMark val="none"/>
        <c:tickLblPos val="nextTo"/>
        <c:crossAx val="2874018"/>
        <c:crosses val="autoZero"/>
        <c:lblOffset val="100"/>
        <c:noMultiLvlLbl val="0"/>
      </c:catAx>
      <c:valAx>
        <c:axId val="2874018"/>
        <c:scaling>
          <c:orientation val="minMax"/>
        </c:scaling>
        <c:delete val="1"/>
        <c:axPos val="t"/>
        <c:majorGridlines>
          <c:spPr>
            <a:ln>
              <a:noFill/>
            </a:ln>
          </c:spPr>
        </c:majorGridlines>
        <c:majorTickMark val="out"/>
        <c:minorTickMark val="none"/>
        <c:tickLblPos val="nextTo"/>
        <c:crossAx val="29103001"/>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25.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Топ-10 регионов авторов</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'Соцдем авторов'!$B$58:$B$67</c:f>
              <c:strCache/>
            </c:strRef>
          </c:cat>
          <c:val>
            <c:numRef>
              <c:f>'Соцдем авторов'!$E$58:$E$67</c:f>
              <c:numCache/>
            </c:numRef>
          </c:val>
        </c:ser>
        <c:axId val="52075178"/>
        <c:axId val="66296435"/>
      </c:barChart>
      <c:catAx>
        <c:axId val="52075178"/>
        <c:scaling>
          <c:orientation val="maxMin"/>
        </c:scaling>
        <c:delete val="0"/>
        <c:axPos val="l"/>
        <c:numFmt formatCode="General" sourceLinked="1"/>
        <c:majorTickMark val="none"/>
        <c:minorTickMark val="none"/>
        <c:tickLblPos val="nextTo"/>
        <c:crossAx val="66296435"/>
        <c:crosses val="autoZero"/>
        <c:lblOffset val="100"/>
        <c:noMultiLvlLbl val="0"/>
      </c:catAx>
      <c:valAx>
        <c:axId val="66296435"/>
        <c:scaling>
          <c:orientation val="minMax"/>
        </c:scaling>
        <c:delete val="1"/>
        <c:axPos val="t"/>
        <c:majorGridlines>
          <c:spPr>
            <a:ln>
              <a:noFill/>
            </a:ln>
          </c:spPr>
        </c:majorGridlines>
        <c:majorTickMark val="out"/>
        <c:minorTickMark val="none"/>
        <c:tickLblPos val="nextTo"/>
        <c:crossAx val="52075178"/>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26.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Топ-10 городов авторов</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'Соцдем авторов'!$B$92:$B$101</c:f>
              <c:strCache/>
            </c:strRef>
          </c:cat>
          <c:val>
            <c:numRef>
              <c:f>'Соцдем авторов'!$E$92:$E$101</c:f>
              <c:numCache/>
            </c:numRef>
          </c:val>
        </c:ser>
        <c:axId val="39085538"/>
        <c:axId val="834939"/>
      </c:barChart>
      <c:catAx>
        <c:axId val="39085538"/>
        <c:scaling>
          <c:orientation val="maxMin"/>
        </c:scaling>
        <c:delete val="0"/>
        <c:axPos val="l"/>
        <c:numFmt formatCode="General" sourceLinked="1"/>
        <c:majorTickMark val="none"/>
        <c:minorTickMark val="none"/>
        <c:tickLblPos val="nextTo"/>
        <c:crossAx val="834939"/>
        <c:crosses val="autoZero"/>
        <c:lblOffset val="100"/>
        <c:noMultiLvlLbl val="0"/>
      </c:catAx>
      <c:valAx>
        <c:axId val="834939"/>
        <c:scaling>
          <c:orientation val="minMax"/>
        </c:scaling>
        <c:delete val="1"/>
        <c:axPos val="t"/>
        <c:majorGridlines>
          <c:spPr>
            <a:ln>
              <a:noFill/>
            </a:ln>
          </c:spPr>
        </c:majorGridlines>
        <c:majorTickMark val="out"/>
        <c:minorTickMark val="none"/>
        <c:tickLblPos val="nextTo"/>
        <c:crossAx val="39085538"/>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27.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Эмоции, топ 10</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Эмоции!$B$25:$B$34</c:f>
              <c:strCache/>
            </c:strRef>
          </c:cat>
          <c:val>
            <c:numRef>
              <c:f>Эмоции!$C$25:$C$34</c:f>
              <c:numCache/>
            </c:numRef>
          </c:val>
        </c:ser>
        <c:axId val="51430864"/>
        <c:axId val="66253095"/>
      </c:barChart>
      <c:catAx>
        <c:axId val="51430864"/>
        <c:scaling>
          <c:orientation val="maxMin"/>
        </c:scaling>
        <c:delete val="0"/>
        <c:axPos val="l"/>
        <c:numFmt formatCode="General" sourceLinked="1"/>
        <c:majorTickMark val="none"/>
        <c:minorTickMark val="none"/>
        <c:tickLblPos val="nextTo"/>
        <c:crossAx val="66253095"/>
        <c:crosses val="autoZero"/>
        <c:lblOffset val="100"/>
        <c:noMultiLvlLbl val="0"/>
      </c:catAx>
      <c:valAx>
        <c:axId val="66253095"/>
        <c:scaling>
          <c:orientation val="minMax"/>
        </c:scaling>
        <c:delete val="1"/>
        <c:axPos val="t"/>
        <c:majorGridlines>
          <c:spPr>
            <a:ln>
              <a:noFill/>
            </a:ln>
          </c:spPr>
        </c:majorGridlines>
        <c:majorTickMark val="out"/>
        <c:minorTickMark val="none"/>
        <c:tickLblPos val="nextTo"/>
        <c:crossAx val="51430864"/>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28.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Реакции, топ 5</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Реакции!$B$25:$B$29</c:f>
              <c:strCache/>
            </c:strRef>
          </c:cat>
          <c:val>
            <c:numRef>
              <c:f>Реакции!$C$25:$C$29</c:f>
              <c:numCache/>
            </c:numRef>
          </c:val>
        </c:ser>
        <c:axId val="9881448"/>
        <c:axId val="1889853"/>
      </c:barChart>
      <c:catAx>
        <c:axId val="9881448"/>
        <c:scaling>
          <c:orientation val="maxMin"/>
        </c:scaling>
        <c:delete val="0"/>
        <c:axPos val="l"/>
        <c:numFmt formatCode="General" sourceLinked="1"/>
        <c:majorTickMark val="none"/>
        <c:minorTickMark val="none"/>
        <c:tickLblPos val="nextTo"/>
        <c:crossAx val="1889853"/>
        <c:crosses val="autoZero"/>
        <c:lblOffset val="100"/>
        <c:noMultiLvlLbl val="0"/>
      </c:catAx>
      <c:valAx>
        <c:axId val="1889853"/>
        <c:scaling>
          <c:orientation val="minMax"/>
        </c:scaling>
        <c:delete val="1"/>
        <c:axPos val="t"/>
        <c:majorGridlines>
          <c:spPr>
            <a:ln>
              <a:noFill/>
            </a:ln>
          </c:spPr>
        </c:majorGridlines>
        <c:majorTickMark val="out"/>
        <c:minorTickMark val="none"/>
        <c:tickLblPos val="nextTo"/>
        <c:crossAx val="9881448"/>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29.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Топ-20 слов</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Слова!$B$7:$B$26</c:f>
              <c:strCache/>
            </c:strRef>
          </c:cat>
          <c:val>
            <c:numRef>
              <c:f>Слова!$C$7:$C$26</c:f>
              <c:numCache/>
            </c:numRef>
          </c:val>
        </c:ser>
        <c:axId val="34282529"/>
        <c:axId val="18853018"/>
      </c:barChart>
      <c:catAx>
        <c:axId val="34282529"/>
        <c:scaling>
          <c:orientation val="maxMin"/>
        </c:scaling>
        <c:delete val="0"/>
        <c:axPos val="l"/>
        <c:numFmt formatCode="General" sourceLinked="1"/>
        <c:majorTickMark val="none"/>
        <c:minorTickMark val="none"/>
        <c:tickLblPos val="nextTo"/>
        <c:crossAx val="18853018"/>
        <c:crosses val="autoZero"/>
        <c:lblOffset val="100"/>
        <c:noMultiLvlLbl val="0"/>
      </c:catAx>
      <c:valAx>
        <c:axId val="18853018"/>
        <c:scaling>
          <c:orientation val="minMax"/>
        </c:scaling>
        <c:delete val="1"/>
        <c:axPos val="t"/>
        <c:majorGridlines>
          <c:spPr>
            <a:ln>
              <a:noFill/>
            </a:ln>
          </c:spPr>
        </c:majorGridlines>
        <c:majorTickMark val="out"/>
        <c:minorTickMark val="none"/>
        <c:tickLblPos val="nextTo"/>
        <c:crossAx val="34282529"/>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30.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Топ-20 хэштегов</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Хэштеги!$B$7:$B$26</c:f>
              <c:strCache/>
            </c:strRef>
          </c:cat>
          <c:val>
            <c:numRef>
              <c:f>Хэштеги!$C$7:$C$26</c:f>
              <c:numCache/>
            </c:numRef>
          </c:val>
        </c:ser>
        <c:axId val="21790945"/>
        <c:axId val="63350653"/>
      </c:barChart>
      <c:catAx>
        <c:axId val="21790945"/>
        <c:scaling>
          <c:orientation val="maxMin"/>
        </c:scaling>
        <c:delete val="0"/>
        <c:axPos val="l"/>
        <c:numFmt formatCode="General" sourceLinked="1"/>
        <c:majorTickMark val="none"/>
        <c:minorTickMark val="none"/>
        <c:tickLblPos val="nextTo"/>
        <c:crossAx val="63350653"/>
        <c:crosses val="autoZero"/>
        <c:lblOffset val="100"/>
        <c:noMultiLvlLbl val="0"/>
      </c:catAx>
      <c:valAx>
        <c:axId val="63350653"/>
        <c:scaling>
          <c:orientation val="minMax"/>
        </c:scaling>
        <c:delete val="1"/>
        <c:axPos val="t"/>
        <c:majorGridlines>
          <c:spPr>
            <a:ln>
              <a:noFill/>
            </a:ln>
          </c:spPr>
        </c:majorGridlines>
        <c:majorTickMark val="out"/>
        <c:minorTickMark val="none"/>
        <c:tickLblPos val="nextTo"/>
        <c:crossAx val="21790945"/>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31.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Топ-10 стран</a:t>
            </a:r>
          </a:p>
        </c:rich>
      </c:tx>
      <c:layout/>
      <c:overlay val="0"/>
      <c:spPr>
        <a:noFill/>
        <a:ln>
          <a:noFill/>
        </a:ln>
      </c:spPr>
    </c:title>
    <c:autoTitleDeleted val="0"/>
    <c:plotArea>
      <c:layout/>
      <c:barChart>
        <c:barDir val="bar"/>
        <c:grouping val="stacked"/>
        <c:varyColors val="0"/>
        <c:ser>
          <c:idx val="0"/>
          <c:order val="0"/>
          <c:tx>
            <c:strRef>
              <c:f>Страны!$F$26</c:f>
            </c:strRef>
          </c:tx>
          <c:spPr>
            <a:solidFill>
              <a:srgbClr val="98D497"/>
            </a:solidFill>
          </c:spPr>
          <c:invertIfNegative val="0"/>
          <c:dLbls>
            <c:numFmt formatCode="General" sourceLinked="1"/>
            <c:showLegendKey val="0"/>
            <c:showVal val="0"/>
            <c:showCatName val="0"/>
            <c:showSerName val="0"/>
            <c:showPercent val="0"/>
            <c:showBubbleSize val="0"/>
            <c:showLeaderLines val="0"/>
            <c:separator> </c:separator>
          </c:dLbls>
          <c:cat>
            <c:strRef>
              <c:f>Страны!$B$27:$B$36</c:f>
              <c:strCache/>
            </c:strRef>
          </c:cat>
          <c:val>
            <c:numRef>
              <c:f>Страны!$F$27:$F$36</c:f>
              <c:numCache/>
            </c:numRef>
          </c:val>
        </c:ser>
        <c:ser>
          <c:idx val="1"/>
          <c:order val="1"/>
          <c:tx>
            <c:strRef>
              <c:f>Страны!$G$26</c:f>
            </c:strRef>
          </c:tx>
          <c:spPr>
            <a:solidFill>
              <a:srgbClr val="CCD3DB"/>
            </a:solidFill>
          </c:spPr>
          <c:invertIfNegative val="0"/>
          <c:dLbls>
            <c:numFmt formatCode="General" sourceLinked="1"/>
            <c:showLegendKey val="0"/>
            <c:showVal val="0"/>
            <c:showCatName val="0"/>
            <c:showSerName val="0"/>
            <c:showPercent val="0"/>
            <c:showBubbleSize val="0"/>
            <c:showLeaderLines val="0"/>
            <c:separator> </c:separator>
          </c:dLbls>
          <c:cat>
            <c:strRef>
              <c:f>Страны!$B$27:$B$36</c:f>
              <c:strCache/>
            </c:strRef>
          </c:cat>
          <c:val>
            <c:numRef>
              <c:f>Страны!$G$27:$G$36</c:f>
              <c:numCache/>
            </c:numRef>
          </c:val>
        </c:ser>
        <c:ser>
          <c:idx val="2"/>
          <c:order val="2"/>
          <c:tx>
            <c:strRef>
              <c:f>Страны!$H$26</c:f>
            </c:strRef>
          </c:tx>
          <c:spPr>
            <a:solidFill>
              <a:srgbClr val="FC6C73"/>
            </a:solidFill>
          </c:spPr>
          <c:invertIfNegative val="0"/>
          <c:dLbls>
            <c:numFmt formatCode="General" sourceLinked="1"/>
            <c:showLegendKey val="0"/>
            <c:showVal val="0"/>
            <c:showCatName val="0"/>
            <c:showSerName val="0"/>
            <c:showPercent val="0"/>
            <c:showBubbleSize val="0"/>
            <c:showLeaderLines val="0"/>
            <c:separator> </c:separator>
          </c:dLbls>
          <c:cat>
            <c:strRef>
              <c:f>Страны!$B$27:$B$36</c:f>
              <c:strCache/>
            </c:strRef>
          </c:cat>
          <c:val>
            <c:numRef>
              <c:f>Страны!$H$27:$H$36</c:f>
              <c:numCache/>
            </c:numRef>
          </c:val>
        </c:ser>
        <c:overlap val="100"/>
        <c:axId val="7950224"/>
        <c:axId val="2834132"/>
      </c:barChart>
      <c:catAx>
        <c:axId val="7950224"/>
        <c:scaling>
          <c:orientation val="maxMin"/>
        </c:scaling>
        <c:delete val="0"/>
        <c:axPos val="l"/>
        <c:numFmt formatCode="General" sourceLinked="1"/>
        <c:majorTickMark val="none"/>
        <c:minorTickMark val="none"/>
        <c:tickLblPos val="nextTo"/>
        <c:crossAx val="2834132"/>
        <c:crosses val="autoZero"/>
        <c:lblOffset val="100"/>
        <c:noMultiLvlLbl val="0"/>
      </c:catAx>
      <c:valAx>
        <c:axId val="2834132"/>
        <c:scaling>
          <c:orientation val="minMax"/>
        </c:scaling>
        <c:delete val="0"/>
        <c:axPos val="t"/>
        <c:majorGridlines>
          <c:spPr>
            <a:ln>
              <a:noFill/>
            </a:ln>
          </c:spPr>
        </c:majorGridlines>
        <c:numFmt formatCode="General" sourceLinked="1"/>
        <c:majorTickMark val="out"/>
        <c:minorTickMark val="none"/>
        <c:tickLblPos val="nextTo"/>
        <c:crossAx val="7950224"/>
        <c:crosses val="autoZero"/>
        <c:crossBetween val="between"/>
      </c:valAx>
      <c:spPr>
        <a:solidFill>
          <a:srgbClr val="FFFFFF"/>
        </a:solidFill>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32.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Сообщения по федеральным округам</a:t>
            </a:r>
          </a:p>
        </c:rich>
      </c:tx>
      <c:layout/>
      <c:overlay val="0"/>
      <c:spPr>
        <a:noFill/>
        <a:ln>
          <a:noFill/>
        </a:ln>
      </c:spPr>
    </c:title>
    <c:autoTitleDeleted val="0"/>
    <c:plotArea>
      <c:layout/>
      <c:barChart>
        <c:barDir val="bar"/>
        <c:grouping val="stacked"/>
        <c:varyColors val="0"/>
        <c:ser>
          <c:idx val="0"/>
          <c:order val="0"/>
          <c:tx>
            <c:strRef>
              <c:f>'Федеральные округа'!$F$26</c:f>
            </c:strRef>
          </c:tx>
          <c:spPr>
            <a:solidFill>
              <a:srgbClr val="98D497"/>
            </a:solidFill>
          </c:spPr>
          <c:invertIfNegative val="0"/>
          <c:dLbls>
            <c:numFmt formatCode="General" sourceLinked="1"/>
            <c:showLegendKey val="0"/>
            <c:showVal val="0"/>
            <c:showCatName val="0"/>
            <c:showSerName val="0"/>
            <c:showPercent val="0"/>
            <c:showBubbleSize val="0"/>
            <c:showLeaderLines val="0"/>
            <c:separator> </c:separator>
          </c:dLbls>
          <c:cat>
            <c:strRef>
              <c:f>'Федеральные округа'!$B$27:$B$35</c:f>
              <c:strCache/>
            </c:strRef>
          </c:cat>
          <c:val>
            <c:numRef>
              <c:f>'Федеральные округа'!$F$27:$F$35</c:f>
              <c:numCache/>
            </c:numRef>
          </c:val>
        </c:ser>
        <c:ser>
          <c:idx val="1"/>
          <c:order val="1"/>
          <c:tx>
            <c:strRef>
              <c:f>'Федеральные округа'!$G$26</c:f>
            </c:strRef>
          </c:tx>
          <c:spPr>
            <a:solidFill>
              <a:srgbClr val="CCD3DB"/>
            </a:solidFill>
          </c:spPr>
          <c:invertIfNegative val="0"/>
          <c:dLbls>
            <c:numFmt formatCode="General" sourceLinked="1"/>
            <c:showLegendKey val="0"/>
            <c:showVal val="0"/>
            <c:showCatName val="0"/>
            <c:showSerName val="0"/>
            <c:showPercent val="0"/>
            <c:showBubbleSize val="0"/>
            <c:showLeaderLines val="0"/>
            <c:separator> </c:separator>
          </c:dLbls>
          <c:cat>
            <c:strRef>
              <c:f>'Федеральные округа'!$B$27:$B$35</c:f>
              <c:strCache/>
            </c:strRef>
          </c:cat>
          <c:val>
            <c:numRef>
              <c:f>'Федеральные округа'!$G$27:$G$35</c:f>
              <c:numCache/>
            </c:numRef>
          </c:val>
        </c:ser>
        <c:ser>
          <c:idx val="2"/>
          <c:order val="2"/>
          <c:tx>
            <c:strRef>
              <c:f>'Федеральные округа'!$H$26</c:f>
            </c:strRef>
          </c:tx>
          <c:spPr>
            <a:solidFill>
              <a:srgbClr val="FC6C73"/>
            </a:solidFill>
          </c:spPr>
          <c:invertIfNegative val="0"/>
          <c:dLbls>
            <c:numFmt formatCode="General" sourceLinked="1"/>
            <c:showLegendKey val="0"/>
            <c:showVal val="0"/>
            <c:showCatName val="0"/>
            <c:showSerName val="0"/>
            <c:showPercent val="0"/>
            <c:showBubbleSize val="0"/>
            <c:showLeaderLines val="0"/>
            <c:separator> </c:separator>
          </c:dLbls>
          <c:cat>
            <c:strRef>
              <c:f>'Федеральные округа'!$B$27:$B$35</c:f>
              <c:strCache/>
            </c:strRef>
          </c:cat>
          <c:val>
            <c:numRef>
              <c:f>'Федеральные округа'!$H$27:$H$35</c:f>
              <c:numCache/>
            </c:numRef>
          </c:val>
        </c:ser>
        <c:overlap val="100"/>
        <c:axId val="37068012"/>
        <c:axId val="14949820"/>
      </c:barChart>
      <c:catAx>
        <c:axId val="37068012"/>
        <c:scaling>
          <c:orientation val="maxMin"/>
        </c:scaling>
        <c:delete val="0"/>
        <c:axPos val="l"/>
        <c:numFmt formatCode="General" sourceLinked="1"/>
        <c:majorTickMark val="none"/>
        <c:minorTickMark val="none"/>
        <c:tickLblPos val="nextTo"/>
        <c:crossAx val="14949820"/>
        <c:crosses val="autoZero"/>
        <c:lblOffset val="100"/>
        <c:noMultiLvlLbl val="0"/>
      </c:catAx>
      <c:valAx>
        <c:axId val="14949820"/>
        <c:scaling>
          <c:orientation val="minMax"/>
        </c:scaling>
        <c:delete val="0"/>
        <c:axPos val="t"/>
        <c:majorGridlines>
          <c:spPr>
            <a:ln>
              <a:noFill/>
            </a:ln>
          </c:spPr>
        </c:majorGridlines>
        <c:numFmt formatCode="General" sourceLinked="1"/>
        <c:majorTickMark val="out"/>
        <c:minorTickMark val="none"/>
        <c:tickLblPos val="nextTo"/>
        <c:crossAx val="37068012"/>
        <c:crosses val="autoZero"/>
        <c:crossBetween val="between"/>
      </c:valAx>
      <c:spPr>
        <a:solidFill>
          <a:srgbClr val="FFFFFF"/>
        </a:solidFill>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33.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Топ-10 регионов</a:t>
            </a:r>
          </a:p>
        </c:rich>
      </c:tx>
      <c:layout/>
      <c:overlay val="0"/>
      <c:spPr>
        <a:noFill/>
        <a:ln>
          <a:noFill/>
        </a:ln>
      </c:spPr>
    </c:title>
    <c:autoTitleDeleted val="0"/>
    <c:plotArea>
      <c:layout/>
      <c:barChart>
        <c:barDir val="bar"/>
        <c:grouping val="stacked"/>
        <c:varyColors val="0"/>
        <c:ser>
          <c:idx val="0"/>
          <c:order val="0"/>
          <c:tx>
            <c:strRef>
              <c:f>'Регионы РФ'!$F$26</c:f>
            </c:strRef>
          </c:tx>
          <c:spPr>
            <a:solidFill>
              <a:srgbClr val="98D497"/>
            </a:solidFill>
          </c:spPr>
          <c:invertIfNegative val="0"/>
          <c:dLbls>
            <c:numFmt formatCode="General" sourceLinked="1"/>
            <c:showLegendKey val="0"/>
            <c:showVal val="0"/>
            <c:showCatName val="0"/>
            <c:showSerName val="0"/>
            <c:showPercent val="0"/>
            <c:showBubbleSize val="0"/>
            <c:showLeaderLines val="0"/>
            <c:separator> </c:separator>
          </c:dLbls>
          <c:cat>
            <c:strRef>
              <c:f>'Регионы РФ'!$B$27:$B$37</c:f>
              <c:strCache/>
            </c:strRef>
          </c:cat>
          <c:val>
            <c:numRef>
              <c:f>'Регионы РФ'!$F$27:$F$37</c:f>
              <c:numCache/>
            </c:numRef>
          </c:val>
        </c:ser>
        <c:ser>
          <c:idx val="1"/>
          <c:order val="1"/>
          <c:tx>
            <c:strRef>
              <c:f>'Регионы РФ'!$G$26</c:f>
            </c:strRef>
          </c:tx>
          <c:spPr>
            <a:solidFill>
              <a:srgbClr val="CCD3DB"/>
            </a:solidFill>
          </c:spPr>
          <c:invertIfNegative val="0"/>
          <c:dLbls>
            <c:numFmt formatCode="General" sourceLinked="1"/>
            <c:showLegendKey val="0"/>
            <c:showVal val="0"/>
            <c:showCatName val="0"/>
            <c:showSerName val="0"/>
            <c:showPercent val="0"/>
            <c:showBubbleSize val="0"/>
            <c:showLeaderLines val="0"/>
            <c:separator> </c:separator>
          </c:dLbls>
          <c:cat>
            <c:strRef>
              <c:f>'Регионы РФ'!$B$27:$B$37</c:f>
              <c:strCache/>
            </c:strRef>
          </c:cat>
          <c:val>
            <c:numRef>
              <c:f>'Регионы РФ'!$G$27:$G$37</c:f>
              <c:numCache/>
            </c:numRef>
          </c:val>
        </c:ser>
        <c:ser>
          <c:idx val="2"/>
          <c:order val="2"/>
          <c:tx>
            <c:strRef>
              <c:f>'Регионы РФ'!$H$26</c:f>
            </c:strRef>
          </c:tx>
          <c:spPr>
            <a:solidFill>
              <a:srgbClr val="FC6C73"/>
            </a:solidFill>
          </c:spPr>
          <c:invertIfNegative val="0"/>
          <c:dLbls>
            <c:numFmt formatCode="General" sourceLinked="1"/>
            <c:showLegendKey val="0"/>
            <c:showVal val="0"/>
            <c:showCatName val="0"/>
            <c:showSerName val="0"/>
            <c:showPercent val="0"/>
            <c:showBubbleSize val="0"/>
            <c:showLeaderLines val="0"/>
            <c:separator> </c:separator>
          </c:dLbls>
          <c:cat>
            <c:strRef>
              <c:f>'Регионы РФ'!$B$27:$B$37</c:f>
              <c:strCache/>
            </c:strRef>
          </c:cat>
          <c:val>
            <c:numRef>
              <c:f>'Регионы РФ'!$H$27:$H$37</c:f>
              <c:numCache/>
            </c:numRef>
          </c:val>
        </c:ser>
        <c:overlap val="100"/>
        <c:axId val="53468486"/>
        <c:axId val="64698566"/>
      </c:barChart>
      <c:catAx>
        <c:axId val="53468486"/>
        <c:scaling>
          <c:orientation val="maxMin"/>
        </c:scaling>
        <c:delete val="0"/>
        <c:axPos val="l"/>
        <c:numFmt formatCode="General" sourceLinked="1"/>
        <c:majorTickMark val="none"/>
        <c:minorTickMark val="none"/>
        <c:tickLblPos val="nextTo"/>
        <c:crossAx val="64698566"/>
        <c:crosses val="autoZero"/>
        <c:lblOffset val="100"/>
        <c:noMultiLvlLbl val="0"/>
      </c:catAx>
      <c:valAx>
        <c:axId val="64698566"/>
        <c:scaling>
          <c:orientation val="minMax"/>
        </c:scaling>
        <c:delete val="0"/>
        <c:axPos val="t"/>
        <c:majorGridlines>
          <c:spPr>
            <a:ln>
              <a:noFill/>
            </a:ln>
          </c:spPr>
        </c:majorGridlines>
        <c:numFmt formatCode="General" sourceLinked="1"/>
        <c:majorTickMark val="out"/>
        <c:minorTickMark val="none"/>
        <c:tickLblPos val="nextTo"/>
        <c:crossAx val="53468486"/>
        <c:crosses val="autoZero"/>
        <c:crossBetween val="between"/>
      </c:valAx>
      <c:spPr>
        <a:solidFill>
          <a:srgbClr val="FFFFFF"/>
        </a:solidFill>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34.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Топ-10 городов</a:t>
            </a:r>
          </a:p>
        </c:rich>
      </c:tx>
      <c:layout/>
      <c:overlay val="0"/>
      <c:spPr>
        <a:noFill/>
        <a:ln>
          <a:noFill/>
        </a:ln>
      </c:spPr>
    </c:title>
    <c:autoTitleDeleted val="0"/>
    <c:plotArea>
      <c:layout/>
      <c:barChart>
        <c:barDir val="bar"/>
        <c:grouping val="stacked"/>
        <c:varyColors val="0"/>
        <c:ser>
          <c:idx val="0"/>
          <c:order val="0"/>
          <c:tx>
            <c:strRef>
              <c:f>'Города РФ'!$F$26</c:f>
            </c:strRef>
          </c:tx>
          <c:spPr>
            <a:solidFill>
              <a:srgbClr val="98D497"/>
            </a:solidFill>
          </c:spPr>
          <c:invertIfNegative val="0"/>
          <c:dLbls>
            <c:numFmt formatCode="General" sourceLinked="1"/>
            <c:showLegendKey val="0"/>
            <c:showVal val="0"/>
            <c:showCatName val="0"/>
            <c:showSerName val="0"/>
            <c:showPercent val="0"/>
            <c:showBubbleSize val="0"/>
            <c:showLeaderLines val="0"/>
            <c:separator> </c:separator>
          </c:dLbls>
          <c:cat>
            <c:strRef>
              <c:f>'Города РФ'!$B$27:$B$37</c:f>
              <c:strCache/>
            </c:strRef>
          </c:cat>
          <c:val>
            <c:numRef>
              <c:f>'Города РФ'!$F$27:$F$37</c:f>
              <c:numCache/>
            </c:numRef>
          </c:val>
        </c:ser>
        <c:ser>
          <c:idx val="1"/>
          <c:order val="1"/>
          <c:tx>
            <c:strRef>
              <c:f>'Города РФ'!$G$26</c:f>
            </c:strRef>
          </c:tx>
          <c:spPr>
            <a:solidFill>
              <a:srgbClr val="CCD3DB"/>
            </a:solidFill>
          </c:spPr>
          <c:invertIfNegative val="0"/>
          <c:dLbls>
            <c:numFmt formatCode="General" sourceLinked="1"/>
            <c:showLegendKey val="0"/>
            <c:showVal val="0"/>
            <c:showCatName val="0"/>
            <c:showSerName val="0"/>
            <c:showPercent val="0"/>
            <c:showBubbleSize val="0"/>
            <c:showLeaderLines val="0"/>
            <c:separator> </c:separator>
          </c:dLbls>
          <c:cat>
            <c:strRef>
              <c:f>'Города РФ'!$B$27:$B$37</c:f>
              <c:strCache/>
            </c:strRef>
          </c:cat>
          <c:val>
            <c:numRef>
              <c:f>'Города РФ'!$G$27:$G$37</c:f>
              <c:numCache/>
            </c:numRef>
          </c:val>
        </c:ser>
        <c:ser>
          <c:idx val="2"/>
          <c:order val="2"/>
          <c:tx>
            <c:strRef>
              <c:f>'Города РФ'!$H$26</c:f>
            </c:strRef>
          </c:tx>
          <c:spPr>
            <a:solidFill>
              <a:srgbClr val="FC6C73"/>
            </a:solidFill>
          </c:spPr>
          <c:invertIfNegative val="0"/>
          <c:dLbls>
            <c:numFmt formatCode="General" sourceLinked="1"/>
            <c:showLegendKey val="0"/>
            <c:showVal val="0"/>
            <c:showCatName val="0"/>
            <c:showSerName val="0"/>
            <c:showPercent val="0"/>
            <c:showBubbleSize val="0"/>
            <c:showLeaderLines val="0"/>
            <c:separator> </c:separator>
          </c:dLbls>
          <c:cat>
            <c:strRef>
              <c:f>'Города РФ'!$B$27:$B$37</c:f>
              <c:strCache/>
            </c:strRef>
          </c:cat>
          <c:val>
            <c:numRef>
              <c:f>'Города РФ'!$H$27:$H$37</c:f>
              <c:numCache/>
            </c:numRef>
          </c:val>
        </c:ser>
        <c:overlap val="100"/>
        <c:axId val="8349103"/>
        <c:axId val="50807442"/>
      </c:barChart>
      <c:catAx>
        <c:axId val="8349103"/>
        <c:scaling>
          <c:orientation val="maxMin"/>
        </c:scaling>
        <c:delete val="0"/>
        <c:axPos val="l"/>
        <c:numFmt formatCode="General" sourceLinked="1"/>
        <c:majorTickMark val="none"/>
        <c:minorTickMark val="none"/>
        <c:tickLblPos val="nextTo"/>
        <c:crossAx val="50807442"/>
        <c:crosses val="autoZero"/>
        <c:lblOffset val="100"/>
        <c:noMultiLvlLbl val="0"/>
      </c:catAx>
      <c:valAx>
        <c:axId val="50807442"/>
        <c:scaling>
          <c:orientation val="minMax"/>
        </c:scaling>
        <c:delete val="0"/>
        <c:axPos val="t"/>
        <c:majorGridlines>
          <c:spPr>
            <a:ln>
              <a:noFill/>
            </a:ln>
          </c:spPr>
        </c:majorGridlines>
        <c:numFmt formatCode="General" sourceLinked="1"/>
        <c:majorTickMark val="out"/>
        <c:minorTickMark val="none"/>
        <c:tickLblPos val="nextTo"/>
        <c:crossAx val="8349103"/>
        <c:crosses val="autoZero"/>
        <c:crossBetween val="between"/>
      </c:valAx>
      <c:spPr>
        <a:solidFill>
          <a:srgbClr val="FFFFFF"/>
        </a:solidFill>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drawings/_rels/drawing1.xml.rels><?xml version="1.0" encoding="UTF-8" standalone="yes"?><Relationships xmlns="http://schemas.openxmlformats.org/package/2006/relationships"><Relationship Id="rId1" Type="http://schemas.openxmlformats.org/officeDocument/2006/relationships/chart" Target="../charts/chart1.xml" /><Relationship Id="rId5" Type="http://schemas.openxmlformats.org/officeDocument/2006/relationships/chart" Target="../charts/chart5.xml" /><Relationship Id="rId4" Type="http://schemas.openxmlformats.org/officeDocument/2006/relationships/chart" Target="../charts/chart4.xml" /><Relationship Id="rId3" Type="http://schemas.openxmlformats.org/officeDocument/2006/relationships/chart" Target="../charts/chart3.xml" /><Relationship Id="rId2" Type="http://schemas.openxmlformats.org/officeDocument/2006/relationships/chart" Target="../charts/chart2.xml" /></Relationships>
</file>

<file path=xl/drawings/_rels/drawing2.xml.rels><?xml version="1.0" encoding="UTF-8" standalone="yes"?><Relationships xmlns="http://schemas.openxmlformats.org/package/2006/relationships"><Relationship Id="rId1" Type="http://schemas.openxmlformats.org/officeDocument/2006/relationships/chart" Target="../charts/chart6.xml" /><Relationship Id="rId3" Type="http://schemas.openxmlformats.org/officeDocument/2006/relationships/chart" Target="../charts/chart8.xml" /><Relationship Id="rId2" Type="http://schemas.openxmlformats.org/officeDocument/2006/relationships/chart" Target="../charts/chart7.xml" /></Relationships>
</file>

<file path=xl/drawings/_rels/drawing3.xml.rels><?xml version="1.0" encoding="UTF-8" standalone="yes"?><Relationships xmlns="http://schemas.openxmlformats.org/package/2006/relationships"><Relationship Id="rId1" Type="http://schemas.openxmlformats.org/officeDocument/2006/relationships/chart" Target="../charts/chart9.xml" /></Relationships>
</file>

<file path=xl/drawings/_rels/drawing4.xml.rels><?xml version="1.0" encoding="UTF-8" standalone="yes"?><Relationships xmlns="http://schemas.openxmlformats.org/package/2006/relationships"><Relationship Id="rId1" Type="http://schemas.openxmlformats.org/officeDocument/2006/relationships/chart" Target="../charts/chart10.xml" /><Relationship Id="rId2" Type="http://schemas.openxmlformats.org/officeDocument/2006/relationships/chart" Target="../charts/chart11.xml" /></Relationships>
</file>

<file path=xl/drawings/_rels/drawing5.xml.rels><?xml version="1.0" encoding="UTF-8" standalone="yes"?><Relationships xmlns="http://schemas.openxmlformats.org/package/2006/relationships"><Relationship Id="rId1" Type="http://schemas.openxmlformats.org/officeDocument/2006/relationships/chart" Target="../charts/chart12.xml" /><Relationship Id="rId3" Type="http://schemas.openxmlformats.org/officeDocument/2006/relationships/chart" Target="../charts/chart14.xml" /><Relationship Id="rId2" Type="http://schemas.openxmlformats.org/officeDocument/2006/relationships/chart" Target="../charts/chart13.xml" /></Relationships>
</file>

<file path=xl/drawings/_rels/drawing6.xml.rels><?xml version="1.0" encoding="UTF-8" standalone="yes"?><Relationships xmlns="http://schemas.openxmlformats.org/package/2006/relationships"><Relationship Id="rId1" Type="http://schemas.openxmlformats.org/officeDocument/2006/relationships/chart" Target="../charts/chart15.xml" /></Relationships>
</file>

<file path=xl/drawings/_rels/drawing7.xml.rels><?xml version="1.0" encoding="UTF-8" standalone="yes"?><Relationships xmlns="http://schemas.openxmlformats.org/package/2006/relationships"><Relationship Id="rId1" Type="http://schemas.openxmlformats.org/officeDocument/2006/relationships/chart" Target="../charts/chart16.xml" /></Relationships>
</file>

<file path=xl/drawings/_rels/drawing8.xml.rels><?xml version="1.0" encoding="UTF-8" standalone="yes"?><Relationships xmlns="http://schemas.openxmlformats.org/package/2006/relationships"><Relationship Id="rId1" Type="http://schemas.openxmlformats.org/officeDocument/2006/relationships/chart" Target="../charts/chart17.xml" /></Relationships>
</file>

<file path=xl/drawings/_rels/drawing9.xml.rels><?xml version="1.0" encoding="UTF-8" standalone="yes"?><Relationships xmlns="http://schemas.openxmlformats.org/package/2006/relationships"><Relationship Id="rId1" Type="http://schemas.openxmlformats.org/officeDocument/2006/relationships/chart" Target="../charts/chart18.xml" /></Relationships>
</file>

<file path=xl/drawings/_rels/drawing10.xml.rels><?xml version="1.0" encoding="UTF-8" standalone="yes"?><Relationships xmlns="http://schemas.openxmlformats.org/package/2006/relationships"><Relationship Id="rId3" Type="http://schemas.openxmlformats.org/officeDocument/2006/relationships/chart" Target="../charts/chart21.xml" /><Relationship Id="rId4" Type="http://schemas.openxmlformats.org/officeDocument/2006/relationships/chart" Target="../charts/chart22.xml" /><Relationship Id="rId8" Type="http://schemas.openxmlformats.org/officeDocument/2006/relationships/chart" Target="../charts/chart26.xml" /><Relationship Id="rId5" Type="http://schemas.openxmlformats.org/officeDocument/2006/relationships/chart" Target="../charts/chart23.xml" /><Relationship Id="rId7" Type="http://schemas.openxmlformats.org/officeDocument/2006/relationships/chart" Target="../charts/chart25.xml" /><Relationship Id="rId1" Type="http://schemas.openxmlformats.org/officeDocument/2006/relationships/chart" Target="../charts/chart19.xml" /><Relationship Id="rId2" Type="http://schemas.openxmlformats.org/officeDocument/2006/relationships/chart" Target="../charts/chart20.xml" /><Relationship Id="rId6" Type="http://schemas.openxmlformats.org/officeDocument/2006/relationships/chart" Target="../charts/chart24.xml" /></Relationships>
</file>

<file path=xl/drawings/_rels/drawing11.xml.rels><?xml version="1.0" encoding="UTF-8" standalone="yes"?><Relationships xmlns="http://schemas.openxmlformats.org/package/2006/relationships"><Relationship Id="rId1" Type="http://schemas.openxmlformats.org/officeDocument/2006/relationships/chart" Target="../charts/chart27.xml" /></Relationships>
</file>

<file path=xl/drawings/_rels/drawing12.xml.rels><?xml version="1.0" encoding="UTF-8" standalone="yes"?><Relationships xmlns="http://schemas.openxmlformats.org/package/2006/relationships"><Relationship Id="rId1" Type="http://schemas.openxmlformats.org/officeDocument/2006/relationships/chart" Target="../charts/chart28.xml" /></Relationships>
</file>

<file path=xl/drawings/_rels/drawing13.xml.rels><?xml version="1.0" encoding="UTF-8" standalone="yes"?><Relationships xmlns="http://schemas.openxmlformats.org/package/2006/relationships"><Relationship Id="rId1" Type="http://schemas.openxmlformats.org/officeDocument/2006/relationships/chart" Target="../charts/chart29.xml" /></Relationships>
</file>

<file path=xl/drawings/_rels/drawing14.xml.rels><?xml version="1.0" encoding="UTF-8" standalone="yes"?><Relationships xmlns="http://schemas.openxmlformats.org/package/2006/relationships"><Relationship Id="rId1" Type="http://schemas.openxmlformats.org/officeDocument/2006/relationships/chart" Target="../charts/chart30.xml" /></Relationships>
</file>

<file path=xl/drawings/_rels/drawing15.xml.rels><?xml version="1.0" encoding="UTF-8" standalone="yes"?><Relationships xmlns="http://schemas.openxmlformats.org/package/2006/relationships"><Relationship Id="rId1" Type="http://schemas.openxmlformats.org/officeDocument/2006/relationships/chart" Target="../charts/chart31.xml" /></Relationships>
</file>

<file path=xl/drawings/_rels/drawing16.xml.rels><?xml version="1.0" encoding="UTF-8" standalone="yes"?><Relationships xmlns="http://schemas.openxmlformats.org/package/2006/relationships"><Relationship Id="rId1" Type="http://schemas.openxmlformats.org/officeDocument/2006/relationships/chart" Target="../charts/chart32.xml" /></Relationships>
</file>

<file path=xl/drawings/_rels/drawing17.xml.rels><?xml version="1.0" encoding="UTF-8" standalone="yes"?><Relationships xmlns="http://schemas.openxmlformats.org/package/2006/relationships"><Relationship Id="rId1" Type="http://schemas.openxmlformats.org/officeDocument/2006/relationships/chart" Target="../charts/chart33.xml" /></Relationships>
</file>

<file path=xl/drawings/_rels/drawing18.xml.rels><?xml version="1.0" encoding="UTF-8" standalone="yes"?><Relationships xmlns="http://schemas.openxmlformats.org/package/2006/relationships"><Relationship Id="rId1" Type="http://schemas.openxmlformats.org/officeDocument/2006/relationships/chart" Target="../charts/chart34.xml"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40</xdr:row>
      <xdr:rowOff>0</xdr:rowOff>
    </xdr:from>
    <xdr:to>
      <xdr:col>7</xdr:col>
      <xdr:colOff>0</xdr:colOff>
      <xdr:row>56</xdr:row>
      <xdr:rowOff>0</xdr:rowOff>
    </xdr:to>
    <xdr:graphicFrame>
      <xdr:nvGraphicFramePr>
        <xdr:cNvPr id="1" name="Chart 1">
          <a:extLst>
            <a:ext uri="{FF2B5EF4-FFF2-40B4-BE49-F238E27FC236}">
              <a16:creationId xmlns:a16="http://schemas.microsoft.com/office/drawing/2014/main" id="{05cfdd95-dc56-4ad1-817f-676f98de1a3e}"/>
            </a:ext>
          </a:extLst>
        </xdr:cNvPr>
        <xdr:cNvGraphicFramePr/>
      </xdr:nvGraphicFramePr>
      <xdr:xfrm>
        <a:off x="314325" y="7886700"/>
        <a:ext cx="9277350" cy="2590800"/>
      </xdr:xfrm>
      <a:graphic>
        <a:graphicData uri="http://schemas.openxmlformats.org/drawingml/2006/chart">
          <c:chart xmlns:c="http://schemas.openxmlformats.org/drawingml/2006/chart" r:id="rId1"/>
        </a:graphicData>
      </a:graphic>
    </xdr:graphicFrame>
    <xdr:clientData/>
  </xdr:twoCellAnchor>
  <xdr:twoCellAnchor>
    <xdr:from>
      <xdr:col>1</xdr:col>
      <xdr:colOff>0</xdr:colOff>
      <xdr:row>57</xdr:row>
      <xdr:rowOff>0</xdr:rowOff>
    </xdr:from>
    <xdr:to>
      <xdr:col>7</xdr:col>
      <xdr:colOff>0</xdr:colOff>
      <xdr:row>73</xdr:row>
      <xdr:rowOff>0</xdr:rowOff>
    </xdr:to>
    <xdr:graphicFrame>
      <xdr:nvGraphicFramePr>
        <xdr:cNvPr id="2" name="Chart 2">
          <a:extLst>
            <a:ext uri="{FF2B5EF4-FFF2-40B4-BE49-F238E27FC236}">
              <a16:creationId xmlns:a16="http://schemas.microsoft.com/office/drawing/2014/main" id="{fa5af561-7b48-4afd-ba09-e55256b10ea4}"/>
            </a:ext>
          </a:extLst>
        </xdr:cNvPr>
        <xdr:cNvGraphicFramePr/>
      </xdr:nvGraphicFramePr>
      <xdr:xfrm>
        <a:off x="314325" y="10639425"/>
        <a:ext cx="9277350" cy="2590800"/>
      </xdr:xfrm>
      <a:graphic>
        <a:graphicData uri="http://schemas.openxmlformats.org/drawingml/2006/chart">
          <c:chart xmlns:c="http://schemas.openxmlformats.org/drawingml/2006/chart" r:id="rId2"/>
        </a:graphicData>
      </a:graphic>
    </xdr:graphicFrame>
    <xdr:clientData/>
  </xdr:twoCellAnchor>
  <xdr:twoCellAnchor>
    <xdr:from>
      <xdr:col>1</xdr:col>
      <xdr:colOff>0</xdr:colOff>
      <xdr:row>74</xdr:row>
      <xdr:rowOff>0</xdr:rowOff>
    </xdr:from>
    <xdr:to>
      <xdr:col>7</xdr:col>
      <xdr:colOff>0</xdr:colOff>
      <xdr:row>90</xdr:row>
      <xdr:rowOff>0</xdr:rowOff>
    </xdr:to>
    <xdr:graphicFrame>
      <xdr:nvGraphicFramePr>
        <xdr:cNvPr id="3" name="Chart 3">
          <a:extLst>
            <a:ext uri="{FF2B5EF4-FFF2-40B4-BE49-F238E27FC236}">
              <a16:creationId xmlns:a16="http://schemas.microsoft.com/office/drawing/2014/main" id="{376bd0d2-904d-46c6-89e5-5d41667da10a}"/>
            </a:ext>
          </a:extLst>
        </xdr:cNvPr>
        <xdr:cNvGraphicFramePr/>
      </xdr:nvGraphicFramePr>
      <xdr:xfrm>
        <a:off x="314325" y="13392150"/>
        <a:ext cx="9277350" cy="2590800"/>
      </xdr:xfrm>
      <a:graphic>
        <a:graphicData uri="http://schemas.openxmlformats.org/drawingml/2006/chart">
          <c:chart xmlns:c="http://schemas.openxmlformats.org/drawingml/2006/chart" r:id="rId3"/>
        </a:graphicData>
      </a:graphic>
    </xdr:graphicFrame>
    <xdr:clientData/>
  </xdr:twoCellAnchor>
  <xdr:twoCellAnchor>
    <xdr:from>
      <xdr:col>1</xdr:col>
      <xdr:colOff>0</xdr:colOff>
      <xdr:row>91</xdr:row>
      <xdr:rowOff>0</xdr:rowOff>
    </xdr:from>
    <xdr:to>
      <xdr:col>7</xdr:col>
      <xdr:colOff>0</xdr:colOff>
      <xdr:row>107</xdr:row>
      <xdr:rowOff>0</xdr:rowOff>
    </xdr:to>
    <xdr:graphicFrame>
      <xdr:nvGraphicFramePr>
        <xdr:cNvPr id="4" name="Chart 4">
          <a:extLst>
            <a:ext uri="{FF2B5EF4-FFF2-40B4-BE49-F238E27FC236}">
              <a16:creationId xmlns:a16="http://schemas.microsoft.com/office/drawing/2014/main" id="{180fb1e4-6480-42f9-b747-0fabb4866ff1}"/>
            </a:ext>
          </a:extLst>
        </xdr:cNvPr>
        <xdr:cNvGraphicFramePr/>
      </xdr:nvGraphicFramePr>
      <xdr:xfrm>
        <a:off x="314325" y="16144875"/>
        <a:ext cx="9277350" cy="2590800"/>
      </xdr:xfrm>
      <a:graphic>
        <a:graphicData uri="http://schemas.openxmlformats.org/drawingml/2006/chart">
          <c:chart xmlns:c="http://schemas.openxmlformats.org/drawingml/2006/chart" r:id="rId4"/>
        </a:graphicData>
      </a:graphic>
    </xdr:graphicFrame>
    <xdr:clientData/>
  </xdr:twoCellAnchor>
  <xdr:twoCellAnchor>
    <xdr:from>
      <xdr:col>1</xdr:col>
      <xdr:colOff>0</xdr:colOff>
      <xdr:row>108</xdr:row>
      <xdr:rowOff>0</xdr:rowOff>
    </xdr:from>
    <xdr:to>
      <xdr:col>7</xdr:col>
      <xdr:colOff>0</xdr:colOff>
      <xdr:row>124</xdr:row>
      <xdr:rowOff>0</xdr:rowOff>
    </xdr:to>
    <xdr:graphicFrame>
      <xdr:nvGraphicFramePr>
        <xdr:cNvPr id="5" name="Chart 5">
          <a:extLst>
            <a:ext uri="{FF2B5EF4-FFF2-40B4-BE49-F238E27FC236}">
              <a16:creationId xmlns:a16="http://schemas.microsoft.com/office/drawing/2014/main" id="{7fe1d7ea-6452-4a50-b2ab-40ba4072cd49}"/>
            </a:ext>
          </a:extLst>
        </xdr:cNvPr>
        <xdr:cNvGraphicFramePr/>
      </xdr:nvGraphicFramePr>
      <xdr:xfrm>
        <a:off x="314325" y="18897600"/>
        <a:ext cx="9277350" cy="2590800"/>
      </xdr:xfrm>
      <a:graphic>
        <a:graphicData uri="http://schemas.openxmlformats.org/drawingml/2006/chart">
          <c:chart xmlns:c="http://schemas.openxmlformats.org/drawingml/2006/chart" r:id="rId5"/>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8</xdr:col>
      <xdr:colOff>0</xdr:colOff>
      <xdr:row>23</xdr:row>
      <xdr:rowOff>0</xdr:rowOff>
    </xdr:to>
    <xdr:graphicFrame>
      <xdr:nvGraphicFramePr>
        <xdr:cNvPr id="1" name="Chart 1">
          <a:extLst>
            <a:ext uri="{FF2B5EF4-FFF2-40B4-BE49-F238E27FC236}">
              <a16:creationId xmlns:a16="http://schemas.microsoft.com/office/drawing/2014/main" id="{c2f31b53-24f9-4a11-aebc-93ab1cfb8c17}"/>
            </a:ext>
          </a:extLst>
        </xdr:cNvPr>
        <xdr:cNvGraphicFramePr/>
      </xdr:nvGraphicFramePr>
      <xdr:xfrm>
        <a:off x="314325" y="1028700"/>
        <a:ext cx="8543925" cy="3429000"/>
      </xdr:xfrm>
      <a:graphic>
        <a:graphicData uri="http://schemas.openxmlformats.org/drawingml/2006/chart">
          <c:chart xmlns:c="http://schemas.openxmlformats.org/drawingml/2006/chart" r:id="rId1"/>
        </a:graphicData>
      </a:graphic>
    </xdr:graphicFrame>
    <xdr:clientData/>
  </xdr:twoCellAnchor>
  <xdr:twoCellAnchor>
    <xdr:from>
      <xdr:col>1</xdr:col>
      <xdr:colOff>0</xdr:colOff>
      <xdr:row>25</xdr:row>
      <xdr:rowOff>0</xdr:rowOff>
    </xdr:from>
    <xdr:to>
      <xdr:col>8</xdr:col>
      <xdr:colOff>0</xdr:colOff>
      <xdr:row>43</xdr:row>
      <xdr:rowOff>0</xdr:rowOff>
    </xdr:to>
    <xdr:graphicFrame>
      <xdr:nvGraphicFramePr>
        <xdr:cNvPr id="2" name="Chart 2">
          <a:extLst>
            <a:ext uri="{FF2B5EF4-FFF2-40B4-BE49-F238E27FC236}">
              <a16:creationId xmlns:a16="http://schemas.microsoft.com/office/drawing/2014/main" id="{3c501937-a763-41ae-8d3a-222887d6b717}"/>
            </a:ext>
          </a:extLst>
        </xdr:cNvPr>
        <xdr:cNvGraphicFramePr/>
      </xdr:nvGraphicFramePr>
      <xdr:xfrm>
        <a:off x="314325" y="4838700"/>
        <a:ext cx="8543925" cy="3429000"/>
      </xdr:xfrm>
      <a:graphic>
        <a:graphicData uri="http://schemas.openxmlformats.org/drawingml/2006/chart">
          <c:chart xmlns:c="http://schemas.openxmlformats.org/drawingml/2006/chart" r:id="rId2"/>
        </a:graphicData>
      </a:graphic>
    </xdr:graphicFrame>
    <xdr:clientData/>
  </xdr:twoCellAnchor>
  <xdr:twoCellAnchor>
    <xdr:from>
      <xdr:col>1</xdr:col>
      <xdr:colOff>0</xdr:colOff>
      <xdr:row>45</xdr:row>
      <xdr:rowOff>0</xdr:rowOff>
    </xdr:from>
    <xdr:to>
      <xdr:col>8</xdr:col>
      <xdr:colOff>0</xdr:colOff>
      <xdr:row>63</xdr:row>
      <xdr:rowOff>0</xdr:rowOff>
    </xdr:to>
    <xdr:graphicFrame>
      <xdr:nvGraphicFramePr>
        <xdr:cNvPr id="3" name="Chart 3">
          <a:extLst>
            <a:ext uri="{FF2B5EF4-FFF2-40B4-BE49-F238E27FC236}">
              <a16:creationId xmlns:a16="http://schemas.microsoft.com/office/drawing/2014/main" id="{39c59ccd-4b8a-43e1-a70e-ec440656544f}"/>
            </a:ext>
          </a:extLst>
        </xdr:cNvPr>
        <xdr:cNvGraphicFramePr/>
      </xdr:nvGraphicFramePr>
      <xdr:xfrm>
        <a:off x="314325" y="8648700"/>
        <a:ext cx="8543925" cy="3429000"/>
      </xdr:xfrm>
      <a:graphic>
        <a:graphicData uri="http://schemas.openxmlformats.org/drawingml/2006/chart">
          <c:chart xmlns:c="http://schemas.openxmlformats.org/drawingml/2006/chart" r:id="rId3"/>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4</xdr:col>
      <xdr:colOff>0</xdr:colOff>
      <xdr:row>16</xdr:row>
      <xdr:rowOff>0</xdr:rowOff>
    </xdr:to>
    <xdr:graphicFrame>
      <xdr:nvGraphicFramePr>
        <xdr:cNvPr id="1" name="Chart 1">
          <a:extLst>
            <a:ext uri="{FF2B5EF4-FFF2-40B4-BE49-F238E27FC236}">
              <a16:creationId xmlns:a16="http://schemas.microsoft.com/office/drawing/2014/main" id="{1e40f979-e73c-42da-bdc1-286b1e8a8a53}"/>
            </a:ext>
          </a:extLst>
        </xdr:cNvPr>
        <xdr:cNvGraphicFramePr/>
      </xdr:nvGraphicFramePr>
      <xdr:xfrm>
        <a:off x="314325" y="1028700"/>
        <a:ext cx="5886450" cy="1885950"/>
      </xdr:xfrm>
      <a:graphic>
        <a:graphicData uri="http://schemas.openxmlformats.org/drawingml/2006/chart">
          <c:chart xmlns:c="http://schemas.openxmlformats.org/drawingml/2006/chart"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6</xdr:col>
      <xdr:colOff>0</xdr:colOff>
      <xdr:row>21</xdr:row>
      <xdr:rowOff>0</xdr:rowOff>
    </xdr:to>
    <xdr:graphicFrame>
      <xdr:nvGraphicFramePr>
        <xdr:cNvPr id="1" name="Chart 1">
          <a:extLst>
            <a:ext uri="{FF2B5EF4-FFF2-40B4-BE49-F238E27FC236}">
              <a16:creationId xmlns:a16="http://schemas.microsoft.com/office/drawing/2014/main" id="{1253cb18-0048-4803-b6ab-3dc3cce5bf13}"/>
            </a:ext>
          </a:extLst>
        </xdr:cNvPr>
        <xdr:cNvGraphicFramePr/>
      </xdr:nvGraphicFramePr>
      <xdr:xfrm>
        <a:off x="314325" y="1028700"/>
        <a:ext cx="9182100" cy="3048000"/>
      </xdr:xfrm>
      <a:graphic>
        <a:graphicData uri="http://schemas.openxmlformats.org/drawingml/2006/chart">
          <c:chart xmlns:c="http://schemas.openxmlformats.org/drawingml/2006/chart" r:id="rId1"/>
        </a:graphicData>
      </a:graphic>
    </xdr:graphicFrame>
    <xdr:clientData/>
  </xdr:twoCellAnchor>
  <xdr:twoCellAnchor>
    <xdr:from>
      <xdr:col>1</xdr:col>
      <xdr:colOff>0</xdr:colOff>
      <xdr:row>28</xdr:row>
      <xdr:rowOff>0</xdr:rowOff>
    </xdr:from>
    <xdr:to>
      <xdr:col>6</xdr:col>
      <xdr:colOff>0</xdr:colOff>
      <xdr:row>43</xdr:row>
      <xdr:rowOff>0</xdr:rowOff>
    </xdr:to>
    <xdr:graphicFrame>
      <xdr:nvGraphicFramePr>
        <xdr:cNvPr id="2" name="Chart 2">
          <a:extLst>
            <a:ext uri="{FF2B5EF4-FFF2-40B4-BE49-F238E27FC236}">
              <a16:creationId xmlns:a16="http://schemas.microsoft.com/office/drawing/2014/main" id="{e8e56be1-bc51-45a6-a559-830237111bcc}"/>
            </a:ext>
          </a:extLst>
        </xdr:cNvPr>
        <xdr:cNvGraphicFramePr/>
      </xdr:nvGraphicFramePr>
      <xdr:xfrm>
        <a:off x="314325" y="5572125"/>
        <a:ext cx="9182100" cy="2857500"/>
      </xdr:xfrm>
      <a:graphic>
        <a:graphicData uri="http://schemas.openxmlformats.org/drawingml/2006/chart">
          <c:chart xmlns:c="http://schemas.openxmlformats.org/drawingml/2006/chart" r:id="rId2"/>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15</xdr:row>
      <xdr:rowOff>0</xdr:rowOff>
    </xdr:from>
    <xdr:to>
      <xdr:col>7</xdr:col>
      <xdr:colOff>0</xdr:colOff>
      <xdr:row>37</xdr:row>
      <xdr:rowOff>0</xdr:rowOff>
    </xdr:to>
    <xdr:graphicFrame>
      <xdr:nvGraphicFramePr>
        <xdr:cNvPr id="1" name="Chart 1">
          <a:extLst>
            <a:ext uri="{FF2B5EF4-FFF2-40B4-BE49-F238E27FC236}">
              <a16:creationId xmlns:a16="http://schemas.microsoft.com/office/drawing/2014/main" id="{92d86f10-4b07-4894-964c-11e4b8b4def5}"/>
            </a:ext>
          </a:extLst>
        </xdr:cNvPr>
        <xdr:cNvGraphicFramePr/>
      </xdr:nvGraphicFramePr>
      <xdr:xfrm>
        <a:off x="314325" y="3181350"/>
        <a:ext cx="7467600" cy="3771900"/>
      </xdr:xfrm>
      <a:graphic>
        <a:graphicData uri="http://schemas.openxmlformats.org/drawingml/2006/chart">
          <c:chart xmlns:c="http://schemas.openxmlformats.org/drawingml/2006/chart" r:id="rId1"/>
        </a:graphicData>
      </a:graphic>
    </xdr:graphicFrame>
    <xdr:clientData/>
  </xdr:twoCellAnchor>
  <xdr:twoCellAnchor>
    <xdr:from>
      <xdr:col>1</xdr:col>
      <xdr:colOff>0</xdr:colOff>
      <xdr:row>77</xdr:row>
      <xdr:rowOff>0</xdr:rowOff>
    </xdr:from>
    <xdr:to>
      <xdr:col>7</xdr:col>
      <xdr:colOff>0</xdr:colOff>
      <xdr:row>99</xdr:row>
      <xdr:rowOff>0</xdr:rowOff>
    </xdr:to>
    <xdr:graphicFrame>
      <xdr:nvGraphicFramePr>
        <xdr:cNvPr id="2" name="Chart 2">
          <a:extLst>
            <a:ext uri="{FF2B5EF4-FFF2-40B4-BE49-F238E27FC236}">
              <a16:creationId xmlns:a16="http://schemas.microsoft.com/office/drawing/2014/main" id="{6bc81460-2ae9-45be-bf1e-5f420c6c0ced}"/>
            </a:ext>
          </a:extLst>
        </xdr:cNvPr>
        <xdr:cNvGraphicFramePr/>
      </xdr:nvGraphicFramePr>
      <xdr:xfrm>
        <a:off x="314325" y="14658975"/>
        <a:ext cx="7467600" cy="3771900"/>
      </xdr:xfrm>
      <a:graphic>
        <a:graphicData uri="http://schemas.openxmlformats.org/drawingml/2006/chart">
          <c:chart xmlns:c="http://schemas.openxmlformats.org/drawingml/2006/chart" r:id="rId2"/>
        </a:graphicData>
      </a:graphic>
    </xdr:graphicFrame>
    <xdr:clientData/>
  </xdr:twoCellAnchor>
  <xdr:twoCellAnchor>
    <xdr:from>
      <xdr:col>1</xdr:col>
      <xdr:colOff>0</xdr:colOff>
      <xdr:row>101</xdr:row>
      <xdr:rowOff>0</xdr:rowOff>
    </xdr:from>
    <xdr:to>
      <xdr:col>7</xdr:col>
      <xdr:colOff>0</xdr:colOff>
      <xdr:row>123</xdr:row>
      <xdr:rowOff>0</xdr:rowOff>
    </xdr:to>
    <xdr:graphicFrame>
      <xdr:nvGraphicFramePr>
        <xdr:cNvPr id="3" name="Chart 3">
          <a:extLst>
            <a:ext uri="{FF2B5EF4-FFF2-40B4-BE49-F238E27FC236}">
              <a16:creationId xmlns:a16="http://schemas.microsoft.com/office/drawing/2014/main" id="{d82171c7-a639-4c06-9448-9878dfb0e392}"/>
            </a:ext>
          </a:extLst>
        </xdr:cNvPr>
        <xdr:cNvGraphicFramePr/>
      </xdr:nvGraphicFramePr>
      <xdr:xfrm>
        <a:off x="314325" y="18773775"/>
        <a:ext cx="7467600" cy="3771900"/>
      </xdr:xfrm>
      <a:graphic>
        <a:graphicData uri="http://schemas.openxmlformats.org/drawingml/2006/chart">
          <c:chart xmlns:c="http://schemas.openxmlformats.org/drawingml/2006/chart" r:id="rId3"/>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6</xdr:col>
      <xdr:colOff>0</xdr:colOff>
      <xdr:row>27</xdr:row>
      <xdr:rowOff>0</xdr:rowOff>
    </xdr:to>
    <xdr:graphicFrame>
      <xdr:nvGraphicFramePr>
        <xdr:cNvPr id="1" name="Chart 1">
          <a:extLst>
            <a:ext uri="{FF2B5EF4-FFF2-40B4-BE49-F238E27FC236}">
              <a16:creationId xmlns:a16="http://schemas.microsoft.com/office/drawing/2014/main" id="{3a9d3f35-8db7-4f3d-90ae-9f613d6c1da8}"/>
            </a:ext>
          </a:extLst>
        </xdr:cNvPr>
        <xdr:cNvGraphicFramePr/>
      </xdr:nvGraphicFramePr>
      <xdr:xfrm>
        <a:off x="314325" y="1028700"/>
        <a:ext cx="6276975" cy="3562350"/>
      </xdr:xfrm>
      <a:graphic>
        <a:graphicData uri="http://schemas.openxmlformats.org/drawingml/2006/chart">
          <c:chart xmlns:c="http://schemas.openxmlformats.org/drawingml/2006/chart" r:id="rId1"/>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7</xdr:col>
      <xdr:colOff>0</xdr:colOff>
      <xdr:row>21</xdr:row>
      <xdr:rowOff>0</xdr:rowOff>
    </xdr:to>
    <xdr:graphicFrame>
      <xdr:nvGraphicFramePr>
        <xdr:cNvPr id="1" name="Chart 1">
          <a:extLst>
            <a:ext uri="{FF2B5EF4-FFF2-40B4-BE49-F238E27FC236}">
              <a16:creationId xmlns:a16="http://schemas.microsoft.com/office/drawing/2014/main" id="{1c476be9-4682-4695-96af-cba7f62db0dd}"/>
            </a:ext>
          </a:extLst>
        </xdr:cNvPr>
        <xdr:cNvGraphicFramePr/>
      </xdr:nvGraphicFramePr>
      <xdr:xfrm>
        <a:off x="314325" y="1028700"/>
        <a:ext cx="7515225" cy="2590800"/>
      </xdr:xfrm>
      <a:graphic>
        <a:graphicData uri="http://schemas.openxmlformats.org/drawingml/2006/chart">
          <c:chart xmlns:c="http://schemas.openxmlformats.org/drawingml/2006/chart" r:id="rId1"/>
        </a:graphicData>
      </a:graphic>
    </xdr:graphicFrame>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7</xdr:col>
      <xdr:colOff>0</xdr:colOff>
      <xdr:row>21</xdr:row>
      <xdr:rowOff>0</xdr:rowOff>
    </xdr:to>
    <xdr:graphicFrame>
      <xdr:nvGraphicFramePr>
        <xdr:cNvPr id="1" name="Chart 1">
          <a:extLst>
            <a:ext uri="{FF2B5EF4-FFF2-40B4-BE49-F238E27FC236}">
              <a16:creationId xmlns:a16="http://schemas.microsoft.com/office/drawing/2014/main" id="{ccdab5f9-0ae8-410e-b140-02b7922bdc5f}"/>
            </a:ext>
          </a:extLst>
        </xdr:cNvPr>
        <xdr:cNvGraphicFramePr/>
      </xdr:nvGraphicFramePr>
      <xdr:xfrm>
        <a:off x="314325" y="1028700"/>
        <a:ext cx="8582025" cy="2590800"/>
      </xdr:xfrm>
      <a:graphic>
        <a:graphicData uri="http://schemas.openxmlformats.org/drawingml/2006/chart">
          <c:chart xmlns:c="http://schemas.openxmlformats.org/drawingml/2006/chart" r:id="rId1"/>
        </a:graphicData>
      </a:graphic>
    </xdr:graphicFrame>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7</xdr:col>
      <xdr:colOff>0</xdr:colOff>
      <xdr:row>21</xdr:row>
      <xdr:rowOff>0</xdr:rowOff>
    </xdr:to>
    <xdr:graphicFrame>
      <xdr:nvGraphicFramePr>
        <xdr:cNvPr id="1" name="Chart 1">
          <a:extLst>
            <a:ext uri="{FF2B5EF4-FFF2-40B4-BE49-F238E27FC236}">
              <a16:creationId xmlns:a16="http://schemas.microsoft.com/office/drawing/2014/main" id="{7d218ba9-e446-486d-b096-7c1e2d69ce26}"/>
            </a:ext>
          </a:extLst>
        </xdr:cNvPr>
        <xdr:cNvGraphicFramePr/>
      </xdr:nvGraphicFramePr>
      <xdr:xfrm>
        <a:off x="314325" y="1028700"/>
        <a:ext cx="8505825" cy="2590800"/>
      </xdr:xfrm>
      <a:graphic>
        <a:graphicData uri="http://schemas.openxmlformats.org/drawingml/2006/chart">
          <c:chart xmlns:c="http://schemas.openxmlformats.org/drawingml/2006/chart" r:id="rId1"/>
        </a:graphicData>
      </a:graphic>
    </xdr:graphicFrame>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7</xdr:col>
      <xdr:colOff>0</xdr:colOff>
      <xdr:row>5</xdr:row>
      <xdr:rowOff>0</xdr:rowOff>
    </xdr:from>
    <xdr:to>
      <xdr:col>13</xdr:col>
      <xdr:colOff>0</xdr:colOff>
      <xdr:row>17</xdr:row>
      <xdr:rowOff>0</xdr:rowOff>
    </xdr:to>
    <xdr:graphicFrame>
      <xdr:nvGraphicFramePr>
        <xdr:cNvPr id="1" name="Chart 1">
          <a:extLst>
            <a:ext uri="{FF2B5EF4-FFF2-40B4-BE49-F238E27FC236}">
              <a16:creationId xmlns:a16="http://schemas.microsoft.com/office/drawing/2014/main" id="{903bec01-4d16-4ab9-9795-08b44a9f2f10}"/>
            </a:ext>
          </a:extLst>
        </xdr:cNvPr>
        <xdr:cNvGraphicFramePr/>
      </xdr:nvGraphicFramePr>
      <xdr:xfrm>
        <a:off x="9601200" y="1028700"/>
        <a:ext cx="5486400" cy="2733675"/>
      </xdr:xfrm>
      <a:graphic>
        <a:graphicData uri="http://schemas.openxmlformats.org/drawingml/2006/chart">
          <c:chart xmlns:c="http://schemas.openxmlformats.org/drawingml/2006/chart" r:id="rId1"/>
        </a:graphicData>
      </a:graphic>
    </xdr:graphicFrame>
    <xdr:clientData/>
  </xdr:twoCellAnchor>
  <xdr:twoCellAnchor>
    <xdr:from>
      <xdr:col>7</xdr:col>
      <xdr:colOff>0</xdr:colOff>
      <xdr:row>18</xdr:row>
      <xdr:rowOff>0</xdr:rowOff>
    </xdr:from>
    <xdr:to>
      <xdr:col>13</xdr:col>
      <xdr:colOff>0</xdr:colOff>
      <xdr:row>30</xdr:row>
      <xdr:rowOff>0</xdr:rowOff>
    </xdr:to>
    <xdr:graphicFrame>
      <xdr:nvGraphicFramePr>
        <xdr:cNvPr id="2" name="Chart 2">
          <a:extLst>
            <a:ext uri="{FF2B5EF4-FFF2-40B4-BE49-F238E27FC236}">
              <a16:creationId xmlns:a16="http://schemas.microsoft.com/office/drawing/2014/main" id="{1a56d6a3-0295-47a4-832b-37c6cf2005d8}"/>
            </a:ext>
          </a:extLst>
        </xdr:cNvPr>
        <xdr:cNvGraphicFramePr/>
      </xdr:nvGraphicFramePr>
      <xdr:xfrm>
        <a:off x="9601200" y="4076700"/>
        <a:ext cx="5486400" cy="3048000"/>
      </xdr:xfrm>
      <a:graphic>
        <a:graphicData uri="http://schemas.openxmlformats.org/drawingml/2006/chart">
          <c:chart xmlns:c="http://schemas.openxmlformats.org/drawingml/2006/chart" r:id="rId2"/>
        </a:graphicData>
      </a:graphic>
    </xdr:graphicFrame>
    <xdr:clientData/>
  </xdr:twoCellAnchor>
  <xdr:twoCellAnchor>
    <xdr:from>
      <xdr:col>7</xdr:col>
      <xdr:colOff>0</xdr:colOff>
      <xdr:row>31</xdr:row>
      <xdr:rowOff>0</xdr:rowOff>
    </xdr:from>
    <xdr:to>
      <xdr:col>13</xdr:col>
      <xdr:colOff>0</xdr:colOff>
      <xdr:row>43</xdr:row>
      <xdr:rowOff>0</xdr:rowOff>
    </xdr:to>
    <xdr:graphicFrame>
      <xdr:nvGraphicFramePr>
        <xdr:cNvPr id="3" name="Chart 3">
          <a:extLst>
            <a:ext uri="{FF2B5EF4-FFF2-40B4-BE49-F238E27FC236}">
              <a16:creationId xmlns:a16="http://schemas.microsoft.com/office/drawing/2014/main" id="{d6f65ef4-19f2-4f9f-bba4-f06ae4f9e422}"/>
            </a:ext>
          </a:extLst>
        </xdr:cNvPr>
        <xdr:cNvGraphicFramePr/>
      </xdr:nvGraphicFramePr>
      <xdr:xfrm>
        <a:off x="9601200" y="7315200"/>
        <a:ext cx="5486400" cy="2571750"/>
      </xdr:xfrm>
      <a:graphic>
        <a:graphicData uri="http://schemas.openxmlformats.org/drawingml/2006/chart">
          <c:chart xmlns:c="http://schemas.openxmlformats.org/drawingml/2006/chart" r:id="rId3"/>
        </a:graphicData>
      </a:graphic>
    </xdr:graphicFrame>
    <xdr:clientData/>
  </xdr:twoCellAnchor>
  <xdr:twoCellAnchor>
    <xdr:from>
      <xdr:col>7</xdr:col>
      <xdr:colOff>0</xdr:colOff>
      <xdr:row>44</xdr:row>
      <xdr:rowOff>0</xdr:rowOff>
    </xdr:from>
    <xdr:to>
      <xdr:col>13</xdr:col>
      <xdr:colOff>0</xdr:colOff>
      <xdr:row>56</xdr:row>
      <xdr:rowOff>0</xdr:rowOff>
    </xdr:to>
    <xdr:graphicFrame>
      <xdr:nvGraphicFramePr>
        <xdr:cNvPr id="4" name="Chart 4">
          <a:extLst>
            <a:ext uri="{FF2B5EF4-FFF2-40B4-BE49-F238E27FC236}">
              <a16:creationId xmlns:a16="http://schemas.microsoft.com/office/drawing/2014/main" id="{1ce378ee-d4a0-459d-ba45-b4df777c639d}"/>
            </a:ext>
          </a:extLst>
        </xdr:cNvPr>
        <xdr:cNvGraphicFramePr/>
      </xdr:nvGraphicFramePr>
      <xdr:xfrm>
        <a:off x="9601200" y="10077450"/>
        <a:ext cx="5486400" cy="2667000"/>
      </xdr:xfrm>
      <a:graphic>
        <a:graphicData uri="http://schemas.openxmlformats.org/drawingml/2006/chart">
          <c:chart xmlns:c="http://schemas.openxmlformats.org/drawingml/2006/chart" r:id="rId4"/>
        </a:graphicData>
      </a:graphic>
    </xdr:graphicFrame>
    <xdr:clientData/>
  </xdr:twoCellAnchor>
  <xdr:twoCellAnchor>
    <xdr:from>
      <xdr:col>7</xdr:col>
      <xdr:colOff>0</xdr:colOff>
      <xdr:row>57</xdr:row>
      <xdr:rowOff>0</xdr:rowOff>
    </xdr:from>
    <xdr:to>
      <xdr:col>13</xdr:col>
      <xdr:colOff>0</xdr:colOff>
      <xdr:row>69</xdr:row>
      <xdr:rowOff>0</xdr:rowOff>
    </xdr:to>
    <xdr:graphicFrame>
      <xdr:nvGraphicFramePr>
        <xdr:cNvPr id="5" name="Chart 5">
          <a:extLst>
            <a:ext uri="{FF2B5EF4-FFF2-40B4-BE49-F238E27FC236}">
              <a16:creationId xmlns:a16="http://schemas.microsoft.com/office/drawing/2014/main" id="{e00dfdc2-ea3f-4f94-a524-2197be426e83}"/>
            </a:ext>
          </a:extLst>
        </xdr:cNvPr>
        <xdr:cNvGraphicFramePr/>
      </xdr:nvGraphicFramePr>
      <xdr:xfrm>
        <a:off x="9601200" y="13125450"/>
        <a:ext cx="5486400" cy="2286000"/>
      </xdr:xfrm>
      <a:graphic>
        <a:graphicData uri="http://schemas.openxmlformats.org/drawingml/2006/chart">
          <c:chart xmlns:c="http://schemas.openxmlformats.org/drawingml/2006/chart" r:id="rId5"/>
        </a:graphicData>
      </a:graphic>
    </xdr:graphicFrame>
    <xdr:clientData/>
  </xdr:twoCellAnchor>
  <xdr:twoCellAnchor>
    <xdr:from>
      <xdr:col>7</xdr:col>
      <xdr:colOff>0</xdr:colOff>
      <xdr:row>70</xdr:row>
      <xdr:rowOff>0</xdr:rowOff>
    </xdr:from>
    <xdr:to>
      <xdr:col>13</xdr:col>
      <xdr:colOff>0</xdr:colOff>
      <xdr:row>82</xdr:row>
      <xdr:rowOff>0</xdr:rowOff>
    </xdr:to>
    <xdr:graphicFrame>
      <xdr:nvGraphicFramePr>
        <xdr:cNvPr id="6" name="Chart 6">
          <a:extLst>
            <a:ext uri="{FF2B5EF4-FFF2-40B4-BE49-F238E27FC236}">
              <a16:creationId xmlns:a16="http://schemas.microsoft.com/office/drawing/2014/main" id="{1c5b510f-5d0a-4b31-988d-c7d9926e1a1b}"/>
            </a:ext>
          </a:extLst>
        </xdr:cNvPr>
        <xdr:cNvGraphicFramePr/>
      </xdr:nvGraphicFramePr>
      <xdr:xfrm>
        <a:off x="9601200" y="15601950"/>
        <a:ext cx="5486400" cy="2286000"/>
      </xdr:xfrm>
      <a:graphic>
        <a:graphicData uri="http://schemas.openxmlformats.org/drawingml/2006/chart">
          <c:chart xmlns:c="http://schemas.openxmlformats.org/drawingml/2006/chart" r:id="rId6"/>
        </a:graphicData>
      </a:graphic>
    </xdr:graphicFrame>
    <xdr:clientData/>
  </xdr:twoCellAnchor>
  <xdr:twoCellAnchor>
    <xdr:from>
      <xdr:col>7</xdr:col>
      <xdr:colOff>0</xdr:colOff>
      <xdr:row>83</xdr:row>
      <xdr:rowOff>0</xdr:rowOff>
    </xdr:from>
    <xdr:to>
      <xdr:col>13</xdr:col>
      <xdr:colOff>0</xdr:colOff>
      <xdr:row>95</xdr:row>
      <xdr:rowOff>0</xdr:rowOff>
    </xdr:to>
    <xdr:graphicFrame>
      <xdr:nvGraphicFramePr>
        <xdr:cNvPr id="7" name="Chart 7">
          <a:extLst>
            <a:ext uri="{FF2B5EF4-FFF2-40B4-BE49-F238E27FC236}">
              <a16:creationId xmlns:a16="http://schemas.microsoft.com/office/drawing/2014/main" id="{74f43d3f-97e3-409f-b86d-ece52420d3a5}"/>
            </a:ext>
          </a:extLst>
        </xdr:cNvPr>
        <xdr:cNvGraphicFramePr/>
      </xdr:nvGraphicFramePr>
      <xdr:xfrm>
        <a:off x="9601200" y="18078450"/>
        <a:ext cx="5486400" cy="2571750"/>
      </xdr:xfrm>
      <a:graphic>
        <a:graphicData uri="http://schemas.openxmlformats.org/drawingml/2006/chart">
          <c:chart xmlns:c="http://schemas.openxmlformats.org/drawingml/2006/chart" r:id="rId7"/>
        </a:graphicData>
      </a:graphic>
    </xdr:graphicFrame>
    <xdr:clientData/>
  </xdr:twoCellAnchor>
  <xdr:twoCellAnchor>
    <xdr:from>
      <xdr:col>7</xdr:col>
      <xdr:colOff>0</xdr:colOff>
      <xdr:row>96</xdr:row>
      <xdr:rowOff>0</xdr:rowOff>
    </xdr:from>
    <xdr:to>
      <xdr:col>13</xdr:col>
      <xdr:colOff>0</xdr:colOff>
      <xdr:row>108</xdr:row>
      <xdr:rowOff>0</xdr:rowOff>
    </xdr:to>
    <xdr:graphicFrame>
      <xdr:nvGraphicFramePr>
        <xdr:cNvPr id="8" name="Chart 8">
          <a:extLst>
            <a:ext uri="{FF2B5EF4-FFF2-40B4-BE49-F238E27FC236}">
              <a16:creationId xmlns:a16="http://schemas.microsoft.com/office/drawing/2014/main" id="{d8cb4551-3f22-4154-8375-3a78020f7017}"/>
            </a:ext>
          </a:extLst>
        </xdr:cNvPr>
        <xdr:cNvGraphicFramePr/>
      </xdr:nvGraphicFramePr>
      <xdr:xfrm>
        <a:off x="9601200" y="20840700"/>
        <a:ext cx="5486400" cy="2286000"/>
      </xdr:xfrm>
      <a:graphic>
        <a:graphicData uri="http://schemas.openxmlformats.org/drawingml/2006/chart">
          <c:chart xmlns:c="http://schemas.openxmlformats.org/drawingml/2006/chart" r:id="rId8"/>
        </a:graphicData>
      </a:graphic>
    </xdr:graphicFrame>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11</xdr:col>
      <xdr:colOff>0</xdr:colOff>
      <xdr:row>21</xdr:row>
      <xdr:rowOff>0</xdr:rowOff>
    </xdr:to>
    <xdr:graphicFrame>
      <xdr:nvGraphicFramePr>
        <xdr:cNvPr id="1" name="Chart 1">
          <a:extLst>
            <a:ext uri="{FF2B5EF4-FFF2-40B4-BE49-F238E27FC236}">
              <a16:creationId xmlns:a16="http://schemas.microsoft.com/office/drawing/2014/main" id="{9e227d74-1655-4953-9cf5-d69a38ea44a7}"/>
            </a:ext>
          </a:extLst>
        </xdr:cNvPr>
        <xdr:cNvGraphicFramePr/>
      </xdr:nvGraphicFramePr>
      <xdr:xfrm>
        <a:off x="314325" y="1028700"/>
        <a:ext cx="7448550" cy="2743200"/>
      </xdr:xfrm>
      <a:graphic>
        <a:graphicData uri="http://schemas.openxmlformats.org/drawingml/2006/chart">
          <c:chart xmlns:c="http://schemas.openxmlformats.org/drawingml/2006/chart" r:id="rId1"/>
        </a:graphicData>
      </a:graphic>
    </xdr:graphicFrame>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11</xdr:col>
      <xdr:colOff>0</xdr:colOff>
      <xdr:row>21</xdr:row>
      <xdr:rowOff>0</xdr:rowOff>
    </xdr:to>
    <xdr:graphicFrame>
      <xdr:nvGraphicFramePr>
        <xdr:cNvPr id="1" name="Chart 1">
          <a:extLst>
            <a:ext uri="{FF2B5EF4-FFF2-40B4-BE49-F238E27FC236}">
              <a16:creationId xmlns:a16="http://schemas.microsoft.com/office/drawing/2014/main" id="{205c3009-5c43-453a-8889-4027de19f6ce}"/>
            </a:ext>
          </a:extLst>
        </xdr:cNvPr>
        <xdr:cNvGraphicFramePr/>
      </xdr:nvGraphicFramePr>
      <xdr:xfrm>
        <a:off x="314325" y="1028700"/>
        <a:ext cx="7896225" cy="2743200"/>
      </xdr:xfrm>
      <a:graphic>
        <a:graphicData uri="http://schemas.openxmlformats.org/drawingml/2006/chart">
          <c:chart xmlns:c="http://schemas.openxmlformats.org/drawingml/2006/chart" r:id="rId1"/>
        </a:graphicData>
      </a:graphic>
    </xdr:graphicFrame>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4</xdr:col>
      <xdr:colOff>0</xdr:colOff>
      <xdr:row>5</xdr:row>
      <xdr:rowOff>0</xdr:rowOff>
    </xdr:from>
    <xdr:to>
      <xdr:col>9</xdr:col>
      <xdr:colOff>0</xdr:colOff>
      <xdr:row>35</xdr:row>
      <xdr:rowOff>0</xdr:rowOff>
    </xdr:to>
    <xdr:graphicFrame>
      <xdr:nvGraphicFramePr>
        <xdr:cNvPr id="1" name="Chart 1">
          <a:extLst>
            <a:ext uri="{FF2B5EF4-FFF2-40B4-BE49-F238E27FC236}">
              <a16:creationId xmlns:a16="http://schemas.microsoft.com/office/drawing/2014/main" id="{b3401eba-c21d-46bb-bb11-b42db1695767}"/>
            </a:ext>
          </a:extLst>
        </xdr:cNvPr>
        <xdr:cNvGraphicFramePr/>
      </xdr:nvGraphicFramePr>
      <xdr:xfrm>
        <a:off x="4524375" y="1028700"/>
        <a:ext cx="4905375" cy="5905500"/>
      </xdr:xfrm>
      <a:graphic>
        <a:graphicData uri="http://schemas.openxmlformats.org/drawingml/2006/chart">
          <c:chart xmlns:c="http://schemas.openxmlformats.org/drawingml/2006/chart" r:id="rId1"/>
        </a:graphicData>
      </a:graphic>
    </xdr:graphicFrame>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4</xdr:col>
      <xdr:colOff>0</xdr:colOff>
      <xdr:row>5</xdr:row>
      <xdr:rowOff>0</xdr:rowOff>
    </xdr:from>
    <xdr:to>
      <xdr:col>9</xdr:col>
      <xdr:colOff>0</xdr:colOff>
      <xdr:row>35</xdr:row>
      <xdr:rowOff>0</xdr:rowOff>
    </xdr:to>
    <xdr:graphicFrame>
      <xdr:nvGraphicFramePr>
        <xdr:cNvPr id="1" name="Chart 1">
          <a:extLst>
            <a:ext uri="{FF2B5EF4-FFF2-40B4-BE49-F238E27FC236}">
              <a16:creationId xmlns:a16="http://schemas.microsoft.com/office/drawing/2014/main" id="{76535d84-6d46-4082-a879-47c590e51f7a}"/>
            </a:ext>
          </a:extLst>
        </xdr:cNvPr>
        <xdr:cNvGraphicFramePr/>
      </xdr:nvGraphicFramePr>
      <xdr:xfrm>
        <a:off x="4524375" y="1028700"/>
        <a:ext cx="4905375" cy="5905500"/>
      </xdr:xfrm>
      <a:graphic>
        <a:graphicData uri="http://schemas.openxmlformats.org/drawingml/2006/chart">
          <c:chart xmlns:c="http://schemas.openxmlformats.org/drawingml/2006/chart" r:id="rId1"/>
        </a:graphicData>
      </a:graphic>
    </xdr:graphicFrame>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6</xdr:col>
      <xdr:colOff>0</xdr:colOff>
      <xdr:row>23</xdr:row>
      <xdr:rowOff>0</xdr:rowOff>
    </xdr:to>
    <xdr:graphicFrame>
      <xdr:nvGraphicFramePr>
        <xdr:cNvPr id="1" name="Chart 1">
          <a:extLst>
            <a:ext uri="{FF2B5EF4-FFF2-40B4-BE49-F238E27FC236}">
              <a16:creationId xmlns:a16="http://schemas.microsoft.com/office/drawing/2014/main" id="{1bf889c3-ad5c-4d9c-84da-9b40becf5a4a}"/>
            </a:ext>
          </a:extLst>
        </xdr:cNvPr>
        <xdr:cNvGraphicFramePr/>
      </xdr:nvGraphicFramePr>
      <xdr:xfrm>
        <a:off x="314325" y="1028700"/>
        <a:ext cx="7905750" cy="2914650"/>
      </xdr:xfrm>
      <a:graphic>
        <a:graphicData uri="http://schemas.openxmlformats.org/drawingml/2006/chart">
          <c:chart xmlns:c="http://schemas.openxmlformats.org/drawingml/2006/chart" r:id="rId1"/>
        </a:graphicData>
      </a:graphic>
    </xdr:graphicFrame>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6</xdr:col>
      <xdr:colOff>0</xdr:colOff>
      <xdr:row>23</xdr:row>
      <xdr:rowOff>0</xdr:rowOff>
    </xdr:to>
    <xdr:graphicFrame>
      <xdr:nvGraphicFramePr>
        <xdr:cNvPr id="1" name="Chart 1">
          <a:extLst>
            <a:ext uri="{FF2B5EF4-FFF2-40B4-BE49-F238E27FC236}">
              <a16:creationId xmlns:a16="http://schemas.microsoft.com/office/drawing/2014/main" id="{45ce683d-324a-44ba-8c7e-90d2f06ddbf2}"/>
            </a:ext>
          </a:extLst>
        </xdr:cNvPr>
        <xdr:cNvGraphicFramePr/>
      </xdr:nvGraphicFramePr>
      <xdr:xfrm>
        <a:off x="314325" y="1028700"/>
        <a:ext cx="7905750" cy="2914650"/>
      </xdr:xfrm>
      <a:graphic>
        <a:graphicData uri="http://schemas.openxmlformats.org/drawingml/2006/chart">
          <c:chart xmlns:c="http://schemas.openxmlformats.org/drawingml/2006/chart" r:id="rId1"/>
        </a:graphicData>
      </a:graphic>
    </xdr:graphicFrame>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6</xdr:col>
      <xdr:colOff>0</xdr:colOff>
      <xdr:row>23</xdr:row>
      <xdr:rowOff>0</xdr:rowOff>
    </xdr:to>
    <xdr:graphicFrame>
      <xdr:nvGraphicFramePr>
        <xdr:cNvPr id="1" name="Chart 1">
          <a:extLst>
            <a:ext uri="{FF2B5EF4-FFF2-40B4-BE49-F238E27FC236}">
              <a16:creationId xmlns:a16="http://schemas.microsoft.com/office/drawing/2014/main" id="{313e5b14-a44f-42c5-9706-606440106d2c}"/>
            </a:ext>
          </a:extLst>
        </xdr:cNvPr>
        <xdr:cNvGraphicFramePr/>
      </xdr:nvGraphicFramePr>
      <xdr:xfrm>
        <a:off x="314325" y="1028700"/>
        <a:ext cx="7905750" cy="2914650"/>
      </xdr:xfrm>
      <a:graphic>
        <a:graphicData uri="http://schemas.openxmlformats.org/drawingml/2006/chart">
          <c:chart xmlns:c="http://schemas.openxmlformats.org/drawingml/2006/chart" r:id="rId1"/>
        </a:graphicData>
      </a:graphic>
    </xdr:graphicFrame>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6</xdr:col>
      <xdr:colOff>0</xdr:colOff>
      <xdr:row>23</xdr:row>
      <xdr:rowOff>0</xdr:rowOff>
    </xdr:to>
    <xdr:graphicFrame>
      <xdr:nvGraphicFramePr>
        <xdr:cNvPr id="1" name="Chart 1">
          <a:extLst>
            <a:ext uri="{FF2B5EF4-FFF2-40B4-BE49-F238E27FC236}">
              <a16:creationId xmlns:a16="http://schemas.microsoft.com/office/drawing/2014/main" id="{1c4d6256-7811-46f2-83fe-407ed8dd7bbb}"/>
            </a:ext>
          </a:extLst>
        </xdr:cNvPr>
        <xdr:cNvGraphicFramePr/>
      </xdr:nvGraphicFramePr>
      <xdr:xfrm>
        <a:off x="314325" y="1028700"/>
        <a:ext cx="7905750" cy="2914650"/>
      </xdr:xfrm>
      <a:graphic>
        <a:graphicData uri="http://schemas.openxmlformats.org/drawingml/2006/chart">
          <c:chart xmlns:c="http://schemas.openxmlformats.org/drawingml/2006/chart"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4.xml.rels><?xml version="1.0" encoding="UTF-8" standalone="yes"?><Relationships xmlns="http://schemas.openxmlformats.org/package/2006/relationships"><Relationship Id="rId386" Type="http://schemas.openxmlformats.org/officeDocument/2006/relationships/hyperlink" Target="http://vk.com/id1115732629" TargetMode="External" /><Relationship Id="rId646" Type="http://schemas.openxmlformats.org/officeDocument/2006/relationships/hyperlink" Target="https://telegram.me/ecoterina_blog/4507" TargetMode="External" /><Relationship Id="rId785" Type="http://schemas.openxmlformats.org/officeDocument/2006/relationships/hyperlink" Target="http://vk.com/id441154094" TargetMode="External" /><Relationship Id="rId655" Type="http://schemas.openxmlformats.org/officeDocument/2006/relationships/hyperlink" Target="https://telegram.me/hamovnikipoleznychatik/219653" TargetMode="External" /><Relationship Id="rId905" Type="http://schemas.openxmlformats.org/officeDocument/2006/relationships/hyperlink" Target="https://dzen.ru/id/63986528ad3abc63a232847f" TargetMode="External" /><Relationship Id="rId545" Type="http://schemas.openxmlformats.org/officeDocument/2006/relationships/hyperlink" Target="https://threads.com/@madame_cle_" TargetMode="External" /><Relationship Id="rId1018" Type="http://schemas.openxmlformats.org/officeDocument/2006/relationships/hyperlink" Target="http://vk.com/wall-221308444_4582?reply=4587" TargetMode="External" /><Relationship Id="rId43" Type="http://schemas.openxmlformats.org/officeDocument/2006/relationships/hyperlink" Target="http://vk.com/wall-177710119_195978?reply=196002" TargetMode="External" /><Relationship Id="rId872" Type="http://schemas.openxmlformats.org/officeDocument/2006/relationships/hyperlink" Target="http://www.facebook.com/profile.php?id=100005165671504" TargetMode="External" /><Relationship Id="rId1002" Type="http://schemas.openxmlformats.org/officeDocument/2006/relationships/hyperlink" Target="https://rutube.ru/video/person/73643784" TargetMode="External" /><Relationship Id="rId212" Type="http://schemas.openxmlformats.org/officeDocument/2006/relationships/hyperlink" Target="http://vk.com/id1115732629" TargetMode="External" /><Relationship Id="rId568" Type="http://schemas.openxmlformats.org/officeDocument/2006/relationships/hyperlink" Target="http://vk.com/wall-61570233_115656?reply=115826" TargetMode="External" /><Relationship Id="rId476" Type="http://schemas.openxmlformats.org/officeDocument/2006/relationships/hyperlink" Target="https://medihost.ru/authors/&#1085;&#1074;&#1080;" TargetMode="External" /><Relationship Id="rId964" Type="http://schemas.openxmlformats.org/officeDocument/2006/relationships/hyperlink" Target="https://mom.life/post/69f747fe2de14efde303cbd5#69fac3d8e8c6822ae4011c05#69faf9da454f54ae7a03399a" TargetMode="External" /><Relationship Id="rId956" Type="http://schemas.openxmlformats.org/officeDocument/2006/relationships/hyperlink" Target="https://forums.rusmedserv.com/authors/Nataliya0401" TargetMode="External" /><Relationship Id="rId622" Type="http://schemas.openxmlformats.org/officeDocument/2006/relationships/hyperlink" Target="http://vk.com/wall-182515813_19071?reply=19072" TargetMode="External" /><Relationship Id="rId945" Type="http://schemas.openxmlformats.org/officeDocument/2006/relationships/hyperlink" Target="http://vk.com/club235949966" TargetMode="External" /><Relationship Id="rId232" Type="http://schemas.openxmlformats.org/officeDocument/2006/relationships/hyperlink" Target="http://vk.com/wall-25882042_1065634?reply=1776473" TargetMode="External" /><Relationship Id="rId607" Type="http://schemas.openxmlformats.org/officeDocument/2006/relationships/hyperlink" Target="http://vk.com/wall318581728_1506" TargetMode="External" /><Relationship Id="rId576" Type="http://schemas.openxmlformats.org/officeDocument/2006/relationships/hyperlink" Target="http://vk.com/club223258406" TargetMode="External" /><Relationship Id="rId471" Type="http://schemas.openxmlformats.org/officeDocument/2006/relationships/hyperlink" Target="http://vk.com/club118474860" TargetMode="External" /><Relationship Id="rId78" Type="http://schemas.openxmlformats.org/officeDocument/2006/relationships/hyperlink" Target="https://telegram.me/babiesinjune_andmoms" TargetMode="External" /><Relationship Id="rId1150" Type="http://schemas.openxmlformats.org/officeDocument/2006/relationships/hyperlink" Target="http://vk.com/wall2084950_519" TargetMode="External" /><Relationship Id="rId1061" Type="http://schemas.openxmlformats.org/officeDocument/2006/relationships/hyperlink" Target="http://vk.com/id1111874705" TargetMode="External" /><Relationship Id="rId423" Type="http://schemas.openxmlformats.org/officeDocument/2006/relationships/hyperlink" Target="https://telegram.me/mseshnyichat" TargetMode="External" /><Relationship Id="rId325" Type="http://schemas.openxmlformats.org/officeDocument/2006/relationships/hyperlink" Target="http://vk.com/wall-171736200_5750?reply=5757" TargetMode="External" /><Relationship Id="rId487" Type="http://schemas.openxmlformats.org/officeDocument/2006/relationships/hyperlink" Target="http://ok.ru/group/51625046769845/topic/162502662413237" TargetMode="External" /><Relationship Id="rId988" Type="http://schemas.openxmlformats.org/officeDocument/2006/relationships/hyperlink" Target="https://telegram.me/dgdschat/120927" TargetMode="External" /><Relationship Id="rId188" Type="http://schemas.openxmlformats.org/officeDocument/2006/relationships/hyperlink" Target="https://rutube.ru/video/person/24179634" TargetMode="External" /><Relationship Id="rId968" Type="http://schemas.openxmlformats.org/officeDocument/2006/relationships/hyperlink" Target="http://vk.com/id861782734" TargetMode="External" /><Relationship Id="rId362" Type="http://schemas.openxmlformats.org/officeDocument/2006/relationships/hyperlink" Target="http://vk.com/id7627055" TargetMode="External" /><Relationship Id="rId277" Type="http://schemas.openxmlformats.org/officeDocument/2006/relationships/hyperlink" Target="https://www.facebook.com/35983682207942218" TargetMode="External" /><Relationship Id="rId1009" Type="http://schemas.openxmlformats.org/officeDocument/2006/relationships/hyperlink" Target="http://vk.com/wall-226278715_1065" TargetMode="External" /><Relationship Id="rId557" Type="http://schemas.openxmlformats.org/officeDocument/2006/relationships/hyperlink" Target="http://vk.com/club235912791" TargetMode="External" /><Relationship Id="rId1085" Type="http://schemas.openxmlformats.org/officeDocument/2006/relationships/hyperlink" Target="http://ok.ru/profile/572835117014" TargetMode="External" /><Relationship Id="rId1081" Type="http://schemas.openxmlformats.org/officeDocument/2006/relationships/hyperlink" Target="http://ok.ru/group/70000001016930/topic/157362037103970#QUFBQm5lbk9zSzBpbHc9PToxNTczNjIwMzcxMDM5NzA6MQ==" TargetMode="External" /><Relationship Id="rId840" Type="http://schemas.openxmlformats.org/officeDocument/2006/relationships/hyperlink" Target="http://www.youtube.com/channel/UCksniXe-K1I7NC8tmNDGNjA" TargetMode="External" /><Relationship Id="rId753" Type="http://schemas.openxmlformats.org/officeDocument/2006/relationships/hyperlink" Target="https://sprosivracha.com/questions/4323707-perelom-dzhonsa" TargetMode="External" /><Relationship Id="rId794" Type="http://schemas.openxmlformats.org/officeDocument/2006/relationships/hyperlink" Target="https://www.woman.ru/authors/&#1043;&#1086;&#1089;&#1090;&#1100;%20%5B3614837798%5D" TargetMode="External" /><Relationship Id="rId1058" Type="http://schemas.openxmlformats.org/officeDocument/2006/relationships/hyperlink" Target="https://telegram.me/xeniatu" TargetMode="External" /><Relationship Id="rId91" Type="http://schemas.openxmlformats.org/officeDocument/2006/relationships/hyperlink" Target="http://vk.com/wall-112497291_293850?reply=293947" TargetMode="External" /><Relationship Id="rId503" Type="http://schemas.openxmlformats.org/officeDocument/2006/relationships/hyperlink" Target="https://instagram.com/mirzaev.186" TargetMode="External" /><Relationship Id="rId1049" Type="http://schemas.openxmlformats.org/officeDocument/2006/relationships/hyperlink" Target="http://vk.com/id67152682" TargetMode="External" /><Relationship Id="rId991" Type="http://schemas.openxmlformats.org/officeDocument/2006/relationships/hyperlink" Target="https://dzen.ru/a/afioQdsi4zPEjbpu?comment-request=1#comment_3296707653" TargetMode="External" /><Relationship Id="rId179" Type="http://schemas.openxmlformats.org/officeDocument/2006/relationships/hyperlink" Target="https://www.tiktok.com/@shamulba" TargetMode="External" /><Relationship Id="rId336" Type="http://schemas.openxmlformats.org/officeDocument/2006/relationships/hyperlink" Target="http://vk.com/club49066148" TargetMode="External" /><Relationship Id="rId1014" Type="http://schemas.openxmlformats.org/officeDocument/2006/relationships/hyperlink" Target="https://telegram.me/ivnvo" TargetMode="External" /><Relationship Id="rId901" Type="http://schemas.openxmlformats.org/officeDocument/2006/relationships/hyperlink" Target="https://dzen.ru/a/afjAO370Rn0ayo9j" TargetMode="External" /><Relationship Id="rId746" Type="http://schemas.openxmlformats.org/officeDocument/2006/relationships/hyperlink" Target="http://ok.ru/group/65890095595555" TargetMode="External" /><Relationship Id="rId654" Type="http://schemas.openxmlformats.org/officeDocument/2006/relationships/hyperlink" Target="https://telegram.me/hamovnikipoleznychatik" TargetMode="External" /><Relationship Id="rId773" Type="http://schemas.openxmlformats.org/officeDocument/2006/relationships/hyperlink" Target="http://vk.com/id1023616008" TargetMode="External" /><Relationship Id="rId143" Type="http://schemas.openxmlformats.org/officeDocument/2006/relationships/hyperlink" Target="https://dzen.ru/user/edef6s10opi3ve84lz63es7gr1u" TargetMode="External" /><Relationship Id="rId814" Type="http://schemas.openxmlformats.org/officeDocument/2006/relationships/hyperlink" Target="https://www.facebook.com/27566638152939792" TargetMode="External" /><Relationship Id="rId326" Type="http://schemas.openxmlformats.org/officeDocument/2006/relationships/hyperlink" Target="http://vk.com/id383835053" TargetMode="External" /><Relationship Id="rId955" Type="http://schemas.openxmlformats.org/officeDocument/2006/relationships/hyperlink" Target="https://forums.rusmedserv.com/showpost.php?p=3139049&amp;postcount=1" TargetMode="External" /><Relationship Id="rId93" Type="http://schemas.openxmlformats.org/officeDocument/2006/relationships/hyperlink" Target="http://vk.com/club112497291" TargetMode="External" /><Relationship Id="rId32" Type="http://schemas.openxmlformats.org/officeDocument/2006/relationships/hyperlink" Target="https://telegram.me/parser_part_bot" TargetMode="External" /><Relationship Id="rId778" Type="http://schemas.openxmlformats.org/officeDocument/2006/relationships/hyperlink" Target="http://www.youtube.com/watch?v=X6Npv1UnVgA&amp;lc=UgxceKbMaYE2iDDPzKd4AaABAg" TargetMode="External" /><Relationship Id="rId485" Type="http://schemas.openxmlformats.org/officeDocument/2006/relationships/hyperlink" Target="http://vk.com/club29445319" TargetMode="External" /><Relationship Id="rId1057" Type="http://schemas.openxmlformats.org/officeDocument/2006/relationships/hyperlink" Target="https://telegram.me/boston_terrier_here/54052" TargetMode="External" /><Relationship Id="rId261" Type="http://schemas.openxmlformats.org/officeDocument/2006/relationships/hyperlink" Target="http://vk.com/club35402404" TargetMode="External" /><Relationship Id="rId103" Type="http://schemas.openxmlformats.org/officeDocument/2006/relationships/hyperlink" Target="http://vk.com/wall-218277808_2907" TargetMode="External" /><Relationship Id="rId443" Type="http://schemas.openxmlformats.org/officeDocument/2006/relationships/hyperlink" Target="https://mom.life/user/69dfa987d0b306af410c0268" TargetMode="External" /><Relationship Id="rId890" Type="http://schemas.openxmlformats.org/officeDocument/2006/relationships/hyperlink" Target="http://www.facebook.com/profile.php?id=100004009910617" TargetMode="External" /><Relationship Id="rId1031" Type="http://schemas.openxmlformats.org/officeDocument/2006/relationships/hyperlink" Target="http://vk.com/id1209585" TargetMode="External" /><Relationship Id="rId1112" Type="http://schemas.openxmlformats.org/officeDocument/2006/relationships/hyperlink" Target="http://vk.com/id3364355" TargetMode="External" /><Relationship Id="rId374" Type="http://schemas.openxmlformats.org/officeDocument/2006/relationships/hyperlink" Target="https://telegram.me/maker072" TargetMode="External" /><Relationship Id="rId262" Type="http://schemas.openxmlformats.org/officeDocument/2006/relationships/hyperlink" Target="http://ok.ru/group/52161146519625/topic/158358191778633" TargetMode="External" /><Relationship Id="rId761" Type="http://schemas.openxmlformats.org/officeDocument/2006/relationships/hyperlink" Target="https://telegram.me/penesyer" TargetMode="External" /><Relationship Id="rId768" Type="http://schemas.openxmlformats.org/officeDocument/2006/relationships/hyperlink" Target="http://vk.com/club231508037" TargetMode="External" /><Relationship Id="rId438" Type="http://schemas.openxmlformats.org/officeDocument/2006/relationships/hyperlink" Target="https://telegram.me/revmomoscow" TargetMode="External" /><Relationship Id="rId121" Type="http://schemas.openxmlformats.org/officeDocument/2006/relationships/hyperlink" Target="https://telegram.me/glomerulonefritiga/149011" TargetMode="External" /><Relationship Id="rId172" Type="http://schemas.openxmlformats.org/officeDocument/2006/relationships/hyperlink" Target="https://irecommend.ru/content/otlichnyi-preparat-n11492328" TargetMode="External" /><Relationship Id="rId511" Type="http://schemas.openxmlformats.org/officeDocument/2006/relationships/hyperlink" Target="https://nup.ru/topic/10258-viden-3-ja-popytka/page/25/#elControls_256514_menu" TargetMode="External" /><Relationship Id="rId658" Type="http://schemas.openxmlformats.org/officeDocument/2006/relationships/hyperlink" Target="https://dzen.ru/a/afiBsoA08Tr-2mHL?comment-request=1#comment_3301538724" TargetMode="External" /><Relationship Id="rId880" Type="http://schemas.openxmlformats.org/officeDocument/2006/relationships/hyperlink" Target="https://dzen.ru/a/afxgP1U4_3gzMjJM?comment-request=1#comment_3295704034" TargetMode="External" /><Relationship Id="rId762" Type="http://schemas.openxmlformats.org/officeDocument/2006/relationships/hyperlink" Target="https://telegram.me/informchane" TargetMode="External" /><Relationship Id="rId648" Type="http://schemas.openxmlformats.org/officeDocument/2006/relationships/hyperlink" Target="https://telegram.me/ecoterina_blog" TargetMode="External" /><Relationship Id="rId477" Type="http://schemas.openxmlformats.org/officeDocument/2006/relationships/hyperlink" Target="https://medihost.ru/questions?id=342170" TargetMode="External" /><Relationship Id="rId608" Type="http://schemas.openxmlformats.org/officeDocument/2006/relationships/hyperlink" Target="http://vk.com/id318581728" TargetMode="External" /><Relationship Id="rId231" Type="http://schemas.openxmlformats.org/officeDocument/2006/relationships/hyperlink" Target="https://instagram.com/doctor.kean" TargetMode="External" /><Relationship Id="rId368" Type="http://schemas.openxmlformats.org/officeDocument/2006/relationships/hyperlink" Target="http://vk.com/id268284622" TargetMode="External" /><Relationship Id="rId689" Type="http://schemas.openxmlformats.org/officeDocument/2006/relationships/hyperlink" Target="https://telegram.me/actualphlebology" TargetMode="External" /><Relationship Id="rId429" Type="http://schemas.openxmlformats.org/officeDocument/2006/relationships/hyperlink" Target="https://telegram.me/mostodaychat" TargetMode="External" /><Relationship Id="rId424" Type="http://schemas.openxmlformats.org/officeDocument/2006/relationships/hyperlink" Target="https://sprosivracha.com/questions/4342996-nemeet-ruka#a27801056" TargetMode="External" /><Relationship Id="rId604" Type="http://schemas.openxmlformats.org/officeDocument/2006/relationships/hyperlink" Target="http://vk.com/wall-226248434_97" TargetMode="External" /><Relationship Id="rId1079" Type="http://schemas.openxmlformats.org/officeDocument/2006/relationships/hyperlink" Target="http://dadanews.ru" TargetMode="External" /><Relationship Id="rId287" Type="http://schemas.openxmlformats.org/officeDocument/2006/relationships/hyperlink" Target="https://sprosivracha.com/authors/&#1045;&#1082;&#1072;&#1090;&#1077;&#1088;&#1080;&#1085;&#1072;" TargetMode="External" /><Relationship Id="rId1120" Type="http://schemas.openxmlformats.org/officeDocument/2006/relationships/hyperlink" Target="http://vk.com/wall-15752015_302735?reply=302816&amp;thread=302795" TargetMode="External" /><Relationship Id="rId854" Type="http://schemas.openxmlformats.org/officeDocument/2006/relationships/hyperlink" Target="https://sprosivracha.com/authors/&#1042;&#1080;&#1082;&#1072;" TargetMode="External" /><Relationship Id="rId821" Type="http://schemas.openxmlformats.org/officeDocument/2006/relationships/hyperlink" Target="http://ok.ru/profile/575282624141" TargetMode="External" /><Relationship Id="rId781" Type="http://schemas.openxmlformats.org/officeDocument/2006/relationships/hyperlink" Target="http://www.youtube.com/watch?v=X6Npv1UnVgA" TargetMode="External" /><Relationship Id="rId366" Type="http://schemas.openxmlformats.org/officeDocument/2006/relationships/hyperlink" Target="http://www.youtube.com/channel/UCWaPTBsDgQ84bQQDBykfgsw" TargetMode="External" /><Relationship Id="rId951" Type="http://schemas.openxmlformats.org/officeDocument/2006/relationships/hyperlink" Target="https://www.ozon.ru/context/detail/id/754700631" TargetMode="External" /><Relationship Id="rId529" Type="http://schemas.openxmlformats.org/officeDocument/2006/relationships/hyperlink" Target="https://telegram.me/epifanovnews/1103?comment=103235" TargetMode="External" /><Relationship Id="rId141" Type="http://schemas.openxmlformats.org/officeDocument/2006/relationships/hyperlink" Target="https://irecommend.ru/content/gel-doktor-biokon-sinyak-dlya-ekspress-udaleniya-sinyakov-s-toniruyushchim-effektom" TargetMode="External" /><Relationship Id="rId752" Type="http://schemas.openxmlformats.org/officeDocument/2006/relationships/hyperlink" Target="https://sprosivracha.com/authors/&#1070;&#1083;&#1080;&#1103;" TargetMode="External" /><Relationship Id="rId151" Type="http://schemas.openxmlformats.org/officeDocument/2006/relationships/hyperlink" Target="http://www.youtube.com/watch?v=bq4slT-imsM&amp;lc=UgwDIRxFK5SPjXYlIF94AaABAg" TargetMode="External" /><Relationship Id="rId531" Type="http://schemas.openxmlformats.org/officeDocument/2006/relationships/hyperlink" Target="https://telegram.me/epifanovnews" TargetMode="External" /><Relationship Id="rId163" Type="http://schemas.openxmlformats.org/officeDocument/2006/relationships/hyperlink" Target="http://www.youtube.com/watch?v=bq4slT-imsM&amp;lc=Ugy5_AsUFKup5akIoax4AaABAg" TargetMode="External" /><Relationship Id="rId978" Type="http://schemas.openxmlformats.org/officeDocument/2006/relationships/hyperlink" Target="http://vk.com/club17990792" TargetMode="External" /><Relationship Id="rId275" Type="http://schemas.openxmlformats.org/officeDocument/2006/relationships/hyperlink" Target="http://www.facebook.com/profile.php?id=100002108655362" TargetMode="External" /><Relationship Id="rId818" Type="http://schemas.openxmlformats.org/officeDocument/2006/relationships/hyperlink" Target="http://www.youtube.com/channel/UCBnIG6SKJyBAeP5Mvz-_U7Q" TargetMode="External" /><Relationship Id="rId621" Type="http://schemas.openxmlformats.org/officeDocument/2006/relationships/hyperlink" Target="https://telegram.me/d04a_chat" TargetMode="External" /><Relationship Id="rId581" Type="http://schemas.openxmlformats.org/officeDocument/2006/relationships/hyperlink" Target="https://otvet.mail.ru/profile/id22388379" TargetMode="External" /><Relationship Id="rId460" Type="http://schemas.openxmlformats.org/officeDocument/2006/relationships/hyperlink" Target="http://www.youtube.com/watch?v=EovQNlTpgKc" TargetMode="External" /><Relationship Id="rId540" Type="http://schemas.openxmlformats.org/officeDocument/2006/relationships/hyperlink" Target="http://vk.com/club175752600" TargetMode="External" /><Relationship Id="rId738" Type="http://schemas.openxmlformats.org/officeDocument/2006/relationships/hyperlink" Target="http://ok.ru/group/65900379045923" TargetMode="External" /><Relationship Id="rId156" Type="http://schemas.openxmlformats.org/officeDocument/2006/relationships/hyperlink" Target="https://market.yandex.ru/product/1401075805" TargetMode="External" /><Relationship Id="rId70" Type="http://schemas.openxmlformats.org/officeDocument/2006/relationships/hyperlink" Target="https://www.tiktok.com/@dok.kirillova/video/7644783009299942669#7645056282018562817:7645021445789614856" TargetMode="External" /><Relationship Id="rId668" Type="http://schemas.openxmlformats.org/officeDocument/2006/relationships/hyperlink" Target="https://threads.com/@artem1983m" TargetMode="External" /><Relationship Id="rId1027" Type="http://schemas.openxmlformats.org/officeDocument/2006/relationships/hyperlink" Target="http://vk.com/wall-37094416_1421649?reply=1421677" TargetMode="External" /><Relationship Id="rId1149" Type="http://schemas.openxmlformats.org/officeDocument/2006/relationships/hyperlink" Target="https://www.babyplan.ru/forums/topic/139903-povtorjajushhiesja-bhb" TargetMode="External" /><Relationship Id="rId808" Type="http://schemas.openxmlformats.org/officeDocument/2006/relationships/hyperlink" Target="https://www.facebook.com/2177791156342271" TargetMode="External" /><Relationship Id="rId150" Type="http://schemas.openxmlformats.org/officeDocument/2006/relationships/hyperlink" Target="https://otzyv.pro/category/nootropnyie-preparatyi/25346-trental.html" TargetMode="External" /><Relationship Id="rId399" Type="http://schemas.openxmlformats.org/officeDocument/2006/relationships/hyperlink" Target="https://sprosivracha.com/questions/4345843-bolezn-byurgera" TargetMode="External" /><Relationship Id="rId552" Type="http://schemas.openxmlformats.org/officeDocument/2006/relationships/hyperlink" Target="http://vk.com/club17990792" TargetMode="External" /><Relationship Id="rId1040" Type="http://schemas.openxmlformats.org/officeDocument/2006/relationships/hyperlink" Target="https://telegram.me/2605536942" TargetMode="External" /><Relationship Id="rId108" Type="http://schemas.openxmlformats.org/officeDocument/2006/relationships/hyperlink" Target="https://otzovik.com/reviews/trental_soteks" TargetMode="External" /><Relationship Id="rId572" Type="http://schemas.openxmlformats.org/officeDocument/2006/relationships/hyperlink" Target="http://vk.com/id208945354" TargetMode="External" /><Relationship Id="rId198" Type="http://schemas.openxmlformats.org/officeDocument/2006/relationships/hyperlink" Target="http://ok.ru/group/55077875286120" TargetMode="External" /><Relationship Id="rId541" Type="http://schemas.openxmlformats.org/officeDocument/2006/relationships/hyperlink" Target="https://telegram.me/nmic_blokhina/5857" TargetMode="External" /><Relationship Id="rId244" Type="http://schemas.openxmlformats.org/officeDocument/2006/relationships/hyperlink" Target="https://www.facebook.com/27121093024168059" TargetMode="External" /><Relationship Id="rId898" Type="http://schemas.openxmlformats.org/officeDocument/2006/relationships/hyperlink" Target="https://www.facebook.com/2304050573457643" TargetMode="External" /><Relationship Id="rId650" Type="http://schemas.openxmlformats.org/officeDocument/2006/relationships/hyperlink" Target="http://vk.com/club237474828" TargetMode="External" /><Relationship Id="rId113" Type="http://schemas.openxmlformats.org/officeDocument/2006/relationships/hyperlink" Target="https://www.vashe-mnenie.com/authors/&#1043;&#1086;&#1089;&#1090;&#1100;" TargetMode="External" /><Relationship Id="rId522" Type="http://schemas.openxmlformats.org/officeDocument/2006/relationships/hyperlink" Target="https://dzen.ru/id/5f10c2705b8c597418428eae" TargetMode="External" /><Relationship Id="rId433" Type="http://schemas.openxmlformats.org/officeDocument/2006/relationships/hyperlink" Target="http://www.youtube.com/watch?v=gD1Fo-6areI" TargetMode="External" /><Relationship Id="rId1155" Type="http://schemas.openxmlformats.org/officeDocument/2006/relationships/hyperlink" Target="https://hron-prostatit.ru/forum/viewforum.php?f=4" TargetMode="External" /><Relationship Id="rId582" Type="http://schemas.openxmlformats.org/officeDocument/2006/relationships/hyperlink" Target="https://otvet.mail.ru/profile/id317415007" TargetMode="External" /><Relationship Id="rId916" Type="http://schemas.openxmlformats.org/officeDocument/2006/relationships/hyperlink" Target="http://vk.com/wall-166491509_870591?reply=870802" TargetMode="External" /><Relationship Id="rId344" Type="http://schemas.openxmlformats.org/officeDocument/2006/relationships/hyperlink" Target="http://vk.com/id1115732629" TargetMode="External" /><Relationship Id="rId1036" Type="http://schemas.openxmlformats.org/officeDocument/2006/relationships/hyperlink" Target="http://vk.com/wall-185694161_87?reply=88" TargetMode="External" /><Relationship Id="rId550" Type="http://schemas.openxmlformats.org/officeDocument/2006/relationships/hyperlink" Target="http://vk.com/wall-17990792_94614?reply=94634&amp;thread=94615" TargetMode="External" /><Relationship Id="rId170" Type="http://schemas.openxmlformats.org/officeDocument/2006/relationships/hyperlink" Target="https://www.otzyvru.com/authors/&#1043;&#1086;&#1089;&#1090;&#1100;" TargetMode="External" /><Relationship Id="rId793" Type="http://schemas.openxmlformats.org/officeDocument/2006/relationships/hyperlink" Target="https://www.woman.ru/health/medley7/thread/4982316/2/#m103883691" TargetMode="External" /><Relationship Id="rId688" Type="http://schemas.openxmlformats.org/officeDocument/2006/relationships/hyperlink" Target="https://telegram.me/actualphlebology/84269" TargetMode="External" /><Relationship Id="rId1029" Type="http://schemas.openxmlformats.org/officeDocument/2006/relationships/hyperlink" Target="http://vk.com/club37094416" TargetMode="External" /><Relationship Id="rId461" Type="http://schemas.openxmlformats.org/officeDocument/2006/relationships/hyperlink" Target="http://www.youtube.com/channel/UCxOrMcy80l0areWExDLFgaA" TargetMode="External" /><Relationship Id="rId286" Type="http://schemas.openxmlformats.org/officeDocument/2006/relationships/hyperlink" Target="https://sprosivracha.com/questions/4352389-ishemicheskiy-pravostoronniy-insult-u-dedushki-90-let" TargetMode="External" /><Relationship Id="rId441" Type="http://schemas.openxmlformats.org/officeDocument/2006/relationships/hyperlink" Target="https://telegram.me/revmomoscow" TargetMode="External" /><Relationship Id="rId417" Type="http://schemas.openxmlformats.org/officeDocument/2006/relationships/hyperlink" Target="https://dzen.ru/id/5eaafa59cf77ee27c9421287" TargetMode="External" /><Relationship Id="rId355" Type="http://schemas.openxmlformats.org/officeDocument/2006/relationships/hyperlink" Target="https://telegram.me/grizhapro/1077786" TargetMode="External" /><Relationship Id="rId765" Type="http://schemas.openxmlformats.org/officeDocument/2006/relationships/hyperlink" Target="https://rutube.ru/video/person/78253766" TargetMode="External" /><Relationship Id="rId1086" Type="http://schemas.openxmlformats.org/officeDocument/2006/relationships/hyperlink" Target="http://ok.ru/group/70000001016930" TargetMode="External" /><Relationship Id="rId947" Type="http://schemas.openxmlformats.org/officeDocument/2006/relationships/hyperlink" Target="http://ok.ru/group/55780516757702" TargetMode="External" /><Relationship Id="rId1063" Type="http://schemas.openxmlformats.org/officeDocument/2006/relationships/hyperlink" Target="http://vk.com/wall-55541786_309162?reply=309171" TargetMode="External" /><Relationship Id="rId971" Type="http://schemas.openxmlformats.org/officeDocument/2006/relationships/hyperlink" Target="https://sprosivracha.com/authors/&#1051;&#1080;&#1083;&#1080;&#1103;%20&#1040;&#1082;&#1073;&#1072;&#1096;&#1077;&#1074;&#1072;" TargetMode="External" /><Relationship Id="rId892" Type="http://schemas.openxmlformats.org/officeDocument/2006/relationships/hyperlink" Target="https://dzen.ru/a/afoO8zFnET4Ieus_?comment-request=1#comment_3295589724" TargetMode="External" /><Relationship Id="rId300" Type="http://schemas.openxmlformats.org/officeDocument/2006/relationships/hyperlink" Target="http://www.facebook.com/profile.php?id=458554734265709" TargetMode="External" /><Relationship Id="rId1038" Type="http://schemas.openxmlformats.org/officeDocument/2006/relationships/hyperlink" Target="http://vk.com/club185694161" TargetMode="External" /><Relationship Id="rId883" Type="http://schemas.openxmlformats.org/officeDocument/2006/relationships/hyperlink" Target="https://dzen.ru/a/afpTufrI7SJ8oO1G?comment-request=1#comment_3295641134" TargetMode="External" /><Relationship Id="rId596" Type="http://schemas.openxmlformats.org/officeDocument/2006/relationships/hyperlink" Target="https://dzen.ru/user/2356853477" TargetMode="External" /><Relationship Id="rId1055" Type="http://schemas.openxmlformats.org/officeDocument/2006/relationships/hyperlink" Target="http://vk.com/club215871371" TargetMode="External" /><Relationship Id="rId538" Type="http://schemas.openxmlformats.org/officeDocument/2006/relationships/hyperlink" Target="http://vk.com/wall-175752600_26593?reply=26621" TargetMode="External" /><Relationship Id="rId4" Type="http://schemas.openxmlformats.org/officeDocument/2006/relationships/hyperlink" Target="https://www.ozon.ru/product/711343209/reviews?ruuid=019e7ecb-9eff-789f-a6ed-b6758e8a2c4f" TargetMode="External" /><Relationship Id="rId692" Type="http://schemas.openxmlformats.org/officeDocument/2006/relationships/hyperlink" Target="https://instagram.com/dr_kozlova_antonina" TargetMode="External" /><Relationship Id="rId565" Type="http://schemas.openxmlformats.org/officeDocument/2006/relationships/hyperlink" Target="https://dzen.ru/a/agUol5ne4hbd7M9R?comment-request=1#comment_3310286133" TargetMode="External" /><Relationship Id="rId1060" Type="http://schemas.openxmlformats.org/officeDocument/2006/relationships/hyperlink" Target="http://vk.com/wall-126883252_374658?reply=374676" TargetMode="External" /><Relationship Id="rId1015" Type="http://schemas.openxmlformats.org/officeDocument/2006/relationships/hyperlink" Target="http://vk.com/wall-61391520_829584?reply=829602" TargetMode="External" /><Relationship Id="rId1089" Type="http://schemas.openxmlformats.org/officeDocument/2006/relationships/hyperlink" Target="http://vk.com/club237610432" TargetMode="External" /><Relationship Id="rId1062" Type="http://schemas.openxmlformats.org/officeDocument/2006/relationships/hyperlink" Target="http://vk.com/club126883252" TargetMode="External" /><Relationship Id="rId963" Type="http://schemas.openxmlformats.org/officeDocument/2006/relationships/hyperlink" Target="http://sojuzpharma.ru" TargetMode="External" /><Relationship Id="rId174" Type="http://schemas.openxmlformats.org/officeDocument/2006/relationships/hyperlink" Target="https://irecommend.ru/content/vazodilatiruyushchee-sredstvo-sanofi-aventis-trental" TargetMode="External" /><Relationship Id="rId293" Type="http://schemas.openxmlformats.org/officeDocument/2006/relationships/hyperlink" Target="https://telegram.me/airpumpservice" TargetMode="External" /><Relationship Id="rId82" Type="http://schemas.openxmlformats.org/officeDocument/2006/relationships/hyperlink" Target="https://www.wildberries.ru/catalog/138992242/detail.aspx#review_xqrbAUWCPkAipAyJMLQs" TargetMode="External" /><Relationship Id="rId787" Type="http://schemas.openxmlformats.org/officeDocument/2006/relationships/hyperlink" Target="https://sprosivracha.com/questions/4321477-bolit-stopa#a27631612" TargetMode="External" /><Relationship Id="rId1121" Type="http://schemas.openxmlformats.org/officeDocument/2006/relationships/hyperlink" Target="http://vk.com/id244938783" TargetMode="External" /><Relationship Id="rId837" Type="http://schemas.openxmlformats.org/officeDocument/2006/relationships/hyperlink" Target="http://vk.com/club58175895" TargetMode="External" /><Relationship Id="rId501" Type="http://schemas.openxmlformats.org/officeDocument/2006/relationships/hyperlink" Target="https://instagram.com/ps.popov" TargetMode="External" /><Relationship Id="rId7" Type="http://schemas.openxmlformats.org/officeDocument/2006/relationships/hyperlink" Target="https://sprosivracha.com/questions/4368061-babushka-stala-sovsem-ploho-hodit" TargetMode="External" /><Relationship Id="rId124" Type="http://schemas.openxmlformats.org/officeDocument/2006/relationships/hyperlink" Target="https://sprosivracha.com/questions/4361026-sineyu-na-holode#a27953506" TargetMode="External" /><Relationship Id="rId358" Type="http://schemas.openxmlformats.org/officeDocument/2006/relationships/hyperlink" Target="http://vk.com/wall-131908471_1104520?reply=1105976&amp;thread=1104870" TargetMode="External" /><Relationship Id="rId936" Type="http://schemas.openxmlformats.org/officeDocument/2006/relationships/hyperlink" Target="http://vk.com/club213272284" TargetMode="External" /><Relationship Id="rId356" Type="http://schemas.openxmlformats.org/officeDocument/2006/relationships/hyperlink" Target="https://telegram.me/sanechekk" TargetMode="External" /><Relationship Id="rId638" Type="http://schemas.openxmlformats.org/officeDocument/2006/relationships/hyperlink" Target="http://vk.com/id5286837" TargetMode="External" /><Relationship Id="rId237" Type="http://schemas.openxmlformats.org/officeDocument/2006/relationships/hyperlink" Target="http://vk.com/club61570233" TargetMode="External" /><Relationship Id="rId111" Type="http://schemas.openxmlformats.org/officeDocument/2006/relationships/hyperlink" Target="https://mom.life/channel/5d4811d6ebdb000de72653af" TargetMode="External" /><Relationship Id="rId942" Type="http://schemas.openxmlformats.org/officeDocument/2006/relationships/hyperlink" Target="https://telegram.me/dariashuer_chat" TargetMode="External" /><Relationship Id="rId530" Type="http://schemas.openxmlformats.org/officeDocument/2006/relationships/hyperlink" Target="https://telegram.me/doc_kolesnik" TargetMode="External" /><Relationship Id="rId282" Type="http://schemas.openxmlformats.org/officeDocument/2006/relationships/hyperlink" Target="http://vk.com/club177710119" TargetMode="External" /><Relationship Id="rId639" Type="http://schemas.openxmlformats.org/officeDocument/2006/relationships/hyperlink" Target="http://vk.com/club17990792" TargetMode="External" /><Relationship Id="rId446" Type="http://schemas.openxmlformats.org/officeDocument/2006/relationships/hyperlink" Target="https://telegram.me/1647708250" TargetMode="External" /><Relationship Id="rId783" Type="http://schemas.openxmlformats.org/officeDocument/2006/relationships/hyperlink" Target="http://www.youtube.com/channel/UCvaXsE0Uokmax_yXrG2sjYA" TargetMode="External" /><Relationship Id="rId1072" Type="http://schemas.openxmlformats.org/officeDocument/2006/relationships/hyperlink" Target="https://telegram.me/c/1455776108/86183" TargetMode="External" /><Relationship Id="rId609" Type="http://schemas.openxmlformats.org/officeDocument/2006/relationships/hyperlink" Target="http://vk.com/id318581728" TargetMode="External" /><Relationship Id="rId718" Type="http://schemas.openxmlformats.org/officeDocument/2006/relationships/hyperlink" Target="https://sprosivracha.com/questions/4323146-pochemu-vnizu-nog-zhzhenie-i-krovopodteki#a27652955" TargetMode="External" /><Relationship Id="rId798" Type="http://schemas.openxmlformats.org/officeDocument/2006/relationships/hyperlink" Target="http://www.facebook.com/profile.php?id=100001525526292" TargetMode="External" /><Relationship Id="rId1103" Type="http://schemas.openxmlformats.org/officeDocument/2006/relationships/hyperlink" Target="http://ok.ru/profile/557381638366" TargetMode="External" /><Relationship Id="rId683" Type="http://schemas.openxmlformats.org/officeDocument/2006/relationships/hyperlink" Target="https://sprosivracha.com/authors/&#1051;&#1080;&#1083;&#1080;&#1103;%20&#1040;&#1082;&#1073;&#1072;&#1096;&#1077;&#1074;&#1072;" TargetMode="External" /><Relationship Id="rId911" Type="http://schemas.openxmlformats.org/officeDocument/2006/relationships/hyperlink" Target="http://vk.com/id1209585" TargetMode="External" /><Relationship Id="rId187" Type="http://schemas.openxmlformats.org/officeDocument/2006/relationships/hyperlink" Target="https://rutube.ru/video/68df469ee6527b62e4e9b238aaf23165/#1779759048733896266" TargetMode="External" /><Relationship Id="rId967" Type="http://schemas.openxmlformats.org/officeDocument/2006/relationships/hyperlink" Target="http://vk.com/wall-149047382_3160608?reply=3160981" TargetMode="External" /><Relationship Id="rId8" Type="http://schemas.openxmlformats.org/officeDocument/2006/relationships/hyperlink" Target="https://sprosivracha.com/authors/&#1040;&#1085;&#1072;&#1089;&#1090;&#1072;&#1089;&#1080;&#1103;" TargetMode="External" /><Relationship Id="rId85" Type="http://schemas.openxmlformats.org/officeDocument/2006/relationships/hyperlink" Target="http://www.youtube.com/watch?v=gvckIX9ZWIc&amp;lc=UgweZMFaiBzoQu05_LZ4AaABAg" TargetMode="External" /><Relationship Id="rId984" Type="http://schemas.openxmlformats.org/officeDocument/2006/relationships/hyperlink" Target="https://threads.com/@kirill19720708" TargetMode="External" /><Relationship Id="rId505" Type="http://schemas.openxmlformats.org/officeDocument/2006/relationships/hyperlink" Target="https://www.instagram.com/p/DYZIXCktkHU/c/18143197912508118/r/18163403944432274" TargetMode="External" /><Relationship Id="rId494" Type="http://schemas.openxmlformats.org/officeDocument/2006/relationships/hyperlink" Target="http://vk.com/id1209585" TargetMode="External" /><Relationship Id="rId370" Type="http://schemas.openxmlformats.org/officeDocument/2006/relationships/hyperlink" Target="http://vk.com/wall-217589574_51620?reply=52100&amp;thread=51651" TargetMode="External" /><Relationship Id="rId1114" Type="http://schemas.openxmlformats.org/officeDocument/2006/relationships/hyperlink" Target="https://dzen.ru/video/watch/69f486532464ba6c78065e52?comment-request=1#comment_3290396633" TargetMode="External" /><Relationship Id="rId982" Type="http://schemas.openxmlformats.org/officeDocument/2006/relationships/hyperlink" Target="https://www.threads.com/@kirill19720708/post/DX-2smniNAc" TargetMode="External" /><Relationship Id="rId1096" Type="http://schemas.openxmlformats.org/officeDocument/2006/relationships/hyperlink" Target="http://ok.ru/group/70000001016930/topic/157362037103970#QUFBQm5laFpSUjArOFE9PToxNTczNjIwMzcxMDM5NzA6MQ==" TargetMode="External" /><Relationship Id="rId973" Type="http://schemas.openxmlformats.org/officeDocument/2006/relationships/hyperlink" Target="https://dzen.ru/a/afXo7pQU6TCKBLMB?comment-request=1#comment_3292156994" TargetMode="External" /><Relationship Id="rId430" Type="http://schemas.openxmlformats.org/officeDocument/2006/relationships/hyperlink" Target="https://www.instagram.com/p/DYeYMH2Iryq/c/17875288278664049" TargetMode="External" /><Relationship Id="rId1138" Type="http://schemas.openxmlformats.org/officeDocument/2006/relationships/hyperlink" Target="https://sprosivracha.com/questions/4304858-odyshka-posle-aksh#a27499100" TargetMode="External" /><Relationship Id="rId987" Type="http://schemas.openxmlformats.org/officeDocument/2006/relationships/hyperlink" Target="https://dzen.ru/id/5a0b09f2a936f43df63f4406" TargetMode="External" /><Relationship Id="rId341" Type="http://schemas.openxmlformats.org/officeDocument/2006/relationships/hyperlink" Target="https://telegram.me/1798766867" TargetMode="External" /><Relationship Id="rId700" Type="http://schemas.openxmlformats.org/officeDocument/2006/relationships/hyperlink" Target="https://telegram.me/actualphlebology/84263" TargetMode="External" /><Relationship Id="rId353" Type="http://schemas.openxmlformats.org/officeDocument/2006/relationships/hyperlink" Target="http://vk.com/club226299499" TargetMode="External" /><Relationship Id="rId950" Type="http://schemas.openxmlformats.org/officeDocument/2006/relationships/hyperlink" Target="https://www.ozon.ru/context/client_opinion/ClientGuid/00000000-0000-0000-0000-000000000000#&#1052;&#1080;&#1093;&#1072;&#1080;&#1083;%20&#1050;." TargetMode="External" /><Relationship Id="rId294" Type="http://schemas.openxmlformats.org/officeDocument/2006/relationships/hyperlink" Target="https://telegram.me/1572358258" TargetMode="External" /><Relationship Id="rId73" Type="http://schemas.openxmlformats.org/officeDocument/2006/relationships/hyperlink" Target="https://www.threads.com/@gnomic8801/post/DY5aqcwDsPv" TargetMode="External" /><Relationship Id="rId792" Type="http://schemas.openxmlformats.org/officeDocument/2006/relationships/hyperlink" Target="http://www.facebook.com/profile.php?id=100006312763962" TargetMode="External" /><Relationship Id="rId640" Type="http://schemas.openxmlformats.org/officeDocument/2006/relationships/hyperlink" Target="https://telegram.me/hamovnikipoleznychatik/219659" TargetMode="External" /><Relationship Id="rId884" Type="http://schemas.openxmlformats.org/officeDocument/2006/relationships/hyperlink" Target="https://dzen.ru/user/1678962437" TargetMode="External" /><Relationship Id="rId1147" Type="http://schemas.openxmlformats.org/officeDocument/2006/relationships/hyperlink" Target="https://www.babyplan.ru/forums/topic/139903-povtorjajushhiesja-bhb/?do=findComment&amp;comment=22361575" TargetMode="External" /><Relationship Id="rId782" Type="http://schemas.openxmlformats.org/officeDocument/2006/relationships/hyperlink" Target="http://www.youtube.com/channel/UCvaXsE0Uokmax_yXrG2sjYA" TargetMode="External" /><Relationship Id="rId1108" Type="http://schemas.openxmlformats.org/officeDocument/2006/relationships/hyperlink" Target="https://www.threads.com/@oksanaderunets/post/DXzjcwhiJZU" TargetMode="External" /><Relationship Id="rId227" Type="http://schemas.openxmlformats.org/officeDocument/2006/relationships/hyperlink" Target="https://teletype.in/@dominantazdorovja" TargetMode="External" /><Relationship Id="rId120" Type="http://schemas.openxmlformats.org/officeDocument/2006/relationships/hyperlink" Target="https://pikabu.ru/story/_14011323" TargetMode="External" /><Relationship Id="rId71" Type="http://schemas.openxmlformats.org/officeDocument/2006/relationships/hyperlink" Target="https://www.tiktok.com/@laizan02" TargetMode="External" /><Relationship Id="rId481" Type="http://schemas.openxmlformats.org/officeDocument/2006/relationships/hyperlink" Target="http://vk.com/wall-30913680_435524" TargetMode="External" /><Relationship Id="rId853" Type="http://schemas.openxmlformats.org/officeDocument/2006/relationships/hyperlink" Target="https://sprosivracha.com/questions/4318945-povyshennyy-gemoglobin-u-muzhchiny#a27619995" TargetMode="External" /><Relationship Id="rId239" Type="http://schemas.openxmlformats.org/officeDocument/2006/relationships/hyperlink" Target="http://ok.ru/group/52171764269129" TargetMode="External" /><Relationship Id="rId159" Type="http://schemas.openxmlformats.org/officeDocument/2006/relationships/hyperlink" Target="http://vk.com/club74822124" TargetMode="External" /><Relationship Id="rId802" Type="http://schemas.openxmlformats.org/officeDocument/2006/relationships/hyperlink" Target="https://www.facebook.com/3146579549063808" TargetMode="External" /><Relationship Id="rId400" Type="http://schemas.openxmlformats.org/officeDocument/2006/relationships/hyperlink" Target="https://sprosivracha.com/questions/4345843-bolezn-byurgera" TargetMode="External" /><Relationship Id="rId205" Type="http://schemas.openxmlformats.org/officeDocument/2006/relationships/hyperlink" Target="http://www.youtube.com/watch?v=s9oQMAD7EjQ" TargetMode="External" /><Relationship Id="rId74" Type="http://schemas.openxmlformats.org/officeDocument/2006/relationships/hyperlink" Target="https://threads.com/@gnomic8801" TargetMode="External" /><Relationship Id="rId181" Type="http://schemas.openxmlformats.org/officeDocument/2006/relationships/hyperlink" Target="https://telegram.me/dgdschat/127944" TargetMode="External" /><Relationship Id="rId704" Type="http://schemas.openxmlformats.org/officeDocument/2006/relationships/hyperlink" Target="http://www.facebook.com/profile.php?id=100024259613570" TargetMode="External" /><Relationship Id="rId377" Type="http://schemas.openxmlformats.org/officeDocument/2006/relationships/hyperlink" Target="http://www.youtube.com/channel/UCFNfF6U3o-Z8BBpc0bSbfCA" TargetMode="External" /><Relationship Id="rId826" Type="http://schemas.openxmlformats.org/officeDocument/2006/relationships/hyperlink" Target="https://www.facebook.com/3319448958233909" TargetMode="External" /><Relationship Id="rId732" Type="http://schemas.openxmlformats.org/officeDocument/2006/relationships/hyperlink" Target="http://www.youtube.com/channel/UCosNTG9GrBdebSefMoeGRcg" TargetMode="External" /><Relationship Id="rId52" Type="http://schemas.openxmlformats.org/officeDocument/2006/relationships/hyperlink" Target="https://telegram.me/beremennost_pregnancy/2340749" TargetMode="External" /><Relationship Id="rId1051" Type="http://schemas.openxmlformats.org/officeDocument/2006/relationships/hyperlink" Target="https://telegram.me/darixana_nukus/2480383" TargetMode="External" /><Relationship Id="rId817" Type="http://schemas.openxmlformats.org/officeDocument/2006/relationships/hyperlink" Target="http://www.youtube.com/watch?v=o9t1cO2VPRM&amp;lc=Ugz4qbEtp9pjROn9SrJ4AaABAg.AWYzBmxiyJdAWZ-NeDfiXe" TargetMode="External" /><Relationship Id="rId1068" Type="http://schemas.openxmlformats.org/officeDocument/2006/relationships/hyperlink" Target="https://www.ozon.ru/context/detail/id/711343209" TargetMode="External" /><Relationship Id="rId707" Type="http://schemas.openxmlformats.org/officeDocument/2006/relationships/hyperlink" Target="http://www.facebook.com/profile.php?id=799794627" TargetMode="External" /><Relationship Id="rId1006" Type="http://schemas.openxmlformats.org/officeDocument/2006/relationships/hyperlink" Target="https://sprosivracha.com/questions/4308136-gzt-v-38-let-nizkiy-testosteron#a27564208" TargetMode="External" /><Relationship Id="rId629" Type="http://schemas.openxmlformats.org/officeDocument/2006/relationships/hyperlink" Target="http://vk.com/id1209585" TargetMode="External" /><Relationship Id="rId153" Type="http://schemas.openxmlformats.org/officeDocument/2006/relationships/hyperlink" Target="http://www.youtube.com/channel/UCWaPTBsDgQ84bQQDBykfgsw" TargetMode="External" /><Relationship Id="rId200" Type="http://schemas.openxmlformats.org/officeDocument/2006/relationships/hyperlink" Target="http://vk.com/id171254440" TargetMode="External" /><Relationship Id="rId780" Type="http://schemas.openxmlformats.org/officeDocument/2006/relationships/hyperlink" Target="http://www.youtube.com/channel/UCvaXsE0Uokmax_yXrG2sjYA" TargetMode="External" /><Relationship Id="rId603" Type="http://schemas.openxmlformats.org/officeDocument/2006/relationships/hyperlink" Target="https://instagram.com/luly_abdula" TargetMode="External" /><Relationship Id="rId922" Type="http://schemas.openxmlformats.org/officeDocument/2006/relationships/hyperlink" Target="http://www.youtube.com/watch?v=MGHOR2C0g0g&amp;lc=UgybgyJv9AS6ufMLbXB4AaABAg" TargetMode="External" /><Relationship Id="rId1111" Type="http://schemas.openxmlformats.org/officeDocument/2006/relationships/hyperlink" Target="http://vk.com/wall-50079856_1448049?reply=1448219&amp;thread=1448201" TargetMode="External" /><Relationship Id="rId1010" Type="http://schemas.openxmlformats.org/officeDocument/2006/relationships/hyperlink" Target="http://vk.com/club226278715" TargetMode="External" /><Relationship Id="rId874" Type="http://schemas.openxmlformats.org/officeDocument/2006/relationships/hyperlink" Target="http://vk.com/wall-88570414_284324?reply=284368" TargetMode="External" /><Relationship Id="rId178" Type="http://schemas.openxmlformats.org/officeDocument/2006/relationships/hyperlink" Target="https://www.tiktok.com/@makarov_batumi/video/7644054557630287122#7644127787347575570" TargetMode="External" /><Relationship Id="rId913" Type="http://schemas.openxmlformats.org/officeDocument/2006/relationships/hyperlink" Target="https://forums.rusmedserv.com/showpost.php?p=3139132&amp;postcount=3" TargetMode="External" /><Relationship Id="rId835" Type="http://schemas.openxmlformats.org/officeDocument/2006/relationships/hyperlink" Target="http://vk.com/wall-58175895_907?reply=3145" TargetMode="External" /><Relationship Id="rId848" Type="http://schemas.openxmlformats.org/officeDocument/2006/relationships/hyperlink" Target="http://www.facebook.com/profile.php?id=100004823103752" TargetMode="External" /><Relationship Id="rId1019" Type="http://schemas.openxmlformats.org/officeDocument/2006/relationships/hyperlink" Target="http://vk.com/id861782734" TargetMode="External" /><Relationship Id="rId185" Type="http://schemas.openxmlformats.org/officeDocument/2006/relationships/hyperlink" Target="http://vk.com/id678931674" TargetMode="External" /><Relationship Id="rId653" Type="http://schemas.openxmlformats.org/officeDocument/2006/relationships/hyperlink" Target="https://telegram.me/nataliya_1" TargetMode="External" /><Relationship Id="rId546" Type="http://schemas.openxmlformats.org/officeDocument/2006/relationships/hyperlink" Target="https://threads.com/@madame_cle_" TargetMode="External" /><Relationship Id="rId271" Type="http://schemas.openxmlformats.org/officeDocument/2006/relationships/hyperlink" Target="https://www.instagram.com/p/DYrJF4jCM5x/c/18083717720563188" TargetMode="External" /><Relationship Id="rId713" Type="http://schemas.openxmlformats.org/officeDocument/2006/relationships/hyperlink" Target="http://vk.com/id123313021" TargetMode="External" /><Relationship Id="rId1162" Type="http://schemas.openxmlformats.org/officeDocument/2006/relationships/hyperlink" Target="http://ok.ru/group/54782456954971/topic/157785426277211" TargetMode="External" /><Relationship Id="rId571" Type="http://schemas.openxmlformats.org/officeDocument/2006/relationships/hyperlink" Target="http://vk.com/wall-58170807_14234223?reply=14235126&amp;thread=14235114" TargetMode="External" /><Relationship Id="rId403" Type="http://schemas.openxmlformats.org/officeDocument/2006/relationships/hyperlink" Target="http://vk.com/wall-131908471_1104520?reply=1104870" TargetMode="External" /><Relationship Id="rId948" Type="http://schemas.openxmlformats.org/officeDocument/2006/relationships/hyperlink" Target="http://ok.ru/group/55780516757702" TargetMode="External" /><Relationship Id="rId339" Type="http://schemas.openxmlformats.org/officeDocument/2006/relationships/hyperlink" Target="http://www.youtube.com/channel/UCWaPTBsDgQ84bQQDBykfgsw" TargetMode="External" /><Relationship Id="rId561" Type="http://schemas.openxmlformats.org/officeDocument/2006/relationships/hyperlink" Target="http://vk.com/club117764704" TargetMode="External" /><Relationship Id="rId735" Type="http://schemas.openxmlformats.org/officeDocument/2006/relationships/hyperlink" Target="http://ok.ru/group/70000002368282" TargetMode="External" /><Relationship Id="rId670" Type="http://schemas.openxmlformats.org/officeDocument/2006/relationships/hyperlink" Target="https://dzen.ru/a/aHQggDhDE1HS3wnR?comment-request=1#comment_3306710963" TargetMode="External" /><Relationship Id="rId832" Type="http://schemas.openxmlformats.org/officeDocument/2006/relationships/hyperlink" Target="http://vk.com/wall-119027_522632" TargetMode="External" /><Relationship Id="rId160" Type="http://schemas.openxmlformats.org/officeDocument/2006/relationships/hyperlink" Target="https://www.instagram.com/p/DYzm_NmurSh/c/18084043559254854" TargetMode="External" /><Relationship Id="rId868" Type="http://schemas.openxmlformats.org/officeDocument/2006/relationships/hyperlink" Target="https://www.facebook.com/26283595121337074" TargetMode="External" /><Relationship Id="rId909" Type="http://schemas.openxmlformats.org/officeDocument/2006/relationships/hyperlink" Target="https://telegram.me/ecoterina_blog" TargetMode="External" /><Relationship Id="rId157" Type="http://schemas.openxmlformats.org/officeDocument/2006/relationships/hyperlink" Target="http://vk.com/wall-74822124_1025509?reply=1025558&amp;thread=1025551" TargetMode="External" /><Relationship Id="rId807" Type="http://schemas.openxmlformats.org/officeDocument/2006/relationships/hyperlink" Target="http://www.facebook.com/profile.php?id=100007215365532" TargetMode="External" /><Relationship Id="rId191" Type="http://schemas.openxmlformats.org/officeDocument/2006/relationships/hyperlink" Target="https://rutube.ru/video/person/28404014" TargetMode="External" /><Relationship Id="rId425" Type="http://schemas.openxmlformats.org/officeDocument/2006/relationships/hyperlink" Target="https://sprosivracha.com/authors/&#1051;&#1080;&#1083;&#1080;&#1103;%20&#1040;&#1082;&#1073;&#1072;&#1096;&#1077;&#1074;&#1072;" TargetMode="External" /><Relationship Id="rId992" Type="http://schemas.openxmlformats.org/officeDocument/2006/relationships/hyperlink" Target="https://dzen.ru/id/5f72066cba91764cb5da7d65" TargetMode="External" /><Relationship Id="rId134" Type="http://schemas.openxmlformats.org/officeDocument/2006/relationships/hyperlink" Target="https://www.babyblog.ru/user/onalesya1" TargetMode="External" /><Relationship Id="rId862" Type="http://schemas.openxmlformats.org/officeDocument/2006/relationships/hyperlink" Target="http://vk.com/wall-197092538_142634?reply=142635" TargetMode="External" /><Relationship Id="rId569" Type="http://schemas.openxmlformats.org/officeDocument/2006/relationships/hyperlink" Target="http://vk.com/id1111874705" TargetMode="External" /><Relationship Id="rId1132" Type="http://schemas.openxmlformats.org/officeDocument/2006/relationships/hyperlink" Target="http://vk.com/wall-17990792_94483?reply=94521&amp;thread=94506" TargetMode="External" /><Relationship Id="rId842" Type="http://schemas.openxmlformats.org/officeDocument/2006/relationships/hyperlink" Target="http://www.facebook.com/profile.php?id=100004399958144" TargetMode="External" /><Relationship Id="rId933" Type="http://schemas.openxmlformats.org/officeDocument/2006/relationships/hyperlink" Target="http://vk.com/club222205353" TargetMode="External" /><Relationship Id="rId422" Type="http://schemas.openxmlformats.org/officeDocument/2006/relationships/hyperlink" Target="https://telegram.me/lp_stepanida" TargetMode="External" /><Relationship Id="rId1041" Type="http://schemas.openxmlformats.org/officeDocument/2006/relationships/hyperlink" Target="https://telegram.me/2605536942" TargetMode="External" /><Relationship Id="rId20" Type="http://schemas.openxmlformats.org/officeDocument/2006/relationships/hyperlink" Target="https://telegram.me/499174279" TargetMode="External" /><Relationship Id="rId238" Type="http://schemas.openxmlformats.org/officeDocument/2006/relationships/hyperlink" Target="http://ok.ru/group/52171764269129/topic/158358884756297" TargetMode="External" /><Relationship Id="rId421" Type="http://schemas.openxmlformats.org/officeDocument/2006/relationships/hyperlink" Target="https://telegram.me/mseshnyichat/39933" TargetMode="External" /><Relationship Id="rId512" Type="http://schemas.openxmlformats.org/officeDocument/2006/relationships/hyperlink" Target="https://nup.ru/#ViDen" TargetMode="External" /><Relationship Id="rId1065" Type="http://schemas.openxmlformats.org/officeDocument/2006/relationships/hyperlink" Target="http://vk.com/club55541786" TargetMode="External" /><Relationship Id="rId50" Type="http://schemas.openxmlformats.org/officeDocument/2006/relationships/hyperlink" Target="http://vk.com/id741139354" TargetMode="External" /><Relationship Id="rId686" Type="http://schemas.openxmlformats.org/officeDocument/2006/relationships/hyperlink" Target="https://instagram.com/alexey_t18" TargetMode="External" /><Relationship Id="rId990" Type="http://schemas.openxmlformats.org/officeDocument/2006/relationships/hyperlink" Target="https://telegram.me/dgdschat" TargetMode="External" /><Relationship Id="rId1136" Type="http://schemas.openxmlformats.org/officeDocument/2006/relationships/hyperlink" Target="https://sprosivracha.com/authors/&#1040;&#1083;&#1077;&#1085;&#1072;%20&#1064;&#1077;&#1081;&#1087;&#1091;&#1082;" TargetMode="External" /><Relationship Id="rId165" Type="http://schemas.openxmlformats.org/officeDocument/2006/relationships/hyperlink" Target="http://www.youtube.com/channel/UCWaPTBsDgQ84bQQDBykfgsw" TargetMode="External" /><Relationship Id="rId810" Type="http://schemas.openxmlformats.org/officeDocument/2006/relationships/hyperlink" Target="http://www.facebook.com/profile.php?id=100023342230421" TargetMode="External" /><Relationship Id="rId269" Type="http://schemas.openxmlformats.org/officeDocument/2006/relationships/hyperlink" Target="https://instagram.com/pigasovanina" TargetMode="External" /><Relationship Id="rId1161" Type="http://schemas.openxmlformats.org/officeDocument/2006/relationships/hyperlink" Target="https://sprosivracha.com/questions/4302256-rasseyanyy-skleroz-vozmozhno-obostrenie" TargetMode="External" /><Relationship Id="rId88" Type="http://schemas.openxmlformats.org/officeDocument/2006/relationships/hyperlink" Target="https://www.otzyvru.com/trental/review-2258841#comment2258841" TargetMode="External" /><Relationship Id="rId617" Type="http://schemas.openxmlformats.org/officeDocument/2006/relationships/hyperlink" Target="http://vk.com/club227669108" TargetMode="External" /><Relationship Id="rId711" Type="http://schemas.openxmlformats.org/officeDocument/2006/relationships/hyperlink" Target="https://telegram.me/1407442894" TargetMode="External" /><Relationship Id="rId929" Type="http://schemas.openxmlformats.org/officeDocument/2006/relationships/hyperlink" Target="http://vk.com/id1111874705" TargetMode="External" /><Relationship Id="rId466" Type="http://schemas.openxmlformats.org/officeDocument/2006/relationships/hyperlink" Target="http://vk.com/wall-42224436_341171?reply=341201" TargetMode="External" /><Relationship Id="rId919" Type="http://schemas.openxmlformats.org/officeDocument/2006/relationships/hyperlink" Target="http://vk.com/wall-118324715_644837?reply=644857" TargetMode="External" /><Relationship Id="rId652" Type="http://schemas.openxmlformats.org/officeDocument/2006/relationships/hyperlink" Target="https://telegram.me/hamovnikipoleznychatik/219654" TargetMode="External" /><Relationship Id="rId730" Type="http://schemas.openxmlformats.org/officeDocument/2006/relationships/hyperlink" Target="http://www.youtube.com/watch?v=3VoJUSWFS_8&amp;lc=Ugz7pdi9kQIuVsXQkYt4AaABAg.AWcFa2zREKUAWcL2bdvnvR" TargetMode="External" /><Relationship Id="rId760" Type="http://schemas.openxmlformats.org/officeDocument/2006/relationships/hyperlink" Target="https://telegram.me/informchane/15788288" TargetMode="External" /><Relationship Id="rId467" Type="http://schemas.openxmlformats.org/officeDocument/2006/relationships/hyperlink" Target="http://vk.com/id1072210181" TargetMode="External" /><Relationship Id="rId434" Type="http://schemas.openxmlformats.org/officeDocument/2006/relationships/hyperlink" Target="http://www.youtube.com/channel/UCxOrMcy80l0areWExDLFgaA" TargetMode="External" /><Relationship Id="rId354" Type="http://schemas.openxmlformats.org/officeDocument/2006/relationships/hyperlink" Target="http://vk.com/club226299499" TargetMode="External" /><Relationship Id="rId281" Type="http://schemas.openxmlformats.org/officeDocument/2006/relationships/hyperlink" Target="http://vk.com/id719231073" TargetMode="External" /><Relationship Id="rId473" Type="http://schemas.openxmlformats.org/officeDocument/2006/relationships/hyperlink" Target="http://vk.com/club42224436" TargetMode="External" /><Relationship Id="rId128" Type="http://schemas.openxmlformats.org/officeDocument/2006/relationships/hyperlink" Target="https://instagram.com/pro_talina" TargetMode="External" /><Relationship Id="rId28" Type="http://schemas.openxmlformats.org/officeDocument/2006/relationships/hyperlink" Target="https://sprosivracha.com/questions/4368183-rozha-otek-nogi-infekciya#a28013838" TargetMode="External" /><Relationship Id="rId691" Type="http://schemas.openxmlformats.org/officeDocument/2006/relationships/hyperlink" Target="https://www.instagram.com/p/DYMwpBxKpso/" TargetMode="External" /><Relationship Id="rId468" Type="http://schemas.openxmlformats.org/officeDocument/2006/relationships/hyperlink" Target="http://vk.com/club42224436" TargetMode="External" /><Relationship Id="rId31" Type="http://schemas.openxmlformats.org/officeDocument/2006/relationships/hyperlink" Target="https://telegram.me/like_in_cash/48668" TargetMode="External" /><Relationship Id="rId660" Type="http://schemas.openxmlformats.org/officeDocument/2006/relationships/hyperlink" Target="https://dzen.ru/id/5eaafa59cf77ee27c9421287" TargetMode="External" /><Relationship Id="rId470" Type="http://schemas.openxmlformats.org/officeDocument/2006/relationships/hyperlink" Target="http://vk.com/club118474860" TargetMode="External" /><Relationship Id="rId59" Type="http://schemas.openxmlformats.org/officeDocument/2006/relationships/hyperlink" Target="http://vk.com/id110659096" TargetMode="External" /><Relationship Id="rId995" Type="http://schemas.openxmlformats.org/officeDocument/2006/relationships/hyperlink" Target="http://vk.com/id773113250" TargetMode="External" /><Relationship Id="rId591" Type="http://schemas.openxmlformats.org/officeDocument/2006/relationships/hyperlink" Target="http://www.youtube.com/channel/UCvaXsE0Uokmax_yXrG2sjYA" TargetMode="External" /><Relationship Id="rId764" Type="http://schemas.openxmlformats.org/officeDocument/2006/relationships/hyperlink" Target="https://rutube.ru/video/person/78253766" TargetMode="External" /><Relationship Id="rId699" Type="http://schemas.openxmlformats.org/officeDocument/2006/relationships/hyperlink" Target="http://www.facebook.com/profile.php?id=100022147444966" TargetMode="External" /><Relationship Id="rId439" Type="http://schemas.openxmlformats.org/officeDocument/2006/relationships/hyperlink" Target="https://telegram.me/revmomoscow/581485" TargetMode="External" /><Relationship Id="rId25" Type="http://schemas.openxmlformats.org/officeDocument/2006/relationships/hyperlink" Target="https://www.threads.com/@mommycine/post/DY_tECnjoMo" TargetMode="External" /><Relationship Id="rId420" Type="http://schemas.openxmlformats.org/officeDocument/2006/relationships/hyperlink" Target="https://dzen.ru/id/5eaafa59cf77ee27c9421287" TargetMode="External" /><Relationship Id="rId226" Type="http://schemas.openxmlformats.org/officeDocument/2006/relationships/hyperlink" Target="https://teletype.in/@dominantazdorovja/4pymDcqHEnw" TargetMode="External" /><Relationship Id="rId378" Type="http://schemas.openxmlformats.org/officeDocument/2006/relationships/hyperlink" Target="http://www.youtube.com/channel/UCxRnwT5qacpzhJx1JR-8Gbg" TargetMode="External" /><Relationship Id="rId462" Type="http://schemas.openxmlformats.org/officeDocument/2006/relationships/hyperlink" Target="http://www.youtube.com/channel/UCxOrMcy80l0areWExDLFgaA" TargetMode="External" /><Relationship Id="rId268" Type="http://schemas.openxmlformats.org/officeDocument/2006/relationships/hyperlink" Target="https://www.instagram.com/p/DYp8V1PM1yM/c/18211921429335132" TargetMode="External" /><Relationship Id="rId98" Type="http://schemas.openxmlformats.org/officeDocument/2006/relationships/hyperlink" Target="https://otzovik.com/profile/&#1044;&#1080;&#1074;&#1085;&#1072;&#1103;+&#1055;&#1086;&#1083;&#1080;&#1085;&#1072;" TargetMode="External" /><Relationship Id="rId395" Type="http://schemas.openxmlformats.org/officeDocument/2006/relationships/hyperlink" Target="http://vk.com/club238438025" TargetMode="External" /><Relationship Id="rId97" Type="http://schemas.openxmlformats.org/officeDocument/2006/relationships/hyperlink" Target="https://otzovik.com/review_18382383.html" TargetMode="External" /><Relationship Id="rId1064" Type="http://schemas.openxmlformats.org/officeDocument/2006/relationships/hyperlink" Target="http://vk.com/id1111874705" TargetMode="External" /><Relationship Id="rId510" Type="http://schemas.openxmlformats.org/officeDocument/2006/relationships/hyperlink" Target="https://telegram.me/semaglu" TargetMode="External" /><Relationship Id="rId839" Type="http://schemas.openxmlformats.org/officeDocument/2006/relationships/hyperlink" Target="http://www.youtube.com/channel/UC9lwQ7VwYPMndl94Yatb7Ww" TargetMode="External" /><Relationship Id="rId445" Type="http://schemas.openxmlformats.org/officeDocument/2006/relationships/hyperlink" Target="https://telegram.me/infect_voenmed/47147?comment=216834" TargetMode="External" /><Relationship Id="rId960" Type="http://schemas.openxmlformats.org/officeDocument/2006/relationships/hyperlink" Target="http://vk.com/club231508037" TargetMode="External" /><Relationship Id="rId194" Type="http://schemas.openxmlformats.org/officeDocument/2006/relationships/hyperlink" Target="https://www.woman.ru/forum/user-statuses/editorial/#gold_message" TargetMode="External" /><Relationship Id="rId881" Type="http://schemas.openxmlformats.org/officeDocument/2006/relationships/hyperlink" Target="https://dzen.ru/user/edef6s10opi3ve84lz63es7gr1u" TargetMode="External" /><Relationship Id="rId40" Type="http://schemas.openxmlformats.org/officeDocument/2006/relationships/hyperlink" Target="http://vk.com/wall-219255672_263846?reply=266019&amp;thread=263911" TargetMode="External" /><Relationship Id="rId502" Type="http://schemas.openxmlformats.org/officeDocument/2006/relationships/hyperlink" Target="https://www.instagram.com/p/DYZIXCktkHU/c/18143197912508118/r/18061823048459742" TargetMode="External" /><Relationship Id="rId1035" Type="http://schemas.openxmlformats.org/officeDocument/2006/relationships/hyperlink" Target="https://telegram.me/koikchan" TargetMode="External" /><Relationship Id="rId631" Type="http://schemas.openxmlformats.org/officeDocument/2006/relationships/hyperlink" Target="https://www.instagram.com/p/DYPHQIauPFV/c/18359411767227628" TargetMode="External" /><Relationship Id="rId517" Type="http://schemas.openxmlformats.org/officeDocument/2006/relationships/hyperlink" Target="https://nup.ru/topic/10258-viden-3-ja-popytka/page/25/#elControls_256512_menu" TargetMode="External" /><Relationship Id="rId946" Type="http://schemas.openxmlformats.org/officeDocument/2006/relationships/hyperlink" Target="http://ok.ru/group/55780516757702/topic/157461700921542" TargetMode="External" /><Relationship Id="rId47" Type="http://schemas.openxmlformats.org/officeDocument/2006/relationships/hyperlink" Target="https://dzen.ru/id/683a5da203a9ab31d4266a8b" TargetMode="External" /><Relationship Id="rId1139" Type="http://schemas.openxmlformats.org/officeDocument/2006/relationships/hyperlink" Target="https://sprosivracha.com/authors/&#1046;&#1072;&#1085;&#1085;&#1072;" TargetMode="External" /><Relationship Id="rId365" Type="http://schemas.openxmlformats.org/officeDocument/2006/relationships/hyperlink" Target="http://www.youtube.com/channel/UCdbCk6qf4f4yYyit8_9U5cQ" TargetMode="External" /><Relationship Id="rId255" Type="http://schemas.openxmlformats.org/officeDocument/2006/relationships/hyperlink" Target="https://telegram.me/2214211507" TargetMode="External" /><Relationship Id="rId229" Type="http://schemas.openxmlformats.org/officeDocument/2006/relationships/hyperlink" Target="https://www.instagram.com/p/DYv5kgyCJ9d/c/18204860104345910" TargetMode="External" /><Relationship Id="rId925" Type="http://schemas.openxmlformats.org/officeDocument/2006/relationships/hyperlink" Target="http://vk.com/wall-118324715_644748?reply=644814" TargetMode="External" /><Relationship Id="rId233" Type="http://schemas.openxmlformats.org/officeDocument/2006/relationships/hyperlink" Target="http://vk.com/id3789070" TargetMode="External" /><Relationship Id="rId1069" Type="http://schemas.openxmlformats.org/officeDocument/2006/relationships/hyperlink" Target="https://telegram.me/pravoslavievtelege/32022?comment=2532958" TargetMode="External" /><Relationship Id="rId183" Type="http://schemas.openxmlformats.org/officeDocument/2006/relationships/hyperlink" Target="https://telegram.me/dgdschat" TargetMode="External" /><Relationship Id="rId804" Type="http://schemas.openxmlformats.org/officeDocument/2006/relationships/hyperlink" Target="http://www.facebook.com/profile.php?id=100011353800327" TargetMode="External" /><Relationship Id="rId1134" Type="http://schemas.openxmlformats.org/officeDocument/2006/relationships/hyperlink" Target="http://vk.com/club17990792" TargetMode="External" /><Relationship Id="rId456" Type="http://schemas.openxmlformats.org/officeDocument/2006/relationships/hyperlink" Target="http://ok.ru/group/55695437463587" TargetMode="External" /><Relationship Id="rId858" Type="http://schemas.openxmlformats.org/officeDocument/2006/relationships/hyperlink" Target="https://sprosivracha.com/questions/4318945-povyshennyy-gemoglobin-u-muzhchiny" TargetMode="External" /><Relationship Id="rId321" Type="http://schemas.openxmlformats.org/officeDocument/2006/relationships/hyperlink" Target="http://vk.com/club171736200" TargetMode="External" /><Relationship Id="rId53" Type="http://schemas.openxmlformats.org/officeDocument/2006/relationships/hyperlink" Target="https://telegram.me/1053760904" TargetMode="External" /><Relationship Id="rId161" Type="http://schemas.openxmlformats.org/officeDocument/2006/relationships/hyperlink" Target="https://instagram.com/kireeva2879" TargetMode="External" /><Relationship Id="rId809" Type="http://schemas.openxmlformats.org/officeDocument/2006/relationships/hyperlink" Target="http://www.facebook.com/profile.php?id=100023342230421" TargetMode="External" /><Relationship Id="rId109" Type="http://schemas.openxmlformats.org/officeDocument/2006/relationships/hyperlink" Target="https://mom.life/post/6a17dc6b2f1ba69e8c095fdb#6a17e0f5b9076d2bfa0c23f9" TargetMode="External" /><Relationship Id="rId1100" Type="http://schemas.openxmlformats.org/officeDocument/2006/relationships/hyperlink" Target="https://max.ru/id7730183173_biz" TargetMode="External" /><Relationship Id="rId482" Type="http://schemas.openxmlformats.org/officeDocument/2006/relationships/hyperlink" Target="http://vk.com/club30913680" TargetMode="External" /><Relationship Id="rId235" Type="http://schemas.openxmlformats.org/officeDocument/2006/relationships/hyperlink" Target="http://vk.com/wall-61570233_117048" TargetMode="External" /><Relationship Id="rId1016" Type="http://schemas.openxmlformats.org/officeDocument/2006/relationships/hyperlink" Target="http://vk.com/id1111874705" TargetMode="External" /><Relationship Id="rId805" Type="http://schemas.openxmlformats.org/officeDocument/2006/relationships/hyperlink" Target="https://www.facebook.com/4270782516505552" TargetMode="External" /><Relationship Id="rId41" Type="http://schemas.openxmlformats.org/officeDocument/2006/relationships/hyperlink" Target="http://vk.com/id264045142" TargetMode="External" /><Relationship Id="rId14" Type="http://schemas.openxmlformats.org/officeDocument/2006/relationships/hyperlink" Target="https://telegram.me/7062911248" TargetMode="External" /><Relationship Id="rId642" Type="http://schemas.openxmlformats.org/officeDocument/2006/relationships/hyperlink" Target="https://telegram.me/hamovnikipoleznychatik" TargetMode="External" /><Relationship Id="rId290" Type="http://schemas.openxmlformats.org/officeDocument/2006/relationships/hyperlink" Target="https://instagram.com/pavel_chukhnov" TargetMode="External" /><Relationship Id="rId345" Type="http://schemas.openxmlformats.org/officeDocument/2006/relationships/hyperlink" Target="http://vk.com/club132664992" TargetMode="External" /><Relationship Id="rId1143" Type="http://schemas.openxmlformats.org/officeDocument/2006/relationships/hyperlink" Target="https://www.babyplan.ru/forums/topic/139903-povtorjajushhiesja-bhb" TargetMode="External" /><Relationship Id="rId998" Type="http://schemas.openxmlformats.org/officeDocument/2006/relationships/hyperlink" Target="https://hron-prostatit.ru/authors/deni4" TargetMode="External" /><Relationship Id="rId593" Type="http://schemas.openxmlformats.org/officeDocument/2006/relationships/hyperlink" Target="https://mom.life/user/6a03e35a7e15d5832e0a91d0" TargetMode="External" /><Relationship Id="rId759" Type="http://schemas.openxmlformats.org/officeDocument/2006/relationships/hyperlink" Target="https://telegram.me/informchane" TargetMode="External" /><Relationship Id="rId322" Type="http://schemas.openxmlformats.org/officeDocument/2006/relationships/hyperlink" Target="http://vk.com/wall-171736200_5750?reply=5760" TargetMode="External" /><Relationship Id="rId896" Type="http://schemas.openxmlformats.org/officeDocument/2006/relationships/hyperlink" Target="http://www.facebook.com/profile.php?id=61587142363160" TargetMode="External" /><Relationship Id="rId180" Type="http://schemas.openxmlformats.org/officeDocument/2006/relationships/hyperlink" Target="https://www.tiktok.com/@makarov_batumi" TargetMode="External" /><Relationship Id="rId923" Type="http://schemas.openxmlformats.org/officeDocument/2006/relationships/hyperlink" Target="http://www.youtube.com/channel/UClJhxoTP2ELanup9QKcst3w" TargetMode="External" /><Relationship Id="rId820" Type="http://schemas.openxmlformats.org/officeDocument/2006/relationships/hyperlink" Target="http://ok.ru/profile/575282624141/statuses/158752479219853" TargetMode="External" /><Relationship Id="rId475" Type="http://schemas.openxmlformats.org/officeDocument/2006/relationships/hyperlink" Target="https://medihost.ru/questions?id=342170#answer-1480369" TargetMode="External" /><Relationship Id="rId539" Type="http://schemas.openxmlformats.org/officeDocument/2006/relationships/hyperlink" Target="http://vk.com/id1111874705" TargetMode="External" /><Relationship Id="rId342" Type="http://schemas.openxmlformats.org/officeDocument/2006/relationships/hyperlink" Target="https://telegram.me/oncolyachat" TargetMode="External" /><Relationship Id="rId213" Type="http://schemas.openxmlformats.org/officeDocument/2006/relationships/hyperlink" Target="http://vk.com/club213047982" TargetMode="External" /><Relationship Id="rId246" Type="http://schemas.openxmlformats.org/officeDocument/2006/relationships/hyperlink" Target="http://www.facebook.com/profile.php?id=100000821827539" TargetMode="External" /><Relationship Id="rId245" Type="http://schemas.openxmlformats.org/officeDocument/2006/relationships/hyperlink" Target="http://www.facebook.com/profile.php?id=100000821827539" TargetMode="External" /><Relationship Id="rId2" Type="http://schemas.openxmlformats.org/officeDocument/2006/relationships/hyperlink" Target="https://hron-prostatit.ru/authors/vito54" TargetMode="External" /><Relationship Id="rId628" Type="http://schemas.openxmlformats.org/officeDocument/2006/relationships/hyperlink" Target="http://vk.com/wall-17990792_94569?reply=94628" TargetMode="External" /><Relationship Id="rId924" Type="http://schemas.openxmlformats.org/officeDocument/2006/relationships/hyperlink" Target="http://www.youtube.com/channel/UC_C5Vm1gvOBo8vlSYY4MnmA" TargetMode="External" /><Relationship Id="rId619" Type="http://schemas.openxmlformats.org/officeDocument/2006/relationships/hyperlink" Target="https://telegram.me/d04a_chat/707427" TargetMode="External" /><Relationship Id="rId500" Type="http://schemas.openxmlformats.org/officeDocument/2006/relationships/hyperlink" Target="https://instagram.com/leharostovskii" TargetMode="External" /><Relationship Id="rId1119" Type="http://schemas.openxmlformats.org/officeDocument/2006/relationships/hyperlink" Target="https://threads.com/@tatjana.onufrieva" TargetMode="External" /><Relationship Id="rId507" Type="http://schemas.openxmlformats.org/officeDocument/2006/relationships/hyperlink" Target="https://instagram.com/ps.popov" TargetMode="External" /><Relationship Id="rId148" Type="http://schemas.openxmlformats.org/officeDocument/2006/relationships/hyperlink" Target="https://otzyv.pro/reviews/otzyvy-trental-515525.html" TargetMode="External" /><Relationship Id="rId221" Type="http://schemas.openxmlformats.org/officeDocument/2006/relationships/hyperlink" Target="http://vk.com/club236733457" TargetMode="External" /><Relationship Id="rId305" Type="http://schemas.openxmlformats.org/officeDocument/2006/relationships/hyperlink" Target="https://dzen.ru/user/77lhfkslznwclbekteqdvvxx_fm" TargetMode="External" /><Relationship Id="rId144" Type="http://schemas.openxmlformats.org/officeDocument/2006/relationships/hyperlink" Target="https://dzen.ru/id/59c4d5894bf161c6efdacbb0" TargetMode="External" /><Relationship Id="rId856" Type="http://schemas.openxmlformats.org/officeDocument/2006/relationships/hyperlink" Target="https://sprosivracha.com/questions/4318945-povyshennyy-gemoglobin-u-muzhchiny#a27619924" TargetMode="External" /><Relationship Id="rId847" Type="http://schemas.openxmlformats.org/officeDocument/2006/relationships/hyperlink" Target="https://www.facebook.com/2855744877929588" TargetMode="External" /><Relationship Id="rId926" Type="http://schemas.openxmlformats.org/officeDocument/2006/relationships/hyperlink" Target="http://vk.com/id861782734" TargetMode="External" /><Relationship Id="rId509" Type="http://schemas.openxmlformats.org/officeDocument/2006/relationships/hyperlink" Target="https://telegram.me/770870676" TargetMode="External" /><Relationship Id="rId935" Type="http://schemas.openxmlformats.org/officeDocument/2006/relationships/hyperlink" Target="http://vk.com/id160392480" TargetMode="External" /><Relationship Id="rId595" Type="http://schemas.openxmlformats.org/officeDocument/2006/relationships/hyperlink" Target="https://dzen.ru/a/agIAh0cwAkGzc3PX?comment-request=1#comment_3299475272" TargetMode="External" /><Relationship Id="rId777" Type="http://schemas.openxmlformats.org/officeDocument/2006/relationships/hyperlink" Target="http://vk.com/club209406938" TargetMode="External" /><Relationship Id="rId1141" Type="http://schemas.openxmlformats.org/officeDocument/2006/relationships/hyperlink" Target="https://www.babyplan.ru/forums/topic/139903-povtorjajushhiesja-bhb/?do=findComment&amp;comment=22361671" TargetMode="External" /><Relationship Id="rId298" Type="http://schemas.openxmlformats.org/officeDocument/2006/relationships/hyperlink" Target="https://www.facebook.com/26846825188345304" TargetMode="External" /><Relationship Id="rId941" Type="http://schemas.openxmlformats.org/officeDocument/2006/relationships/hyperlink" Target="https://telegram.me/beketovrk" TargetMode="External" /><Relationship Id="rId493" Type="http://schemas.openxmlformats.org/officeDocument/2006/relationships/hyperlink" Target="http://vk.com/wall-17990792_94267?reply=94653" TargetMode="External" /><Relationship Id="rId743" Type="http://schemas.openxmlformats.org/officeDocument/2006/relationships/hyperlink" Target="http://ok.ru/group/62637872906275" TargetMode="External" /><Relationship Id="rId733" Type="http://schemas.openxmlformats.org/officeDocument/2006/relationships/hyperlink" Target="http://ok.ru/group/70000002368282/topic/158270539730202" TargetMode="External" /><Relationship Id="rId662" Type="http://schemas.openxmlformats.org/officeDocument/2006/relationships/hyperlink" Target="http://vk.com/id1111874705" TargetMode="External" /><Relationship Id="rId96" Type="http://schemas.openxmlformats.org/officeDocument/2006/relationships/hyperlink" Target="https://dzen.ru/id/59c4d5894bf161c6efdacbb0" TargetMode="External" /><Relationship Id="rId26" Type="http://schemas.openxmlformats.org/officeDocument/2006/relationships/hyperlink" Target="https://threads.com/@mommycine" TargetMode="External" /><Relationship Id="rId392" Type="http://schemas.openxmlformats.org/officeDocument/2006/relationships/hyperlink" Target="http://vk.com/id1115732629" TargetMode="External" /><Relationship Id="rId717" Type="http://schemas.openxmlformats.org/officeDocument/2006/relationships/hyperlink" Target="https://telegram.me/1395655902" TargetMode="External" /><Relationship Id="rId690" Type="http://schemas.openxmlformats.org/officeDocument/2006/relationships/hyperlink" Target="https://telegram.me/actualphlebology" TargetMode="External" /><Relationship Id="rId301" Type="http://schemas.openxmlformats.org/officeDocument/2006/relationships/hyperlink" Target="https://dzen.ru/a/ag_kWpPDW1dCESDt" TargetMode="External" /><Relationship Id="rId553" Type="http://schemas.openxmlformats.org/officeDocument/2006/relationships/hyperlink" Target="https://telegram.me/semaglu/1919274" TargetMode="External" /><Relationship Id="rId1118" Type="http://schemas.openxmlformats.org/officeDocument/2006/relationships/hyperlink" Target="https://threads.com/@tatjana.onufrieva" TargetMode="External" /><Relationship Id="rId127" Type="http://schemas.openxmlformats.org/officeDocument/2006/relationships/hyperlink" Target="https://www.instagram.com/p/DY12EKOt2r8/" TargetMode="External" /><Relationship Id="rId965" Type="http://schemas.openxmlformats.org/officeDocument/2006/relationships/hyperlink" Target="https://mom.life/user/691c555d258168052e026ef0" TargetMode="External" /><Relationship Id="rId972" Type="http://schemas.openxmlformats.org/officeDocument/2006/relationships/hyperlink" Target="https://sprosivracha.com/questions/4315220-oslozhneniya-posle-operacii-na-pozvonochnike" TargetMode="External" /><Relationship Id="rId319" Type="http://schemas.openxmlformats.org/officeDocument/2006/relationships/hyperlink" Target="http://vk.com/wall-171736200_5750?reply=5767" TargetMode="External" /><Relationship Id="rId464" Type="http://schemas.openxmlformats.org/officeDocument/2006/relationships/hyperlink" Target="https://telegram.me/5305078907" TargetMode="External" /><Relationship Id="rId284" Type="http://schemas.openxmlformats.org/officeDocument/2006/relationships/hyperlink" Target="http://www.facebook.com/profile.php?id=100001690301142" TargetMode="External" /><Relationship Id="rId208" Type="http://schemas.openxmlformats.org/officeDocument/2006/relationships/hyperlink" Target="http://vk.com/wall-118324715_646827" TargetMode="External" /><Relationship Id="rId1152" Type="http://schemas.openxmlformats.org/officeDocument/2006/relationships/hyperlink" Target="http://vk.com/id2084950" TargetMode="External" /><Relationship Id="rId1083" Type="http://schemas.openxmlformats.org/officeDocument/2006/relationships/hyperlink" Target="http://ok.ru/group/70000001016930" TargetMode="External" /><Relationship Id="rId834" Type="http://schemas.openxmlformats.org/officeDocument/2006/relationships/hyperlink" Target="http://vk.com/club119027" TargetMode="External" /><Relationship Id="rId414" Type="http://schemas.openxmlformats.org/officeDocument/2006/relationships/hyperlink" Target="http://ok.ru/profile/523027629056" TargetMode="External" /><Relationship Id="rId204" Type="http://schemas.openxmlformats.org/officeDocument/2006/relationships/hyperlink" Target="https://mom.life/user/5d92597f47da0052e87d2560" TargetMode="External" /><Relationship Id="rId661" Type="http://schemas.openxmlformats.org/officeDocument/2006/relationships/hyperlink" Target="http://vk.com/wall-172880205_412995?reply=413058" TargetMode="External" /><Relationship Id="rId1166" Type="http://schemas.openxmlformats.org/officeDocument/2006/relationships/hyperlink" Target="http://vk.com/club64593569" TargetMode="External" /><Relationship Id="rId484" Type="http://schemas.openxmlformats.org/officeDocument/2006/relationships/hyperlink" Target="http://vk.com/wall-29445319_703421" TargetMode="External" /><Relationship Id="rId37" Type="http://schemas.openxmlformats.org/officeDocument/2006/relationships/hyperlink" Target="http://vk.com/wall-233198825_737" TargetMode="External" /><Relationship Id="rId51" Type="http://schemas.openxmlformats.org/officeDocument/2006/relationships/hyperlink" Target="http://vk.com/club192553540" TargetMode="External" /><Relationship Id="rId390" Type="http://schemas.openxmlformats.org/officeDocument/2006/relationships/hyperlink" Target="https://dzen.ru/id/5959e452d7d0a6883223aee1" TargetMode="External" /><Relationship Id="rId147" Type="http://schemas.openxmlformats.org/officeDocument/2006/relationships/hyperlink" Target="https://otzovik.com/reviews/klinika_zdravklinik_russia_moscow" TargetMode="External" /><Relationship Id="rId10" Type="http://schemas.openxmlformats.org/officeDocument/2006/relationships/hyperlink" Target="https://telegram.me/kristheme/2387" TargetMode="External" /><Relationship Id="rId790" Type="http://schemas.openxmlformats.org/officeDocument/2006/relationships/hyperlink" Target="https://www.facebook.com/4341714079382308" TargetMode="External" /><Relationship Id="rId747" Type="http://schemas.openxmlformats.org/officeDocument/2006/relationships/hyperlink" Target="http://ok.ru/group/65890095595555" TargetMode="External" /><Relationship Id="rId463" Type="http://schemas.openxmlformats.org/officeDocument/2006/relationships/hyperlink" Target="https://telegram.me/c/1610051836/1654779" TargetMode="External" /><Relationship Id="rId755" Type="http://schemas.openxmlformats.org/officeDocument/2006/relationships/hyperlink" Target="https://telegram.me/pharmacomlabsnews" TargetMode="External" /><Relationship Id="rId1165" Type="http://schemas.openxmlformats.org/officeDocument/2006/relationships/hyperlink" Target="http://vk.com/wall-64593569_108201" TargetMode="External" /><Relationship Id="rId184" Type="http://schemas.openxmlformats.org/officeDocument/2006/relationships/hyperlink" Target="http://vk.com/wall-232208667_1004?reply=1043&amp;thread=1006" TargetMode="External" /><Relationship Id="rId11" Type="http://schemas.openxmlformats.org/officeDocument/2006/relationships/hyperlink" Target="https://telegram.me/kristheme" TargetMode="External" /><Relationship Id="rId1037" Type="http://schemas.openxmlformats.org/officeDocument/2006/relationships/hyperlink" Target="http://vk.com/id260441521" TargetMode="External" /><Relationship Id="rId803" Type="http://schemas.openxmlformats.org/officeDocument/2006/relationships/hyperlink" Target="http://www.facebook.com/profile.php?id=100011353800327" TargetMode="External" /><Relationship Id="rId533" Type="http://schemas.openxmlformats.org/officeDocument/2006/relationships/hyperlink" Target="http://www.youtube.com/channel/UCZ1RK8q-3ekd6Lv090ui_Mg" TargetMode="External" /><Relationship Id="rId314" Type="http://schemas.openxmlformats.org/officeDocument/2006/relationships/hyperlink" Target="https://dzen.ru/user/edef6s10opi3ve84lz63es7gr1u" TargetMode="External" /><Relationship Id="rId214" Type="http://schemas.openxmlformats.org/officeDocument/2006/relationships/hyperlink" Target="http://vk.com/wall-64697447_2117704?reply=2117834" TargetMode="External" /><Relationship Id="rId335" Type="http://schemas.openxmlformats.org/officeDocument/2006/relationships/hyperlink" Target="http://vk.com/id7627055" TargetMode="External" /><Relationship Id="rId800" Type="http://schemas.openxmlformats.org/officeDocument/2006/relationships/hyperlink" Target="https://telegram.me/nastyadushk" TargetMode="External" /><Relationship Id="rId1109" Type="http://schemas.openxmlformats.org/officeDocument/2006/relationships/hyperlink" Target="https://threads.com/@oksanaderunets" TargetMode="External" /><Relationship Id="rId347" Type="http://schemas.openxmlformats.org/officeDocument/2006/relationships/hyperlink" Target="https://telegram.me/nataliya_1" TargetMode="External" /><Relationship Id="rId480" Type="http://schemas.openxmlformats.org/officeDocument/2006/relationships/hyperlink" Target="https://www.woman.ru/forum/3/relations/sex/thread-devochki-posovetuyte-nash-vozbuditel-id6424968" TargetMode="External" /><Relationship Id="rId885" Type="http://schemas.openxmlformats.org/officeDocument/2006/relationships/hyperlink" Target="https://dzen.ru/id/622275bf78e29463273cba64" TargetMode="External" /><Relationship Id="rId1105" Type="http://schemas.openxmlformats.org/officeDocument/2006/relationships/hyperlink" Target="https://sprosivracha.com/questions/4306509-boli-pri-mocheispuskanii" TargetMode="External" /><Relationship Id="rId328" Type="http://schemas.openxmlformats.org/officeDocument/2006/relationships/hyperlink" Target="http://vk.com/video-171736200_456240278" TargetMode="External" /><Relationship Id="rId969" Type="http://schemas.openxmlformats.org/officeDocument/2006/relationships/hyperlink" Target="http://vk.com/club149047382" TargetMode="External" /><Relationship Id="rId413" Type="http://schemas.openxmlformats.org/officeDocument/2006/relationships/hyperlink" Target="http://ok.ru/profile/523027629056" TargetMode="External" /><Relationship Id="rId567" Type="http://schemas.openxmlformats.org/officeDocument/2006/relationships/hyperlink" Target="https://dzen.ru/id/65d0c3e1762e4434e05212bf" TargetMode="External" /><Relationship Id="rId260" Type="http://schemas.openxmlformats.org/officeDocument/2006/relationships/hyperlink" Target="http://vk.com/club35402404" TargetMode="External" /><Relationship Id="rId590" Type="http://schemas.openxmlformats.org/officeDocument/2006/relationships/hyperlink" Target="http://www.youtube.com/channel/UC3gDRwAdO7J1D4wTRuW3IDg" TargetMode="External" /><Relationship Id="rId920" Type="http://schemas.openxmlformats.org/officeDocument/2006/relationships/hyperlink" Target="http://vk.com/id760792914" TargetMode="External" /><Relationship Id="rId396" Type="http://schemas.openxmlformats.org/officeDocument/2006/relationships/hyperlink" Target="http://vk.com/club238438025" TargetMode="External" /><Relationship Id="rId897" Type="http://schemas.openxmlformats.org/officeDocument/2006/relationships/hyperlink" Target="http://www.facebook.com/profile.php?id=458554734265709" TargetMode="External" /><Relationship Id="rId524" Type="http://schemas.openxmlformats.org/officeDocument/2006/relationships/hyperlink" Target="https://nup.ru/#pollightman" TargetMode="External" /><Relationship Id="rId257" Type="http://schemas.openxmlformats.org/officeDocument/2006/relationships/hyperlink" Target="http://vk.com/id851594044" TargetMode="External" /><Relationship Id="rId1005" Type="http://schemas.openxmlformats.org/officeDocument/2006/relationships/hyperlink" Target="http://vk.com/id207151277" TargetMode="External" /><Relationship Id="rId729" Type="http://schemas.openxmlformats.org/officeDocument/2006/relationships/hyperlink" Target="http://ok.ru/group/64968977350691" TargetMode="External" /><Relationship Id="rId283" Type="http://schemas.openxmlformats.org/officeDocument/2006/relationships/hyperlink" Target="https://www.facebook.com/26969656152674030" TargetMode="External" /><Relationship Id="rId455" Type="http://schemas.openxmlformats.org/officeDocument/2006/relationships/hyperlink" Target="http://ok.ru/group/55695437463587" TargetMode="External" /><Relationship Id="rId710" Type="http://schemas.openxmlformats.org/officeDocument/2006/relationships/hyperlink" Target="https://telegram.me/1030201087" TargetMode="External" /><Relationship Id="rId62" Type="http://schemas.openxmlformats.org/officeDocument/2006/relationships/hyperlink" Target="http://vk.com/id708739638" TargetMode="External" /><Relationship Id="rId796" Type="http://schemas.openxmlformats.org/officeDocument/2006/relationships/hyperlink" Target="https://www.facebook.com/27014442684856550" TargetMode="External" /><Relationship Id="rId838" Type="http://schemas.openxmlformats.org/officeDocument/2006/relationships/hyperlink" Target="http://www.youtube.com/watch?v=38rDcd9Cj48&amp;lc=UgxUxWNjIW8FkCat2GV4AaABAg.AWYNyNPzw8RAWYOlF0SPw3" TargetMode="External" /><Relationship Id="rId1052" Type="http://schemas.openxmlformats.org/officeDocument/2006/relationships/hyperlink" Target="https://telegram.me/2141007721" TargetMode="External" /><Relationship Id="rId60" Type="http://schemas.openxmlformats.org/officeDocument/2006/relationships/hyperlink" Target="http://vk.com/club17990792" TargetMode="External" /><Relationship Id="rId29" Type="http://schemas.openxmlformats.org/officeDocument/2006/relationships/hyperlink" Target="https://sprosivracha.com/authors/&#1053;&#1080;&#1085;&#1072;%20&#1048;&#1079;&#1074;&#1086;&#1079;&#1095;&#1080;&#1082;&#1086;&#1074;&#1072;" TargetMode="External" /><Relationship Id="rId369" Type="http://schemas.openxmlformats.org/officeDocument/2006/relationships/hyperlink" Target="http://vk.com/club217589574" TargetMode="External" /><Relationship Id="rId528" Type="http://schemas.openxmlformats.org/officeDocument/2006/relationships/hyperlink" Target="https://nup.ru/topic/10258-viden-3-ja-popytka" TargetMode="External" /><Relationship Id="rId645" Type="http://schemas.openxmlformats.org/officeDocument/2006/relationships/hyperlink" Target="https://hron-prostatit.ru/forum/viewforum.php?f=4" TargetMode="External" /><Relationship Id="rId1012" Type="http://schemas.openxmlformats.org/officeDocument/2006/relationships/hyperlink" Target="https://telegram.me/ivnvo/12458?comment=279989" TargetMode="External" /><Relationship Id="rId931" Type="http://schemas.openxmlformats.org/officeDocument/2006/relationships/hyperlink" Target="http://vk.com/wall-222205353_67412?reply=67438" TargetMode="External" /><Relationship Id="rId575" Type="http://schemas.openxmlformats.org/officeDocument/2006/relationships/hyperlink" Target="http://vk.com/id228593450" TargetMode="External" /><Relationship Id="rId1098" Type="http://schemas.openxmlformats.org/officeDocument/2006/relationships/hyperlink" Target="http://ok.ru/group/70000001016930" TargetMode="External" /><Relationship Id="rId586" Type="http://schemas.openxmlformats.org/officeDocument/2006/relationships/hyperlink" Target="http://vk.com/wall-169469876_2949345?reply=2949476&amp;thread=2949404" TargetMode="External" /><Relationship Id="rId846" Type="http://schemas.openxmlformats.org/officeDocument/2006/relationships/hyperlink" Target="https://telegram.me/epifanovnews1" TargetMode="External" /><Relationship Id="rId708" Type="http://schemas.openxmlformats.org/officeDocument/2006/relationships/hyperlink" Target="http://www.facebook.com/profile.php?id=799794627" TargetMode="External" /><Relationship Id="rId118" Type="http://schemas.openxmlformats.org/officeDocument/2006/relationships/hyperlink" Target="https://pikabu.ru/story/kak_ne_poteryat_nogi_14011323?cid=393713519" TargetMode="External" /><Relationship Id="rId474" Type="http://schemas.openxmlformats.org/officeDocument/2006/relationships/hyperlink" Target="http://vk.com/club42224436" TargetMode="External" /><Relationship Id="rId379" Type="http://schemas.openxmlformats.org/officeDocument/2006/relationships/hyperlink" Target="https://sprosivracha.com/questions/4346985-sovmestnyy-priem-lekarstv#a27833581" TargetMode="External" /><Relationship Id="rId380" Type="http://schemas.openxmlformats.org/officeDocument/2006/relationships/hyperlink" Target="https://sprosivracha.com/authors/&#1053;&#1091;&#1088;&#1083;&#1072;&#1085;%20&#1048;&#1084;&#1072;&#1085;&#1086;&#1074;" TargetMode="External" /><Relationship Id="rId863" Type="http://schemas.openxmlformats.org/officeDocument/2006/relationships/hyperlink" Target="http://vk.com/id861782734" TargetMode="External" /><Relationship Id="rId1167" Type="http://schemas.openxmlformats.org/officeDocument/2006/relationships/hyperlink" Target="http://vk.com/club64593569" TargetMode="External" /><Relationship Id="rId110" Type="http://schemas.openxmlformats.org/officeDocument/2006/relationships/hyperlink" Target="https://mom.life/user/6691732f883d963458177ce6" TargetMode="External" /><Relationship Id="rId587" Type="http://schemas.openxmlformats.org/officeDocument/2006/relationships/hyperlink" Target="http://vk.com/id170936222" TargetMode="External" /><Relationship Id="rId1077" Type="http://schemas.openxmlformats.org/officeDocument/2006/relationships/hyperlink" Target="https://sprosivracha.com/questions/4308352-prolezhni-na-pyatke" TargetMode="External" /><Relationship Id="rId900" Type="http://schemas.openxmlformats.org/officeDocument/2006/relationships/hyperlink" Target="http://www.facebook.com/profile.php?id=180047975857924" TargetMode="External" /><Relationship Id="rId263" Type="http://schemas.openxmlformats.org/officeDocument/2006/relationships/hyperlink" Target="http://ok.ru/group/52161146519625" TargetMode="External" /><Relationship Id="rId142" Type="http://schemas.openxmlformats.org/officeDocument/2006/relationships/hyperlink" Target="https://dzen.ru/a/ahWffhUdvlFXrVeB?comment-request=1#comment_3320564522" TargetMode="External" /><Relationship Id="rId405" Type="http://schemas.openxmlformats.org/officeDocument/2006/relationships/hyperlink" Target="http://vk.com/club131908471" TargetMode="External" /><Relationship Id="rId527" Type="http://schemas.openxmlformats.org/officeDocument/2006/relationships/hyperlink" Target="https://nup.ru/#ViDen" TargetMode="External" /><Relationship Id="rId274" Type="http://schemas.openxmlformats.org/officeDocument/2006/relationships/hyperlink" Target="https://www.facebook.com/26942006132119644" TargetMode="External" /><Relationship Id="rId757" Type="http://schemas.openxmlformats.org/officeDocument/2006/relationships/hyperlink" Target="https://telegram.me/informchane/15788292" TargetMode="External" /><Relationship Id="rId146" Type="http://schemas.openxmlformats.org/officeDocument/2006/relationships/hyperlink" Target="https://otzovik.com/profile/AlisSia27" TargetMode="External" /><Relationship Id="rId6" Type="http://schemas.openxmlformats.org/officeDocument/2006/relationships/hyperlink" Target="https://www.ozon.ru/context/detail/id/711343209" TargetMode="External" /><Relationship Id="rId447" Type="http://schemas.openxmlformats.org/officeDocument/2006/relationships/hyperlink" Target="https://telegram.me/infect_voenmed" TargetMode="External" /><Relationship Id="rId222" Type="http://schemas.openxmlformats.org/officeDocument/2006/relationships/hyperlink" Target="http://vk.com/club236733457" TargetMode="External" /><Relationship Id="rId873" Type="http://schemas.openxmlformats.org/officeDocument/2006/relationships/hyperlink" Target="http://www.facebook.com/profile.php?id=100005165671504" TargetMode="External" /><Relationship Id="rId722" Type="http://schemas.openxmlformats.org/officeDocument/2006/relationships/hyperlink" Target="https://sprosivracha.com/authors/&#1045;&#1082;&#1072;&#1090;&#1077;&#1088;&#1080;&#1085;&#1072;%20&#1045;&#1078;&#1086;&#1074;&#1072;" TargetMode="External" /><Relationship Id="rId104" Type="http://schemas.openxmlformats.org/officeDocument/2006/relationships/hyperlink" Target="http://vk.com/club218277808" TargetMode="External" /><Relationship Id="rId543" Type="http://schemas.openxmlformats.org/officeDocument/2006/relationships/hyperlink" Target="https://telegram.me/nmic_blokhina" TargetMode="External" /><Relationship Id="rId588" Type="http://schemas.openxmlformats.org/officeDocument/2006/relationships/hyperlink" Target="http://vk.com/club169469876" TargetMode="External" /><Relationship Id="rId1032" Type="http://schemas.openxmlformats.org/officeDocument/2006/relationships/hyperlink" Target="http://vk.com/club17990792" TargetMode="External" /><Relationship Id="rId63" Type="http://schemas.openxmlformats.org/officeDocument/2006/relationships/hyperlink" Target="http://vk.com/club17990792" TargetMode="External" /><Relationship Id="rId1131" Type="http://schemas.openxmlformats.org/officeDocument/2006/relationships/hyperlink" Target="https://dzen.ru/id/63d576d904f91437db4f6079" TargetMode="External" /><Relationship Id="rId292" Type="http://schemas.openxmlformats.org/officeDocument/2006/relationships/hyperlink" Target="https://telegram.me/c/1572358258/3503" TargetMode="External" /><Relationship Id="rId996" Type="http://schemas.openxmlformats.org/officeDocument/2006/relationships/hyperlink" Target="http://vk.com/club17990792" TargetMode="External" /><Relationship Id="rId1095" Type="http://schemas.openxmlformats.org/officeDocument/2006/relationships/hyperlink" Target="http://ok.ru/group/70000001016930" TargetMode="External" /><Relationship Id="rId410" Type="http://schemas.openxmlformats.org/officeDocument/2006/relationships/hyperlink" Target="http://www.youtube.com/channel/UCxOrMcy80l0areWExDLFgaA" TargetMode="External" /><Relationship Id="rId602" Type="http://schemas.openxmlformats.org/officeDocument/2006/relationships/hyperlink" Target="https://instagram.com/kiira_satu" TargetMode="External" /><Relationship Id="rId855" Type="http://schemas.openxmlformats.org/officeDocument/2006/relationships/hyperlink" Target="https://sprosivracha.com/questions/4318945-povyshennyy-gemoglobin-u-muzhchiny" TargetMode="External" /><Relationship Id="rId428" Type="http://schemas.openxmlformats.org/officeDocument/2006/relationships/hyperlink" Target="https://telegram.me/8865043918" TargetMode="External" /><Relationship Id="rId210" Type="http://schemas.openxmlformats.org/officeDocument/2006/relationships/hyperlink" Target="http://vk.com/club118324715" TargetMode="External" /><Relationship Id="rId695" Type="http://schemas.openxmlformats.org/officeDocument/2006/relationships/hyperlink" Target="http://ok.ru/profile/572037868304" TargetMode="External" /><Relationship Id="rId469" Type="http://schemas.openxmlformats.org/officeDocument/2006/relationships/hyperlink" Target="http://vk.com/wall-118474860_6063754" TargetMode="External" /><Relationship Id="rId418" Type="http://schemas.openxmlformats.org/officeDocument/2006/relationships/hyperlink" Target="https://dzen.ru/a/agrvVPuzlCw_axpw?comment-request=1#comment_3308169932" TargetMode="External" /><Relationship Id="rId1030" Type="http://schemas.openxmlformats.org/officeDocument/2006/relationships/hyperlink" Target="http://vk.com/wall-17990792_94549?reply=94554" TargetMode="External" /><Relationship Id="rId3" Type="http://schemas.openxmlformats.org/officeDocument/2006/relationships/hyperlink" Target="https://hron-prostatit.ru/forum/viewforum.php?f=4" TargetMode="External" /><Relationship Id="rId316" Type="http://schemas.openxmlformats.org/officeDocument/2006/relationships/hyperlink" Target="https://dzen.ru/a/ag4x51GLZX3P1oQZ?comment-request=1#comment_3308786891" TargetMode="External" /><Relationship Id="rId789" Type="http://schemas.openxmlformats.org/officeDocument/2006/relationships/hyperlink" Target="https://sprosivracha.com/questions/4321477-bolit-stopa" TargetMode="External" /><Relationship Id="rId693" Type="http://schemas.openxmlformats.org/officeDocument/2006/relationships/hyperlink" Target="https://instagram.com/dr_kozlova_antonina" TargetMode="External" /><Relationship Id="rId359" Type="http://schemas.openxmlformats.org/officeDocument/2006/relationships/hyperlink" Target="http://vk.com/id2123550" TargetMode="External" /><Relationship Id="rId295" Type="http://schemas.openxmlformats.org/officeDocument/2006/relationships/hyperlink" Target="https://www.facebook.com/10162493280336574" TargetMode="External" /><Relationship Id="rId763" Type="http://schemas.openxmlformats.org/officeDocument/2006/relationships/hyperlink" Target="https://rutube.ru/video/67849f02f4eace26ab0fb5ad8f5636fb/" TargetMode="External" /><Relationship Id="rId173" Type="http://schemas.openxmlformats.org/officeDocument/2006/relationships/hyperlink" Target="https://irecommend.ru/users/polyalugovaya" TargetMode="External" /><Relationship Id="rId23" Type="http://schemas.openxmlformats.org/officeDocument/2006/relationships/hyperlink" Target="https://dzen.ru/id/6252046f5fa8243b3e3fa422" TargetMode="External" /><Relationship Id="rId302" Type="http://schemas.openxmlformats.org/officeDocument/2006/relationships/hyperlink" Target="https://dzen.ru/id/5e6f8929a238dc1744a2e67f" TargetMode="External" /><Relationship Id="rId974" Type="http://schemas.openxmlformats.org/officeDocument/2006/relationships/hyperlink" Target="https://dzen.ru/user/edef6s10opi3ve84lz63es7gr1u" TargetMode="External" /><Relationship Id="rId125" Type="http://schemas.openxmlformats.org/officeDocument/2006/relationships/hyperlink" Target="https://sprosivracha.com/authors/&#1070;&#1083;&#1080;&#1103;%20&#1056;&#1091;&#1076;&#1086;&#1084;&#1072;&#1085;&#1086;&#1074;&#1072;" TargetMode="External" /><Relationship Id="rId1023" Type="http://schemas.openxmlformats.org/officeDocument/2006/relationships/hyperlink" Target="https://dzen.ru/id/5ea3fd8b22b6bd32eecb63f5" TargetMode="External" /><Relationship Id="rId976" Type="http://schemas.openxmlformats.org/officeDocument/2006/relationships/hyperlink" Target="http://vk.com/wall-17990792_94483?reply=94565&amp;thread=94506" TargetMode="External" /><Relationship Id="rId618" Type="http://schemas.openxmlformats.org/officeDocument/2006/relationships/hyperlink" Target="http://vk.com/club227669108" TargetMode="External" /><Relationship Id="rId633" Type="http://schemas.openxmlformats.org/officeDocument/2006/relationships/hyperlink" Target="https://instagram.com/arm_buller" TargetMode="External" /><Relationship Id="rId961" Type="http://schemas.openxmlformats.org/officeDocument/2006/relationships/hyperlink" Target="https://sojuzpharma.ru/news/20434-zakryvaem_na_karantin_obzor_aprelskih_pisem_roszdravnadzora" TargetMode="External" /><Relationship Id="rId45" Type="http://schemas.openxmlformats.org/officeDocument/2006/relationships/hyperlink" Target="http://vk.com/club177710119" TargetMode="External" /><Relationship Id="rId140" Type="http://schemas.openxmlformats.org/officeDocument/2006/relationships/hyperlink" Target="https://irecommend.ru/users/zimma208" TargetMode="External" /><Relationship Id="rId154" Type="http://schemas.openxmlformats.org/officeDocument/2006/relationships/hyperlink" Target="https://market.yandex.ru/user/0n8c3nhne2au0fdbvvqxctkq4g/reviews#t9IP0L9H4d_F_4JEMmNwtFJQnAnioouOo" TargetMode="External" /><Relationship Id="rId267" Type="http://schemas.openxmlformats.org/officeDocument/2006/relationships/hyperlink" Target="https://telegram.me/d04a_chat" TargetMode="External" /><Relationship Id="rId247" Type="http://schemas.openxmlformats.org/officeDocument/2006/relationships/hyperlink" Target="https://www.facebook.com/27354609880824271" TargetMode="External" /><Relationship Id="rId849" Type="http://schemas.openxmlformats.org/officeDocument/2006/relationships/hyperlink" Target="http://www.facebook.com/profile.php?id=100004823103752" TargetMode="External" /><Relationship Id="rId272" Type="http://schemas.openxmlformats.org/officeDocument/2006/relationships/hyperlink" Target="https://instagram.com/svetik_kiss_13" TargetMode="External" /><Relationship Id="rId202" Type="http://schemas.openxmlformats.org/officeDocument/2006/relationships/hyperlink" Target="https://mom.life/post/6a145e41e7e59a4b79052faa#6a14678be4842a0f6b06a2f9" TargetMode="External" /><Relationship Id="rId1054" Type="http://schemas.openxmlformats.org/officeDocument/2006/relationships/hyperlink" Target="http://vk.com/wall-215871371_1850" TargetMode="External" /><Relationship Id="rId606" Type="http://schemas.openxmlformats.org/officeDocument/2006/relationships/hyperlink" Target="http://vk.com/club226248434" TargetMode="External" /><Relationship Id="rId903" Type="http://schemas.openxmlformats.org/officeDocument/2006/relationships/hyperlink" Target="https://dzen.ru/id/5e6f8929a238dc1744a2e67f" TargetMode="External" /><Relationship Id="rId72" Type="http://schemas.openxmlformats.org/officeDocument/2006/relationships/hyperlink" Target="https://www.tiktok.com/@dok.kirillova" TargetMode="External" /><Relationship Id="rId35" Type="http://schemas.openxmlformats.org/officeDocument/2006/relationships/hyperlink" Target="https://max.ru/clariryofmind" TargetMode="External" /><Relationship Id="rId822" Type="http://schemas.openxmlformats.org/officeDocument/2006/relationships/hyperlink" Target="http://ok.ru/profile/575282624141" TargetMode="External" /><Relationship Id="rId637" Type="http://schemas.openxmlformats.org/officeDocument/2006/relationships/hyperlink" Target="http://vk.com/wall-17990792_94569?reply=94623" TargetMode="External" /><Relationship Id="rId36" Type="http://schemas.openxmlformats.org/officeDocument/2006/relationships/hyperlink" Target="https://max.ru/clariryofmind" TargetMode="External" /><Relationship Id="rId454" Type="http://schemas.openxmlformats.org/officeDocument/2006/relationships/hyperlink" Target="http://ok.ru/group/55695437463587/topic/158664905968931" TargetMode="External" /><Relationship Id="rId788" Type="http://schemas.openxmlformats.org/officeDocument/2006/relationships/hyperlink" Target="https://sprosivracha.com/authors/&#1051;&#1080;&#1083;&#1080;&#1103;%20&#1040;&#1082;&#1073;&#1072;&#1096;&#1077;&#1074;&#1072;" TargetMode="External" /><Relationship Id="rId620" Type="http://schemas.openxmlformats.org/officeDocument/2006/relationships/hyperlink" Target="https://telegram.me/bigmegabong" TargetMode="External" /><Relationship Id="rId46" Type="http://schemas.openxmlformats.org/officeDocument/2006/relationships/hyperlink" Target="https://dzen.ru/a/ahgi2ogxz0zpK-Gf?comment-request=1#comment_3333844993" TargetMode="External" /><Relationship Id="rId1076" Type="http://schemas.openxmlformats.org/officeDocument/2006/relationships/hyperlink" Target="https://sprosivracha.com/authors/&#1040;&#1085;&#1076;&#1088;&#1077;&#1081;%20&#1050;&#1091;&#1083;&#1077;&#1096;&#1086;&#1074;" TargetMode="External" /><Relationship Id="rId394" Type="http://schemas.openxmlformats.org/officeDocument/2006/relationships/hyperlink" Target="http://vk.com/wall-238438025_15" TargetMode="External" /><Relationship Id="rId719" Type="http://schemas.openxmlformats.org/officeDocument/2006/relationships/hyperlink" Target="https://sprosivracha.com/authors/&#1040;&#1083;&#1077;&#1082;&#1089;&#1072;&#1085;&#1076;&#1088;%20&#1046;&#1091;&#1082;&#1086;&#1074;" TargetMode="External" /><Relationship Id="rId997" Type="http://schemas.openxmlformats.org/officeDocument/2006/relationships/hyperlink" Target="https://hron-prostatit.ru/forum/viewtopic.php?p=445285#p445285" TargetMode="External" /><Relationship Id="rId206" Type="http://schemas.openxmlformats.org/officeDocument/2006/relationships/hyperlink" Target="http://www.youtube.com/channel/UCKuzqICdyXvnNNGPkbQivnw" TargetMode="External" /><Relationship Id="rId657" Type="http://schemas.openxmlformats.org/officeDocument/2006/relationships/hyperlink" Target="https://telegram.me/hamovnikipoleznychatik" TargetMode="External" /><Relationship Id="rId162" Type="http://schemas.openxmlformats.org/officeDocument/2006/relationships/hyperlink" Target="https://instagram.com/pro_vizor888" TargetMode="External" /><Relationship Id="rId613" Type="http://schemas.openxmlformats.org/officeDocument/2006/relationships/hyperlink" Target="https://forum.steelfactor.ru/index.php?showtopic=46978&amp;page=59#entry1059868602" TargetMode="External" /><Relationship Id="rId317" Type="http://schemas.openxmlformats.org/officeDocument/2006/relationships/hyperlink" Target="https://dzen.ru/id/69424d3d4f8ad6248027232e" TargetMode="External" /><Relationship Id="rId869" Type="http://schemas.openxmlformats.org/officeDocument/2006/relationships/hyperlink" Target="http://www.facebook.com/profile.php?id=100003398325503" TargetMode="External" /><Relationship Id="rId92" Type="http://schemas.openxmlformats.org/officeDocument/2006/relationships/hyperlink" Target="http://vk.com/id235493743" TargetMode="External" /><Relationship Id="rId218" Type="http://schemas.openxmlformats.org/officeDocument/2006/relationships/hyperlink" Target="http://vk.com/club179849289" TargetMode="External" /><Relationship Id="rId375" Type="http://schemas.openxmlformats.org/officeDocument/2006/relationships/hyperlink" Target="https://telegram.me/cybers" TargetMode="External" /><Relationship Id="rId1153" Type="http://schemas.openxmlformats.org/officeDocument/2006/relationships/hyperlink" Target="https://hron-prostatit.ru/forum/viewtopic.php?p=445237#p445237" TargetMode="External" /><Relationship Id="rId1046" Type="http://schemas.openxmlformats.org/officeDocument/2006/relationships/hyperlink" Target="https://pikabu.ru/@paranoidLynx" TargetMode="External" /><Relationship Id="rId94" Type="http://schemas.openxmlformats.org/officeDocument/2006/relationships/hyperlink" Target="https://dzen.ru/a/ahWffhUdvlFXrVeB?comment-request=1#comment_3322404282" TargetMode="External" /><Relationship Id="rId1097" Type="http://schemas.openxmlformats.org/officeDocument/2006/relationships/hyperlink" Target="http://ok.ru/profile/418187866754" TargetMode="External" /><Relationship Id="rId823" Type="http://schemas.openxmlformats.org/officeDocument/2006/relationships/hyperlink" Target="https://www.facebook.com/2458026427963145" TargetMode="External" /><Relationship Id="rId83" Type="http://schemas.openxmlformats.org/officeDocument/2006/relationships/hyperlink" Target="https://www.wildberries.ru/profile/RWHbm5SgopupK0XLs4SjDklqX5rw1br0U6tZx3UOisaz" TargetMode="External" /><Relationship Id="rId241" Type="http://schemas.openxmlformats.org/officeDocument/2006/relationships/hyperlink" Target="http://vk.com/wall-229000699_2769?reply=4352" TargetMode="External" /><Relationship Id="rId435" Type="http://schemas.openxmlformats.org/officeDocument/2006/relationships/hyperlink" Target="http://www.youtube.com/channel/UCxOrMcy80l0areWExDLFgaA" TargetMode="External" /><Relationship Id="rId166" Type="http://schemas.openxmlformats.org/officeDocument/2006/relationships/hyperlink" Target="http://vk.com/wall-149047382_3170626?reply=3171250" TargetMode="External" /><Relationship Id="rId615" Type="http://schemas.openxmlformats.org/officeDocument/2006/relationships/hyperlink" Target="https://forum.steelfactor.ru/index.php?showtopic=46978" TargetMode="External" /><Relationship Id="rId361" Type="http://schemas.openxmlformats.org/officeDocument/2006/relationships/hyperlink" Target="http://vk.com/wall-49066148_1685585" TargetMode="External" /><Relationship Id="rId308" Type="http://schemas.openxmlformats.org/officeDocument/2006/relationships/hyperlink" Target="http://vk.com/id201751826" TargetMode="External" /><Relationship Id="rId857" Type="http://schemas.openxmlformats.org/officeDocument/2006/relationships/hyperlink" Target="https://sprosivracha.com/authors/&#1042;&#1080;&#1082;&#1072;" TargetMode="External" /><Relationship Id="rId676" Type="http://schemas.openxmlformats.org/officeDocument/2006/relationships/hyperlink" Target="https://telegram.me/hamovnikipoleznychatik/219644" TargetMode="External" /><Relationship Id="rId17" Type="http://schemas.openxmlformats.org/officeDocument/2006/relationships/hyperlink" Target="http://vk.com/club228862181" TargetMode="External" /><Relationship Id="rId190" Type="http://schemas.openxmlformats.org/officeDocument/2006/relationships/hyperlink" Target="https://rutube.ru/video/68df469ee6527b62e4e9b238aaf23165/#1779732148346748689" TargetMode="External" /><Relationship Id="rId981" Type="http://schemas.openxmlformats.org/officeDocument/2006/relationships/hyperlink" Target="https://telegram.me/chatmcf" TargetMode="External" /><Relationship Id="rId583" Type="http://schemas.openxmlformats.org/officeDocument/2006/relationships/hyperlink" Target="https://www.instagram.com/p/DYStFpSto3E/" TargetMode="External" /><Relationship Id="rId75" Type="http://schemas.openxmlformats.org/officeDocument/2006/relationships/hyperlink" Target="https://threads.com/@gnomic8801" TargetMode="External" /><Relationship Id="rId1025" Type="http://schemas.openxmlformats.org/officeDocument/2006/relationships/hyperlink" Target="https://dzen.ru/user/zy8xn3v5arsgfi8gpyu_asblbeq" TargetMode="External" /><Relationship Id="rId612" Type="http://schemas.openxmlformats.org/officeDocument/2006/relationships/hyperlink" Target="https://dzen.ru/id/5e3d24f28103b13abd405c70" TargetMode="External" /><Relationship Id="rId138" Type="http://schemas.openxmlformats.org/officeDocument/2006/relationships/hyperlink" Target="http://vk.com/club236733457" TargetMode="External" /><Relationship Id="rId288" Type="http://schemas.openxmlformats.org/officeDocument/2006/relationships/hyperlink" Target="https://sprosivracha.com/questions/4352389-ishemicheskiy-pravostoronniy-insult-u-dedushki-90-let" TargetMode="External" /><Relationship Id="rId349" Type="http://schemas.openxmlformats.org/officeDocument/2006/relationships/hyperlink" Target="http://vk.com/wall-217589574_51620?reply=52128&amp;thread=51651" TargetMode="External" /><Relationship Id="rId457" Type="http://schemas.openxmlformats.org/officeDocument/2006/relationships/hyperlink" Target="http://vk.com/wall-235865439_12" TargetMode="External" /><Relationship Id="rId775" Type="http://schemas.openxmlformats.org/officeDocument/2006/relationships/hyperlink" Target="http://vk.com/wall-209406938_89343?reply=89353&amp;thread=89352" TargetMode="External" /><Relationship Id="rId442" Type="http://schemas.openxmlformats.org/officeDocument/2006/relationships/hyperlink" Target="https://mom.life/post/6a09ca16a04f49e152070092#6a0ac84e1a1f332cc3007f95" TargetMode="External" /><Relationship Id="rId535" Type="http://schemas.openxmlformats.org/officeDocument/2006/relationships/hyperlink" Target="https://telegram.me/epifanovnews/1103?comment=103088" TargetMode="External" /><Relationship Id="rId774" Type="http://schemas.openxmlformats.org/officeDocument/2006/relationships/hyperlink" Target="http://vk.com/club32572053" TargetMode="External" /><Relationship Id="rId101" Type="http://schemas.openxmlformats.org/officeDocument/2006/relationships/hyperlink" Target="https://telegram.me/1053760904" TargetMode="External" /><Relationship Id="rId875" Type="http://schemas.openxmlformats.org/officeDocument/2006/relationships/hyperlink" Target="http://vk.com/id1111874705" TargetMode="External" /><Relationship Id="rId1117" Type="http://schemas.openxmlformats.org/officeDocument/2006/relationships/hyperlink" Target="https://www.threads.com/@tatjana.onufrieva/post/DXzO_aPjeYm" TargetMode="External" /><Relationship Id="rId1154" Type="http://schemas.openxmlformats.org/officeDocument/2006/relationships/hyperlink" Target="https://hron-prostatit.ru/authors/Bevel" TargetMode="External" /><Relationship Id="rId385" Type="http://schemas.openxmlformats.org/officeDocument/2006/relationships/hyperlink" Target="http://vk.com/wall-149047382_3167932?reply=3168605" TargetMode="External" /><Relationship Id="rId329" Type="http://schemas.openxmlformats.org/officeDocument/2006/relationships/hyperlink" Target="http://vk.com/club171736200" TargetMode="External" /><Relationship Id="rId994" Type="http://schemas.openxmlformats.org/officeDocument/2006/relationships/hyperlink" Target="http://vk.com/wall-17990792_94549?reply=94564" TargetMode="External" /><Relationship Id="rId625" Type="http://schemas.openxmlformats.org/officeDocument/2006/relationships/hyperlink" Target="https://www.babyblog.ru/community/happypregn/post/3777546?go_comment_id=165940500" TargetMode="External" /><Relationship Id="rId1022" Type="http://schemas.openxmlformats.org/officeDocument/2006/relationships/hyperlink" Target="https://dzen.ru/user/widz-9ttzstlu5wquzbaljwtnka" TargetMode="External" /><Relationship Id="rId852" Type="http://schemas.openxmlformats.org/officeDocument/2006/relationships/hyperlink" Target="https://sprosivracha.com/questions/4318945-povyshennyy-gemoglobin-u-muzhchiny" TargetMode="External" /><Relationship Id="rId291" Type="http://schemas.openxmlformats.org/officeDocument/2006/relationships/hyperlink" Target="https://instagram.com/pavel_chukhnov" TargetMode="External" /><Relationship Id="rId986" Type="http://schemas.openxmlformats.org/officeDocument/2006/relationships/hyperlink" Target="https://dzen.ru/id/61d0906bf5cf2400b384a3a3" TargetMode="External" /><Relationship Id="rId665" Type="http://schemas.openxmlformats.org/officeDocument/2006/relationships/hyperlink" Target="https://threads.com/@dimasikdoc" TargetMode="External" /><Relationship Id="rId65" Type="http://schemas.openxmlformats.org/officeDocument/2006/relationships/hyperlink" Target="http://vk.com/id110659096" TargetMode="External" /><Relationship Id="rId518" Type="http://schemas.openxmlformats.org/officeDocument/2006/relationships/hyperlink" Target="https://nup.ru/#rewet" TargetMode="External" /><Relationship Id="rId310" Type="http://schemas.openxmlformats.org/officeDocument/2006/relationships/hyperlink" Target="https://dzen.ru/a/ahA9pixNszI8ywXe" TargetMode="External" /><Relationship Id="rId806" Type="http://schemas.openxmlformats.org/officeDocument/2006/relationships/hyperlink" Target="http://www.facebook.com/profile.php?id=100007215365532" TargetMode="External" /><Relationship Id="rId372" Type="http://schemas.openxmlformats.org/officeDocument/2006/relationships/hyperlink" Target="http://vk.com/club217589574" TargetMode="External" /><Relationship Id="rId600" Type="http://schemas.openxmlformats.org/officeDocument/2006/relationships/hyperlink" Target="http://vk.com/club149695687" TargetMode="External" /><Relationship Id="rId627" Type="http://schemas.openxmlformats.org/officeDocument/2006/relationships/hyperlink" Target="https://www.babyblog.ru/community/happypregn" TargetMode="External" /><Relationship Id="rId107" Type="http://schemas.openxmlformats.org/officeDocument/2006/relationships/hyperlink" Target="https://otzovik.com/profile/&#1040;&#1085;&#1076;&#1088;&#1080;&#1072;&#1085;&#1086;&#1074;&#1085;&#1072;" TargetMode="External" /><Relationship Id="rId1107" Type="http://schemas.openxmlformats.org/officeDocument/2006/relationships/hyperlink" Target="https://sprosivracha.com/questions/4306509-boli-pri-mocheispuskanii" TargetMode="External" /><Relationship Id="rId514" Type="http://schemas.openxmlformats.org/officeDocument/2006/relationships/hyperlink" Target="https://www.babyblog.ru/community/happypregn/post/3777872?go_comment_id=165945932" TargetMode="External" /><Relationship Id="rId1102" Type="http://schemas.openxmlformats.org/officeDocument/2006/relationships/hyperlink" Target="http://ok.ru/group/70000001016930/topic/157362037103970#QUFBQm5lZ0J4d1FiK3c9PToxNTczNjIwMzcxMDM5NzA6MQ==" TargetMode="External" /><Relationship Id="rId397" Type="http://schemas.openxmlformats.org/officeDocument/2006/relationships/hyperlink" Target="https://sprosivracha.com/questions/4345843-bolezn-byurgera#a27824442" TargetMode="External" /><Relationship Id="rId937" Type="http://schemas.openxmlformats.org/officeDocument/2006/relationships/hyperlink" Target="http://vk.com/wall-213272284_3186?reply=10602" TargetMode="External" /><Relationship Id="rId554" Type="http://schemas.openxmlformats.org/officeDocument/2006/relationships/hyperlink" Target="https://telegram.me/5277775963" TargetMode="External" /><Relationship Id="rId624" Type="http://schemas.openxmlformats.org/officeDocument/2006/relationships/hyperlink" Target="http://vk.com/club182515813" TargetMode="External" /><Relationship Id="rId122" Type="http://schemas.openxmlformats.org/officeDocument/2006/relationships/hyperlink" Target="https://telegram.me/annamuklaeva" TargetMode="External" /><Relationship Id="rId687" Type="http://schemas.openxmlformats.org/officeDocument/2006/relationships/hyperlink" Target="https://instagram.com/kahidov" TargetMode="External" /><Relationship Id="rId407" Type="http://schemas.openxmlformats.org/officeDocument/2006/relationships/hyperlink" Target="https://sprosivracha.com/authors/&#1051;&#1080;&#1083;&#1080;&#1103;%20&#1040;&#1082;&#1073;&#1072;&#1096;&#1077;&#1074;&#1072;" TargetMode="External" /><Relationship Id="rId599" Type="http://schemas.openxmlformats.org/officeDocument/2006/relationships/hyperlink" Target="http://vk.com/id861782734" TargetMode="External" /><Relationship Id="rId526" Type="http://schemas.openxmlformats.org/officeDocument/2006/relationships/hyperlink" Target="https://nup.ru/topic/10258-viden-3-ja-popytka/page/25/#elControls_256496_menu" TargetMode="External" /><Relationship Id="rId182" Type="http://schemas.openxmlformats.org/officeDocument/2006/relationships/hyperlink" Target="https://telegram.me/zovkredit" TargetMode="External" /><Relationship Id="rId801" Type="http://schemas.openxmlformats.org/officeDocument/2006/relationships/hyperlink" Target="https://telegram.me/menyanakrilo" TargetMode="External" /><Relationship Id="rId193" Type="http://schemas.openxmlformats.org/officeDocument/2006/relationships/hyperlink" Target="https://www.woman.ru/chat-room/thread-khram-prekrasnogo-pana-id6425242/88/#m104094004" TargetMode="External" /><Relationship Id="rId80" Type="http://schemas.openxmlformats.org/officeDocument/2006/relationships/hyperlink" Target="https://telegram.me/1030201087" TargetMode="External" /><Relationship Id="rId614" Type="http://schemas.openxmlformats.org/officeDocument/2006/relationships/hyperlink" Target="https://forum.steelfactor.ru/index.php?showuser=61513" TargetMode="External" /><Relationship Id="rId829" Type="http://schemas.openxmlformats.org/officeDocument/2006/relationships/hyperlink" Target="http://vk.com/wall-119027_522632?reply=522647" TargetMode="External" /><Relationship Id="rId623" Type="http://schemas.openxmlformats.org/officeDocument/2006/relationships/hyperlink" Target="http://vk.com/id534244568" TargetMode="External" /><Relationship Id="rId1080" Type="http://schemas.openxmlformats.org/officeDocument/2006/relationships/hyperlink" Target="http://dadanews.ru" TargetMode="External" /><Relationship Id="rId1113" Type="http://schemas.openxmlformats.org/officeDocument/2006/relationships/hyperlink" Target="http://vk.com/club50079856" TargetMode="External" /><Relationship Id="rId24" Type="http://schemas.openxmlformats.org/officeDocument/2006/relationships/hyperlink" Target="https://dzen.ru/id/62107cb555365a370a816f80" TargetMode="External" /><Relationship Id="rId977" Type="http://schemas.openxmlformats.org/officeDocument/2006/relationships/hyperlink" Target="http://vk.com/id653692873" TargetMode="External" /><Relationship Id="rId115" Type="http://schemas.openxmlformats.org/officeDocument/2006/relationships/hyperlink" Target="https://telegram.me/zdorovie_i_me/1480" TargetMode="External" /><Relationship Id="rId327" Type="http://schemas.openxmlformats.org/officeDocument/2006/relationships/hyperlink" Target="http://vk.com/club171736200" TargetMode="External" /><Relationship Id="rId100" Type="http://schemas.openxmlformats.org/officeDocument/2006/relationships/hyperlink" Target="https://telegram.me/beremennost_pregnancy/2336393" TargetMode="External" /><Relationship Id="rId985" Type="http://schemas.openxmlformats.org/officeDocument/2006/relationships/hyperlink" Target="https://dzen.ru/a/aflmXVU4_3gzLpFg?comment-request=1#comment_3291663484" TargetMode="External" /><Relationship Id="rId579" Type="http://schemas.openxmlformats.org/officeDocument/2006/relationships/hyperlink" Target="http://vk.com/club223258406" TargetMode="External" /><Relationship Id="rId1003" Type="http://schemas.openxmlformats.org/officeDocument/2006/relationships/hyperlink" Target="http://vk.com/wall207151277_3014" TargetMode="External" /><Relationship Id="rId432" Type="http://schemas.openxmlformats.org/officeDocument/2006/relationships/hyperlink" Target="https://instagram.com/morozov.andrei.official" TargetMode="External" /><Relationship Id="rId679" Type="http://schemas.openxmlformats.org/officeDocument/2006/relationships/hyperlink" Target="http://vk.com/wall708630637_39" TargetMode="External" /><Relationship Id="rId5" Type="http://schemas.openxmlformats.org/officeDocument/2006/relationships/hyperlink" Target="https://www.ozon.ru/context/client_opinion/ClientGuid/00000000-0000-0000-0000-000000000000#&#1070;&#1083;&#1080;&#1103;%20&#1056;." TargetMode="External" /><Relationship Id="rId720" Type="http://schemas.openxmlformats.org/officeDocument/2006/relationships/hyperlink" Target="https://sprosivracha.com/questions/4323146-pochemu-vnizu-nog-zhzhenie-i-krovopodteki" TargetMode="External" /><Relationship Id="rId324" Type="http://schemas.openxmlformats.org/officeDocument/2006/relationships/hyperlink" Target="http://vk.com/club171736200" TargetMode="External" /><Relationship Id="rId939" Type="http://schemas.openxmlformats.org/officeDocument/2006/relationships/hyperlink" Target="http://vk.com/club213272284" TargetMode="External" /><Relationship Id="rId44" Type="http://schemas.openxmlformats.org/officeDocument/2006/relationships/hyperlink" Target="http://vk.com/id719231073" TargetMode="External" /><Relationship Id="rId714" Type="http://schemas.openxmlformats.org/officeDocument/2006/relationships/hyperlink" Target="http://vk.com/id123313021" TargetMode="External" /><Relationship Id="rId888" Type="http://schemas.openxmlformats.org/officeDocument/2006/relationships/hyperlink" Target="http://www.facebook.com/profile.php?id=100035378387882" TargetMode="External" /><Relationship Id="rId133" Type="http://schemas.openxmlformats.org/officeDocument/2006/relationships/hyperlink" Target="https://www.babyblog.ru/community/happypregn/post/3778760" TargetMode="External" /><Relationship Id="rId22" Type="http://schemas.openxmlformats.org/officeDocument/2006/relationships/hyperlink" Target="https://dzen.ru/a/ahMaswHUETd2nlLV?comment-request=1#comment_3336411963" TargetMode="External" /><Relationship Id="rId491" Type="http://schemas.openxmlformats.org/officeDocument/2006/relationships/hyperlink" Target="http://vk.com/club42217841" TargetMode="External" /><Relationship Id="rId525" Type="http://schemas.openxmlformats.org/officeDocument/2006/relationships/hyperlink" Target="https://nup.ru/topic/10258-viden-3-ja-popytka" TargetMode="External" /><Relationship Id="rId709" Type="http://schemas.openxmlformats.org/officeDocument/2006/relationships/hyperlink" Target="https://telegram.me/c/1407442894/177052" TargetMode="External" /><Relationship Id="rId149" Type="http://schemas.openxmlformats.org/officeDocument/2006/relationships/hyperlink" Target="https://otzyv.pro/user/aleksafomina" TargetMode="External" /><Relationship Id="rId520" Type="http://schemas.openxmlformats.org/officeDocument/2006/relationships/hyperlink" Target="https://dzen.ru/a/agaB9gNDpTbfcFiV?comment-request=1#comment_3299589221" TargetMode="External" /><Relationship Id="rId584" Type="http://schemas.openxmlformats.org/officeDocument/2006/relationships/hyperlink" Target="https://instagram.com/mila.fomina" TargetMode="External" /><Relationship Id="rId915" Type="http://schemas.openxmlformats.org/officeDocument/2006/relationships/hyperlink" Target="https://forums.rusmedserv.com/showthread.php?t=501236" TargetMode="External" /><Relationship Id="rId436" Type="http://schemas.openxmlformats.org/officeDocument/2006/relationships/hyperlink" Target="https://telegram.me/revmomoscow/581490" TargetMode="External" /><Relationship Id="rId580" Type="http://schemas.openxmlformats.org/officeDocument/2006/relationships/hyperlink" Target="https://otvet.mail.ru/question/269797507?reply=4422201376" TargetMode="External" /><Relationship Id="rId1090" Type="http://schemas.openxmlformats.org/officeDocument/2006/relationships/hyperlink" Target="http://vk.com/wall-17990792_94516?reply=94531&amp;thread=94525" TargetMode="External" /><Relationship Id="rId705" Type="http://schemas.openxmlformats.org/officeDocument/2006/relationships/hyperlink" Target="http://www.facebook.com/profile.php?id=100024259613570" TargetMode="External" /><Relationship Id="rId497" Type="http://schemas.openxmlformats.org/officeDocument/2006/relationships/hyperlink" Target="https://telegram.me/batr_fit" TargetMode="External" /><Relationship Id="rId58" Type="http://schemas.openxmlformats.org/officeDocument/2006/relationships/hyperlink" Target="http://vk.com/wall-17990792_94713?reply=94719&amp;thread=94715" TargetMode="External" /><Relationship Id="rId99" Type="http://schemas.openxmlformats.org/officeDocument/2006/relationships/hyperlink" Target="https://otzovik.com/reviews/trental_soteks" TargetMode="External" /><Relationship Id="rId168" Type="http://schemas.openxmlformats.org/officeDocument/2006/relationships/hyperlink" Target="http://vk.com/club149047382" TargetMode="External" /><Relationship Id="rId490" Type="http://schemas.openxmlformats.org/officeDocument/2006/relationships/hyperlink" Target="http://vk.com/wall-42217841_135214" TargetMode="External" /><Relationship Id="rId393" Type="http://schemas.openxmlformats.org/officeDocument/2006/relationships/hyperlink" Target="http://vk.com/club193354828" TargetMode="External" /><Relationship Id="rId634" Type="http://schemas.openxmlformats.org/officeDocument/2006/relationships/hyperlink" Target="http://vk.com/wall-17990792_94569?reply=94625&amp;thread=94623" TargetMode="External" /><Relationship Id="rId566" Type="http://schemas.openxmlformats.org/officeDocument/2006/relationships/hyperlink" Target="https://dzen.ru/user/1669098787" TargetMode="External" /><Relationship Id="rId337" Type="http://schemas.openxmlformats.org/officeDocument/2006/relationships/hyperlink" Target="http://www.youtube.com/watch?v=JDLrq88-YRs&amp;lc=Ugy4BFQbUl5lu1JVUG14AaABAg" TargetMode="External" /><Relationship Id="rId266" Type="http://schemas.openxmlformats.org/officeDocument/2006/relationships/hyperlink" Target="https://telegram.me/d04a_chat" TargetMode="External" /><Relationship Id="rId766" Type="http://schemas.openxmlformats.org/officeDocument/2006/relationships/hyperlink" Target="http://vk.com/wall-231508037_3004?reply=6485&amp;thread=6479" TargetMode="External" /><Relationship Id="rId458" Type="http://schemas.openxmlformats.org/officeDocument/2006/relationships/hyperlink" Target="http://vk.com/club235865439" TargetMode="External" /><Relationship Id="rId938" Type="http://schemas.openxmlformats.org/officeDocument/2006/relationships/hyperlink" Target="http://vk.com/id160392480" TargetMode="External" /><Relationship Id="rId784" Type="http://schemas.openxmlformats.org/officeDocument/2006/relationships/hyperlink" Target="http://vk.com/wall-50079856_1448915?reply=1449933" TargetMode="External" /><Relationship Id="rId516" Type="http://schemas.openxmlformats.org/officeDocument/2006/relationships/hyperlink" Target="https://www.babyblog.ru/community/happypregn" TargetMode="External" /><Relationship Id="rId112" Type="http://schemas.openxmlformats.org/officeDocument/2006/relationships/hyperlink" Target="https://www.vashe-mnenie.com/reviews.php?name=trental#date=2026-05-28%2008:48:45" TargetMode="External" /><Relationship Id="rId318" Type="http://schemas.openxmlformats.org/officeDocument/2006/relationships/hyperlink" Target="https://dzen.ru/id/5b5f6cb0320be700acd65bfe" TargetMode="External" /><Relationship Id="rId367" Type="http://schemas.openxmlformats.org/officeDocument/2006/relationships/hyperlink" Target="http://vk.com/wall-217589574_51620?reply=52105&amp;thread=51651" TargetMode="External" /><Relationship Id="rId280" Type="http://schemas.openxmlformats.org/officeDocument/2006/relationships/hyperlink" Target="http://vk.com/wall-177710119_194780?reply=195003&amp;thread=194782" TargetMode="External" /><Relationship Id="rId431" Type="http://schemas.openxmlformats.org/officeDocument/2006/relationships/hyperlink" Target="https://instagram.com/m.u.life" TargetMode="External" /><Relationship Id="rId739" Type="http://schemas.openxmlformats.org/officeDocument/2006/relationships/hyperlink" Target="http://ok.ru/group/66285485228067/topic/158657063472419" TargetMode="External" /><Relationship Id="rId258" Type="http://schemas.openxmlformats.org/officeDocument/2006/relationships/hyperlink" Target="http://vk.com/club17990792" TargetMode="External" /><Relationship Id="rId129" Type="http://schemas.openxmlformats.org/officeDocument/2006/relationships/hyperlink" Target="https://instagram.com/pro_talina" TargetMode="External" /><Relationship Id="rId312" Type="http://schemas.openxmlformats.org/officeDocument/2006/relationships/hyperlink" Target="https://dzen.ru/id/698d829de5a6106bda5a3db0" TargetMode="External" /><Relationship Id="rId1135" Type="http://schemas.openxmlformats.org/officeDocument/2006/relationships/hyperlink" Target="https://sprosivracha.com/questions/4304858-odyshka-posle-aksh#a27499163" TargetMode="External" /><Relationship Id="rId594" Type="http://schemas.openxmlformats.org/officeDocument/2006/relationships/hyperlink" Target="https://mom.life/channel/55d0e592853983ed068b456a" TargetMode="External" /><Relationship Id="rId795" Type="http://schemas.openxmlformats.org/officeDocument/2006/relationships/hyperlink" Target="https://www.woman.ru/health/medley7/thread/4982316" TargetMode="External" /><Relationship Id="rId42" Type="http://schemas.openxmlformats.org/officeDocument/2006/relationships/hyperlink" Target="http://vk.com/club219255672" TargetMode="External" /><Relationship Id="rId1159" Type="http://schemas.openxmlformats.org/officeDocument/2006/relationships/hyperlink" Target="https://sprosivracha.com/questions/4302256-rasseyanyy-skleroz-vozmozhno-obostrenie#a27491471" TargetMode="External" /><Relationship Id="rId279" Type="http://schemas.openxmlformats.org/officeDocument/2006/relationships/hyperlink" Target="http://www.facebook.com/profile.php?id=100001816816435" TargetMode="External" /><Relationship Id="rId296" Type="http://schemas.openxmlformats.org/officeDocument/2006/relationships/hyperlink" Target="http://www.facebook.com/profile.php?id=694726573" TargetMode="External" /><Relationship Id="rId675" Type="http://schemas.openxmlformats.org/officeDocument/2006/relationships/hyperlink" Target="http://vk.com/club206214408" TargetMode="External" /><Relationship Id="rId940" Type="http://schemas.openxmlformats.org/officeDocument/2006/relationships/hyperlink" Target="https://telegram.me/dariashuer_chat/138363" TargetMode="External" /><Relationship Id="rId1066" Type="http://schemas.openxmlformats.org/officeDocument/2006/relationships/hyperlink" Target="https://www.ozon.ru/product/711343209/reviews?ruuid=019df117-8bf9-7aef-8220-54de348dfa00" TargetMode="External" /><Relationship Id="rId306" Type="http://schemas.openxmlformats.org/officeDocument/2006/relationships/hyperlink" Target="https://dzen.ru/id/5ea3fd8b22b6bd32eecb63f5" TargetMode="External" /><Relationship Id="rId1137" Type="http://schemas.openxmlformats.org/officeDocument/2006/relationships/hyperlink" Target="https://sprosivracha.com/questions/4304858-odyshka-posle-aksh" TargetMode="External" /><Relationship Id="rId311" Type="http://schemas.openxmlformats.org/officeDocument/2006/relationships/hyperlink" Target="https://dzen.ru/id/698d829de5a6106bda5a3db0" TargetMode="External" /><Relationship Id="rId192" Type="http://schemas.openxmlformats.org/officeDocument/2006/relationships/hyperlink" Target="https://rutube.ru/video/person/41619480" TargetMode="External" /><Relationship Id="rId360" Type="http://schemas.openxmlformats.org/officeDocument/2006/relationships/hyperlink" Target="http://vk.com/club131908471" TargetMode="External" /><Relationship Id="rId495" Type="http://schemas.openxmlformats.org/officeDocument/2006/relationships/hyperlink" Target="http://vk.com/club17990792" TargetMode="External" /><Relationship Id="rId726" Type="http://schemas.openxmlformats.org/officeDocument/2006/relationships/hyperlink" Target="http://ok.ru/group/68602594918435" TargetMode="External" /><Relationship Id="rId779" Type="http://schemas.openxmlformats.org/officeDocument/2006/relationships/hyperlink" Target="http://www.youtube.com/channel/UCCLQw9Y_QMNz6aWEU3CsnbQ" TargetMode="External" /><Relationship Id="rId68" Type="http://schemas.openxmlformats.org/officeDocument/2006/relationships/hyperlink" Target="http://www.youtube.com/channel/UCeJzEuWiO54RfOaCMk71yKA" TargetMode="External" /><Relationship Id="rId630" Type="http://schemas.openxmlformats.org/officeDocument/2006/relationships/hyperlink" Target="http://vk.com/club17990792" TargetMode="External" /><Relationship Id="rId1123" Type="http://schemas.openxmlformats.org/officeDocument/2006/relationships/hyperlink" Target="http://vk.com/wall-15752015_302735?reply=302808" TargetMode="External" /><Relationship Id="rId56" Type="http://schemas.openxmlformats.org/officeDocument/2006/relationships/hyperlink" Target="http://vk.com/id708739638" TargetMode="External" /><Relationship Id="rId551" Type="http://schemas.openxmlformats.org/officeDocument/2006/relationships/hyperlink" Target="http://vk.com/id1209585" TargetMode="External" /><Relationship Id="rId89" Type="http://schemas.openxmlformats.org/officeDocument/2006/relationships/hyperlink" Target="https://www.otzyvru.com/authors/&#1043;&#1086;&#1089;&#1090;&#1100;" TargetMode="External" /><Relationship Id="rId451" Type="http://schemas.openxmlformats.org/officeDocument/2006/relationships/hyperlink" Target="http://vk.com/wall-25201586_516009" TargetMode="External" /><Relationship Id="rId799" Type="http://schemas.openxmlformats.org/officeDocument/2006/relationships/hyperlink" Target="https://telegram.me/menyanakrilo/1440026" TargetMode="External" /><Relationship Id="rId970" Type="http://schemas.openxmlformats.org/officeDocument/2006/relationships/hyperlink" Target="https://sprosivracha.com/questions/4315220-oslozhneniya-posle-operacii-na-pozvonochnike#a27581739" TargetMode="External" /><Relationship Id="rId751" Type="http://schemas.openxmlformats.org/officeDocument/2006/relationships/hyperlink" Target="https://sprosivracha.com/questions/4323707-perelom-dzhonsa" TargetMode="External" /><Relationship Id="rId130" Type="http://schemas.openxmlformats.org/officeDocument/2006/relationships/hyperlink" Target="https://dzen.ru/a/ahWffhUdvlFXrVeB?comment-request=1#comment_3320876162" TargetMode="External" /><Relationship Id="rId910" Type="http://schemas.openxmlformats.org/officeDocument/2006/relationships/hyperlink" Target="http://vk.com/wall-17990792_94569?reply=94570" TargetMode="External" /><Relationship Id="rId67" Type="http://schemas.openxmlformats.org/officeDocument/2006/relationships/hyperlink" Target="http://www.youtube.com/watch?v=LUC8YPpAPgA&amp;lc=UgzD2KPjeydBmCvYDJB4AaABAg.AXM6CZAlcxgAXNhfKqmko5" TargetMode="External" /><Relationship Id="rId1078" Type="http://schemas.openxmlformats.org/officeDocument/2006/relationships/hyperlink" Target="https://dadanews.ru/obschestvo/pochemu-nemeet-podborodok-u-vzroslogo-muzhchiny/" TargetMode="External" /><Relationship Id="rId152" Type="http://schemas.openxmlformats.org/officeDocument/2006/relationships/hyperlink" Target="http://www.youtube.com/channel/UCNGqyR3VwHyjJidsmfdw6Pw" TargetMode="External" /><Relationship Id="rId211" Type="http://schemas.openxmlformats.org/officeDocument/2006/relationships/hyperlink" Target="http://vk.com/wall-213047982_46097?reply=46165" TargetMode="External" /><Relationship Id="rId19" Type="http://schemas.openxmlformats.org/officeDocument/2006/relationships/hyperlink" Target="https://telegram.me/c/1699667973/125321" TargetMode="External" /><Relationship Id="rId332" Type="http://schemas.openxmlformats.org/officeDocument/2006/relationships/hyperlink" Target="https://telegram.me/ecoterina_blog" TargetMode="External" /><Relationship Id="rId742" Type="http://schemas.openxmlformats.org/officeDocument/2006/relationships/hyperlink" Target="http://ok.ru/group/62637872906275/topic/158657060785443" TargetMode="External" /><Relationship Id="rId1074" Type="http://schemas.openxmlformats.org/officeDocument/2006/relationships/hyperlink" Target="https://telegram.me/1455776108" TargetMode="External" /><Relationship Id="rId1148" Type="http://schemas.openxmlformats.org/officeDocument/2006/relationships/hyperlink" Target="https://www.babyplan.ru/profile/361817-darja-smirnova" TargetMode="External" /><Relationship Id="rId440" Type="http://schemas.openxmlformats.org/officeDocument/2006/relationships/hyperlink" Target="https://telegram.me/lp_stepanida" TargetMode="External" /><Relationship Id="rId534" Type="http://schemas.openxmlformats.org/officeDocument/2006/relationships/hyperlink" Target="http://www.youtube.com/channel/UCxLwhz0ILbvCiWhSYe3jPeg" TargetMode="External" /><Relationship Id="rId865" Type="http://schemas.openxmlformats.org/officeDocument/2006/relationships/hyperlink" Target="http://vk.com/wall193966433_137488" TargetMode="External" /><Relationship Id="rId771" Type="http://schemas.openxmlformats.org/officeDocument/2006/relationships/hyperlink" Target="http://vk.com/id753636546" TargetMode="External" /><Relationship Id="rId573" Type="http://schemas.openxmlformats.org/officeDocument/2006/relationships/hyperlink" Target="http://vk.com/club58170807" TargetMode="External" /><Relationship Id="rId102" Type="http://schemas.openxmlformats.org/officeDocument/2006/relationships/hyperlink" Target="https://telegram.me/beremennost_pregnancy" TargetMode="External" /><Relationship Id="rId523" Type="http://schemas.openxmlformats.org/officeDocument/2006/relationships/hyperlink" Target="https://nup.ru/topic/10258-viden-3-ja-popytka/page/25/#elControls_256505_menu" TargetMode="External" /><Relationship Id="rId387" Type="http://schemas.openxmlformats.org/officeDocument/2006/relationships/hyperlink" Target="http://vk.com/club149047382" TargetMode="External" /><Relationship Id="rId506" Type="http://schemas.openxmlformats.org/officeDocument/2006/relationships/hyperlink" Target="https://instagram.com/mirzaev.186" TargetMode="External" /><Relationship Id="rId64" Type="http://schemas.openxmlformats.org/officeDocument/2006/relationships/hyperlink" Target="http://vk.com/wall-17990792_94713?reply=94715" TargetMode="External" /><Relationship Id="rId556" Type="http://schemas.openxmlformats.org/officeDocument/2006/relationships/hyperlink" Target="http://vk.com/wall-235912791_45" TargetMode="External" /><Relationship Id="rId406" Type="http://schemas.openxmlformats.org/officeDocument/2006/relationships/hyperlink" Target="https://sprosivracha.com/questions/4343588-nemeet-guba-i-nos-posle-ushiba-glaza#a27815572" TargetMode="External" /><Relationship Id="rId38" Type="http://schemas.openxmlformats.org/officeDocument/2006/relationships/hyperlink" Target="http://vk.com/club233198825" TargetMode="External" /><Relationship Id="rId934" Type="http://schemas.openxmlformats.org/officeDocument/2006/relationships/hyperlink" Target="http://vk.com/wall-213272284_2040?reply=10603&amp;thread=2041" TargetMode="External" /><Relationship Id="rId899" Type="http://schemas.openxmlformats.org/officeDocument/2006/relationships/hyperlink" Target="http://www.facebook.com/profile.php?id=100007192570040" TargetMode="External" /><Relationship Id="rId21" Type="http://schemas.openxmlformats.org/officeDocument/2006/relationships/hyperlink" Target="https://telegram.me/1699667973" TargetMode="External" /><Relationship Id="rId1088" Type="http://schemas.openxmlformats.org/officeDocument/2006/relationships/hyperlink" Target="http://vk.com/club237610432" TargetMode="External" /><Relationship Id="rId770" Type="http://schemas.openxmlformats.org/officeDocument/2006/relationships/hyperlink" Target="http://vk.com/id753636546" TargetMode="External" /><Relationship Id="rId769" Type="http://schemas.openxmlformats.org/officeDocument/2006/relationships/hyperlink" Target="http://vk.com/wall753636546_6587" TargetMode="External" /><Relationship Id="rId459" Type="http://schemas.openxmlformats.org/officeDocument/2006/relationships/hyperlink" Target="http://vk.com/club235865439" TargetMode="External" /><Relationship Id="rId333" Type="http://schemas.openxmlformats.org/officeDocument/2006/relationships/hyperlink" Target="https://telegram.me/ecoterina_blog" TargetMode="External" /><Relationship Id="rId240" Type="http://schemas.openxmlformats.org/officeDocument/2006/relationships/hyperlink" Target="http://ok.ru/group/52171764269129" TargetMode="External" /><Relationship Id="rId256" Type="http://schemas.openxmlformats.org/officeDocument/2006/relationships/hyperlink" Target="http://vk.com/wall-17990792_94638?reply=94700&amp;thread=94639" TargetMode="External" /><Relationship Id="rId364" Type="http://schemas.openxmlformats.org/officeDocument/2006/relationships/hyperlink" Target="http://www.youtube.com/watch?v=7a8PtV2wUug&amp;lc=UgwrEulzts90nk1hfVx4AaABAg.AX11bomQr-1AX2yZxqTnAu" TargetMode="External" /><Relationship Id="rId861" Type="http://schemas.openxmlformats.org/officeDocument/2006/relationships/hyperlink" Target="http://vk.com/club211243521" TargetMode="External" /><Relationship Id="rId879" Type="http://schemas.openxmlformats.org/officeDocument/2006/relationships/hyperlink" Target="https://forum.baby.ru/u/usr2132532" TargetMode="External" /><Relationship Id="rId169" Type="http://schemas.openxmlformats.org/officeDocument/2006/relationships/hyperlink" Target="https://www.otzyvru.com/trental/review-2257694#comment2257694" TargetMode="External" /><Relationship Id="rId1045" Type="http://schemas.openxmlformats.org/officeDocument/2006/relationships/hyperlink" Target="https://pikabu.ru/story/zhaluyus_13943619?cid=391420434" TargetMode="External" /><Relationship Id="rId532" Type="http://schemas.openxmlformats.org/officeDocument/2006/relationships/hyperlink" Target="http://www.youtube.com/watch?v=yVqhTupwoJQ&amp;lc=UgwJXVPNUmEETuMAlrN4AaABAg" TargetMode="External" /><Relationship Id="rId382" Type="http://schemas.openxmlformats.org/officeDocument/2006/relationships/hyperlink" Target="https://sprosivracha.com/questions/4346985-sovmestnyy-priem-lekarstv" TargetMode="External" /><Relationship Id="rId959" Type="http://schemas.openxmlformats.org/officeDocument/2006/relationships/hyperlink" Target="http://vk.com/id890364807" TargetMode="External" /><Relationship Id="rId346" Type="http://schemas.openxmlformats.org/officeDocument/2006/relationships/hyperlink" Target="https://telegram.me/dr_sveta/6038?comment=44895" TargetMode="External" /><Relationship Id="rId891" Type="http://schemas.openxmlformats.org/officeDocument/2006/relationships/hyperlink" Target="http://www.facebook.com/profile.php?id=100004009910617" TargetMode="External" /><Relationship Id="rId1091" Type="http://schemas.openxmlformats.org/officeDocument/2006/relationships/hyperlink" Target="http://vk.com/id1209585" TargetMode="External" /><Relationship Id="rId1056" Type="http://schemas.openxmlformats.org/officeDocument/2006/relationships/hyperlink" Target="http://vk.com/club215871371" TargetMode="External" /><Relationship Id="rId589" Type="http://schemas.openxmlformats.org/officeDocument/2006/relationships/hyperlink" Target="http://www.youtube.com/watch?v=X6Npv1UnVgA&amp;lc=Ugw9A4pCIjvqzZBFl7Z4AaABAg" TargetMode="External" /><Relationship Id="rId871" Type="http://schemas.openxmlformats.org/officeDocument/2006/relationships/hyperlink" Target="https://www.facebook.com/100005165671504/posts/3368594746656015" TargetMode="External" /><Relationship Id="rId918" Type="http://schemas.openxmlformats.org/officeDocument/2006/relationships/hyperlink" Target="http://vk.com/club166491509" TargetMode="External" /><Relationship Id="rId547" Type="http://schemas.openxmlformats.org/officeDocument/2006/relationships/hyperlink" Target="http://vk.com/wall13041644_3233" TargetMode="External" /><Relationship Id="rId1140" Type="http://schemas.openxmlformats.org/officeDocument/2006/relationships/hyperlink" Target="https://sprosivracha.com/questions/4304858-odyshka-posle-aksh" TargetMode="External" /><Relationship Id="rId444" Type="http://schemas.openxmlformats.org/officeDocument/2006/relationships/hyperlink" Target="https://mom.life/user/65205d9de7d91d4302481a33" TargetMode="External" /><Relationship Id="rId15" Type="http://schemas.openxmlformats.org/officeDocument/2006/relationships/hyperlink" Target="https://telegram.me/chatmcf" TargetMode="External" /><Relationship Id="rId562" Type="http://schemas.openxmlformats.org/officeDocument/2006/relationships/hyperlink" Target="http://vk.com/wall-117764704_5705749?reply=5707048&amp;thread=5706390" TargetMode="External" /><Relationship Id="rId55" Type="http://schemas.openxmlformats.org/officeDocument/2006/relationships/hyperlink" Target="http://vk.com/wall-17990792_94713?reply=94720&amp;thread=94715" TargetMode="External" /><Relationship Id="rId744" Type="http://schemas.openxmlformats.org/officeDocument/2006/relationships/hyperlink" Target="http://ok.ru/group/62637872906275" TargetMode="External" /><Relationship Id="rId49" Type="http://schemas.openxmlformats.org/officeDocument/2006/relationships/hyperlink" Target="http://vk.com/wall-192553540_632731?reply=634478&amp;thread=633946" TargetMode="External" /><Relationship Id="rId678" Type="http://schemas.openxmlformats.org/officeDocument/2006/relationships/hyperlink" Target="https://telegram.me/hamovnikipoleznychatik" TargetMode="External" /><Relationship Id="rId598" Type="http://schemas.openxmlformats.org/officeDocument/2006/relationships/hyperlink" Target="http://vk.com/wall-149695687_65596?reply=65621" TargetMode="External" /><Relationship Id="rId677" Type="http://schemas.openxmlformats.org/officeDocument/2006/relationships/hyperlink" Target="https://telegram.me/mska2025" TargetMode="External" /><Relationship Id="rId1160" Type="http://schemas.openxmlformats.org/officeDocument/2006/relationships/hyperlink" Target="https://sprosivracha.com/authors/&#1051;&#1080;&#1083;&#1080;&#1103;%20&#1040;&#1082;&#1073;&#1072;&#1096;&#1077;&#1074;&#1072;" TargetMode="External" /><Relationship Id="rId54" Type="http://schemas.openxmlformats.org/officeDocument/2006/relationships/hyperlink" Target="https://telegram.me/beremennost_pregnancy" TargetMode="External" /><Relationship Id="rId381" Type="http://schemas.openxmlformats.org/officeDocument/2006/relationships/hyperlink" Target="https://sprosivracha.com/questions/4346985-sovmestnyy-priem-lekarstv" TargetMode="External" /><Relationship Id="rId819" Type="http://schemas.openxmlformats.org/officeDocument/2006/relationships/hyperlink" Target="http://www.youtube.com/channel/UCKOzubpp5HC1t7-cUjrGlIg" TargetMode="External" /><Relationship Id="rId674" Type="http://schemas.openxmlformats.org/officeDocument/2006/relationships/hyperlink" Target="http://vk.com/id1087103557" TargetMode="External" /><Relationship Id="rId486" Type="http://schemas.openxmlformats.org/officeDocument/2006/relationships/hyperlink" Target="http://vk.com/club29445319" TargetMode="External" /><Relationship Id="rId611" Type="http://schemas.openxmlformats.org/officeDocument/2006/relationships/hyperlink" Target="https://dzen.ru/id/66fedf8396beda649868a689" TargetMode="External" /><Relationship Id="rId199" Type="http://schemas.openxmlformats.org/officeDocument/2006/relationships/hyperlink" Target="http://vk.com/wall-110220095_399323?reply=399551&amp;thread=399381" TargetMode="External" /><Relationship Id="rId894" Type="http://schemas.openxmlformats.org/officeDocument/2006/relationships/hyperlink" Target="https://dzen.ru/id/622275bf78e29463273cba64" TargetMode="External" /><Relationship Id="rId478" Type="http://schemas.openxmlformats.org/officeDocument/2006/relationships/hyperlink" Target="https://www.woman.ru/relations/sex/thread-devochki-posovetuyte-nash-vozbuditel-id6424968/#m103988973" TargetMode="External" /><Relationship Id="rId388" Type="http://schemas.openxmlformats.org/officeDocument/2006/relationships/hyperlink" Target="https://dzen.ru/a/agy3ghUdvlFXoT2M?comment-request=1#comment_3310515982" TargetMode="External" /><Relationship Id="rId259" Type="http://schemas.openxmlformats.org/officeDocument/2006/relationships/hyperlink" Target="http://vk.com/wall-35402404_92772" TargetMode="External" /><Relationship Id="rId816" Type="http://schemas.openxmlformats.org/officeDocument/2006/relationships/hyperlink" Target="http://www.facebook.com/profile.php?id=100000609345114" TargetMode="External" /><Relationship Id="rId453" Type="http://schemas.openxmlformats.org/officeDocument/2006/relationships/hyperlink" Target="http://vk.com/club25201586" TargetMode="External" /><Relationship Id="rId825" Type="http://schemas.openxmlformats.org/officeDocument/2006/relationships/hyperlink" Target="http://www.facebook.com/profile.php?id=100012674343660" TargetMode="External" /><Relationship Id="rId351" Type="http://schemas.openxmlformats.org/officeDocument/2006/relationships/hyperlink" Target="http://vk.com/club217589574" TargetMode="External" /><Relationship Id="rId928" Type="http://schemas.openxmlformats.org/officeDocument/2006/relationships/hyperlink" Target="http://vk.com/wall-153134547_1597?reply=1598" TargetMode="External" /><Relationship Id="rId1125" Type="http://schemas.openxmlformats.org/officeDocument/2006/relationships/hyperlink" Target="http://vk.com/club15752015" TargetMode="External" /><Relationship Id="rId195" Type="http://schemas.openxmlformats.org/officeDocument/2006/relationships/hyperlink" Target="https://www.woman.ru/forum/all/chat-room/thread-khram-prekrasnogo-pana-id6425242/88" TargetMode="External" /><Relationship Id="rId16" Type="http://schemas.openxmlformats.org/officeDocument/2006/relationships/hyperlink" Target="http://vk.com/video-228862181_456240079" TargetMode="External" /><Relationship Id="rId508" Type="http://schemas.openxmlformats.org/officeDocument/2006/relationships/hyperlink" Target="https://telegram.me/semaglu/1925962" TargetMode="External" /><Relationship Id="rId176" Type="http://schemas.openxmlformats.org/officeDocument/2006/relationships/hyperlink" Target="https://www.vashe-mnenie.com/authors/&#1043;&#1086;&#1089;&#1090;&#1100;" TargetMode="External" /><Relationship Id="rId715" Type="http://schemas.openxmlformats.org/officeDocument/2006/relationships/hyperlink" Target="https://telegram.me/c/1395655902/8086289" TargetMode="External" /><Relationship Id="rId215" Type="http://schemas.openxmlformats.org/officeDocument/2006/relationships/hyperlink" Target="http://vk.com/id1115732629" TargetMode="External" /><Relationship Id="rId895" Type="http://schemas.openxmlformats.org/officeDocument/2006/relationships/hyperlink" Target="https://www.facebook.com/26660940306933794" TargetMode="External" /><Relationship Id="rId249" Type="http://schemas.openxmlformats.org/officeDocument/2006/relationships/hyperlink" Target="http://www.facebook.com/profile.php?id=100001058827965" TargetMode="External" /><Relationship Id="rId230" Type="http://schemas.openxmlformats.org/officeDocument/2006/relationships/hyperlink" Target="https://instagram.com/doctor.kean" TargetMode="External" /><Relationship Id="rId681" Type="http://schemas.openxmlformats.org/officeDocument/2006/relationships/hyperlink" Target="http://vk.com/id708630637" TargetMode="External" /><Relationship Id="rId734" Type="http://schemas.openxmlformats.org/officeDocument/2006/relationships/hyperlink" Target="http://ok.ru/group/70000002368282" TargetMode="External" /><Relationship Id="rId843" Type="http://schemas.openxmlformats.org/officeDocument/2006/relationships/hyperlink" Target="http://www.facebook.com/profile.php?id=100004399958144" TargetMode="External" /><Relationship Id="rId123" Type="http://schemas.openxmlformats.org/officeDocument/2006/relationships/hyperlink" Target="https://telegram.me/glomerulonefritiga" TargetMode="External" /><Relationship Id="rId549" Type="http://schemas.openxmlformats.org/officeDocument/2006/relationships/hyperlink" Target="http://vk.com/id13041644" TargetMode="External" /><Relationship Id="rId577" Type="http://schemas.openxmlformats.org/officeDocument/2006/relationships/hyperlink" Target="http://vk.com/wall-223258406_8886?reply=10575&amp;thread=9121" TargetMode="External" /><Relationship Id="rId515" Type="http://schemas.openxmlformats.org/officeDocument/2006/relationships/hyperlink" Target="https://www.babyblog.ru/user/blackparazittt" TargetMode="External" /><Relationship Id="rId641" Type="http://schemas.openxmlformats.org/officeDocument/2006/relationships/hyperlink" Target="https://telegram.me/nikolai198726" TargetMode="External" /><Relationship Id="rId276" Type="http://schemas.openxmlformats.org/officeDocument/2006/relationships/hyperlink" Target="http://www.facebook.com/profile.php?id=100002108655362" TargetMode="External" /><Relationship Id="rId448" Type="http://schemas.openxmlformats.org/officeDocument/2006/relationships/hyperlink" Target="http://vk.com/wall450124649_86190" TargetMode="External" /><Relationship Id="rId1021" Type="http://schemas.openxmlformats.org/officeDocument/2006/relationships/hyperlink" Target="https://dzen.ru/a/afYkC6OOEmuhhdGQ?comment-request=1#comment_3290450624" TargetMode="External" /><Relationship Id="rId1093" Type="http://schemas.openxmlformats.org/officeDocument/2006/relationships/hyperlink" Target="http://ok.ru/group/70000001016930/topic/157362037103970#QUFBQm5laHJpSjBISnc9PToxNTczNjIwMzcxMDM5NzA6MQ==" TargetMode="External" /><Relationship Id="rId917" Type="http://schemas.openxmlformats.org/officeDocument/2006/relationships/hyperlink" Target="http://vk.com/id370695184" TargetMode="External" /><Relationship Id="rId409" Type="http://schemas.openxmlformats.org/officeDocument/2006/relationships/hyperlink" Target="http://www.youtube.com/watch?v=EovQNlTpgKc&amp;lc=UgwCH4YQUQ2E6F9tGox4AaABAg.AWzOlGC9OYxAWzTVj6-FIJ" TargetMode="External" /><Relationship Id="rId350" Type="http://schemas.openxmlformats.org/officeDocument/2006/relationships/hyperlink" Target="http://vk.com/id165307226" TargetMode="External" /><Relationship Id="rId864" Type="http://schemas.openxmlformats.org/officeDocument/2006/relationships/hyperlink" Target="http://vk.com/club197092538" TargetMode="External" /><Relationship Id="rId749" Type="http://schemas.openxmlformats.org/officeDocument/2006/relationships/hyperlink" Target="http://ok.ru/group/66453854027811" TargetMode="External" /><Relationship Id="rId748" Type="http://schemas.openxmlformats.org/officeDocument/2006/relationships/hyperlink" Target="http://ok.ru/group/66453854027811/topic/158657051479331" TargetMode="External" /><Relationship Id="rId953" Type="http://schemas.openxmlformats.org/officeDocument/2006/relationships/hyperlink" Target="https://telegram.me/forums_rms" TargetMode="External" /><Relationship Id="rId902" Type="http://schemas.openxmlformats.org/officeDocument/2006/relationships/hyperlink" Target="https://dzen.ru/id/5e6f8929a238dc1744a2e67f" TargetMode="External" /><Relationship Id="rId9" Type="http://schemas.openxmlformats.org/officeDocument/2006/relationships/hyperlink" Target="https://sprosivracha.com/questions/4368061-babushka-stala-sovsem-ploho-hodit" TargetMode="External" /><Relationship Id="rId376" Type="http://schemas.openxmlformats.org/officeDocument/2006/relationships/hyperlink" Target="http://www.youtube.com/watch?v=_kRmHYnJ3zA&amp;lc=Ugxw7nI7TZUovsh-H9x4AaABAg.AX1JZurfFarAX2BWGJcKeC" TargetMode="External" /><Relationship Id="rId666" Type="http://schemas.openxmlformats.org/officeDocument/2006/relationships/hyperlink" Target="https://threads.com/@dimasikdoc" TargetMode="External" /><Relationship Id="rId605" Type="http://schemas.openxmlformats.org/officeDocument/2006/relationships/hyperlink" Target="http://vk.com/club226248434" TargetMode="External" /><Relationship Id="rId815" Type="http://schemas.openxmlformats.org/officeDocument/2006/relationships/hyperlink" Target="http://www.facebook.com/profile.php?id=100000609345114" TargetMode="External" /><Relationship Id="rId76" Type="http://schemas.openxmlformats.org/officeDocument/2006/relationships/hyperlink" Target="https://telegram.me/babiesinjune_andmoms/1423403" TargetMode="External" /><Relationship Id="rId812" Type="http://schemas.openxmlformats.org/officeDocument/2006/relationships/hyperlink" Target="http://vk.com/id199272441" TargetMode="External" /><Relationship Id="rId331" Type="http://schemas.openxmlformats.org/officeDocument/2006/relationships/hyperlink" Target="https://telegram.me/ecoterina_blog/4539" TargetMode="External" /><Relationship Id="rId1122" Type="http://schemas.openxmlformats.org/officeDocument/2006/relationships/hyperlink" Target="http://vk.com/club15752015" TargetMode="External" /><Relationship Id="rId989" Type="http://schemas.openxmlformats.org/officeDocument/2006/relationships/hyperlink" Target="https://telegram.me/zovkredit" TargetMode="External" /><Relationship Id="rId479" Type="http://schemas.openxmlformats.org/officeDocument/2006/relationships/hyperlink" Target="https://www.woman.ru/user/str-id401270608" TargetMode="External" /><Relationship Id="rId145" Type="http://schemas.openxmlformats.org/officeDocument/2006/relationships/hyperlink" Target="https://otzovik.com/review_18378774.html" TargetMode="External" /><Relationship Id="rId833" Type="http://schemas.openxmlformats.org/officeDocument/2006/relationships/hyperlink" Target="http://vk.com/id110528668" TargetMode="External" /><Relationship Id="rId578" Type="http://schemas.openxmlformats.org/officeDocument/2006/relationships/hyperlink" Target="http://vk.com/id715304648" TargetMode="External" /><Relationship Id="rId1007" Type="http://schemas.openxmlformats.org/officeDocument/2006/relationships/hyperlink" Target="https://sprosivracha.com/authors/&#1057;&#1077;&#1088;&#1075;&#1077;&#1081;" TargetMode="External" /><Relationship Id="rId930" Type="http://schemas.openxmlformats.org/officeDocument/2006/relationships/hyperlink" Target="http://vk.com/club153134547" TargetMode="External" /><Relationship Id="rId1013" Type="http://schemas.openxmlformats.org/officeDocument/2006/relationships/hyperlink" Target="https://telegram.me/nataliya_1" TargetMode="External" /><Relationship Id="rId224" Type="http://schemas.openxmlformats.org/officeDocument/2006/relationships/hyperlink" Target="https://pikabu.ru/@FFSet" TargetMode="External" /><Relationship Id="rId106" Type="http://schemas.openxmlformats.org/officeDocument/2006/relationships/hyperlink" Target="https://otzovik.com/review_18381772.html" TargetMode="External" /><Relationship Id="rId737" Type="http://schemas.openxmlformats.org/officeDocument/2006/relationships/hyperlink" Target="http://ok.ru/group/65900379045923" TargetMode="External" /><Relationship Id="rId954" Type="http://schemas.openxmlformats.org/officeDocument/2006/relationships/hyperlink" Target="https://telegram.me/forums_rms" TargetMode="External" /><Relationship Id="rId411" Type="http://schemas.openxmlformats.org/officeDocument/2006/relationships/hyperlink" Target="http://www.youtube.com/channel/UCxOrMcy80l0areWExDLFgaA" TargetMode="External" /><Relationship Id="rId114" Type="http://schemas.openxmlformats.org/officeDocument/2006/relationships/hyperlink" Target="https://www.vashe-mnenie.com/reviews.php?name=trental" TargetMode="External" /><Relationship Id="rId1042" Type="http://schemas.openxmlformats.org/officeDocument/2006/relationships/hyperlink" Target="http://vk.com/wall-17990792_94549?reply=94550" TargetMode="External" /><Relationship Id="rId177" Type="http://schemas.openxmlformats.org/officeDocument/2006/relationships/hyperlink" Target="https://www.vashe-mnenie.com/reviews.php?name=trental" TargetMode="External" /><Relationship Id="rId659" Type="http://schemas.openxmlformats.org/officeDocument/2006/relationships/hyperlink" Target="https://dzen.ru/user/widz-9ttzstlu5wquzbaljwtnka" TargetMode="External" /><Relationship Id="rId548" Type="http://schemas.openxmlformats.org/officeDocument/2006/relationships/hyperlink" Target="http://vk.com/id13041644" TargetMode="External" /><Relationship Id="rId597" Type="http://schemas.openxmlformats.org/officeDocument/2006/relationships/hyperlink" Target="https://dzen.ru/id/64a2e86494176c3852e42e53" TargetMode="External" /><Relationship Id="rId724" Type="http://schemas.openxmlformats.org/officeDocument/2006/relationships/hyperlink" Target="http://ok.ru/group/68602594918435/topic/158657077759267" TargetMode="External" /><Relationship Id="rId139" Type="http://schemas.openxmlformats.org/officeDocument/2006/relationships/hyperlink" Target="https://irecommend.ru/content/tolko-maskiruet-no-krovopodteki-ne-lechit" TargetMode="External" /><Relationship Id="rId671" Type="http://schemas.openxmlformats.org/officeDocument/2006/relationships/hyperlink" Target="https://dzen.ru/user/tthloi0zbn4jpz9s_9jo3kpk8zi" TargetMode="External" /><Relationship Id="rId18" Type="http://schemas.openxmlformats.org/officeDocument/2006/relationships/hyperlink" Target="http://vk.com/club228862181" TargetMode="External" /><Relationship Id="rId632" Type="http://schemas.openxmlformats.org/officeDocument/2006/relationships/hyperlink" Target="https://instagram.com/r_e_a_l_b_o_y_58" TargetMode="External" /><Relationship Id="rId701" Type="http://schemas.openxmlformats.org/officeDocument/2006/relationships/hyperlink" Target="https://telegram.me/angiodoc" TargetMode="External" /><Relationship Id="rId196" Type="http://schemas.openxmlformats.org/officeDocument/2006/relationships/hyperlink" Target="http://ok.ru/group/55077875286120/topic/157766621207912" TargetMode="External" /><Relationship Id="rId1004" Type="http://schemas.openxmlformats.org/officeDocument/2006/relationships/hyperlink" Target="http://vk.com/id207151277" TargetMode="External" /><Relationship Id="rId980" Type="http://schemas.openxmlformats.org/officeDocument/2006/relationships/hyperlink" Target="https://telegram.me/papri_ka" TargetMode="External" /><Relationship Id="rId703" Type="http://schemas.openxmlformats.org/officeDocument/2006/relationships/hyperlink" Target="https://www.facebook.com/2225082011643764" TargetMode="External" /><Relationship Id="rId1026" Type="http://schemas.openxmlformats.org/officeDocument/2006/relationships/hyperlink" Target="https://dzen.ru/id/59c4d5894bf161c6efdacbb0" TargetMode="External" /><Relationship Id="rId171" Type="http://schemas.openxmlformats.org/officeDocument/2006/relationships/hyperlink" Target="https://www.otzyvru.com/trental" TargetMode="External" /><Relationship Id="rId813" Type="http://schemas.openxmlformats.org/officeDocument/2006/relationships/hyperlink" Target="http://vk.com/id199272441" TargetMode="External" /><Relationship Id="rId1104" Type="http://schemas.openxmlformats.org/officeDocument/2006/relationships/hyperlink" Target="http://ok.ru/group/70000001016930" TargetMode="External" /><Relationship Id="rId297" Type="http://schemas.openxmlformats.org/officeDocument/2006/relationships/hyperlink" Target="http://www.facebook.com/profile.php?id=694726573" TargetMode="External" /><Relationship Id="rId39" Type="http://schemas.openxmlformats.org/officeDocument/2006/relationships/hyperlink" Target="http://vk.com/club233198825" TargetMode="External" /><Relationship Id="rId882" Type="http://schemas.openxmlformats.org/officeDocument/2006/relationships/hyperlink" Target="https://dzen.ru/id/595f6ede3c50f7579cfcac0c" TargetMode="External" /><Relationship Id="rId850" Type="http://schemas.openxmlformats.org/officeDocument/2006/relationships/hyperlink" Target="https://sprosivracha.com/questions/4318945-povyshennyy-gemoglobin-u-muzhchiny#a27620042" TargetMode="External" /><Relationship Id="rId449" Type="http://schemas.openxmlformats.org/officeDocument/2006/relationships/hyperlink" Target="http://vk.com/id450124649" TargetMode="External" /><Relationship Id="rId513" Type="http://schemas.openxmlformats.org/officeDocument/2006/relationships/hyperlink" Target="https://nup.ru/topic/10258-viden-3-ja-popytka" TargetMode="External" /><Relationship Id="rId601" Type="http://schemas.openxmlformats.org/officeDocument/2006/relationships/hyperlink" Target="https://www.instagram.com/p/DYP5LenuI6Q/c/18105165776499692" TargetMode="External" /><Relationship Id="rId1075" Type="http://schemas.openxmlformats.org/officeDocument/2006/relationships/hyperlink" Target="https://sprosivracha.com/questions/4308352-prolezhni-na-pyatke#a27526577" TargetMode="External" /><Relationship Id="rId682" Type="http://schemas.openxmlformats.org/officeDocument/2006/relationships/hyperlink" Target="https://sprosivracha.com/questions/4326468-onemenie-v-oblasti-pyatok-i-tyazhest-v-nogah-posle-operacii#a27672653" TargetMode="External" /><Relationship Id="rId1047" Type="http://schemas.openxmlformats.org/officeDocument/2006/relationships/hyperlink" Target="https://pikabu.ru/story/_13943619" TargetMode="External" /><Relationship Id="rId887" Type="http://schemas.openxmlformats.org/officeDocument/2006/relationships/hyperlink" Target="http://www.facebook.com/profile.php?id=100035378387882" TargetMode="External" /><Relationship Id="rId225" Type="http://schemas.openxmlformats.org/officeDocument/2006/relationships/hyperlink" Target="https://pikabu.ru/story/_13999811" TargetMode="External" /><Relationship Id="rId66" Type="http://schemas.openxmlformats.org/officeDocument/2006/relationships/hyperlink" Target="http://vk.com/club17990792" TargetMode="External" /><Relationship Id="rId30" Type="http://schemas.openxmlformats.org/officeDocument/2006/relationships/hyperlink" Target="https://sprosivracha.com/questions/4368183-rozha-otek-nogi-infekciya" TargetMode="External" /><Relationship Id="rId592" Type="http://schemas.openxmlformats.org/officeDocument/2006/relationships/hyperlink" Target="https://mom.life/post/6a02e5eab578637f2c0a6e3b#6a0478922035d73e360a7a50" TargetMode="External" /><Relationship Id="rId667" Type="http://schemas.openxmlformats.org/officeDocument/2006/relationships/hyperlink" Target="https://www.threads.com/@artem1983m/post/DYOXZS5CHVW" TargetMode="External" /><Relationship Id="rId220" Type="http://schemas.openxmlformats.org/officeDocument/2006/relationships/hyperlink" Target="http://vk.com/wall-236733457_17346" TargetMode="External" /><Relationship Id="rId564" Type="http://schemas.openxmlformats.org/officeDocument/2006/relationships/hyperlink" Target="http://vk.com/club117764704" TargetMode="External" /><Relationship Id="rId1043" Type="http://schemas.openxmlformats.org/officeDocument/2006/relationships/hyperlink" Target="http://vk.com/id15401333" TargetMode="External" /><Relationship Id="rId725" Type="http://schemas.openxmlformats.org/officeDocument/2006/relationships/hyperlink" Target="http://ok.ru/group/68602594918435" TargetMode="External" /><Relationship Id="rId878" Type="http://schemas.openxmlformats.org/officeDocument/2006/relationships/hyperlink" Target="https://forum.baby.ru/u/usr2231337" TargetMode="External" /><Relationship Id="rId401" Type="http://schemas.openxmlformats.org/officeDocument/2006/relationships/hyperlink" Target="https://sprosivracha.com/authors/&#1051;&#1102;&#1076;&#1084;&#1080;&#1083;&#1072;" TargetMode="External" /><Relationship Id="rId537" Type="http://schemas.openxmlformats.org/officeDocument/2006/relationships/hyperlink" Target="https://telegram.me/epifanovnews" TargetMode="External" /><Relationship Id="rId338" Type="http://schemas.openxmlformats.org/officeDocument/2006/relationships/hyperlink" Target="http://www.youtube.com/channel/UC8rCPm9QZMfOBgR1c5bMpYQ" TargetMode="External" /><Relationship Id="rId57" Type="http://schemas.openxmlformats.org/officeDocument/2006/relationships/hyperlink" Target="http://vk.com/club17990792" TargetMode="External" /><Relationship Id="rId859" Type="http://schemas.openxmlformats.org/officeDocument/2006/relationships/hyperlink" Target="http://vk.com/wall-211243521_27268?reply=27379" TargetMode="External" /><Relationship Id="rId1142" Type="http://schemas.openxmlformats.org/officeDocument/2006/relationships/hyperlink" Target="https://www.babyplan.ru/profile/127076-la-belle" TargetMode="External" /><Relationship Id="rId696" Type="http://schemas.openxmlformats.org/officeDocument/2006/relationships/hyperlink" Target="http://ok.ru/group/50657161838784" TargetMode="External" /><Relationship Id="rId776" Type="http://schemas.openxmlformats.org/officeDocument/2006/relationships/hyperlink" Target="http://vk.com/id206129022" TargetMode="External" /><Relationship Id="rId944" Type="http://schemas.openxmlformats.org/officeDocument/2006/relationships/hyperlink" Target="http://vk.com/club235949966" TargetMode="External" /><Relationship Id="rId685" Type="http://schemas.openxmlformats.org/officeDocument/2006/relationships/hyperlink" Target="https://www.instagram.com/p/DYMsfCcoRXS/c/18143553541444401" TargetMode="External" /><Relationship Id="rId216" Type="http://schemas.openxmlformats.org/officeDocument/2006/relationships/hyperlink" Target="http://vk.com/club64697447" TargetMode="External" /><Relationship Id="rId427" Type="http://schemas.openxmlformats.org/officeDocument/2006/relationships/hyperlink" Target="https://telegram.me/mostodaychat/3484935" TargetMode="External" /><Relationship Id="rId61" Type="http://schemas.openxmlformats.org/officeDocument/2006/relationships/hyperlink" Target="http://vk.com/wall-17990792_94713?reply=94718&amp;thread=94715" TargetMode="External" /><Relationship Id="rId1087" Type="http://schemas.openxmlformats.org/officeDocument/2006/relationships/hyperlink" Target="http://vk.com/video-237610432_456239650" TargetMode="External" /><Relationship Id="rId1124" Type="http://schemas.openxmlformats.org/officeDocument/2006/relationships/hyperlink" Target="http://vk.com/id244938783" TargetMode="External" /><Relationship Id="rId555" Type="http://schemas.openxmlformats.org/officeDocument/2006/relationships/hyperlink" Target="https://telegram.me/semaglu" TargetMode="External" /><Relationship Id="rId416" Type="http://schemas.openxmlformats.org/officeDocument/2006/relationships/hyperlink" Target="https://dzen.ru/id/5eaafa59cf77ee27c9421287" TargetMode="External" /><Relationship Id="rId876" Type="http://schemas.openxmlformats.org/officeDocument/2006/relationships/hyperlink" Target="http://vk.com/club88570414" TargetMode="External" /><Relationship Id="rId1011" Type="http://schemas.openxmlformats.org/officeDocument/2006/relationships/hyperlink" Target="http://vk.com/club226278715" TargetMode="External" /><Relationship Id="rId164" Type="http://schemas.openxmlformats.org/officeDocument/2006/relationships/hyperlink" Target="http://www.youtube.com/channel/UCzcBeIBDmIi3AoSEEiVsXVA" TargetMode="External" /><Relationship Id="rId1034" Type="http://schemas.openxmlformats.org/officeDocument/2006/relationships/hyperlink" Target="https://telegram.me/koikchan" TargetMode="External" /><Relationship Id="rId1001" Type="http://schemas.openxmlformats.org/officeDocument/2006/relationships/hyperlink" Target="https://rutube.ru/video/person/73643784" TargetMode="External" /><Relationship Id="rId373" Type="http://schemas.openxmlformats.org/officeDocument/2006/relationships/hyperlink" Target="https://telegram.me/cybers/35612?comment=896390" TargetMode="External" /><Relationship Id="rId1073" Type="http://schemas.openxmlformats.org/officeDocument/2006/relationships/hyperlink" Target="https://telegram.me/trean_den" TargetMode="External" /><Relationship Id="rId175" Type="http://schemas.openxmlformats.org/officeDocument/2006/relationships/hyperlink" Target="https://www.vashe-mnenie.com/reviews.php?name=trental#date=2026-05-26%2013:22:24" TargetMode="External" /><Relationship Id="rId498" Type="http://schemas.openxmlformats.org/officeDocument/2006/relationships/hyperlink" Target="https://telegram.me/batr_fit" TargetMode="External" /><Relationship Id="rId731" Type="http://schemas.openxmlformats.org/officeDocument/2006/relationships/hyperlink" Target="http://www.youtube.com/channel/UCzSNNl6SMjzeqk2505Oeq4A" TargetMode="External" /><Relationship Id="rId644" Type="http://schemas.openxmlformats.org/officeDocument/2006/relationships/hyperlink" Target="https://hron-prostatit.ru/authors/&#1050;&#1072;&#1089;" TargetMode="External" /><Relationship Id="rId228" Type="http://schemas.openxmlformats.org/officeDocument/2006/relationships/hyperlink" Target="https://teletype.in/@dominantazdorovja" TargetMode="External" /><Relationship Id="rId1151" Type="http://schemas.openxmlformats.org/officeDocument/2006/relationships/hyperlink" Target="http://vk.com/id2084950" TargetMode="External" /><Relationship Id="rId949" Type="http://schemas.openxmlformats.org/officeDocument/2006/relationships/hyperlink" Target="https://www.ozon.ru/product/754700631/reviews?ruuid=019dfdd0-bbdf-7103-823e-8df716f756e4" TargetMode="External" /><Relationship Id="rId1116" Type="http://schemas.openxmlformats.org/officeDocument/2006/relationships/hyperlink" Target="https://dzen.ru/id/614adc4dfebd966f417ce21b" TargetMode="External" /><Relationship Id="rId1164" Type="http://schemas.openxmlformats.org/officeDocument/2006/relationships/hyperlink" Target="http://ok.ru/group/54782456954971" TargetMode="External" /><Relationship Id="rId340" Type="http://schemas.openxmlformats.org/officeDocument/2006/relationships/hyperlink" Target="https://telegram.me/oncolyachat/155203" TargetMode="External" /><Relationship Id="rId1028" Type="http://schemas.openxmlformats.org/officeDocument/2006/relationships/hyperlink" Target="http://vk.com/id861782734" TargetMode="External" /><Relationship Id="rId189" Type="http://schemas.openxmlformats.org/officeDocument/2006/relationships/hyperlink" Target="https://rutube.ru/video/person/41619480" TargetMode="External" /><Relationship Id="rId158" Type="http://schemas.openxmlformats.org/officeDocument/2006/relationships/hyperlink" Target="http://vk.com/id330920114" TargetMode="External" /><Relationship Id="rId1044" Type="http://schemas.openxmlformats.org/officeDocument/2006/relationships/hyperlink" Target="http://vk.com/club17990792" TargetMode="External" /><Relationship Id="rId957" Type="http://schemas.openxmlformats.org/officeDocument/2006/relationships/hyperlink" Target="https://forums.rusmedserv.com/showthread.php?t=501236" TargetMode="External" /><Relationship Id="rId912" Type="http://schemas.openxmlformats.org/officeDocument/2006/relationships/hyperlink" Target="http://vk.com/club17990792" TargetMode="External" /><Relationship Id="rId278" Type="http://schemas.openxmlformats.org/officeDocument/2006/relationships/hyperlink" Target="http://www.facebook.com/profile.php?id=100001816816435" TargetMode="External" /><Relationship Id="rId697" Type="http://schemas.openxmlformats.org/officeDocument/2006/relationships/hyperlink" Target="https://www.facebook.com/2210987229649504" TargetMode="External" /><Relationship Id="rId712" Type="http://schemas.openxmlformats.org/officeDocument/2006/relationships/hyperlink" Target="http://vk.com/wall123313021_17321" TargetMode="External" /><Relationship Id="rId79" Type="http://schemas.openxmlformats.org/officeDocument/2006/relationships/hyperlink" Target="https://telegram.me/c/1407442894/183794" TargetMode="External" /><Relationship Id="rId893" Type="http://schemas.openxmlformats.org/officeDocument/2006/relationships/hyperlink" Target="https://dzen.ru/id/5d394fc5e4f39f00ae200d32" TargetMode="External" /><Relationship Id="rId758" Type="http://schemas.openxmlformats.org/officeDocument/2006/relationships/hyperlink" Target="https://telegram.me/penesyer" TargetMode="External" /><Relationship Id="rId209" Type="http://schemas.openxmlformats.org/officeDocument/2006/relationships/hyperlink" Target="http://vk.com/club118324715" TargetMode="External" /><Relationship Id="rId983" Type="http://schemas.openxmlformats.org/officeDocument/2006/relationships/hyperlink" Target="https://threads.com/@kirill19720708" TargetMode="External" /><Relationship Id="rId389" Type="http://schemas.openxmlformats.org/officeDocument/2006/relationships/hyperlink" Target="https://dzen.ru/user/edef6s10opi3ve84lz63es7gr1u" TargetMode="External" /><Relationship Id="rId830" Type="http://schemas.openxmlformats.org/officeDocument/2006/relationships/hyperlink" Target="http://vk.com/id17552547" TargetMode="External" /><Relationship Id="rId754" Type="http://schemas.openxmlformats.org/officeDocument/2006/relationships/hyperlink" Target="https://telegram.me/pharmacomlabsnews/5515" TargetMode="External" /><Relationship Id="rId828" Type="http://schemas.openxmlformats.org/officeDocument/2006/relationships/hyperlink" Target="http://www.facebook.com/profile.php?id=100005065122372" TargetMode="External" /><Relationship Id="rId1033" Type="http://schemas.openxmlformats.org/officeDocument/2006/relationships/hyperlink" Target="https://telegram.me/koikchan/7494" TargetMode="External" /><Relationship Id="rId33" Type="http://schemas.openxmlformats.org/officeDocument/2006/relationships/hyperlink" Target="https://telegram.me/like_in_cash" TargetMode="External" /><Relationship Id="rId1092" Type="http://schemas.openxmlformats.org/officeDocument/2006/relationships/hyperlink" Target="http://vk.com/club17990792" TargetMode="External" /><Relationship Id="rId1128" Type="http://schemas.openxmlformats.org/officeDocument/2006/relationships/hyperlink" Target="http://vk.com/club88570414" TargetMode="External" /><Relationship Id="rId408" Type="http://schemas.openxmlformats.org/officeDocument/2006/relationships/hyperlink" Target="https://sprosivracha.com/questions/4343588-nemeet-guba-i-nos-posle-ushiba-glaza" TargetMode="External" /><Relationship Id="rId558" Type="http://schemas.openxmlformats.org/officeDocument/2006/relationships/hyperlink" Target="http://vk.com/club235912791" TargetMode="External" /><Relationship Id="rId452" Type="http://schemas.openxmlformats.org/officeDocument/2006/relationships/hyperlink" Target="http://vk.com/club25201586" TargetMode="External" /><Relationship Id="rId1084" Type="http://schemas.openxmlformats.org/officeDocument/2006/relationships/hyperlink" Target="http://ok.ru/group/70000001016930/topic/157362037103970#QUFBQm5lbktZeTAvNHc9PToxNTczNjIwMzcxMDM5NzA6MQ==" TargetMode="External" /><Relationship Id="rId716" Type="http://schemas.openxmlformats.org/officeDocument/2006/relationships/hyperlink" Target="https://telegram.me/yougurtripper" TargetMode="External" /><Relationship Id="rId285" Type="http://schemas.openxmlformats.org/officeDocument/2006/relationships/hyperlink" Target="http://www.facebook.com/profile.php?id=100001690301142" TargetMode="External" /><Relationship Id="rId684" Type="http://schemas.openxmlformats.org/officeDocument/2006/relationships/hyperlink" Target="https://sprosivracha.com/questions/4326468-onemenie-v-oblasti-pyatok-i-tyazhest-v-nogah-posle-operacii" TargetMode="External" /><Relationship Id="rId993" Type="http://schemas.openxmlformats.org/officeDocument/2006/relationships/hyperlink" Target="https://dzen.ru/id/5ea3fd8b22b6bd32eecb63f5" TargetMode="External" /><Relationship Id="rId904" Type="http://schemas.openxmlformats.org/officeDocument/2006/relationships/hyperlink" Target="https://dzen.ru/a/afoO8zFnET4Ieus_?comment-request=1#comment_3295120474" TargetMode="External" /><Relationship Id="rId519" Type="http://schemas.openxmlformats.org/officeDocument/2006/relationships/hyperlink" Target="https://nup.ru/topic/10258-viden-3-ja-popytka" TargetMode="External" /><Relationship Id="rId728" Type="http://schemas.openxmlformats.org/officeDocument/2006/relationships/hyperlink" Target="http://ok.ru/group/64968977350691" TargetMode="External" /><Relationship Id="rId363" Type="http://schemas.openxmlformats.org/officeDocument/2006/relationships/hyperlink" Target="http://vk.com/club49066148" TargetMode="External" /><Relationship Id="rId135" Type="http://schemas.openxmlformats.org/officeDocument/2006/relationships/hyperlink" Target="https://www.babyblog.ru/community/happypregn" TargetMode="External" /><Relationship Id="rId824" Type="http://schemas.openxmlformats.org/officeDocument/2006/relationships/hyperlink" Target="http://www.facebook.com/profile.php?id=100012674343660" TargetMode="External" /><Relationship Id="rId867" Type="http://schemas.openxmlformats.org/officeDocument/2006/relationships/hyperlink" Target="http://vk.com/id193966433" TargetMode="External" /><Relationship Id="rId647" Type="http://schemas.openxmlformats.org/officeDocument/2006/relationships/hyperlink" Target="https://telegram.me/ecoterina_blog" TargetMode="External" /><Relationship Id="rId866" Type="http://schemas.openxmlformats.org/officeDocument/2006/relationships/hyperlink" Target="http://vk.com/id193966433" TargetMode="External" /><Relationship Id="rId786" Type="http://schemas.openxmlformats.org/officeDocument/2006/relationships/hyperlink" Target="http://vk.com/club50079856" TargetMode="External" /><Relationship Id="rId270" Type="http://schemas.openxmlformats.org/officeDocument/2006/relationships/hyperlink" Target="https://instagram.com/doctor.eni" TargetMode="External" /><Relationship Id="rId1039" Type="http://schemas.openxmlformats.org/officeDocument/2006/relationships/hyperlink" Target="https://telegram.me/c/2605536942/19032" TargetMode="External" /><Relationship Id="rId827" Type="http://schemas.openxmlformats.org/officeDocument/2006/relationships/hyperlink" Target="http://www.facebook.com/profile.php?id=100005065122372" TargetMode="External" /><Relationship Id="rId1110" Type="http://schemas.openxmlformats.org/officeDocument/2006/relationships/hyperlink" Target="https://threads.com/@oksanaderunets" TargetMode="External" /><Relationship Id="rId86" Type="http://schemas.openxmlformats.org/officeDocument/2006/relationships/hyperlink" Target="http://www.youtube.com/channel/UCwNb5iZXBZsjwon0FacVTMQ" TargetMode="External" /><Relationship Id="rId870" Type="http://schemas.openxmlformats.org/officeDocument/2006/relationships/hyperlink" Target="http://www.facebook.com/profile.php?id=100003398325503" TargetMode="External" /><Relationship Id="rId496" Type="http://schemas.openxmlformats.org/officeDocument/2006/relationships/hyperlink" Target="https://telegram.me/batr_fit/5562" TargetMode="External" /><Relationship Id="rId1050" Type="http://schemas.openxmlformats.org/officeDocument/2006/relationships/hyperlink" Target="http://vk.com/club5626752" TargetMode="External" /><Relationship Id="rId13" Type="http://schemas.openxmlformats.org/officeDocument/2006/relationships/hyperlink" Target="https://telegram.me/chatmcf/839298" TargetMode="External" /><Relationship Id="rId1106" Type="http://schemas.openxmlformats.org/officeDocument/2006/relationships/hyperlink" Target="https://sprosivracha.com/authors/&#1054;&#1082;&#1089;&#1072;&#1085;&#1072;" TargetMode="External" /><Relationship Id="rId307" Type="http://schemas.openxmlformats.org/officeDocument/2006/relationships/hyperlink" Target="http://vk.com/wall-131908471_1106285?reply=1107410&amp;thread=1107126" TargetMode="External" /><Relationship Id="rId698" Type="http://schemas.openxmlformats.org/officeDocument/2006/relationships/hyperlink" Target="http://www.facebook.com/profile.php?id=100022147444966" TargetMode="External" /><Relationship Id="rId1059" Type="http://schemas.openxmlformats.org/officeDocument/2006/relationships/hyperlink" Target="https://telegram.me/boston_terrier_here" TargetMode="External" /><Relationship Id="rId313" Type="http://schemas.openxmlformats.org/officeDocument/2006/relationships/hyperlink" Target="https://dzen.ru/a/ag6wz2B0RSFn86Qw?comment-request=1#comment_3317824864" TargetMode="External" /><Relationship Id="rId289" Type="http://schemas.openxmlformats.org/officeDocument/2006/relationships/hyperlink" Target="https://www.instagram.com/p/DYrJF4jCM5x/c/18088664735525519" TargetMode="External" /><Relationship Id="rId772" Type="http://schemas.openxmlformats.org/officeDocument/2006/relationships/hyperlink" Target="http://vk.com/wall-32572053_91333?reply=91595" TargetMode="External" /><Relationship Id="rId77" Type="http://schemas.openxmlformats.org/officeDocument/2006/relationships/hyperlink" Target="https://telegram.me/anastasiyaspadareva" TargetMode="External" /><Relationship Id="rId663" Type="http://schemas.openxmlformats.org/officeDocument/2006/relationships/hyperlink" Target="http://vk.com/club172880205" TargetMode="External" /><Relationship Id="rId570" Type="http://schemas.openxmlformats.org/officeDocument/2006/relationships/hyperlink" Target="http://vk.com/club61570233" TargetMode="External" /><Relationship Id="rId84" Type="http://schemas.openxmlformats.org/officeDocument/2006/relationships/hyperlink" Target="https://www.wildberries.ru/catalog/138992242/detail.aspx" TargetMode="External" /><Relationship Id="rId559" Type="http://schemas.openxmlformats.org/officeDocument/2006/relationships/hyperlink" Target="http://vk.com/wall-117764704_5705749?reply=5707049&amp;thread=5706390" TargetMode="External" /><Relationship Id="rId723" Type="http://schemas.openxmlformats.org/officeDocument/2006/relationships/hyperlink" Target="https://sprosivracha.com/questions/4323146-pochemu-vnizu-nog-zhzhenie-i-krovopodteki" TargetMode="External" /><Relationship Id="rId1101" Type="http://schemas.openxmlformats.org/officeDocument/2006/relationships/hyperlink" Target="https://max.ru/id7730183173_biz" TargetMode="External" /><Relationship Id="rId736" Type="http://schemas.openxmlformats.org/officeDocument/2006/relationships/hyperlink" Target="http://ok.ru/group/65900379045923/topic/158657067470115" TargetMode="External" /><Relationship Id="rId907" Type="http://schemas.openxmlformats.org/officeDocument/2006/relationships/hyperlink" Target="https://telegram.me/ecoterina_blog/4499" TargetMode="External" /><Relationship Id="rId450" Type="http://schemas.openxmlformats.org/officeDocument/2006/relationships/hyperlink" Target="http://vk.com/id450124649" TargetMode="External" /><Relationship Id="rId921" Type="http://schemas.openxmlformats.org/officeDocument/2006/relationships/hyperlink" Target="http://vk.com/club118324715" TargetMode="External" /><Relationship Id="rId745" Type="http://schemas.openxmlformats.org/officeDocument/2006/relationships/hyperlink" Target="http://ok.ru/group/65890095595555/topic/158657060654371" TargetMode="External" /><Relationship Id="rId504" Type="http://schemas.openxmlformats.org/officeDocument/2006/relationships/hyperlink" Target="https://instagram.com/ps.popov" TargetMode="External" /><Relationship Id="rId651" Type="http://schemas.openxmlformats.org/officeDocument/2006/relationships/hyperlink" Target="http://vk.com/club237474828" TargetMode="External" /><Relationship Id="rId90" Type="http://schemas.openxmlformats.org/officeDocument/2006/relationships/hyperlink" Target="https://www.otzyvru.com/trental" TargetMode="External" /><Relationship Id="rId492" Type="http://schemas.openxmlformats.org/officeDocument/2006/relationships/hyperlink" Target="http://vk.com/club42217841" TargetMode="External" /><Relationship Id="rId343" Type="http://schemas.openxmlformats.org/officeDocument/2006/relationships/hyperlink" Target="http://vk.com/wall-132664992_1285592?reply=1285688" TargetMode="External" /><Relationship Id="rId273" Type="http://schemas.openxmlformats.org/officeDocument/2006/relationships/hyperlink" Target="https://instagram.com/pavel_chukhnov" TargetMode="External" /><Relationship Id="rId1053" Type="http://schemas.openxmlformats.org/officeDocument/2006/relationships/hyperlink" Target="https://telegram.me/darixana_nukus" TargetMode="External" /><Relationship Id="rId1127" Type="http://schemas.openxmlformats.org/officeDocument/2006/relationships/hyperlink" Target="http://vk.com/id244938783" TargetMode="External" /><Relationship Id="rId348" Type="http://schemas.openxmlformats.org/officeDocument/2006/relationships/hyperlink" Target="https://telegram.me/dr_sveta" TargetMode="External" /><Relationship Id="rId1008" Type="http://schemas.openxmlformats.org/officeDocument/2006/relationships/hyperlink" Target="https://sprosivracha.com/questions/4308136-gzt-v-38-let-nizkiy-testosteron" TargetMode="External" /><Relationship Id="rId680" Type="http://schemas.openxmlformats.org/officeDocument/2006/relationships/hyperlink" Target="http://vk.com/id708630637" TargetMode="External" /><Relationship Id="rId483" Type="http://schemas.openxmlformats.org/officeDocument/2006/relationships/hyperlink" Target="http://vk.com/club30913680" TargetMode="External" /><Relationship Id="rId203" Type="http://schemas.openxmlformats.org/officeDocument/2006/relationships/hyperlink" Target="https://mom.life/user/6a14345a8a40cc102e0bb78d" TargetMode="External" /><Relationship Id="rId574" Type="http://schemas.openxmlformats.org/officeDocument/2006/relationships/hyperlink" Target="http://vk.com/wall-223258406_10449?reply=10707" TargetMode="External" /><Relationship Id="rId999" Type="http://schemas.openxmlformats.org/officeDocument/2006/relationships/hyperlink" Target="https://hron-prostatit.ru/forum/viewforum.php?f=4" TargetMode="External" /><Relationship Id="rId1144" Type="http://schemas.openxmlformats.org/officeDocument/2006/relationships/hyperlink" Target="http://vk.com/wall-99694181_1417030" TargetMode="External" /><Relationship Id="rId542" Type="http://schemas.openxmlformats.org/officeDocument/2006/relationships/hyperlink" Target="https://telegram.me/nmic_blokhina" TargetMode="External" /><Relationship Id="rId234" Type="http://schemas.openxmlformats.org/officeDocument/2006/relationships/hyperlink" Target="http://vk.com/club25882042" TargetMode="External" /><Relationship Id="rId610" Type="http://schemas.openxmlformats.org/officeDocument/2006/relationships/hyperlink" Target="https://dzen.ru/a/agO_WxUdvlFXlczq?comment-request=1#comment_3308560483" TargetMode="External" /><Relationship Id="rId1163" Type="http://schemas.openxmlformats.org/officeDocument/2006/relationships/hyperlink" Target="http://ok.ru/group/54782456954971" TargetMode="External" /><Relationship Id="rId126" Type="http://schemas.openxmlformats.org/officeDocument/2006/relationships/hyperlink" Target="https://sprosivracha.com/questions/4361026-sineyu-na-holode" TargetMode="External" /><Relationship Id="rId962" Type="http://schemas.openxmlformats.org/officeDocument/2006/relationships/hyperlink" Target="http://sojuzpharma.ru" TargetMode="External" /><Relationship Id="rId167" Type="http://schemas.openxmlformats.org/officeDocument/2006/relationships/hyperlink" Target="http://vk.com/id1115732629" TargetMode="External" /><Relationship Id="rId48" Type="http://schemas.openxmlformats.org/officeDocument/2006/relationships/hyperlink" Target="https://dzen.ru/id/5d9a22f96f5f6f00adf62457" TargetMode="External" /><Relationship Id="rId251" Type="http://schemas.openxmlformats.org/officeDocument/2006/relationships/hyperlink" Target="http://vk.com/id204487094" TargetMode="External" /><Relationship Id="rId384" Type="http://schemas.openxmlformats.org/officeDocument/2006/relationships/hyperlink" Target="https://sprosivracha.com/questions/4346985-sovmestnyy-priem-lekarstv" TargetMode="External" /><Relationship Id="rId155" Type="http://schemas.openxmlformats.org/officeDocument/2006/relationships/hyperlink" Target="https://market.yandex.ru/user/0n8c3nhne2au0fdbvvqxctkq4g" TargetMode="External" /><Relationship Id="rId908" Type="http://schemas.openxmlformats.org/officeDocument/2006/relationships/hyperlink" Target="https://telegram.me/ecoterina_blog" TargetMode="External" /><Relationship Id="rId841" Type="http://schemas.openxmlformats.org/officeDocument/2006/relationships/hyperlink" Target="https://www.facebook.com/3697546320401997" TargetMode="External" /><Relationship Id="rId415" Type="http://schemas.openxmlformats.org/officeDocument/2006/relationships/hyperlink" Target="https://dzen.ru/a/agv9Pex7iXku7fG5" TargetMode="External" /><Relationship Id="rId1017" Type="http://schemas.openxmlformats.org/officeDocument/2006/relationships/hyperlink" Target="http://vk.com/club61391520" TargetMode="External" /><Relationship Id="rId419" Type="http://schemas.openxmlformats.org/officeDocument/2006/relationships/hyperlink" Target="https://dzen.ru/user/edef6s10opi3ve84lz63es7gr1u" TargetMode="External" /><Relationship Id="rId1082" Type="http://schemas.openxmlformats.org/officeDocument/2006/relationships/hyperlink" Target="http://ok.ru/profile/594299744169" TargetMode="External" /><Relationship Id="rId1158" Type="http://schemas.openxmlformats.org/officeDocument/2006/relationships/hyperlink" Target="https://ftour.otzyv.ru/tema/269515/1340" TargetMode="External" /><Relationship Id="rId137" Type="http://schemas.openxmlformats.org/officeDocument/2006/relationships/hyperlink" Target="http://vk.com/club236733457" TargetMode="External" /><Relationship Id="rId563" Type="http://schemas.openxmlformats.org/officeDocument/2006/relationships/hyperlink" Target="http://vk.com/id1111874705" TargetMode="External" /><Relationship Id="rId426" Type="http://schemas.openxmlformats.org/officeDocument/2006/relationships/hyperlink" Target="https://sprosivracha.com/questions/4342996-nemeet-ruka" TargetMode="External" /><Relationship Id="rId315" Type="http://schemas.openxmlformats.org/officeDocument/2006/relationships/hyperlink" Target="https://dzen.ru/id/5eaafa59cf77ee27c9421287" TargetMode="External" /><Relationship Id="rId27" Type="http://schemas.openxmlformats.org/officeDocument/2006/relationships/hyperlink" Target="https://threads.com/@mommycine" TargetMode="External" /><Relationship Id="rId521" Type="http://schemas.openxmlformats.org/officeDocument/2006/relationships/hyperlink" Target="https://dzen.ru/id/5f10c2705b8c597418428eae" TargetMode="External" /><Relationship Id="rId1048" Type="http://schemas.openxmlformats.org/officeDocument/2006/relationships/hyperlink" Target="http://vk.com/wall-5626752_98449?reply=98495&amp;thread=98452" TargetMode="External" /><Relationship Id="rId303" Type="http://schemas.openxmlformats.org/officeDocument/2006/relationships/hyperlink" Target="https://dzen.ru/id/5e6f8929a238dc1744a2e67f" TargetMode="External" /><Relationship Id="rId299" Type="http://schemas.openxmlformats.org/officeDocument/2006/relationships/hyperlink" Target="http://www.facebook.com/profile.php?id=61587142363160" TargetMode="External" /><Relationship Id="rId626" Type="http://schemas.openxmlformats.org/officeDocument/2006/relationships/hyperlink" Target="https://www.babyblog.ru/user/id2295545" TargetMode="External" /><Relationship Id="rId702" Type="http://schemas.openxmlformats.org/officeDocument/2006/relationships/hyperlink" Target="https://telegram.me/actualphlebology" TargetMode="External" /><Relationship Id="rId669" Type="http://schemas.openxmlformats.org/officeDocument/2006/relationships/hyperlink" Target="https://threads.com/@artem1983m" TargetMode="External" /><Relationship Id="rId309" Type="http://schemas.openxmlformats.org/officeDocument/2006/relationships/hyperlink" Target="http://vk.com/club131908471" TargetMode="External" /><Relationship Id="rId560" Type="http://schemas.openxmlformats.org/officeDocument/2006/relationships/hyperlink" Target="http://vk.com/id1111874705" TargetMode="External" /><Relationship Id="rId323" Type="http://schemas.openxmlformats.org/officeDocument/2006/relationships/hyperlink" Target="http://vk.com/id383835053" TargetMode="External" /><Relationship Id="rId966" Type="http://schemas.openxmlformats.org/officeDocument/2006/relationships/hyperlink" Target="https://mom.life/user/699a006386aa2543640a2ece" TargetMode="External" /><Relationship Id="rId499" Type="http://schemas.openxmlformats.org/officeDocument/2006/relationships/hyperlink" Target="https://www.instagram.com/p/DYZIXCktkHU/c/17868138621681179" TargetMode="External" /><Relationship Id="rId117" Type="http://schemas.openxmlformats.org/officeDocument/2006/relationships/hyperlink" Target="https://telegram.me/zdorovie_i_me" TargetMode="External" /><Relationship Id="rId1129" Type="http://schemas.openxmlformats.org/officeDocument/2006/relationships/hyperlink" Target="https://dzen.ru/a/afSFvhFy5VS5ykfz" TargetMode="External" /><Relationship Id="rId34" Type="http://schemas.openxmlformats.org/officeDocument/2006/relationships/hyperlink" Target="https://max.ru/clariryofmind/AZ54-FYTc8k" TargetMode="External" /><Relationship Id="rId383" Type="http://schemas.openxmlformats.org/officeDocument/2006/relationships/hyperlink" Target="https://sprosivracha.com/authors/&#1052;&#1072;&#1088;&#1080;&#1103;" TargetMode="External" /><Relationship Id="rId791" Type="http://schemas.openxmlformats.org/officeDocument/2006/relationships/hyperlink" Target="http://www.facebook.com/profile.php?id=100006312763962" TargetMode="External" /><Relationship Id="rId248" Type="http://schemas.openxmlformats.org/officeDocument/2006/relationships/hyperlink" Target="http://www.facebook.com/profile.php?id=100001058827965" TargetMode="External" /><Relationship Id="rId69" Type="http://schemas.openxmlformats.org/officeDocument/2006/relationships/hyperlink" Target="http://www.youtube.com/channel/UCACxYUqXai-PhTBwBJEBB7g" TargetMode="External" /><Relationship Id="rId243" Type="http://schemas.openxmlformats.org/officeDocument/2006/relationships/hyperlink" Target="http://vk.com/club229000699" TargetMode="External" /><Relationship Id="rId253" Type="http://schemas.openxmlformats.org/officeDocument/2006/relationships/hyperlink" Target="https://telegram.me/c/2214211507/9290" TargetMode="External" /><Relationship Id="rId932" Type="http://schemas.openxmlformats.org/officeDocument/2006/relationships/hyperlink" Target="http://vk.com/id1111874705" TargetMode="External" /><Relationship Id="rId489" Type="http://schemas.openxmlformats.org/officeDocument/2006/relationships/hyperlink" Target="http://ok.ru/group/51625046769845" TargetMode="External" /><Relationship Id="rId914" Type="http://schemas.openxmlformats.org/officeDocument/2006/relationships/hyperlink" Target="https://forums.rusmedserv.com/authors/Vinto" TargetMode="External" /><Relationship Id="rId437" Type="http://schemas.openxmlformats.org/officeDocument/2006/relationships/hyperlink" Target="https://telegram.me/natem_sam" TargetMode="External" /><Relationship Id="rId636" Type="http://schemas.openxmlformats.org/officeDocument/2006/relationships/hyperlink" Target="http://vk.com/club17990792" TargetMode="External" /><Relationship Id="rId402" Type="http://schemas.openxmlformats.org/officeDocument/2006/relationships/hyperlink" Target="https://sprosivracha.com/questions/4345843-bolezn-byurgera" TargetMode="External" /><Relationship Id="rId1156" Type="http://schemas.openxmlformats.org/officeDocument/2006/relationships/hyperlink" Target="https://ftour.otzyv.ru/tema/269515/1340/#9031488" TargetMode="External" /><Relationship Id="rId1070" Type="http://schemas.openxmlformats.org/officeDocument/2006/relationships/hyperlink" Target="https://telegram.me/alpentour" TargetMode="External" /><Relationship Id="rId643" Type="http://schemas.openxmlformats.org/officeDocument/2006/relationships/hyperlink" Target="https://hron-prostatit.ru/forum/viewtopic.php?p=445329#p445329" TargetMode="External" /><Relationship Id="rId844" Type="http://schemas.openxmlformats.org/officeDocument/2006/relationships/hyperlink" Target="https://telegram.me/epifanovnews1/102443" TargetMode="External" /><Relationship Id="rId304" Type="http://schemas.openxmlformats.org/officeDocument/2006/relationships/hyperlink" Target="https://dzen.ru/a/aeuIKfbGIGIOJcxM?comment-request=1#comment_3323360113" TargetMode="External" /><Relationship Id="rId1146" Type="http://schemas.openxmlformats.org/officeDocument/2006/relationships/hyperlink" Target="http://vk.com/club99694181" TargetMode="External" /><Relationship Id="rId1000" Type="http://schemas.openxmlformats.org/officeDocument/2006/relationships/hyperlink" Target="https://rutube.ru/video/79f85b419d01b3bdd36fb4ed836d4ce5/" TargetMode="External" /><Relationship Id="rId12" Type="http://schemas.openxmlformats.org/officeDocument/2006/relationships/hyperlink" Target="https://telegram.me/kristheme" TargetMode="External" /><Relationship Id="rId585" Type="http://schemas.openxmlformats.org/officeDocument/2006/relationships/hyperlink" Target="https://instagram.com/mila.fomina" TargetMode="External" /><Relationship Id="rId1115" Type="http://schemas.openxmlformats.org/officeDocument/2006/relationships/hyperlink" Target="https://dzen.ru/id/64d3745696905b12eb226804" TargetMode="External" /><Relationship Id="rId706" Type="http://schemas.openxmlformats.org/officeDocument/2006/relationships/hyperlink" Target="https://www.facebook.com/10164176398984628" TargetMode="External" /><Relationship Id="rId352" Type="http://schemas.openxmlformats.org/officeDocument/2006/relationships/hyperlink" Target="http://vk.com/wall-226299499_1040" TargetMode="External" /><Relationship Id="rId656" Type="http://schemas.openxmlformats.org/officeDocument/2006/relationships/hyperlink" Target="https://telegram.me/nataliya_1" TargetMode="External" /><Relationship Id="rId87" Type="http://schemas.openxmlformats.org/officeDocument/2006/relationships/hyperlink" Target="http://www.youtube.com/channel/UCiXRoPtKroEsb7LRL-8esHg" TargetMode="External" /><Relationship Id="rId740" Type="http://schemas.openxmlformats.org/officeDocument/2006/relationships/hyperlink" Target="http://ok.ru/group/66285485228067" TargetMode="External" /><Relationship Id="rId767" Type="http://schemas.openxmlformats.org/officeDocument/2006/relationships/hyperlink" Target="http://vk.com/id766994370" TargetMode="External" /><Relationship Id="rId398" Type="http://schemas.openxmlformats.org/officeDocument/2006/relationships/hyperlink" Target="https://sprosivracha.com/authors/&#1040;&#1085;&#1076;&#1088;&#1077;&#1081;%20&#1050;&#1091;&#1083;&#1077;&#1096;&#1086;&#1074;" TargetMode="External" /><Relationship Id="rId664" Type="http://schemas.openxmlformats.org/officeDocument/2006/relationships/hyperlink" Target="https://www.threads.com/@dimasikdoc/post/DYOpdNHjXZx" TargetMode="External" /><Relationship Id="rId1133" Type="http://schemas.openxmlformats.org/officeDocument/2006/relationships/hyperlink" Target="http://vk.com/id1209585" TargetMode="External" /><Relationship Id="rId750" Type="http://schemas.openxmlformats.org/officeDocument/2006/relationships/hyperlink" Target="http://ok.ru/group/66453854027811" TargetMode="External" /><Relationship Id="rId927" Type="http://schemas.openxmlformats.org/officeDocument/2006/relationships/hyperlink" Target="http://vk.com/club118324715" TargetMode="External" /><Relationship Id="rId334" Type="http://schemas.openxmlformats.org/officeDocument/2006/relationships/hyperlink" Target="http://vk.com/wall-49066148_1685605?reply=1685630&amp;thread=1685628" TargetMode="External" /><Relationship Id="rId264" Type="http://schemas.openxmlformats.org/officeDocument/2006/relationships/hyperlink" Target="http://ok.ru/group/52161146519625" TargetMode="External" /><Relationship Id="rId265" Type="http://schemas.openxmlformats.org/officeDocument/2006/relationships/hyperlink" Target="https://telegram.me/d04a_chat/710147" TargetMode="External" /><Relationship Id="rId958" Type="http://schemas.openxmlformats.org/officeDocument/2006/relationships/hyperlink" Target="http://vk.com/wall-231508037_6308?reply=6389&amp;thread=6320" TargetMode="External" /><Relationship Id="rId836" Type="http://schemas.openxmlformats.org/officeDocument/2006/relationships/hyperlink" Target="http://vk.com/id602488614" TargetMode="External" /><Relationship Id="rId1130" Type="http://schemas.openxmlformats.org/officeDocument/2006/relationships/hyperlink" Target="https://dzen.ru/id/63d576d904f91437db4f6079" TargetMode="External" /><Relationship Id="rId616" Type="http://schemas.openxmlformats.org/officeDocument/2006/relationships/hyperlink" Target="http://vk.com/wall-227669108_6" TargetMode="External" /><Relationship Id="rId472" Type="http://schemas.openxmlformats.org/officeDocument/2006/relationships/hyperlink" Target="http://vk.com/wall-42224436_341171" TargetMode="External" /><Relationship Id="rId404" Type="http://schemas.openxmlformats.org/officeDocument/2006/relationships/hyperlink" Target="http://vk.com/id2123550" TargetMode="External" /><Relationship Id="rId673" Type="http://schemas.openxmlformats.org/officeDocument/2006/relationships/hyperlink" Target="http://vk.com/wall-206214408_304226?reply=304467&amp;thread=304229" TargetMode="External" /><Relationship Id="rId320" Type="http://schemas.openxmlformats.org/officeDocument/2006/relationships/hyperlink" Target="http://vk.com/id501949024" TargetMode="External" /><Relationship Id="rId721" Type="http://schemas.openxmlformats.org/officeDocument/2006/relationships/hyperlink" Target="https://sprosivracha.com/questions/4323146-pochemu-vnizu-nog-zhzhenie-i-krovopodteki#a27652036" TargetMode="External" /><Relationship Id="rId975" Type="http://schemas.openxmlformats.org/officeDocument/2006/relationships/hyperlink" Target="https://dzen.ru/id/5eaafa59cf77ee27c9421287" TargetMode="External" /><Relationship Id="rId132" Type="http://schemas.openxmlformats.org/officeDocument/2006/relationships/hyperlink" Target="https://dzen.ru/id/59c4d5894bf161c6efdacbb0" TargetMode="External" /><Relationship Id="rId252" Type="http://schemas.openxmlformats.org/officeDocument/2006/relationships/hyperlink" Target="http://vk.com/club15967739" TargetMode="External" /><Relationship Id="rId357" Type="http://schemas.openxmlformats.org/officeDocument/2006/relationships/hyperlink" Target="https://telegram.me/grizhapro" TargetMode="External" /><Relationship Id="rId811" Type="http://schemas.openxmlformats.org/officeDocument/2006/relationships/hyperlink" Target="http://vk.com/wall199272441_9678" TargetMode="External" /><Relationship Id="rId119" Type="http://schemas.openxmlformats.org/officeDocument/2006/relationships/hyperlink" Target="https://pikabu.ru/@svlads" TargetMode="External" /><Relationship Id="rId635" Type="http://schemas.openxmlformats.org/officeDocument/2006/relationships/hyperlink" Target="http://vk.com/id773113250" TargetMode="External" /><Relationship Id="rId741" Type="http://schemas.openxmlformats.org/officeDocument/2006/relationships/hyperlink" Target="http://ok.ru/group/66285485228067" TargetMode="External" /><Relationship Id="rId1126" Type="http://schemas.openxmlformats.org/officeDocument/2006/relationships/hyperlink" Target="http://vk.com/wall-88570414_283946?reply=284019" TargetMode="External" /><Relationship Id="rId1020" Type="http://schemas.openxmlformats.org/officeDocument/2006/relationships/hyperlink" Target="http://vk.com/club221308444" TargetMode="External" /><Relationship Id="rId236" Type="http://schemas.openxmlformats.org/officeDocument/2006/relationships/hyperlink" Target="http://vk.com/club61570233" TargetMode="External" /><Relationship Id="rId1145" Type="http://schemas.openxmlformats.org/officeDocument/2006/relationships/hyperlink" Target="http://vk.com/club99694181" TargetMode="External" /><Relationship Id="rId201" Type="http://schemas.openxmlformats.org/officeDocument/2006/relationships/hyperlink" Target="http://vk.com/club110220095" TargetMode="External" /><Relationship Id="rId81" Type="http://schemas.openxmlformats.org/officeDocument/2006/relationships/hyperlink" Target="https://telegram.me/1407442894" TargetMode="External" /><Relationship Id="rId254" Type="http://schemas.openxmlformats.org/officeDocument/2006/relationships/hyperlink" Target="https://telegram.me/2214211507" TargetMode="External" /><Relationship Id="rId223" Type="http://schemas.openxmlformats.org/officeDocument/2006/relationships/hyperlink" Target="https://pikabu.ru/story/pro_varikoz_13999811?cid=393396548" TargetMode="External" /><Relationship Id="rId186" Type="http://schemas.openxmlformats.org/officeDocument/2006/relationships/hyperlink" Target="http://vk.com/club232208667" TargetMode="External" /><Relationship Id="rId250" Type="http://schemas.openxmlformats.org/officeDocument/2006/relationships/hyperlink" Target="http://vk.com/wall-15967739_196586?reply=196628" TargetMode="External" /><Relationship Id="rId544" Type="http://schemas.openxmlformats.org/officeDocument/2006/relationships/hyperlink" Target="https://www.threads.com/@madame_cle_/post/DYUwGuxiMxZ" TargetMode="External" /><Relationship Id="rId488" Type="http://schemas.openxmlformats.org/officeDocument/2006/relationships/hyperlink" Target="http://ok.ru/group/51625046769845" TargetMode="External" /><Relationship Id="rId979" Type="http://schemas.openxmlformats.org/officeDocument/2006/relationships/hyperlink" Target="https://telegram.me/chatmcf/833168" TargetMode="External" /><Relationship Id="rId217" Type="http://schemas.openxmlformats.org/officeDocument/2006/relationships/hyperlink" Target="http://vk.com/wall-25882042_1065634?reply=1776552&amp;thread=1776473" TargetMode="External" /><Relationship Id="rId197" Type="http://schemas.openxmlformats.org/officeDocument/2006/relationships/hyperlink" Target="http://ok.ru/group/55077875286120" TargetMode="External" /><Relationship Id="rId465" Type="http://schemas.openxmlformats.org/officeDocument/2006/relationships/hyperlink" Target="https://telegram.me/1610051836" TargetMode="External" /><Relationship Id="rId797" Type="http://schemas.openxmlformats.org/officeDocument/2006/relationships/hyperlink" Target="http://www.facebook.com/profile.php?id=100001525526292" TargetMode="External" /><Relationship Id="rId116" Type="http://schemas.openxmlformats.org/officeDocument/2006/relationships/hyperlink" Target="https://telegram.me/zdorovie_i_me" TargetMode="External" /><Relationship Id="rId889" Type="http://schemas.openxmlformats.org/officeDocument/2006/relationships/hyperlink" Target="https://www.facebook.com/3986936568116634" TargetMode="External" /><Relationship Id="rId330" Type="http://schemas.openxmlformats.org/officeDocument/2006/relationships/hyperlink" Target="http://vk.com/club171736200" TargetMode="External" /><Relationship Id="rId207" Type="http://schemas.openxmlformats.org/officeDocument/2006/relationships/hyperlink" Target="http://www.youtube.com/channel/UCKuzqICdyXvnNNGPkbQivnw" TargetMode="External" /><Relationship Id="rId1099" Type="http://schemas.openxmlformats.org/officeDocument/2006/relationships/hyperlink" Target="https://max.ru/id7730183173_biz/AZ3oTiz3Ro4" TargetMode="External" /><Relationship Id="rId906" Type="http://schemas.openxmlformats.org/officeDocument/2006/relationships/hyperlink" Target="https://dzen.ru/id/622275bf78e29463273cba64" TargetMode="External" /><Relationship Id="rId860" Type="http://schemas.openxmlformats.org/officeDocument/2006/relationships/hyperlink" Target="http://vk.com/id772168005" TargetMode="External" /><Relationship Id="rId1024" Type="http://schemas.openxmlformats.org/officeDocument/2006/relationships/hyperlink" Target="https://dzen.ru/a/afjanVU4_3gzLhql?comment-request=1#comment_3282913531" TargetMode="External" /><Relationship Id="rId136" Type="http://schemas.openxmlformats.org/officeDocument/2006/relationships/hyperlink" Target="http://vk.com/wall-236733457_17894" TargetMode="External" /><Relationship Id="rId886" Type="http://schemas.openxmlformats.org/officeDocument/2006/relationships/hyperlink" Target="https://www.facebook.com/1663207778201819" TargetMode="External" /><Relationship Id="rId1094" Type="http://schemas.openxmlformats.org/officeDocument/2006/relationships/hyperlink" Target="http://ok.ru/profile/557381638366" TargetMode="External" /><Relationship Id="rId1067" Type="http://schemas.openxmlformats.org/officeDocument/2006/relationships/hyperlink" Target="https://www.ozon.ru/context/client_opinion/ClientGuid/00000000-0000-0000-0000-000000000000#&#1055;&#1072;&#1074;&#1077;&#1083;%20&#1056;." TargetMode="External" /><Relationship Id="rId371" Type="http://schemas.openxmlformats.org/officeDocument/2006/relationships/hyperlink" Target="http://vk.com/id165307226" TargetMode="External" /><Relationship Id="rId694" Type="http://schemas.openxmlformats.org/officeDocument/2006/relationships/hyperlink" Target="http://ok.ru/group/50657161838784/topic/157623534274752#QUFBQm5oYlFMaVVnM3c9PToxNTc2MjM1MzQyNzQ3NTI6MQ==" TargetMode="External" /><Relationship Id="rId1071" Type="http://schemas.openxmlformats.org/officeDocument/2006/relationships/hyperlink" Target="https://telegram.me/pravoslavievtelege" TargetMode="External" /><Relationship Id="rId943" Type="http://schemas.openxmlformats.org/officeDocument/2006/relationships/hyperlink" Target="http://vk.com/wall-235949966_989" TargetMode="External" /><Relationship Id="rId219" Type="http://schemas.openxmlformats.org/officeDocument/2006/relationships/hyperlink" Target="http://vk.com/club25882042" TargetMode="External" /><Relationship Id="rId845" Type="http://schemas.openxmlformats.org/officeDocument/2006/relationships/hyperlink" Target="https://telegram.me/udzhin80" TargetMode="External" /><Relationship Id="rId131" Type="http://schemas.openxmlformats.org/officeDocument/2006/relationships/hyperlink" Target="https://dzen.ru/id/615dfcc3ca7ecd0395063799" TargetMode="External" /><Relationship Id="rId727" Type="http://schemas.openxmlformats.org/officeDocument/2006/relationships/hyperlink" Target="http://ok.ru/group/64968977350691/topic/158657072909603" TargetMode="External" /><Relationship Id="rId649" Type="http://schemas.openxmlformats.org/officeDocument/2006/relationships/hyperlink" Target="http://vk.com/wall-237474828_9" TargetMode="External" /><Relationship Id="rId831" Type="http://schemas.openxmlformats.org/officeDocument/2006/relationships/hyperlink" Target="http://vk.com/club119027" TargetMode="External" /><Relationship Id="rId952" Type="http://schemas.openxmlformats.org/officeDocument/2006/relationships/hyperlink" Target="https://telegram.me/forums_rms/10466" TargetMode="External" /><Relationship Id="rId672" Type="http://schemas.openxmlformats.org/officeDocument/2006/relationships/hyperlink" Target="https://dzen.ru/id/5935bc1cd7d0a62756e9cd78" TargetMode="External" /><Relationship Id="rId391" Type="http://schemas.openxmlformats.org/officeDocument/2006/relationships/hyperlink" Target="http://vk.com/wall-193354828_50819?reply=50859" TargetMode="External" /><Relationship Id="rId1157" Type="http://schemas.openxmlformats.org/officeDocument/2006/relationships/hyperlink" Target="https://otzyv.ru/profile.php?id=75489" TargetMode="External" /><Relationship Id="rId851" Type="http://schemas.openxmlformats.org/officeDocument/2006/relationships/hyperlink" Target="https://sprosivracha.com/authors/&#1045;&#1082;&#1072;&#1090;&#1077;&#1088;&#1080;&#1085;&#1072;%20&#1055;&#1083;&#1086;&#1090;&#1085;&#1080;&#1082;&#1086;&#1074;&#1072;" TargetMode="External" /><Relationship Id="rId412" Type="http://schemas.openxmlformats.org/officeDocument/2006/relationships/hyperlink" Target="http://ok.ru/profile/523027629056/statuses/165573283678208" TargetMode="External" /><Relationship Id="rId536" Type="http://schemas.openxmlformats.org/officeDocument/2006/relationships/hyperlink" Target="https://telegram.me/podkotik" TargetMode="External" /><Relationship Id="rId95" Type="http://schemas.openxmlformats.org/officeDocument/2006/relationships/hyperlink" Target="https://dzen.ru/id/69673fb99ddcd57294641e04" TargetMode="External" /><Relationship Id="rId877" Type="http://schemas.openxmlformats.org/officeDocument/2006/relationships/hyperlink" Target="https://forum.baby.ru/blogs/post/2635337922-2574673918/#comment2635344570" TargetMode="External" /><Relationship Id="rId242" Type="http://schemas.openxmlformats.org/officeDocument/2006/relationships/hyperlink" Target="http://vk.com/id833615399" TargetMode="External" /><Relationship Id="rId105" Type="http://schemas.openxmlformats.org/officeDocument/2006/relationships/hyperlink" Target="http://vk.com/club218277808" TargetMode="External" /><Relationship Id="rId1" Type="http://schemas.openxmlformats.org/officeDocument/2006/relationships/hyperlink" Target="https://hron-prostatit.ru/forum/viewtopic.php?p=445520#p445520" TargetMode="External" /><Relationship Id="rId756" Type="http://schemas.openxmlformats.org/officeDocument/2006/relationships/hyperlink" Target="https://telegram.me/pharmacomlabsnews" TargetMode="External" /></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3.xml" /></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4.xml" /></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5.xml" /></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6.xml" /></Relationships>
</file>

<file path=xl/worksheets/_rels/sheet13.xml.rels><?xml version="1.0" encoding="UTF-8" standalone="yes"?><Relationships xmlns="http://schemas.openxmlformats.org/package/2006/relationships"><Relationship Id="rId25" Type="http://schemas.openxmlformats.org/officeDocument/2006/relationships/hyperlink" Target="http://otzyvru.com" TargetMode="External" /><Relationship Id="rId19" Type="http://schemas.openxmlformats.org/officeDocument/2006/relationships/hyperlink" Target="http://ozon.ru" TargetMode="External" /><Relationship Id="rId31" Type="http://schemas.openxmlformats.org/officeDocument/2006/relationships/hyperlink" Target="http://sojuzpharma.ru" TargetMode="External" /><Relationship Id="rId35" Type="http://schemas.openxmlformats.org/officeDocument/2006/relationships/hyperlink" Target="http://otzyv.pro" TargetMode="External" /><Relationship Id="rId13" Type="http://schemas.openxmlformats.org/officeDocument/2006/relationships/hyperlink" Target="http://nup.ru" TargetMode="External" /><Relationship Id="rId24" Type="http://schemas.openxmlformats.org/officeDocument/2006/relationships/hyperlink" Target="http://vashe-mnenie.com" TargetMode="External" /><Relationship Id="rId2" Type="http://schemas.openxmlformats.org/officeDocument/2006/relationships/hyperlink" Target="http://telegram.org" TargetMode="External" /><Relationship Id="rId26" Type="http://schemas.openxmlformats.org/officeDocument/2006/relationships/hyperlink" Target="http://max.ru" TargetMode="External" /><Relationship Id="rId8" Type="http://schemas.openxmlformats.org/officeDocument/2006/relationships/hyperlink" Target="http://telegram.org" TargetMode="External" /><Relationship Id="rId21" Type="http://schemas.openxmlformats.org/officeDocument/2006/relationships/hyperlink" Target="http://babyplan.ru" TargetMode="External" /><Relationship Id="rId10" Type="http://schemas.openxmlformats.org/officeDocument/2006/relationships/hyperlink" Target="http://threads.com" TargetMode="External" /><Relationship Id="rId4" Type="http://schemas.openxmlformats.org/officeDocument/2006/relationships/hyperlink" Target="http://facebook.com" TargetMode="External" /><Relationship Id="rId14" Type="http://schemas.openxmlformats.org/officeDocument/2006/relationships/hyperlink" Target="http://hron-prostatit.ru" TargetMode="External" /><Relationship Id="rId23" Type="http://schemas.openxmlformats.org/officeDocument/2006/relationships/hyperlink" Target="http://irecommend.ru" TargetMode="External" /><Relationship Id="rId22" Type="http://schemas.openxmlformats.org/officeDocument/2006/relationships/hyperlink" Target="http://forums.rusmedserv.com" TargetMode="External" /><Relationship Id="rId29" Type="http://schemas.openxmlformats.org/officeDocument/2006/relationships/hyperlink" Target="http://forum.steelfactor.ru" TargetMode="External" /><Relationship Id="rId17" Type="http://schemas.openxmlformats.org/officeDocument/2006/relationships/hyperlink" Target="http://woman.ru" TargetMode="External" /><Relationship Id="rId5" Type="http://schemas.openxmlformats.org/officeDocument/2006/relationships/hyperlink" Target="http://sprosivracha.com" TargetMode="External" /><Relationship Id="rId3" Type="http://schemas.openxmlformats.org/officeDocument/2006/relationships/hyperlink" Target="http://dzen.ru" TargetMode="External" /><Relationship Id="rId6" Type="http://schemas.openxmlformats.org/officeDocument/2006/relationships/hyperlink" Target="http://ok.ru" TargetMode="External" /><Relationship Id="rId33" Type="http://schemas.openxmlformats.org/officeDocument/2006/relationships/hyperlink" Target="http://wildberries.ru" TargetMode="External" /><Relationship Id="rId38" Type="http://schemas.openxmlformats.org/officeDocument/2006/relationships/drawing" Target="../drawings/drawing7.xml" /><Relationship Id="rId30" Type="http://schemas.openxmlformats.org/officeDocument/2006/relationships/hyperlink" Target="http://forum.baby.ru" TargetMode="External" /><Relationship Id="rId18" Type="http://schemas.openxmlformats.org/officeDocument/2006/relationships/hyperlink" Target="http://otzovik.com" TargetMode="External" /><Relationship Id="rId11" Type="http://schemas.openxmlformats.org/officeDocument/2006/relationships/hyperlink" Target="http://mom.life" TargetMode="External" /><Relationship Id="rId34" Type="http://schemas.openxmlformats.org/officeDocument/2006/relationships/hyperlink" Target="http://ftour.otzyv.ru" TargetMode="External" /><Relationship Id="rId36" Type="http://schemas.openxmlformats.org/officeDocument/2006/relationships/hyperlink" Target="http://medihost.ru" TargetMode="External" /><Relationship Id="rId20" Type="http://schemas.openxmlformats.org/officeDocument/2006/relationships/hyperlink" Target="http://tiktok.com" TargetMode="External" /><Relationship Id="rId28" Type="http://schemas.openxmlformats.org/officeDocument/2006/relationships/hyperlink" Target="http://otvet.mail.ru" TargetMode="External" /><Relationship Id="rId27" Type="http://schemas.openxmlformats.org/officeDocument/2006/relationships/hyperlink" Target="http://teletype.in" TargetMode="External" /><Relationship Id="rId12" Type="http://schemas.openxmlformats.org/officeDocument/2006/relationships/hyperlink" Target="http://rutube.ru" TargetMode="External" /><Relationship Id="rId37" Type="http://schemas.openxmlformats.org/officeDocument/2006/relationships/hyperlink" Target="http://market.yandex.ru" TargetMode="External" /><Relationship Id="rId32" Type="http://schemas.openxmlformats.org/officeDocument/2006/relationships/hyperlink" Target="http://dadanews.ru" TargetMode="External" /><Relationship Id="rId7" Type="http://schemas.openxmlformats.org/officeDocument/2006/relationships/hyperlink" Target="http://youtube.com" TargetMode="External" /><Relationship Id="rId16" Type="http://schemas.openxmlformats.org/officeDocument/2006/relationships/hyperlink" Target="http://pikabu.ru" TargetMode="External" /><Relationship Id="rId9" Type="http://schemas.openxmlformats.org/officeDocument/2006/relationships/hyperlink" Target="http://instagram.com" TargetMode="External" /><Relationship Id="rId1" Type="http://schemas.openxmlformats.org/officeDocument/2006/relationships/hyperlink" Target="http://vk.com" TargetMode="External" /><Relationship Id="rId15" Type="http://schemas.openxmlformats.org/officeDocument/2006/relationships/hyperlink" Target="http://babyblog.ru" TargetMode="External" /></Relationships>
</file>

<file path=xl/worksheets/_rels/sheet15.xml.rels><?xml version="1.0" encoding="UTF-8" standalone="yes"?><Relationships xmlns="http://schemas.openxmlformats.org/package/2006/relationships"><Relationship Id="rId89" Type="http://schemas.openxmlformats.org/officeDocument/2006/relationships/hyperlink" Target="http://ok.ru/group/52171764269129" TargetMode="External" /><Relationship Id="rId91" Type="http://schemas.openxmlformats.org/officeDocument/2006/relationships/hyperlink" Target="http://www.youtube.com/channel/UCksniXe-K1I7NC8tmNDGNjA" TargetMode="External" /><Relationship Id="rId142" Type="http://schemas.openxmlformats.org/officeDocument/2006/relationships/hyperlink" Target="http://www.facebook.com/profile.php?id=180047975857924" TargetMode="External" /><Relationship Id="rId48" Type="http://schemas.openxmlformats.org/officeDocument/2006/relationships/hyperlink" Target="https://www.vashe-mnenie.com/reviews.php?name=trental" TargetMode="External" /><Relationship Id="rId126" Type="http://schemas.openxmlformats.org/officeDocument/2006/relationships/hyperlink" Target="https://dzen.ru/id/5a0b09f2a936f43df63f4406" TargetMode="External" /><Relationship Id="rId101" Type="http://schemas.openxmlformats.org/officeDocument/2006/relationships/hyperlink" Target="https://instagram.com/luly_abdula" TargetMode="External" /><Relationship Id="rId165" Type="http://schemas.openxmlformats.org/officeDocument/2006/relationships/hyperlink" Target="http://www.youtube.com/channel/UCKuzqICdyXvnNNGPkbQivnw" TargetMode="External" /><Relationship Id="rId175" Type="http://schemas.openxmlformats.org/officeDocument/2006/relationships/hyperlink" Target="https://dzen.ru/id/62107cb555365a370a816f80" TargetMode="External" /><Relationship Id="rId140" Type="http://schemas.openxmlformats.org/officeDocument/2006/relationships/hyperlink" Target="http://www.facebook.com/profile.php?id=100035378387882" TargetMode="External" /><Relationship Id="rId218" Type="http://schemas.openxmlformats.org/officeDocument/2006/relationships/hyperlink" Target="https://www.ozon.ru/context/detail/id/754700631" TargetMode="External" /><Relationship Id="rId185" Type="http://schemas.openxmlformats.org/officeDocument/2006/relationships/hyperlink" Target="http://vk.com/club215871371" TargetMode="External" /><Relationship Id="rId138" Type="http://schemas.openxmlformats.org/officeDocument/2006/relationships/hyperlink" Target="https://irecommend.ru/content/vazodilatiruyushchee-sredstvo-sanofi-aventis-trental" TargetMode="External" /><Relationship Id="rId219" Type="http://schemas.openxmlformats.org/officeDocument/2006/relationships/hyperlink" Target="https://www.tiktok.com/@dok.kirillova" TargetMode="External" /><Relationship Id="rId130" Type="http://schemas.openxmlformats.org/officeDocument/2006/relationships/hyperlink" Target="http://vk.com/club169469876" TargetMode="External" /><Relationship Id="rId88" Type="http://schemas.openxmlformats.org/officeDocument/2006/relationships/hyperlink" Target="http://vk.com/club112497291" TargetMode="External" /><Relationship Id="rId184" Type="http://schemas.openxmlformats.org/officeDocument/2006/relationships/hyperlink" Target="https://dzen.ru/id/5f10c2705b8c597418428eae" TargetMode="External" /><Relationship Id="rId8" Type="http://schemas.openxmlformats.org/officeDocument/2006/relationships/hyperlink" Target="https://hron-prostatit.ru/forum/viewforum.php?f=4" TargetMode="External" /><Relationship Id="rId183" Type="http://schemas.openxmlformats.org/officeDocument/2006/relationships/hyperlink" Target="https://web.telegram.org/#/im?p=@dr_sveta" TargetMode="External" /><Relationship Id="rId134" Type="http://schemas.openxmlformats.org/officeDocument/2006/relationships/hyperlink" Target="http://www.facebook.com/profile.php?id=100005065122372" TargetMode="External" /><Relationship Id="rId35" Type="http://schemas.openxmlformats.org/officeDocument/2006/relationships/hyperlink" Target="https://dzen.ru/id/5e6f8929a238dc1744a2e67f" TargetMode="External" /><Relationship Id="rId168" Type="http://schemas.openxmlformats.org/officeDocument/2006/relationships/hyperlink" Target="http://ok.ru/group/68602594918435" TargetMode="External" /><Relationship Id="rId260" Type="http://schemas.openxmlformats.org/officeDocument/2006/relationships/hyperlink" Target="https://otzyv.pro/category/nootropnyie-preparatyi/25346-trental.html" TargetMode="External" /><Relationship Id="rId285" Type="http://schemas.openxmlformats.org/officeDocument/2006/relationships/hyperlink" Target="https://sprosivracha.com/questions/4368061-babushka-stala-sovsem-ploho-hodit" TargetMode="External" /><Relationship Id="rId103" Type="http://schemas.openxmlformats.org/officeDocument/2006/relationships/hyperlink" Target="http://ok.ru/group/55695437463587" TargetMode="External" /><Relationship Id="rId221" Type="http://schemas.openxmlformats.org/officeDocument/2006/relationships/hyperlink" Target="https://www.tiktok.com/@makarov_batumi" TargetMode="External" /><Relationship Id="rId148" Type="http://schemas.openxmlformats.org/officeDocument/2006/relationships/hyperlink" Target="http://ok.ru/group/54782456954971" TargetMode="External" /><Relationship Id="rId253" Type="http://schemas.openxmlformats.org/officeDocument/2006/relationships/hyperlink" Target="http://vk.com/club235949966" TargetMode="External" /><Relationship Id="rId96" Type="http://schemas.openxmlformats.org/officeDocument/2006/relationships/hyperlink" Target="http://www.facebook.com/profile.php?id=100005165671504" TargetMode="External" /><Relationship Id="rId164" Type="http://schemas.openxmlformats.org/officeDocument/2006/relationships/hyperlink" Target="http://vk.com/club206214408" TargetMode="External" /><Relationship Id="rId241" Type="http://schemas.openxmlformats.org/officeDocument/2006/relationships/hyperlink" Target="http://vk.com/club233198825" TargetMode="External" /><Relationship Id="rId13" Type="http://schemas.openxmlformats.org/officeDocument/2006/relationships/hyperlink" Target="https://instagram.com/ps.popov" TargetMode="External" /><Relationship Id="rId38" Type="http://schemas.openxmlformats.org/officeDocument/2006/relationships/hyperlink" Target="https://www.ozon.ru/context/detail/id/711343209" TargetMode="External" /><Relationship Id="rId223" Type="http://schemas.openxmlformats.org/officeDocument/2006/relationships/hyperlink" Target="http://vk.com/club229000699" TargetMode="External" /><Relationship Id="rId181" Type="http://schemas.openxmlformats.org/officeDocument/2006/relationships/hyperlink" Target="http://www.facebook.com/profile.php?id=100004009910617" TargetMode="External" /><Relationship Id="rId149" Type="http://schemas.openxmlformats.org/officeDocument/2006/relationships/hyperlink" Target="http://vk.com/club166491509" TargetMode="External" /><Relationship Id="rId113" Type="http://schemas.openxmlformats.org/officeDocument/2006/relationships/hyperlink" Target="http://vk.com/club149695687" TargetMode="External" /><Relationship Id="rId84" Type="http://schemas.openxmlformats.org/officeDocument/2006/relationships/hyperlink" Target="http://www.facebook.com/profile.php?id=100001816816435" TargetMode="External" /><Relationship Id="rId11" Type="http://schemas.openxmlformats.org/officeDocument/2006/relationships/hyperlink" Target="http://vk.com/club131908471" TargetMode="External" /><Relationship Id="rId125" Type="http://schemas.openxmlformats.org/officeDocument/2006/relationships/hyperlink" Target="https://web.telegram.org/#/im?p=@ivnvo" TargetMode="External" /><Relationship Id="rId271" Type="http://schemas.openxmlformats.org/officeDocument/2006/relationships/hyperlink" Target="https://sprosivracha.com/questions/4321477-bolit-stopa" TargetMode="External" /><Relationship Id="rId158" Type="http://schemas.openxmlformats.org/officeDocument/2006/relationships/hyperlink" Target="http://ok.ru/group/65900379045923" TargetMode="External" /><Relationship Id="rId263" Type="http://schemas.openxmlformats.org/officeDocument/2006/relationships/hyperlink" Target="https://sprosivracha.com/questions/4302256-rasseyanyy-skleroz-vozmozhno-obostrenie" TargetMode="External" /><Relationship Id="rId10" Type="http://schemas.openxmlformats.org/officeDocument/2006/relationships/hyperlink" Target="http://vk.com/club118324715" TargetMode="External" /><Relationship Id="rId129" Type="http://schemas.openxmlformats.org/officeDocument/2006/relationships/hyperlink" Target="http://ok.ru/group/55077875286120" TargetMode="External" /><Relationship Id="rId19" Type="http://schemas.openxmlformats.org/officeDocument/2006/relationships/hyperlink" Target="http://vk.com/club217589574" TargetMode="External" /><Relationship Id="rId176" Type="http://schemas.openxmlformats.org/officeDocument/2006/relationships/hyperlink" Target="https://web.telegram.org/#/im?p=@grizhapro" TargetMode="External" /><Relationship Id="rId25" Type="http://schemas.openxmlformats.org/officeDocument/2006/relationships/hyperlink" Target="http://vk.com/club25882042" TargetMode="External" /><Relationship Id="rId137" Type="http://schemas.openxmlformats.org/officeDocument/2006/relationships/hyperlink" Target="http://vk.com/club175752600" TargetMode="External" /><Relationship Id="rId215" Type="http://schemas.openxmlformats.org/officeDocument/2006/relationships/hyperlink" Target="https://web.telegram.org/#/im?p=@zdorovie_i_me" TargetMode="External" /><Relationship Id="rId233" Type="http://schemas.openxmlformats.org/officeDocument/2006/relationships/hyperlink" Target="https://web.telegram.org/#/im?p=@boston_terrier_here" TargetMode="External" /><Relationship Id="rId54" Type="http://schemas.openxmlformats.org/officeDocument/2006/relationships/hyperlink" Target="https://forums.rusmedserv.com/showthread.php?t=501236" TargetMode="External" /><Relationship Id="rId29" Type="http://schemas.openxmlformats.org/officeDocument/2006/relationships/hyperlink" Target="http://vk.com/club42224436" TargetMode="External" /><Relationship Id="rId122" Type="http://schemas.openxmlformats.org/officeDocument/2006/relationships/hyperlink" Target="https://instagram.com/dr_kozlova_antonina" TargetMode="External" /><Relationship Id="rId21" Type="http://schemas.openxmlformats.org/officeDocument/2006/relationships/hyperlink" Target="https://sprosivracha.com/questions/4318945-povyshennyy-gemoglobin-u-muzhchiny" TargetMode="External" /><Relationship Id="rId99" Type="http://schemas.openxmlformats.org/officeDocument/2006/relationships/hyperlink" Target="http://ok.ru/profile/523027629056" TargetMode="External" /><Relationship Id="rId192" Type="http://schemas.openxmlformats.org/officeDocument/2006/relationships/hyperlink" Target="https://www.wildberries.ru/catalog/138992242/detail.aspx" TargetMode="External" /><Relationship Id="rId82" Type="http://schemas.openxmlformats.org/officeDocument/2006/relationships/hyperlink" Target="http://vk.com/id207151277" TargetMode="External" /><Relationship Id="rId7" Type="http://schemas.openxmlformats.org/officeDocument/2006/relationships/hyperlink" Target="https://web.telegram.org/#/im?p=@hamovnikipoleznychatik" TargetMode="External" /><Relationship Id="rId193" Type="http://schemas.openxmlformats.org/officeDocument/2006/relationships/hyperlink" Target="http://vk.com/club219255672" TargetMode="External" /><Relationship Id="rId228" Type="http://schemas.openxmlformats.org/officeDocument/2006/relationships/hyperlink" Target="https://mom.life/channel/55d0e592853983ed068b456a" TargetMode="External" /><Relationship Id="rId195" Type="http://schemas.openxmlformats.org/officeDocument/2006/relationships/hyperlink" Target="https://www.woman.ru/health/medley7/thread/4982316" TargetMode="External" /><Relationship Id="rId50" Type="http://schemas.openxmlformats.org/officeDocument/2006/relationships/hyperlink" Target="https://web.telegram.org/#/im?p=@beremennost_pregnancy" TargetMode="External" /><Relationship Id="rId132" Type="http://schemas.openxmlformats.org/officeDocument/2006/relationships/hyperlink" Target="https://instagram.com/kahidov" TargetMode="External" /><Relationship Id="rId217" Type="http://schemas.openxmlformats.org/officeDocument/2006/relationships/hyperlink" Target="https://otzovik.com/reviews/klinika_zdravklinik_russia_moscow" TargetMode="External" /><Relationship Id="rId229" Type="http://schemas.openxmlformats.org/officeDocument/2006/relationships/hyperlink" Target="https://otvet.mail.ru/profile/id317415007" TargetMode="External" /><Relationship Id="rId100" Type="http://schemas.openxmlformats.org/officeDocument/2006/relationships/hyperlink" Target="http://vk.com/club132664992" TargetMode="External" /><Relationship Id="rId75" Type="http://schemas.openxmlformats.org/officeDocument/2006/relationships/hyperlink" Target="http://vk.com/club58170807" TargetMode="External" /><Relationship Id="rId44" Type="http://schemas.openxmlformats.org/officeDocument/2006/relationships/hyperlink" Target="http://vk.com/club231508037" TargetMode="External" /><Relationship Id="rId4" Type="http://schemas.openxmlformats.org/officeDocument/2006/relationships/hyperlink" Target="http://vk.com/club171736200" TargetMode="External" /><Relationship Id="rId6" Type="http://schemas.openxmlformats.org/officeDocument/2006/relationships/hyperlink" Target="https://dzen.ru/id/59c4d5894bf161c6efdacbb0" TargetMode="External" /><Relationship Id="rId235" Type="http://schemas.openxmlformats.org/officeDocument/2006/relationships/hyperlink" Target="https://threads.com/@artem1983m" TargetMode="External" /><Relationship Id="rId275" Type="http://schemas.openxmlformats.org/officeDocument/2006/relationships/hyperlink" Target="https://www.woman.ru/forum/3/relations/sex/thread-devochki-posovetuyte-nash-vozbuditel-id6424968" TargetMode="External" /><Relationship Id="rId280" Type="http://schemas.openxmlformats.org/officeDocument/2006/relationships/hyperlink" Target="https://sprosivracha.com/questions/4352389-ishemicheskiy-pravostoronniy-insult-u-dedushki-90-let" TargetMode="External" /><Relationship Id="rId169" Type="http://schemas.openxmlformats.org/officeDocument/2006/relationships/hyperlink" Target="http://vk.com/club209406938" TargetMode="External" /><Relationship Id="rId262" Type="http://schemas.openxmlformats.org/officeDocument/2006/relationships/hyperlink" Target="https://ftour.otzyv.ru/tema/269515/1340" TargetMode="External" /><Relationship Id="rId51" Type="http://schemas.openxmlformats.org/officeDocument/2006/relationships/hyperlink" Target="https://www.babyplan.ru/forums/topic/139903-povtorjajushhiesja-bhb" TargetMode="External" /><Relationship Id="rId37" Type="http://schemas.openxmlformats.org/officeDocument/2006/relationships/hyperlink" Target="http://vk.com/club223258406" TargetMode="External" /><Relationship Id="rId76" Type="http://schemas.openxmlformats.org/officeDocument/2006/relationships/hyperlink" Target="http://vk.com/club25201586" TargetMode="External" /><Relationship Id="rId77" Type="http://schemas.openxmlformats.org/officeDocument/2006/relationships/hyperlink" Target="http://vk.com/club30913680" TargetMode="External" /><Relationship Id="rId66" Type="http://schemas.openxmlformats.org/officeDocument/2006/relationships/hyperlink" Target="http://vk.com/club64697447" TargetMode="External" /><Relationship Id="rId147" Type="http://schemas.openxmlformats.org/officeDocument/2006/relationships/hyperlink" Target="http://vk.com/club193354828" TargetMode="External" /><Relationship Id="rId161" Type="http://schemas.openxmlformats.org/officeDocument/2006/relationships/hyperlink" Target="https://forum.steelfactor.ru/index.php?showtopic=46978" TargetMode="External" /><Relationship Id="rId222" Type="http://schemas.openxmlformats.org/officeDocument/2006/relationships/hyperlink" Target="http://vk.com/club228862181" TargetMode="External" /><Relationship Id="rId166" Type="http://schemas.openxmlformats.org/officeDocument/2006/relationships/hyperlink" Target="https://web.telegram.org/#/im?p=@darixana_nukus" TargetMode="External" /><Relationship Id="rId86" Type="http://schemas.openxmlformats.org/officeDocument/2006/relationships/hyperlink" Target="http://ok.ru/group/51625046769845" TargetMode="External" /><Relationship Id="rId97" Type="http://schemas.openxmlformats.org/officeDocument/2006/relationships/hyperlink" Target="http://vk.com/club5626752" TargetMode="External" /><Relationship Id="rId155" Type="http://schemas.openxmlformats.org/officeDocument/2006/relationships/hyperlink" Target="http://ok.ru/group/64968977350691" TargetMode="External" /><Relationship Id="rId145" Type="http://schemas.openxmlformats.org/officeDocument/2006/relationships/hyperlink" Target="http://ok.ru/group/62637872906275" TargetMode="External" /><Relationship Id="rId105" Type="http://schemas.openxmlformats.org/officeDocument/2006/relationships/hyperlink" Target="http://www.facebook.com/profile.php?id=799794627" TargetMode="External" /><Relationship Id="rId5" Type="http://schemas.openxmlformats.org/officeDocument/2006/relationships/hyperlink" Target="http://www.youtube.com/channel/UCWaPTBsDgQ84bQQDBykfgsw" TargetMode="External" /><Relationship Id="rId179" Type="http://schemas.openxmlformats.org/officeDocument/2006/relationships/hyperlink" Target="https://web.telegram.org/#/im?p=@kristheme" TargetMode="External" /><Relationship Id="rId259" Type="http://schemas.openxmlformats.org/officeDocument/2006/relationships/hyperlink" Target="http://vk.com/club237610432" TargetMode="External" /><Relationship Id="rId71" Type="http://schemas.openxmlformats.org/officeDocument/2006/relationships/hyperlink" Target="http://vk.com/id123313021" TargetMode="External" /><Relationship Id="rId47" Type="http://schemas.openxmlformats.org/officeDocument/2006/relationships/hyperlink" Target="https://www.otzyvru.com/trental" TargetMode="External" /><Relationship Id="rId206" Type="http://schemas.openxmlformats.org/officeDocument/2006/relationships/hyperlink" Target="https://dzen.ru/id/65d0c3e1762e4434e05212bf" TargetMode="External" /><Relationship Id="rId245" Type="http://schemas.openxmlformats.org/officeDocument/2006/relationships/hyperlink" Target="https://web.telegram.org/#/im?p=@2605536942" TargetMode="External" /><Relationship Id="rId70" Type="http://schemas.openxmlformats.org/officeDocument/2006/relationships/hyperlink" Target="http://vk.com/club74822124" TargetMode="External" /><Relationship Id="rId230" Type="http://schemas.openxmlformats.org/officeDocument/2006/relationships/hyperlink" Target="https://market.yandex.ru/product/1401075805" TargetMode="External" /><Relationship Id="rId104" Type="http://schemas.openxmlformats.org/officeDocument/2006/relationships/hyperlink" Target="http://vk.com/id199272441" TargetMode="External" /><Relationship Id="rId20" Type="http://schemas.openxmlformats.org/officeDocument/2006/relationships/hyperlink" Target="https://web.telegram.org/#/im?p=@ecoterina_blog" TargetMode="External" /><Relationship Id="rId224" Type="http://schemas.openxmlformats.org/officeDocument/2006/relationships/hyperlink" Target="http://www.youtube.com/channel/UCxLwhz0ILbvCiWhSYe3jPeg" TargetMode="External" /><Relationship Id="rId61" Type="http://schemas.openxmlformats.org/officeDocument/2006/relationships/hyperlink" Target="http://www.facebook.com/profile.php?id=100000821827539" TargetMode="External" /><Relationship Id="rId135" Type="http://schemas.openxmlformats.org/officeDocument/2006/relationships/hyperlink" Target="https://instagram.com/doctor.eni" TargetMode="External" /><Relationship Id="rId207" Type="http://schemas.openxmlformats.org/officeDocument/2006/relationships/hyperlink" Target="https://forum.baby.ru/u/usr2132532" TargetMode="External" /><Relationship Id="rId250" Type="http://schemas.openxmlformats.org/officeDocument/2006/relationships/hyperlink" Target="http://vk.com/club235865439" TargetMode="External" /><Relationship Id="rId152" Type="http://schemas.openxmlformats.org/officeDocument/2006/relationships/hyperlink" Target="http://vk.com/club197092538" TargetMode="External" /><Relationship Id="rId273" Type="http://schemas.openxmlformats.org/officeDocument/2006/relationships/hyperlink" Target="https://sprosivracha.com/questions/4326468-onemenie-v-oblasti-pyatok-i-tyazhest-v-nogah-posle-operacii" TargetMode="External" /><Relationship Id="rId279" Type="http://schemas.openxmlformats.org/officeDocument/2006/relationships/hyperlink" Target="https://pikabu.ru/story/_13999811" TargetMode="External" /><Relationship Id="rId283" Type="http://schemas.openxmlformats.org/officeDocument/2006/relationships/hyperlink" Target="https://pikabu.ru/story/_14011323" TargetMode="External" /><Relationship Id="rId108" Type="http://schemas.openxmlformats.org/officeDocument/2006/relationships/hyperlink" Target="http://www.facebook.com/profile.php?id=100011353800327" TargetMode="External" /><Relationship Id="rId49" Type="http://schemas.openxmlformats.org/officeDocument/2006/relationships/hyperlink" Target="https://rutube.ru/video/person/41619480" TargetMode="External" /><Relationship Id="rId220" Type="http://schemas.openxmlformats.org/officeDocument/2006/relationships/hyperlink" Target="https://web.telegram.org/#/im?p=@batr_fit" TargetMode="External" /><Relationship Id="rId57" Type="http://schemas.openxmlformats.org/officeDocument/2006/relationships/hyperlink" Target="https://sprosivracha.com/questions/4345843-bolezn-byurgera" TargetMode="External" /><Relationship Id="rId133" Type="http://schemas.openxmlformats.org/officeDocument/2006/relationships/hyperlink" Target="http://vk.com/club172880205" TargetMode="External" /><Relationship Id="rId255" Type="http://schemas.openxmlformats.org/officeDocument/2006/relationships/hyperlink" Target="https://mom.life/user/699a006386aa2543640a2ece" TargetMode="External" /><Relationship Id="rId17" Type="http://schemas.openxmlformats.org/officeDocument/2006/relationships/hyperlink" Target="https://www.babyblog.ru/community/happypregn" TargetMode="External" /><Relationship Id="rId225" Type="http://schemas.openxmlformats.org/officeDocument/2006/relationships/hyperlink" Target="http://vk.com/club227669108" TargetMode="External" /><Relationship Id="rId244" Type="http://schemas.openxmlformats.org/officeDocument/2006/relationships/hyperlink" Target="https://instagram.com/morozov.andrei.official" TargetMode="External" /><Relationship Id="rId72" Type="http://schemas.openxmlformats.org/officeDocument/2006/relationships/hyperlink" Target="http://vk.com/id13041644" TargetMode="External" /><Relationship Id="rId162" Type="http://schemas.openxmlformats.org/officeDocument/2006/relationships/hyperlink" Target="http://www.youtube.com/channel/UCACxYUqXai-PhTBwBJEBB7g" TargetMode="External" /><Relationship Id="rId189" Type="http://schemas.openxmlformats.org/officeDocument/2006/relationships/hyperlink" Target="https://web.telegram.org/#/im?p=@infect_voenmed" TargetMode="External" /><Relationship Id="rId213" Type="http://schemas.openxmlformats.org/officeDocument/2006/relationships/hyperlink" Target="http://vk.com/club226299499" TargetMode="External" /><Relationship Id="rId90" Type="http://schemas.openxmlformats.org/officeDocument/2006/relationships/hyperlink" Target="http://ok.ru/group/52161146519625" TargetMode="External" /><Relationship Id="rId212" Type="http://schemas.openxmlformats.org/officeDocument/2006/relationships/hyperlink" Target="https://mom.life/user/5d92597f47da0052e87d2560" TargetMode="External" /><Relationship Id="rId251" Type="http://schemas.openxmlformats.org/officeDocument/2006/relationships/hyperlink" Target="http://vk.com/club235912791" TargetMode="External" /><Relationship Id="rId68" Type="http://schemas.openxmlformats.org/officeDocument/2006/relationships/hyperlink" Target="http://www.facebook.com/profile.php?id=100001690301142" TargetMode="External" /><Relationship Id="rId62" Type="http://schemas.openxmlformats.org/officeDocument/2006/relationships/hyperlink" Target="http://vk.com/id193966433" TargetMode="External" /><Relationship Id="rId1" Type="http://schemas.openxmlformats.org/officeDocument/2006/relationships/hyperlink" Target="http://vk.com/club17990792" TargetMode="External" /><Relationship Id="rId78" Type="http://schemas.openxmlformats.org/officeDocument/2006/relationships/hyperlink" Target="http://vk.com/club35402404" TargetMode="External" /><Relationship Id="rId200" Type="http://schemas.openxmlformats.org/officeDocument/2006/relationships/hyperlink" Target="http://www.youtube.com/channel/UCosNTG9GrBdebSefMoeGRcg" TargetMode="External" /><Relationship Id="rId257" Type="http://schemas.openxmlformats.org/officeDocument/2006/relationships/hyperlink" Target="https://web.telegram.org/#/im?p=@1572358258" TargetMode="External" /><Relationship Id="rId23" Type="http://schemas.openxmlformats.org/officeDocument/2006/relationships/hyperlink" Target="http://vk.com/club49066148" TargetMode="External" /><Relationship Id="rId55" Type="http://schemas.openxmlformats.org/officeDocument/2006/relationships/hyperlink" Target="https://web.telegram.org/#/im?p=@1407442894" TargetMode="External" /><Relationship Id="rId173" Type="http://schemas.openxmlformats.org/officeDocument/2006/relationships/hyperlink" Target="http://vk.com/club211243521" TargetMode="External" /><Relationship Id="rId247" Type="http://schemas.openxmlformats.org/officeDocument/2006/relationships/hyperlink" Target="https://rutube.ru/video/person/73643784" TargetMode="External" /><Relationship Id="rId267" Type="http://schemas.openxmlformats.org/officeDocument/2006/relationships/hyperlink" Target="https://pikabu.ru/story/_13943619" TargetMode="External" /><Relationship Id="rId274" Type="http://schemas.openxmlformats.org/officeDocument/2006/relationships/hyperlink" Target="https://medihost.ru/questions?id=342170" TargetMode="External" /><Relationship Id="rId227" Type="http://schemas.openxmlformats.org/officeDocument/2006/relationships/hyperlink" Target="https://mom.life/channel/5d4811d6ebdb000de72653af" TargetMode="External" /><Relationship Id="rId243" Type="http://schemas.openxmlformats.org/officeDocument/2006/relationships/hyperlink" Target="https://instagram.com/arm_buller" TargetMode="External" /><Relationship Id="rId42" Type="http://schemas.openxmlformats.org/officeDocument/2006/relationships/hyperlink" Target="https://web.telegram.org/#/im?p=@actualphlebology" TargetMode="External" /><Relationship Id="rId87" Type="http://schemas.openxmlformats.org/officeDocument/2006/relationships/hyperlink" Target="http://vk.com/club110220095" TargetMode="External" /><Relationship Id="rId118" Type="http://schemas.openxmlformats.org/officeDocument/2006/relationships/hyperlink" Target="http://vk.com/id450124649" TargetMode="External" /><Relationship Id="rId159" Type="http://schemas.openxmlformats.org/officeDocument/2006/relationships/hyperlink" Target="http://ok.ru/group/66285485228067" TargetMode="External" /><Relationship Id="rId187" Type="http://schemas.openxmlformats.org/officeDocument/2006/relationships/hyperlink" Target="https://web.telegram.org/#/im?p=@1610051836" TargetMode="External" /><Relationship Id="rId163" Type="http://schemas.openxmlformats.org/officeDocument/2006/relationships/hyperlink" Target="http://dadanews.ru" TargetMode="External" /><Relationship Id="rId18" Type="http://schemas.openxmlformats.org/officeDocument/2006/relationships/hyperlink" Target="https://dzen.ru/id/622275bf78e29463273cba64" TargetMode="External" /><Relationship Id="rId39" Type="http://schemas.openxmlformats.org/officeDocument/2006/relationships/hyperlink" Target="https://web.telegram.org/#/im?p=@informchane" TargetMode="External" /><Relationship Id="rId32" Type="http://schemas.openxmlformats.org/officeDocument/2006/relationships/hyperlink" Target="http://vk.com/club177710119" TargetMode="External" /><Relationship Id="rId131" Type="http://schemas.openxmlformats.org/officeDocument/2006/relationships/hyperlink" Target="http://ok.ru/profile/575282624141" TargetMode="External" /><Relationship Id="rId28" Type="http://schemas.openxmlformats.org/officeDocument/2006/relationships/hyperlink" Target="http://vk.com/club88570414" TargetMode="External" /><Relationship Id="rId67" Type="http://schemas.openxmlformats.org/officeDocument/2006/relationships/hyperlink" Target="http://vk.com/club29445319" TargetMode="External" /><Relationship Id="rId24" Type="http://schemas.openxmlformats.org/officeDocument/2006/relationships/hyperlink" Target="http://vk.com/club119027" TargetMode="External" /><Relationship Id="rId270" Type="http://schemas.openxmlformats.org/officeDocument/2006/relationships/hyperlink" Target="https://rutube.ru/video/person/78253766" TargetMode="External" /><Relationship Id="rId156" Type="http://schemas.openxmlformats.org/officeDocument/2006/relationships/hyperlink" Target="http://ok.ru/group/65890095595555" TargetMode="External" /><Relationship Id="rId160" Type="http://schemas.openxmlformats.org/officeDocument/2006/relationships/hyperlink" Target="http://ok.ru/group/66453854027811" TargetMode="External" /><Relationship Id="rId92" Type="http://schemas.openxmlformats.org/officeDocument/2006/relationships/hyperlink" Target="http://www.facebook.com/profile.php?id=100004823103752" TargetMode="External" /><Relationship Id="rId124" Type="http://schemas.openxmlformats.org/officeDocument/2006/relationships/hyperlink" Target="http://www.facebook.com/profile.php?id=100024259613570" TargetMode="External" /><Relationship Id="rId284" Type="http://schemas.openxmlformats.org/officeDocument/2006/relationships/hyperlink" Target="https://sprosivracha.com/questions/4368183-rozha-otek-nogi-infekciya" TargetMode="External" /><Relationship Id="rId269" Type="http://schemas.openxmlformats.org/officeDocument/2006/relationships/hyperlink" Target="https://sprosivracha.com/questions/4315220-oslozhneniya-posle-operacii-na-pozvonochnike" TargetMode="External" /><Relationship Id="rId226" Type="http://schemas.openxmlformats.org/officeDocument/2006/relationships/hyperlink" Target="https://web.telegram.org/#/im?p=@babiesinjune_andmoms" TargetMode="External" /><Relationship Id="rId64" Type="http://schemas.openxmlformats.org/officeDocument/2006/relationships/hyperlink" Target="http://vk.com/club64593569" TargetMode="External" /><Relationship Id="rId151" Type="http://schemas.openxmlformats.org/officeDocument/2006/relationships/hyperlink" Target="https://irecommend.ru/content/gel-doktor-biokon-sinyak-dlya-ekspress-udaleniya-sinyakov-s-toniruyushchim-effektom" TargetMode="External" /><Relationship Id="rId30" Type="http://schemas.openxmlformats.org/officeDocument/2006/relationships/hyperlink" Target="http://vk.com/club117764704" TargetMode="External" /><Relationship Id="rId36" Type="http://schemas.openxmlformats.org/officeDocument/2006/relationships/hyperlink" Target="https://web.telegram.org/#/im?p=@revmomoscow" TargetMode="External" /><Relationship Id="rId114" Type="http://schemas.openxmlformats.org/officeDocument/2006/relationships/hyperlink" Target="http://www.facebook.com/profile.php?id=100000609345114" TargetMode="External" /><Relationship Id="rId119" Type="http://schemas.openxmlformats.org/officeDocument/2006/relationships/hyperlink" Target="http://www.facebook.com/profile.php?id=100022147444966" TargetMode="External" /><Relationship Id="rId59" Type="http://schemas.openxmlformats.org/officeDocument/2006/relationships/hyperlink" Target="https://otzovik.com/reviews/trental_soteks" TargetMode="External" /><Relationship Id="rId121" Type="http://schemas.openxmlformats.org/officeDocument/2006/relationships/hyperlink" Target="http://vk.com/club15967739" TargetMode="External" /><Relationship Id="rId14" Type="http://schemas.openxmlformats.org/officeDocument/2006/relationships/hyperlink" Target="http://www.youtube.com/channel/UCxOrMcy80l0areWExDLFgaA" TargetMode="External" /><Relationship Id="rId128" Type="http://schemas.openxmlformats.org/officeDocument/2006/relationships/hyperlink" Target="https://dzen.ru/id/595f6ede3c50f7579cfcac0c" TargetMode="External" /><Relationship Id="rId83" Type="http://schemas.openxmlformats.org/officeDocument/2006/relationships/hyperlink" Target="http://ok.ru/group/50657161838784" TargetMode="External" /><Relationship Id="rId65" Type="http://schemas.openxmlformats.org/officeDocument/2006/relationships/hyperlink" Target="http://vk.com/club61391520" TargetMode="External" /><Relationship Id="rId196" Type="http://schemas.openxmlformats.org/officeDocument/2006/relationships/hyperlink" Target="http://ok.ru/group/70000002368282" TargetMode="External" /><Relationship Id="rId167" Type="http://schemas.openxmlformats.org/officeDocument/2006/relationships/hyperlink" Target="https://web.telegram.org/#/im?p=@1699667973" TargetMode="External" /><Relationship Id="rId278" Type="http://schemas.openxmlformats.org/officeDocument/2006/relationships/hyperlink" Target="https://sprosivracha.com/questions/4343588-nemeet-guba-i-nos-posle-ushiba-glaza" TargetMode="External" /><Relationship Id="rId252" Type="http://schemas.openxmlformats.org/officeDocument/2006/relationships/hyperlink" Target="https://dzen.ru/id/698d829de5a6106bda5a3db0" TargetMode="External" /><Relationship Id="rId174" Type="http://schemas.openxmlformats.org/officeDocument/2006/relationships/hyperlink" Target="https://web.telegram.org/#/im?p=@1455776108" TargetMode="External" /><Relationship Id="rId157" Type="http://schemas.openxmlformats.org/officeDocument/2006/relationships/hyperlink" Target="http://ok.ru/group/55780516757702" TargetMode="External" /><Relationship Id="rId74" Type="http://schemas.openxmlformats.org/officeDocument/2006/relationships/hyperlink" Target="http://www.youtube.com/channel/UC_C5Vm1gvOBo8vlSYY4MnmA" TargetMode="External" /><Relationship Id="rId73" Type="http://schemas.openxmlformats.org/officeDocument/2006/relationships/hyperlink" Target="http://vk.com/id2084950" TargetMode="External" /><Relationship Id="rId9" Type="http://schemas.openxmlformats.org/officeDocument/2006/relationships/hyperlink" Target="https://nup.ru/topic/10258-viden-3-ja-popytka" TargetMode="External" /><Relationship Id="rId116" Type="http://schemas.openxmlformats.org/officeDocument/2006/relationships/hyperlink" Target="http://vk.com/club153134547" TargetMode="External" /><Relationship Id="rId111" Type="http://schemas.openxmlformats.org/officeDocument/2006/relationships/hyperlink" Target="http://www.facebook.com/profile.php?id=100003398325503" TargetMode="External" /><Relationship Id="rId120" Type="http://schemas.openxmlformats.org/officeDocument/2006/relationships/hyperlink" Target="http://www.facebook.com/profile.php?id=100023342230421" TargetMode="External" /><Relationship Id="rId178" Type="http://schemas.openxmlformats.org/officeDocument/2006/relationships/hyperlink" Target="http://vk.com/club213047982" TargetMode="External" /><Relationship Id="rId198" Type="http://schemas.openxmlformats.org/officeDocument/2006/relationships/hyperlink" Target="https://instagram.com/pro_vizor888" TargetMode="External" /><Relationship Id="rId80" Type="http://schemas.openxmlformats.org/officeDocument/2006/relationships/hyperlink" Target="http://vk.com/club99694181" TargetMode="External" /><Relationship Id="rId150" Type="http://schemas.openxmlformats.org/officeDocument/2006/relationships/hyperlink" Target="https://instagram.com/pro_talina" TargetMode="External" /><Relationship Id="rId208" Type="http://schemas.openxmlformats.org/officeDocument/2006/relationships/hyperlink" Target="http://www.youtube.com/channel/UCKOzubpp5HC1t7-cUjrGlIg" TargetMode="External" /><Relationship Id="rId171" Type="http://schemas.openxmlformats.org/officeDocument/2006/relationships/hyperlink" Target="https://web.telegram.org/#/im?p=@pharmacomlabsnews" TargetMode="External" /><Relationship Id="rId53" Type="http://schemas.openxmlformats.org/officeDocument/2006/relationships/hyperlink" Target="https://sprosivracha.com/questions/4304858-odyshka-posle-aksh" TargetMode="External" /><Relationship Id="rId81" Type="http://schemas.openxmlformats.org/officeDocument/2006/relationships/hyperlink" Target="http://vk.com/id318581728" TargetMode="External" /><Relationship Id="rId249" Type="http://schemas.openxmlformats.org/officeDocument/2006/relationships/hyperlink" Target="https://threads.com/@gnomic8801" TargetMode="External" /><Relationship Id="rId40" Type="http://schemas.openxmlformats.org/officeDocument/2006/relationships/hyperlink" Target="https://web.telegram.org/#/im?p=@semaglu" TargetMode="External" /><Relationship Id="rId261" Type="http://schemas.openxmlformats.org/officeDocument/2006/relationships/hyperlink" Target="http://www.youtube.com/channel/UCxRnwT5qacpzhJx1JR-8Gbg" TargetMode="External" /><Relationship Id="rId27" Type="http://schemas.openxmlformats.org/officeDocument/2006/relationships/hyperlink" Target="http://vk.com/club61570233" TargetMode="External" /><Relationship Id="rId240" Type="http://schemas.openxmlformats.org/officeDocument/2006/relationships/hyperlink" Target="https://threads.com/@madame_cle_" TargetMode="External" /><Relationship Id="rId26" Type="http://schemas.openxmlformats.org/officeDocument/2006/relationships/hyperlink" Target="http://vk.com/club15752015" TargetMode="External" /><Relationship Id="rId95" Type="http://schemas.openxmlformats.org/officeDocument/2006/relationships/hyperlink" Target="http://vk.com/club37094416" TargetMode="External" /><Relationship Id="rId210" Type="http://schemas.openxmlformats.org/officeDocument/2006/relationships/hyperlink" Target="http://vk.com/club226248434" TargetMode="External" /><Relationship Id="rId265" Type="http://schemas.openxmlformats.org/officeDocument/2006/relationships/hyperlink" Target="https://sprosivracha.com/questions/4306509-boli-pri-mocheispuskanii" TargetMode="External" /><Relationship Id="rId197" Type="http://schemas.openxmlformats.org/officeDocument/2006/relationships/hyperlink" Target="http://vk.com/club221308444" TargetMode="External" /><Relationship Id="rId153" Type="http://schemas.openxmlformats.org/officeDocument/2006/relationships/hyperlink" Target="https://dzen.ru/id/5d9a22f96f5f6f00adf62457" TargetMode="External" /><Relationship Id="rId12" Type="http://schemas.openxmlformats.org/officeDocument/2006/relationships/hyperlink" Target="http://vk.com/club149047382" TargetMode="External" /><Relationship Id="rId45" Type="http://schemas.openxmlformats.org/officeDocument/2006/relationships/hyperlink" Target="https://web.telegram.org/#/im?p=@dgdschat" TargetMode="External" /><Relationship Id="rId276" Type="http://schemas.openxmlformats.org/officeDocument/2006/relationships/hyperlink" Target="http://vk.com/club238438025" TargetMode="External" /><Relationship Id="rId264" Type="http://schemas.openxmlformats.org/officeDocument/2006/relationships/hyperlink" Target="https://threads.com/@mommycine" TargetMode="External" /><Relationship Id="rId209" Type="http://schemas.openxmlformats.org/officeDocument/2006/relationships/hyperlink" Target="https://mom.life/user/65205d9de7d91d4302481a33" TargetMode="External" /><Relationship Id="rId141" Type="http://schemas.openxmlformats.org/officeDocument/2006/relationships/hyperlink" Target="https://dzen.ru/id/5935bc1cd7d0a62756e9cd78" TargetMode="External" /><Relationship Id="rId93" Type="http://schemas.openxmlformats.org/officeDocument/2006/relationships/hyperlink" Target="http://vk.com/club118474860" TargetMode="External" /><Relationship Id="rId102" Type="http://schemas.openxmlformats.org/officeDocument/2006/relationships/hyperlink" Target="https://instagram.com/mila.fomina" TargetMode="External" /><Relationship Id="rId139" Type="http://schemas.openxmlformats.org/officeDocument/2006/relationships/hyperlink" Target="http://vk.com/club182515813" TargetMode="External" /><Relationship Id="rId33" Type="http://schemas.openxmlformats.org/officeDocument/2006/relationships/hyperlink" Target="https://web.telegram.org/#/im?p=@epifanovnews" TargetMode="External" /><Relationship Id="rId203" Type="http://schemas.openxmlformats.org/officeDocument/2006/relationships/hyperlink" Target="https://dzen.ru/id/64a2e86494176c3852e42e53" TargetMode="External" /><Relationship Id="rId258" Type="http://schemas.openxmlformats.org/officeDocument/2006/relationships/hyperlink" Target="http://vk.com/club237474828" TargetMode="External" /><Relationship Id="rId205" Type="http://schemas.openxmlformats.org/officeDocument/2006/relationships/hyperlink" Target="https://web.telegram.org/#/im?p=@menyanakrilo" TargetMode="External" /><Relationship Id="rId266" Type="http://schemas.openxmlformats.org/officeDocument/2006/relationships/hyperlink" Target="https://sprosivracha.com/questions/4308352-prolezhni-na-pyatke" TargetMode="External" /><Relationship Id="rId202" Type="http://schemas.openxmlformats.org/officeDocument/2006/relationships/hyperlink" Target="https://web.telegram.org/#/im?p=@cybers" TargetMode="External" /><Relationship Id="rId79" Type="http://schemas.openxmlformats.org/officeDocument/2006/relationships/hyperlink" Target="http://vk.com/club42217841" TargetMode="External" /><Relationship Id="rId177" Type="http://schemas.openxmlformats.org/officeDocument/2006/relationships/hyperlink" Target="https://web.telegram.org/#/im?p=@epifanovnews1" TargetMode="External" /><Relationship Id="rId31" Type="http://schemas.openxmlformats.org/officeDocument/2006/relationships/hyperlink" Target="http://www.facebook.com/profile.php?id=458554734265709" TargetMode="External" /><Relationship Id="rId190" Type="http://schemas.openxmlformats.org/officeDocument/2006/relationships/hyperlink" Target="http://vk.com/club218277808" TargetMode="External" /><Relationship Id="rId268" Type="http://schemas.openxmlformats.org/officeDocument/2006/relationships/hyperlink" Target="https://sprosivracha.com/questions/4308136-gzt-v-38-let-nizkiy-testosteron" TargetMode="External" /><Relationship Id="rId214" Type="http://schemas.openxmlformats.org/officeDocument/2006/relationships/hyperlink" Target="https://web.telegram.org/#/im?p=@mostodaychat" TargetMode="External" /><Relationship Id="rId191" Type="http://schemas.openxmlformats.org/officeDocument/2006/relationships/hyperlink" Target="https://dzen.ru/id/63d576d904f91437db4f6079" TargetMode="External" /><Relationship Id="rId144" Type="http://schemas.openxmlformats.org/officeDocument/2006/relationships/hyperlink" Target="http://vk.com/club192553540" TargetMode="External" /><Relationship Id="rId60" Type="http://schemas.openxmlformats.org/officeDocument/2006/relationships/hyperlink" Target="http://www.facebook.com/profile.php?id=100001058827965" TargetMode="External" /><Relationship Id="rId112" Type="http://schemas.openxmlformats.org/officeDocument/2006/relationships/hyperlink" Target="http://www.facebook.com/profile.php?id=100004399958144" TargetMode="External" /><Relationship Id="rId199" Type="http://schemas.openxmlformats.org/officeDocument/2006/relationships/hyperlink" Target="http://vk.com/club222205353" TargetMode="External" /><Relationship Id="rId136" Type="http://schemas.openxmlformats.org/officeDocument/2006/relationships/hyperlink" Target="https://instagram.com/doctor.kean" TargetMode="External" /><Relationship Id="rId188" Type="http://schemas.openxmlformats.org/officeDocument/2006/relationships/hyperlink" Target="http://vk.com/id753636546" TargetMode="External" /><Relationship Id="rId180" Type="http://schemas.openxmlformats.org/officeDocument/2006/relationships/hyperlink" Target="https://web.telegram.org/#/im?p=@nmic_blokhina" TargetMode="External" /><Relationship Id="rId286" Type="http://schemas.openxmlformats.org/officeDocument/2006/relationships/drawing" Target="../drawings/drawing8.xml" /><Relationship Id="rId94" Type="http://schemas.openxmlformats.org/officeDocument/2006/relationships/hyperlink" Target="http://vk.com/club55541786" TargetMode="External" /><Relationship Id="rId248" Type="http://schemas.openxmlformats.org/officeDocument/2006/relationships/hyperlink" Target="https://threads.com/@kirill19720708" TargetMode="External" /><Relationship Id="rId107" Type="http://schemas.openxmlformats.org/officeDocument/2006/relationships/hyperlink" Target="http://vk.com/club58175895" TargetMode="External" /><Relationship Id="rId272" Type="http://schemas.openxmlformats.org/officeDocument/2006/relationships/hyperlink" Target="https://sprosivracha.com/questions/4323707-perelom-dzhonsa" TargetMode="External" /><Relationship Id="rId211" Type="http://schemas.openxmlformats.org/officeDocument/2006/relationships/hyperlink" Target="http://vk.com/club226278715" TargetMode="External" /><Relationship Id="rId238" Type="http://schemas.openxmlformats.org/officeDocument/2006/relationships/hyperlink" Target="https://web.telegram.org/#/im?p=@like_in_cash" TargetMode="External" /><Relationship Id="rId117" Type="http://schemas.openxmlformats.org/officeDocument/2006/relationships/hyperlink" Target="http://www.facebook.com/profile.php?id=100006312763962" TargetMode="External" /><Relationship Id="rId127" Type="http://schemas.openxmlformats.org/officeDocument/2006/relationships/hyperlink" Target="https://dzen.ru/id/5959e452d7d0a6883223aee1" TargetMode="External" /><Relationship Id="rId216" Type="http://schemas.openxmlformats.org/officeDocument/2006/relationships/hyperlink" Target="https://web.telegram.org/#/im?p=@forums_rms" TargetMode="External" /><Relationship Id="rId109" Type="http://schemas.openxmlformats.org/officeDocument/2006/relationships/hyperlink" Target="http://sojuzpharma.ru" TargetMode="External" /><Relationship Id="rId2" Type="http://schemas.openxmlformats.org/officeDocument/2006/relationships/hyperlink" Target="https://dzen.ru/id/5eaafa59cf77ee27c9421287" TargetMode="External" /><Relationship Id="rId170" Type="http://schemas.openxmlformats.org/officeDocument/2006/relationships/hyperlink" Target="https://web.telegram.org/#/im?p=@1395655902" TargetMode="External" /><Relationship Id="rId246" Type="http://schemas.openxmlformats.org/officeDocument/2006/relationships/hyperlink" Target="http://vk.com/club185694161" TargetMode="External" /><Relationship Id="rId46" Type="http://schemas.openxmlformats.org/officeDocument/2006/relationships/hyperlink" Target="https://web.telegram.org/#/im?p=@chatmcf" TargetMode="External" /><Relationship Id="rId43" Type="http://schemas.openxmlformats.org/officeDocument/2006/relationships/hyperlink" Target="https://instagram.com/pavel_chukhnov" TargetMode="External" /><Relationship Id="rId201" Type="http://schemas.openxmlformats.org/officeDocument/2006/relationships/hyperlink" Target="https://web.telegram.org/#/im?p=@koikchan" TargetMode="External" /><Relationship Id="rId123" Type="http://schemas.openxmlformats.org/officeDocument/2006/relationships/hyperlink" Target="http://www.facebook.com/profile.php?id=100007215365532" TargetMode="External" /><Relationship Id="rId232" Type="http://schemas.openxmlformats.org/officeDocument/2006/relationships/hyperlink" Target="http://vk.com/club232208667" TargetMode="External" /><Relationship Id="rId143" Type="http://schemas.openxmlformats.org/officeDocument/2006/relationships/hyperlink" Target="https://dzen.ru/id/5b5f6cb0320be700acd65bfe" TargetMode="External" /><Relationship Id="rId242" Type="http://schemas.openxmlformats.org/officeDocument/2006/relationships/hyperlink" Target="https://threads.com/@oksanaderunets" TargetMode="External" /><Relationship Id="rId154" Type="http://schemas.openxmlformats.org/officeDocument/2006/relationships/hyperlink" Target="https://dzen.ru/id/5e3d24f28103b13abd405c70" TargetMode="External" /><Relationship Id="rId22" Type="http://schemas.openxmlformats.org/officeDocument/2006/relationships/hyperlink" Target="http://vk.com/club50079856" TargetMode="External" /><Relationship Id="rId236" Type="http://schemas.openxmlformats.org/officeDocument/2006/relationships/hyperlink" Target="https://threads.com/@tatjana.onufrieva" TargetMode="External" /><Relationship Id="rId56" Type="http://schemas.openxmlformats.org/officeDocument/2006/relationships/hyperlink" Target="https://sprosivracha.com/questions/4323146-pochemu-vnizu-nog-zhzhenie-i-krovopodteki" TargetMode="External" /><Relationship Id="rId63" Type="http://schemas.openxmlformats.org/officeDocument/2006/relationships/hyperlink" Target="http://www.facebook.com/profile.php?id=100002108655362" TargetMode="External" /><Relationship Id="rId282" Type="http://schemas.openxmlformats.org/officeDocument/2006/relationships/hyperlink" Target="https://sprosivracha.com/questions/4361026-sineyu-na-holode" TargetMode="External" /><Relationship Id="rId254" Type="http://schemas.openxmlformats.org/officeDocument/2006/relationships/hyperlink" Target="https://max.ru/clariryofmind" TargetMode="External" /><Relationship Id="rId277" Type="http://schemas.openxmlformats.org/officeDocument/2006/relationships/hyperlink" Target="https://sprosivracha.com/questions/4342996-nemeet-ruka" TargetMode="External" /><Relationship Id="rId239" Type="http://schemas.openxmlformats.org/officeDocument/2006/relationships/hyperlink" Target="https://threads.com/@dimasikdoc" TargetMode="External" /><Relationship Id="rId15" Type="http://schemas.openxmlformats.org/officeDocument/2006/relationships/hyperlink" Target="https://dzen.ru/id/5ea3fd8b22b6bd32eecb63f5" TargetMode="External" /><Relationship Id="rId231" Type="http://schemas.openxmlformats.org/officeDocument/2006/relationships/hyperlink" Target="https://teletype.in/@dominantazdorovja" TargetMode="External" /><Relationship Id="rId172" Type="http://schemas.openxmlformats.org/officeDocument/2006/relationships/hyperlink" Target="http://vk.com/id708630637" TargetMode="External" /><Relationship Id="rId110" Type="http://schemas.openxmlformats.org/officeDocument/2006/relationships/hyperlink" Target="http://www.facebook.com/profile.php?id=100001525526292" TargetMode="External" /><Relationship Id="rId34" Type="http://schemas.openxmlformats.org/officeDocument/2006/relationships/hyperlink" Target="http://vk.com/club213272284" TargetMode="External" /><Relationship Id="rId237" Type="http://schemas.openxmlformats.org/officeDocument/2006/relationships/hyperlink" Target="https://web.telegram.org/#/im?p=@glomerulonefritiga" TargetMode="External" /><Relationship Id="rId115" Type="http://schemas.openxmlformats.org/officeDocument/2006/relationships/hyperlink" Target="http://www.youtube.com/channel/UCiXRoPtKroEsb7LRL-8esHg" TargetMode="External" /><Relationship Id="rId3" Type="http://schemas.openxmlformats.org/officeDocument/2006/relationships/hyperlink" Target="http://ok.ru/group/70000001016930" TargetMode="External" /><Relationship Id="rId146" Type="http://schemas.openxmlformats.org/officeDocument/2006/relationships/hyperlink" Target="https://web.telegram.org/#/im?p=@pravoslavievtelege" TargetMode="External" /><Relationship Id="rId58" Type="http://schemas.openxmlformats.org/officeDocument/2006/relationships/hyperlink" Target="https://sprosivracha.com/questions/4346985-sovmestnyy-priem-lekarstv" TargetMode="External" /><Relationship Id="rId98" Type="http://schemas.openxmlformats.org/officeDocument/2006/relationships/hyperlink" Target="http://vk.com/club126883252" TargetMode="External" /><Relationship Id="rId41" Type="http://schemas.openxmlformats.org/officeDocument/2006/relationships/hyperlink" Target="https://web.telegram.org/#/im?p=@d04a_chat" TargetMode="External" /><Relationship Id="rId256" Type="http://schemas.openxmlformats.org/officeDocument/2006/relationships/hyperlink" Target="https://max.ru/id7730183173_biz" TargetMode="External" /><Relationship Id="rId204" Type="http://schemas.openxmlformats.org/officeDocument/2006/relationships/hyperlink" Target="https://web.telegram.org/#/im?p=@dariashuer_chat" TargetMode="External" /><Relationship Id="rId186" Type="http://schemas.openxmlformats.org/officeDocument/2006/relationships/hyperlink" Target="https://dzen.ru/id/614adc4dfebd966f417ce21b" TargetMode="External" /><Relationship Id="rId281" Type="http://schemas.openxmlformats.org/officeDocument/2006/relationships/hyperlink" Target="https://www.woman.ru/forum/all/chat-room/thread-khram-prekrasnogo-pana-id6425242/88" TargetMode="External" /><Relationship Id="rId16" Type="http://schemas.openxmlformats.org/officeDocument/2006/relationships/hyperlink" Target="http://www.youtube.com/channel/UCvaXsE0Uokmax_yXrG2sjYA" TargetMode="External" /><Relationship Id="rId194" Type="http://schemas.openxmlformats.org/officeDocument/2006/relationships/hyperlink" Target="https://web.telegram.org/#/im?p=@oncolyachat" TargetMode="External" /><Relationship Id="rId69" Type="http://schemas.openxmlformats.org/officeDocument/2006/relationships/hyperlink" Target="http://vk.com/club32572053" TargetMode="External" /><Relationship Id="rId85" Type="http://schemas.openxmlformats.org/officeDocument/2006/relationships/hyperlink" Target="http://www.facebook.com/profile.php?id=694726573" TargetMode="External" /><Relationship Id="rId182" Type="http://schemas.openxmlformats.org/officeDocument/2006/relationships/hyperlink" Target="https://web.telegram.org/#/im?p=@mseshnyichat" TargetMode="External" /><Relationship Id="rId52" Type="http://schemas.openxmlformats.org/officeDocument/2006/relationships/hyperlink" Target="http://vk.com/club236733457" TargetMode="External" /><Relationship Id="rId106" Type="http://schemas.openxmlformats.org/officeDocument/2006/relationships/hyperlink" Target="http://www.facebook.com/profile.php?id=100012674343660" TargetMode="External" /><Relationship Id="rId234" Type="http://schemas.openxmlformats.org/officeDocument/2006/relationships/hyperlink" Target="https://web.telegram.org/#/im?p=@2214211507" TargetMode="External" /></Relationships>
</file>

<file path=xl/worksheets/_rels/sheet16.xml.rels><?xml version="1.0" encoding="UTF-8" standalone="yes"?><Relationships xmlns="http://schemas.openxmlformats.org/package/2006/relationships"><Relationship Id="rId222" Type="http://schemas.openxmlformats.org/officeDocument/2006/relationships/hyperlink" Target="https://web.telegram.org/#/im?p=@zdorovie_i_me" TargetMode="External" /><Relationship Id="rId126" Type="http://schemas.openxmlformats.org/officeDocument/2006/relationships/hyperlink" Target="https://medihost.ru/authors/&#1085;&#1074;&#1080;" TargetMode="External" /><Relationship Id="rId141" Type="http://schemas.openxmlformats.org/officeDocument/2006/relationships/hyperlink" Target="http://ok.ru/group/64968977350691" TargetMode="External" /><Relationship Id="rId13" Type="http://schemas.openxmlformats.org/officeDocument/2006/relationships/hyperlink" Target="http://vk.com/id160392480" TargetMode="External" /><Relationship Id="rId131" Type="http://schemas.openxmlformats.org/officeDocument/2006/relationships/hyperlink" Target="http://ok.ru/group/62637872906275" TargetMode="External" /><Relationship Id="rId300" Type="http://schemas.openxmlformats.org/officeDocument/2006/relationships/hyperlink" Target="https://mom.life/user/69dfa987d0b306af410c0268" TargetMode="External" /><Relationship Id="rId34" Type="http://schemas.openxmlformats.org/officeDocument/2006/relationships/hyperlink" Target="https://web.telegram.org/#/im?p=@1030201087" TargetMode="External" /><Relationship Id="rId68" Type="http://schemas.openxmlformats.org/officeDocument/2006/relationships/hyperlink" Target="http://vk.com/id228593450" TargetMode="External" /><Relationship Id="rId161" Type="http://schemas.openxmlformats.org/officeDocument/2006/relationships/hyperlink" Target="http://vk.com/id201751826" TargetMode="External" /><Relationship Id="rId298" Type="http://schemas.openxmlformats.org/officeDocument/2006/relationships/hyperlink" Target="https://otzyv.pro/user/aleksafomina" TargetMode="External" /><Relationship Id="rId64" Type="http://schemas.openxmlformats.org/officeDocument/2006/relationships/hyperlink" Target="http://www.facebook.com/profile.php?id=694726573" TargetMode="External" /><Relationship Id="rId79" Type="http://schemas.openxmlformats.org/officeDocument/2006/relationships/hyperlink" Target="http://ok.ru/profile/523027629056" TargetMode="External" /><Relationship Id="rId113" Type="http://schemas.openxmlformats.org/officeDocument/2006/relationships/hyperlink" Target="https://web.telegram.org/#/im?p=@natem_sam" TargetMode="External" /><Relationship Id="rId213" Type="http://schemas.openxmlformats.org/officeDocument/2006/relationships/hyperlink" Target="https://web.telegram.org/#/im?p=@7062911248" TargetMode="External" /><Relationship Id="rId288" Type="http://schemas.openxmlformats.org/officeDocument/2006/relationships/hyperlink" Target="http://vk.com/club235912791" TargetMode="External" /><Relationship Id="rId181" Type="http://schemas.openxmlformats.org/officeDocument/2006/relationships/hyperlink" Target="http://vk.com/id760792914" TargetMode="External" /><Relationship Id="rId277" Type="http://schemas.openxmlformats.org/officeDocument/2006/relationships/hyperlink" Target="http://www.youtube.com/channel/UCdbCk6qf4f4yYyit8_9U5cQ" TargetMode="External" /><Relationship Id="rId134" Type="http://schemas.openxmlformats.org/officeDocument/2006/relationships/hyperlink" Target="http://vk.com/id501949024" TargetMode="External" /><Relationship Id="rId37" Type="http://schemas.openxmlformats.org/officeDocument/2006/relationships/hyperlink" Target="http://www.facebook.com/profile.php?id=100000821827539" TargetMode="External" /><Relationship Id="rId56" Type="http://schemas.openxmlformats.org/officeDocument/2006/relationships/hyperlink" Target="http://vk.com/id208945354" TargetMode="External" /><Relationship Id="rId50" Type="http://schemas.openxmlformats.org/officeDocument/2006/relationships/hyperlink" Target="http://vk.com/id15401333" TargetMode="External" /><Relationship Id="rId271" Type="http://schemas.openxmlformats.org/officeDocument/2006/relationships/hyperlink" Target="https://sprosivracha.com/authors/&#1040;&#1083;&#1077;&#1085;&#1072;%20&#1064;&#1077;&#1081;&#1087;&#1091;&#1082;" TargetMode="External" /><Relationship Id="rId1" Type="http://schemas.openxmlformats.org/officeDocument/2006/relationships/hyperlink" Target="http://vk.com/id1111874705" TargetMode="External" /><Relationship Id="rId223" Type="http://schemas.openxmlformats.org/officeDocument/2006/relationships/hyperlink" Target="https://web.telegram.org/#/im?p=@forums_rms" TargetMode="External" /><Relationship Id="rId81" Type="http://schemas.openxmlformats.org/officeDocument/2006/relationships/hyperlink" Target="http://ok.ru/group/55695437463587" TargetMode="External" /><Relationship Id="rId143" Type="http://schemas.openxmlformats.org/officeDocument/2006/relationships/hyperlink" Target="http://ok.ru/group/65890095595555" TargetMode="External" /><Relationship Id="rId63" Type="http://schemas.openxmlformats.org/officeDocument/2006/relationships/hyperlink" Target="http://www.facebook.com/profile.php?id=100001816816435" TargetMode="External" /><Relationship Id="rId151" Type="http://schemas.openxmlformats.org/officeDocument/2006/relationships/hyperlink" Target="http://dadanews.ru" TargetMode="External" /><Relationship Id="rId61" Type="http://schemas.openxmlformats.org/officeDocument/2006/relationships/hyperlink" Target="http://vk.com/id318581728" TargetMode="External" /><Relationship Id="rId216" Type="http://schemas.openxmlformats.org/officeDocument/2006/relationships/hyperlink" Target="http://vk.com/club226248434" TargetMode="External" /><Relationship Id="rId175" Type="http://schemas.openxmlformats.org/officeDocument/2006/relationships/hyperlink" Target="https://web.telegram.org/#/im?p=@angiodoc" TargetMode="External" /><Relationship Id="rId192" Type="http://schemas.openxmlformats.org/officeDocument/2006/relationships/hyperlink" Target="https://dzen.ru/id/63986528ad3abc63a232847f" TargetMode="External" /><Relationship Id="rId236" Type="http://schemas.openxmlformats.org/officeDocument/2006/relationships/hyperlink" Target="https://hron-prostatit.ru/authors/&#1050;&#1072;&#1089;" TargetMode="External" /><Relationship Id="rId94" Type="http://schemas.openxmlformats.org/officeDocument/2006/relationships/hyperlink" Target="http://www.facebook.com/profile.php?id=100000609345114" TargetMode="External" /><Relationship Id="rId103" Type="http://schemas.openxmlformats.org/officeDocument/2006/relationships/hyperlink" Target="http://vk.com/id330920114" TargetMode="External" /><Relationship Id="rId232" Type="http://schemas.openxmlformats.org/officeDocument/2006/relationships/hyperlink" Target="https://rutube.ru/video/person/28404014" TargetMode="External" /><Relationship Id="rId43" Type="http://schemas.openxmlformats.org/officeDocument/2006/relationships/hyperlink" Target="http://vk.com/club29445319" TargetMode="External" /><Relationship Id="rId185" Type="http://schemas.openxmlformats.org/officeDocument/2006/relationships/hyperlink" Target="https://sprosivracha.com/authors/&#1057;&#1077;&#1088;&#1075;&#1077;&#1081;" TargetMode="External" /><Relationship Id="rId302" Type="http://schemas.openxmlformats.org/officeDocument/2006/relationships/hyperlink" Target="https://web.telegram.org/#/im?p=@udzhin80" TargetMode="External" /><Relationship Id="rId235" Type="http://schemas.openxmlformats.org/officeDocument/2006/relationships/hyperlink" Target="http://vk.com/club228862181" TargetMode="External" /><Relationship Id="rId219" Type="http://schemas.openxmlformats.org/officeDocument/2006/relationships/hyperlink" Target="http://vk.com/club226299499" TargetMode="External" /><Relationship Id="rId226" Type="http://schemas.openxmlformats.org/officeDocument/2006/relationships/hyperlink" Target="https://market.yandex.ru/user/0n8c3nhne2au0fdbvvqxctkq4g" TargetMode="External" /><Relationship Id="rId240" Type="http://schemas.openxmlformats.org/officeDocument/2006/relationships/hyperlink" Target="https://web.telegram.org/#/im?p=@annamuklaeva" TargetMode="External" /><Relationship Id="rId191" Type="http://schemas.openxmlformats.org/officeDocument/2006/relationships/hyperlink" Target="http://vk.com/id766994370" TargetMode="External" /><Relationship Id="rId202" Type="http://schemas.openxmlformats.org/officeDocument/2006/relationships/hyperlink" Target="https://dzen.ru/id/5d394fc5e4f39f00ae200d32" TargetMode="External" /><Relationship Id="rId248" Type="http://schemas.openxmlformats.org/officeDocument/2006/relationships/hyperlink" Target="https://www.ozon.ru/context/client_opinion/ClientGuid/00000000-0000-0000-0000-000000000000#&#1055;&#1072;&#1074;&#1077;&#1083;%20&#1056;." TargetMode="External" /><Relationship Id="rId96" Type="http://schemas.openxmlformats.org/officeDocument/2006/relationships/hyperlink" Target="http://www.facebook.com/profile.php?id=100006312763962" TargetMode="External" /><Relationship Id="rId165" Type="http://schemas.openxmlformats.org/officeDocument/2006/relationships/hyperlink" Target="https://web.telegram.org/#/im?p=@1798766867" TargetMode="External" /><Relationship Id="rId182" Type="http://schemas.openxmlformats.org/officeDocument/2006/relationships/hyperlink" Target="https://www.tiktok.com/@shamulba" TargetMode="External" /><Relationship Id="rId258" Type="http://schemas.openxmlformats.org/officeDocument/2006/relationships/hyperlink" Target="https://web.telegram.org/#/im?p=@mska2025" TargetMode="External" /><Relationship Id="rId95" Type="http://schemas.openxmlformats.org/officeDocument/2006/relationships/hyperlink" Target="http://ok.ru/profile/572835117014" TargetMode="External" /><Relationship Id="rId208" Type="http://schemas.openxmlformats.org/officeDocument/2006/relationships/hyperlink" Target="https://www.babyblog.ru/user/onalesya1" TargetMode="External" /><Relationship Id="rId12" Type="http://schemas.openxmlformats.org/officeDocument/2006/relationships/hyperlink" Target="http://vk.com/id165307226" TargetMode="External" /><Relationship Id="rId250" Type="http://schemas.openxmlformats.org/officeDocument/2006/relationships/hyperlink" Target="https://www.ozon.ru/context/client_opinion/ClientGuid/00000000-0000-0000-0000-000000000000#&#1070;&#1083;&#1080;&#1103;%20&#1056;." TargetMode="External" /><Relationship Id="rId239" Type="http://schemas.openxmlformats.org/officeDocument/2006/relationships/hyperlink" Target="https://web.telegram.org/#/im?p=@anastasiyaspadareva" TargetMode="External" /><Relationship Id="rId267" Type="http://schemas.openxmlformats.org/officeDocument/2006/relationships/hyperlink" Target="https://threads.com/@madame_cle_" TargetMode="External" /><Relationship Id="rId259" Type="http://schemas.openxmlformats.org/officeDocument/2006/relationships/hyperlink" Target="https://nup.ru/#rewet" TargetMode="External" /><Relationship Id="rId190" Type="http://schemas.openxmlformats.org/officeDocument/2006/relationships/hyperlink" Target="https://sprosivracha.com/authors/&#1046;&#1072;&#1085;&#1085;&#1072;" TargetMode="External" /><Relationship Id="rId85" Type="http://schemas.openxmlformats.org/officeDocument/2006/relationships/hyperlink" Target="http://vk.com/id199272441" TargetMode="External" /><Relationship Id="rId46" Type="http://schemas.openxmlformats.org/officeDocument/2006/relationships/hyperlink" Target="http://vk.com/id260441521" TargetMode="External" /><Relationship Id="rId242" Type="http://schemas.openxmlformats.org/officeDocument/2006/relationships/hyperlink" Target="https://dzen.ru/id/61d0906bf5cf2400b384a3a3" TargetMode="External" /><Relationship Id="rId152" Type="http://schemas.openxmlformats.org/officeDocument/2006/relationships/hyperlink" Target="http://www.youtube.com/channel/UCvaXsE0Uokmax_yXrG2sjYA" TargetMode="External" /><Relationship Id="rId319" Type="http://schemas.openxmlformats.org/officeDocument/2006/relationships/hyperlink" Target="https://www.wildberries.ru/profile/RWHbm5SgopupK0XLs4SjDklqX5rw1br0U6tZx3UOisaz" TargetMode="External" /><Relationship Id="rId173" Type="http://schemas.openxmlformats.org/officeDocument/2006/relationships/hyperlink" Target="https://dzen.ru/id/615dfcc3ca7ecd0395063799" TargetMode="External" /><Relationship Id="rId147" Type="http://schemas.openxmlformats.org/officeDocument/2006/relationships/hyperlink" Target="http://ok.ru/group/66285485228067" TargetMode="External" /><Relationship Id="rId119" Type="http://schemas.openxmlformats.org/officeDocument/2006/relationships/hyperlink" Target="http://vk.com/id370695184" TargetMode="External" /><Relationship Id="rId214" Type="http://schemas.openxmlformats.org/officeDocument/2006/relationships/hyperlink" Target="http://vk.com/id741139354" TargetMode="External" /><Relationship Id="rId244" Type="http://schemas.openxmlformats.org/officeDocument/2006/relationships/hyperlink" Target="http://vk.com/club227669108" TargetMode="External" /><Relationship Id="rId87" Type="http://schemas.openxmlformats.org/officeDocument/2006/relationships/hyperlink" Target="http://www.facebook.com/profile.php?id=799794627" TargetMode="External" /><Relationship Id="rId249" Type="http://schemas.openxmlformats.org/officeDocument/2006/relationships/hyperlink" Target="https://www.ozon.ru/context/client_opinion/ClientGuid/00000000-0000-0000-0000-000000000000#&#1052;&#1080;&#1093;&#1072;&#1080;&#1083;%20&#1050;." TargetMode="External" /><Relationship Id="rId234" Type="http://schemas.openxmlformats.org/officeDocument/2006/relationships/hyperlink" Target="https://web.telegram.org/#/im?p=@d04a_chat" TargetMode="External" /><Relationship Id="rId287" Type="http://schemas.openxmlformats.org/officeDocument/2006/relationships/hyperlink" Target="http://vk.com/club235865439" TargetMode="External" /><Relationship Id="rId279" Type="http://schemas.openxmlformats.org/officeDocument/2006/relationships/hyperlink" Target="https://web.telegram.org/#/im?p=@2605536942" TargetMode="External" /><Relationship Id="rId89" Type="http://schemas.openxmlformats.org/officeDocument/2006/relationships/hyperlink" Target="http://www.facebook.com/profile.php?id=100011353800327" TargetMode="External" /><Relationship Id="rId283" Type="http://schemas.openxmlformats.org/officeDocument/2006/relationships/hyperlink" Target="https://mom.life/user/691c555d258168052e026ef0" TargetMode="External" /><Relationship Id="rId39" Type="http://schemas.openxmlformats.org/officeDocument/2006/relationships/hyperlink" Target="http://vk.com/id3789070" TargetMode="External" /><Relationship Id="rId15" Type="http://schemas.openxmlformats.org/officeDocument/2006/relationships/hyperlink" Target="http://vk.com/id7627055" TargetMode="External" /><Relationship Id="rId9" Type="http://schemas.openxmlformats.org/officeDocument/2006/relationships/hyperlink" Target="http://www.youtube.com/channel/UCxOrMcy80l0areWExDLFgaA" TargetMode="External" /><Relationship Id="rId320" Type="http://schemas.openxmlformats.org/officeDocument/2006/relationships/drawing" Target="../drawings/drawing9.xml" /><Relationship Id="rId6" Type="http://schemas.openxmlformats.org/officeDocument/2006/relationships/hyperlink" Target="http://vk.com/id1115732629" TargetMode="External" /><Relationship Id="rId144" Type="http://schemas.openxmlformats.org/officeDocument/2006/relationships/hyperlink" Target="http://ok.ru/group/55780516757702" TargetMode="External" /><Relationship Id="rId158" Type="http://schemas.openxmlformats.org/officeDocument/2006/relationships/hyperlink" Target="https://web.telegram.org/#/im?p=@770870676" TargetMode="External" /><Relationship Id="rId221" Type="http://schemas.openxmlformats.org/officeDocument/2006/relationships/hyperlink" Target="https://mom.life/user/6691732f883d963458177ce6" TargetMode="External" /><Relationship Id="rId154" Type="http://schemas.openxmlformats.org/officeDocument/2006/relationships/hyperlink" Target="http://www.youtube.com/channel/UCKuzqICdyXvnNNGPkbQivnw" TargetMode="External" /><Relationship Id="rId16" Type="http://schemas.openxmlformats.org/officeDocument/2006/relationships/hyperlink" Target="http://ok.ru/profile/557381638366" TargetMode="External" /><Relationship Id="rId82" Type="http://schemas.openxmlformats.org/officeDocument/2006/relationships/hyperlink" Target="http://vk.com/id67152682" TargetMode="External" /><Relationship Id="rId275" Type="http://schemas.openxmlformats.org/officeDocument/2006/relationships/hyperlink" Target="https://sprosivracha.com/authors/&#1045;&#1082;&#1072;&#1090;&#1077;&#1088;&#1080;&#1085;&#1072;%20&#1045;&#1078;&#1086;&#1074;&#1072;" TargetMode="External" /><Relationship Id="rId48" Type="http://schemas.openxmlformats.org/officeDocument/2006/relationships/hyperlink" Target="http://vk.com/id17552547" TargetMode="External" /><Relationship Id="rId90" Type="http://schemas.openxmlformats.org/officeDocument/2006/relationships/hyperlink" Target="http://sojuzpharma.ru" TargetMode="External" /><Relationship Id="rId209" Type="http://schemas.openxmlformats.org/officeDocument/2006/relationships/hyperlink" Target="https://dzen.ru/user/1678962437" TargetMode="External" /><Relationship Id="rId150" Type="http://schemas.openxmlformats.org/officeDocument/2006/relationships/hyperlink" Target="http://www.youtube.com/channel/UC9lwQ7VwYPMndl94Yatb7Ww" TargetMode="External" /><Relationship Id="rId272" Type="http://schemas.openxmlformats.org/officeDocument/2006/relationships/hyperlink" Target="https://sprosivracha.com/authors/&#1040;&#1083;&#1077;&#1082;&#1089;&#1072;&#1085;&#1076;&#1088;%20&#1046;&#1091;&#1082;&#1086;&#1074;" TargetMode="External" /><Relationship Id="rId33" Type="http://schemas.openxmlformats.org/officeDocument/2006/relationships/hyperlink" Target="https://instagram.com/mirzaev.186" TargetMode="External" /><Relationship Id="rId203" Type="http://schemas.openxmlformats.org/officeDocument/2006/relationships/hyperlink" Target="https://dzen.ru/id/64d3745696905b12eb226804" TargetMode="External" /><Relationship Id="rId317" Type="http://schemas.openxmlformats.org/officeDocument/2006/relationships/hyperlink" Target="https://otzovik.com/profile/AlisSia27" TargetMode="External" /><Relationship Id="rId2" Type="http://schemas.openxmlformats.org/officeDocument/2006/relationships/hyperlink" Target="http://vk.com/id1209585" TargetMode="External" /><Relationship Id="rId207" Type="http://schemas.openxmlformats.org/officeDocument/2006/relationships/hyperlink" Target="https://www.babyblog.ru/user/id2295545" TargetMode="External" /><Relationship Id="rId28" Type="http://schemas.openxmlformats.org/officeDocument/2006/relationships/hyperlink" Target="https://web.telegram.org/#/im?p=@penesyer" TargetMode="External" /><Relationship Id="rId19" Type="http://schemas.openxmlformats.org/officeDocument/2006/relationships/hyperlink" Target="https://www.otzyvru.com/authors/&#1043;&#1086;&#1089;&#1090;&#1100;" TargetMode="External" /><Relationship Id="rId57" Type="http://schemas.openxmlformats.org/officeDocument/2006/relationships/hyperlink" Target="http://vk.com/id5286837" TargetMode="External" /><Relationship Id="rId55" Type="http://schemas.openxmlformats.org/officeDocument/2006/relationships/hyperlink" Target="http://vk.com/club61570233" TargetMode="External" /><Relationship Id="rId4" Type="http://schemas.openxmlformats.org/officeDocument/2006/relationships/hyperlink" Target="https://sprosivracha.com/authors/&#1051;&#1080;&#1083;&#1080;&#1103;%20&#1040;&#1082;&#1073;&#1072;&#1096;&#1077;&#1074;&#1072;" TargetMode="External" /><Relationship Id="rId252" Type="http://schemas.openxmlformats.org/officeDocument/2006/relationships/hyperlink" Target="https://dzen.ru/user/77lhfkslznwclbekteqdvvxx_fm" TargetMode="External" /><Relationship Id="rId121" Type="http://schemas.openxmlformats.org/officeDocument/2006/relationships/hyperlink" Target="http://vk.com/id206129022" TargetMode="External" /><Relationship Id="rId77" Type="http://schemas.openxmlformats.org/officeDocument/2006/relationships/hyperlink" Target="http://www.facebook.com/profile.php?id=100007192570040" TargetMode="External" /><Relationship Id="rId21" Type="http://schemas.openxmlformats.org/officeDocument/2006/relationships/hyperlink" Target="https://dzen.ru/id/5e6f8929a238dc1744a2e67f" TargetMode="External" /><Relationship Id="rId41" Type="http://schemas.openxmlformats.org/officeDocument/2006/relationships/hyperlink" Target="http://www.facebook.com/profile.php?id=100002108655362" TargetMode="External" /><Relationship Id="rId285" Type="http://schemas.openxmlformats.org/officeDocument/2006/relationships/hyperlink" Target="https://threads.com/@gnomic8801" TargetMode="External" /><Relationship Id="rId231" Type="http://schemas.openxmlformats.org/officeDocument/2006/relationships/hyperlink" Target="http://vk.com/id890364807" TargetMode="External" /><Relationship Id="rId170" Type="http://schemas.openxmlformats.org/officeDocument/2006/relationships/hyperlink" Target="http://www.facebook.com/profile.php?id=100004009910617" TargetMode="External" /><Relationship Id="rId245" Type="http://schemas.openxmlformats.org/officeDocument/2006/relationships/hyperlink" Target="https://hron-prostatit.ru/authors/vito54" TargetMode="External" /><Relationship Id="rId120" Type="http://schemas.openxmlformats.org/officeDocument/2006/relationships/hyperlink" Target="http://vk.com/club179849289" TargetMode="External" /><Relationship Id="rId177" Type="http://schemas.openxmlformats.org/officeDocument/2006/relationships/hyperlink" Target="https://dzen.ru/id/5f72066cba91764cb5da7d65" TargetMode="External" /><Relationship Id="rId26" Type="http://schemas.openxmlformats.org/officeDocument/2006/relationships/hyperlink" Target="https://nup.ru/#ViDen" TargetMode="External" /><Relationship Id="rId75" Type="http://schemas.openxmlformats.org/officeDocument/2006/relationships/hyperlink" Target="https://otvet.mail.ru/profile/id22388379" TargetMode="External" /><Relationship Id="rId112" Type="http://schemas.openxmlformats.org/officeDocument/2006/relationships/hyperlink" Target="http://vk.com/club171736200" TargetMode="External" /><Relationship Id="rId273" Type="http://schemas.openxmlformats.org/officeDocument/2006/relationships/hyperlink" Target="https://sprosivracha.com/authors/&#1053;&#1080;&#1085;&#1072;%20&#1048;&#1079;&#1074;&#1086;&#1079;&#1095;&#1080;&#1082;&#1086;&#1074;&#1072;" TargetMode="External" /><Relationship Id="rId176" Type="http://schemas.openxmlformats.org/officeDocument/2006/relationships/hyperlink" Target="http://vk.com/club215871371" TargetMode="External" /><Relationship Id="rId139" Type="http://schemas.openxmlformats.org/officeDocument/2006/relationships/hyperlink" Target="https://web.telegram.org/#/im?p=@beketovrk" TargetMode="External" /><Relationship Id="rId295" Type="http://schemas.openxmlformats.org/officeDocument/2006/relationships/hyperlink" Target="http://www.youtube.com/channel/UCZ1RK8q-3ekd6Lv090ui_Mg" TargetMode="External" /><Relationship Id="rId76" Type="http://schemas.openxmlformats.org/officeDocument/2006/relationships/hyperlink" Target="http://vk.com/id235493743" TargetMode="External" /><Relationship Id="rId140" Type="http://schemas.openxmlformats.org/officeDocument/2006/relationships/hyperlink" Target="https://instagram.com/r_e_a_l_b_o_y_58" TargetMode="External" /><Relationship Id="rId107" Type="http://schemas.openxmlformats.org/officeDocument/2006/relationships/hyperlink" Target="https://web.telegram.org/#/im?p=@sanechekk" TargetMode="External" /><Relationship Id="rId253" Type="http://schemas.openxmlformats.org/officeDocument/2006/relationships/hyperlink" Target="https://dzen.ru/user/zy8xn3v5arsgfi8gpyu_asblbeq" TargetMode="External" /><Relationship Id="rId169" Type="http://schemas.openxmlformats.org/officeDocument/2006/relationships/hyperlink" Target="http://vk.com/id678931674" TargetMode="External" /><Relationship Id="rId186" Type="http://schemas.openxmlformats.org/officeDocument/2006/relationships/hyperlink" Target="https://sprosivracha.com/authors/&#1040;&#1085;&#1072;&#1089;&#1090;&#1072;&#1089;&#1080;&#1103;" TargetMode="External" /><Relationship Id="rId233" Type="http://schemas.openxmlformats.org/officeDocument/2006/relationships/hyperlink" Target="https://web.telegram.org/#/im?p=@5277775963" TargetMode="External" /><Relationship Id="rId49" Type="http://schemas.openxmlformats.org/officeDocument/2006/relationships/hyperlink" Target="http://vk.com/id171254440" TargetMode="External" /><Relationship Id="rId270" Type="http://schemas.openxmlformats.org/officeDocument/2006/relationships/hyperlink" Target="http://www.youtube.com/channel/UCNGqyR3VwHyjJidsmfdw6Pw" TargetMode="External" /><Relationship Id="rId133" Type="http://schemas.openxmlformats.org/officeDocument/2006/relationships/hyperlink" Target="http://www.youtube.com/channel/UC8rCPm9QZMfOBgR1c5bMpYQ" TargetMode="External" /><Relationship Id="rId160" Type="http://schemas.openxmlformats.org/officeDocument/2006/relationships/hyperlink" Target="https://www.babyplan.ru/profile/361817-darja-smirnova" TargetMode="External" /><Relationship Id="rId100" Type="http://schemas.openxmlformats.org/officeDocument/2006/relationships/hyperlink" Target="https://instagram.com/dr_kozlova_antonina" TargetMode="External" /><Relationship Id="rId194" Type="http://schemas.openxmlformats.org/officeDocument/2006/relationships/hyperlink" Target="https://web.telegram.org/#/im?p=@5305078907" TargetMode="External" /><Relationship Id="rId308" Type="http://schemas.openxmlformats.org/officeDocument/2006/relationships/hyperlink" Target="https://www.woman.ru/authors/&#1043;&#1086;&#1089;&#1090;&#1100;%20%5B3614837798%5D" TargetMode="External" /><Relationship Id="rId210" Type="http://schemas.openxmlformats.org/officeDocument/2006/relationships/hyperlink" Target="http://ok.ru/profile/594299744169" TargetMode="External" /><Relationship Id="rId196" Type="http://schemas.openxmlformats.org/officeDocument/2006/relationships/hyperlink" Target="https://dzen.ru/id/63d576d904f91437db4f6079" TargetMode="External" /><Relationship Id="rId42" Type="http://schemas.openxmlformats.org/officeDocument/2006/relationships/hyperlink" Target="http://vk.com/club64593569" TargetMode="External" /><Relationship Id="rId74" Type="http://schemas.openxmlformats.org/officeDocument/2006/relationships/hyperlink" Target="http://vk.com/club118324715" TargetMode="External" /><Relationship Id="rId101" Type="http://schemas.openxmlformats.org/officeDocument/2006/relationships/hyperlink" Target="http://vk.com/id264045142" TargetMode="External" /><Relationship Id="rId286" Type="http://schemas.openxmlformats.org/officeDocument/2006/relationships/hyperlink" Target="https://web.telegram.org/#/im?p=@parser_part_bot" TargetMode="External" /><Relationship Id="rId227" Type="http://schemas.openxmlformats.org/officeDocument/2006/relationships/hyperlink" Target="https://dzen.ru/id/66fedf8396beda649868a689" TargetMode="External" /><Relationship Id="rId198" Type="http://schemas.openxmlformats.org/officeDocument/2006/relationships/hyperlink" Target="https://web.telegram.org/#/im?p=@1647708250" TargetMode="External" /><Relationship Id="rId311" Type="http://schemas.openxmlformats.org/officeDocument/2006/relationships/hyperlink" Target="https://mom.life/user/6a03e35a7e15d5832e0a91d0" TargetMode="External" /><Relationship Id="rId171" Type="http://schemas.openxmlformats.org/officeDocument/2006/relationships/hyperlink" Target="https://web.telegram.org/#/im?p=@maker072" TargetMode="External" /><Relationship Id="rId73" Type="http://schemas.openxmlformats.org/officeDocument/2006/relationships/hyperlink" Target="http://vk.com/club118474860" TargetMode="External" /><Relationship Id="rId129" Type="http://schemas.openxmlformats.org/officeDocument/2006/relationships/hyperlink" Target="https://pikabu.ru/@paranoidLynx" TargetMode="External" /><Relationship Id="rId91" Type="http://schemas.openxmlformats.org/officeDocument/2006/relationships/hyperlink" Target="http://www.facebook.com/profile.php?id=100001525526292" TargetMode="External" /><Relationship Id="rId251" Type="http://schemas.openxmlformats.org/officeDocument/2006/relationships/hyperlink" Target="https://instagram.com/pavel_chukhnov" TargetMode="External" /><Relationship Id="rId260" Type="http://schemas.openxmlformats.org/officeDocument/2006/relationships/hyperlink" Target="https://web.telegram.org/#/im?p=@2214211507" TargetMode="External" /><Relationship Id="rId246" Type="http://schemas.openxmlformats.org/officeDocument/2006/relationships/hyperlink" Target="https://www.tiktok.com/@laizan02" TargetMode="External" /><Relationship Id="rId153" Type="http://schemas.openxmlformats.org/officeDocument/2006/relationships/hyperlink" Target="https://dzen.ru/id/5eaafa59cf77ee27c9421287" TargetMode="External" /><Relationship Id="rId86" Type="http://schemas.openxmlformats.org/officeDocument/2006/relationships/hyperlink" Target="http://vk.com/id3364355" TargetMode="External" /><Relationship Id="rId284" Type="http://schemas.openxmlformats.org/officeDocument/2006/relationships/hyperlink" Target="https://dzen.ru/id/69673fb99ddcd57294641e04" TargetMode="External" /><Relationship Id="rId117" Type="http://schemas.openxmlformats.org/officeDocument/2006/relationships/hyperlink" Target="https://instagram.com/doctor.kean" TargetMode="External" /><Relationship Id="rId88" Type="http://schemas.openxmlformats.org/officeDocument/2006/relationships/hyperlink" Target="http://www.facebook.com/profile.php?id=100012674343660" TargetMode="External" /><Relationship Id="rId157" Type="http://schemas.openxmlformats.org/officeDocument/2006/relationships/hyperlink" Target="https://web.telegram.org/#/im?p=@pharmacomlabsnews" TargetMode="External" /><Relationship Id="rId174" Type="http://schemas.openxmlformats.org/officeDocument/2006/relationships/hyperlink" Target="https://dzen.ru/id/5f10c2705b8c597418428eae" TargetMode="External" /><Relationship Id="rId102" Type="http://schemas.openxmlformats.org/officeDocument/2006/relationships/hyperlink" Target="http://www.facebook.com/profile.php?id=100007215365532" TargetMode="External" /><Relationship Id="rId204" Type="http://schemas.openxmlformats.org/officeDocument/2006/relationships/hyperlink" Target="https://www.babyblog.ru/user/blackparazittt" TargetMode="External" /><Relationship Id="rId23" Type="http://schemas.openxmlformats.org/officeDocument/2006/relationships/hyperlink" Target="https://sprosivracha.com/authors/&#1042;&#1080;&#1082;&#1072;" TargetMode="External" /><Relationship Id="rId188" Type="http://schemas.openxmlformats.org/officeDocument/2006/relationships/hyperlink" Target="https://sprosivracha.com/authors/&#1051;&#1102;&#1076;&#1084;&#1080;&#1083;&#1072;" TargetMode="External" /><Relationship Id="rId156" Type="http://schemas.openxmlformats.org/officeDocument/2006/relationships/hyperlink" Target="http://ok.ru/group/68602594918435" TargetMode="External" /><Relationship Id="rId65" Type="http://schemas.openxmlformats.org/officeDocument/2006/relationships/hyperlink" Target="http://ok.ru/group/51625046769845" TargetMode="External" /><Relationship Id="rId274" Type="http://schemas.openxmlformats.org/officeDocument/2006/relationships/hyperlink" Target="https://sprosivracha.com/authors/&#1070;&#1083;&#1080;&#1103;%20&#1056;&#1091;&#1076;&#1086;&#1084;&#1072;&#1085;&#1086;&#1074;&#1072;" TargetMode="External" /><Relationship Id="rId40" Type="http://schemas.openxmlformats.org/officeDocument/2006/relationships/hyperlink" Target="http://vk.com/id170936222" TargetMode="External" /><Relationship Id="rId25" Type="http://schemas.openxmlformats.org/officeDocument/2006/relationships/hyperlink" Target="https://web.telegram.org/#/im?p=@lp_stepanida" TargetMode="External" /><Relationship Id="rId32" Type="http://schemas.openxmlformats.org/officeDocument/2006/relationships/hyperlink" Target="http://vk.com/club236733457" TargetMode="External" /><Relationship Id="rId78" Type="http://schemas.openxmlformats.org/officeDocument/2006/relationships/hyperlink" Target="http://www.facebook.com/profile.php?id=100005165671504" TargetMode="External" /><Relationship Id="rId111" Type="http://schemas.openxmlformats.org/officeDocument/2006/relationships/hyperlink" Target="https://pikabu.ru/@FFSet" TargetMode="External" /><Relationship Id="rId148" Type="http://schemas.openxmlformats.org/officeDocument/2006/relationships/hyperlink" Target="http://ok.ru/group/66453854027811" TargetMode="External" /><Relationship Id="rId164" Type="http://schemas.openxmlformats.org/officeDocument/2006/relationships/hyperlink" Target="http://www.youtube.com/channel/UCzSNNl6SMjzeqk2505Oeq4A" TargetMode="External" /><Relationship Id="rId228" Type="http://schemas.openxmlformats.org/officeDocument/2006/relationships/hyperlink" Target="https://web.telegram.org/#/im?p=@papri_ka" TargetMode="External" /><Relationship Id="rId201" Type="http://schemas.openxmlformats.org/officeDocument/2006/relationships/hyperlink" Target="http://www.youtube.com/channel/UCeJzEuWiO54RfOaCMk71yKA" TargetMode="External" /><Relationship Id="rId312" Type="http://schemas.openxmlformats.org/officeDocument/2006/relationships/hyperlink" Target="https://web.telegram.org/#/im?p=@8865043918" TargetMode="External" /><Relationship Id="rId254" Type="http://schemas.openxmlformats.org/officeDocument/2006/relationships/hyperlink" Target="https://dzen.ru/id/683a5da203a9ab31d4266a8b" TargetMode="External" /><Relationship Id="rId123" Type="http://schemas.openxmlformats.org/officeDocument/2006/relationships/hyperlink" Target="http://www.facebook.com/profile.php?id=100035378387882" TargetMode="External" /><Relationship Id="rId67" Type="http://schemas.openxmlformats.org/officeDocument/2006/relationships/hyperlink" Target="http://ok.ru/group/52171764269129" TargetMode="External" /><Relationship Id="rId263" Type="http://schemas.openxmlformats.org/officeDocument/2006/relationships/hyperlink" Target="https://threads.com/@tatjana.onufrieva" TargetMode="External" /><Relationship Id="rId62" Type="http://schemas.openxmlformats.org/officeDocument/2006/relationships/hyperlink" Target="http://vk.com/id207151277" TargetMode="External" /><Relationship Id="rId10" Type="http://schemas.openxmlformats.org/officeDocument/2006/relationships/hyperlink" Target="https://web.telegram.org/#/im?p=@ecoterina_blog" TargetMode="External" /><Relationship Id="rId220" Type="http://schemas.openxmlformats.org/officeDocument/2006/relationships/hyperlink" Target="http://www.youtube.com/channel/UClJhxoTP2ELanup9QKcst3w" TargetMode="External" /><Relationship Id="rId296" Type="http://schemas.openxmlformats.org/officeDocument/2006/relationships/hyperlink" Target="http://vk.com/club237474828" TargetMode="External" /><Relationship Id="rId189" Type="http://schemas.openxmlformats.org/officeDocument/2006/relationships/hyperlink" Target="https://sprosivracha.com/authors/&#1054;&#1082;&#1089;&#1072;&#1085;&#1072;" TargetMode="External" /><Relationship Id="rId93" Type="http://schemas.openxmlformats.org/officeDocument/2006/relationships/hyperlink" Target="http://www.facebook.com/profile.php?id=100004399958144" TargetMode="External" /><Relationship Id="rId36" Type="http://schemas.openxmlformats.org/officeDocument/2006/relationships/hyperlink" Target="http://www.facebook.com/profile.php?id=100001058827965" TargetMode="External" /><Relationship Id="rId132" Type="http://schemas.openxmlformats.org/officeDocument/2006/relationships/hyperlink" Target="http://ok.ru/group/54782456954971" TargetMode="External" /><Relationship Id="rId256" Type="http://schemas.openxmlformats.org/officeDocument/2006/relationships/hyperlink" Target="https://teletype.in/@dominantazdorovja" TargetMode="External" /><Relationship Id="rId130" Type="http://schemas.openxmlformats.org/officeDocument/2006/relationships/hyperlink" Target="http://ok.ru/profile/572037868304" TargetMode="External" /><Relationship Id="rId52" Type="http://schemas.openxmlformats.org/officeDocument/2006/relationships/hyperlink" Target="http://vk.com/club25201586" TargetMode="External" /><Relationship Id="rId243" Type="http://schemas.openxmlformats.org/officeDocument/2006/relationships/hyperlink" Target="https://irecommend.ru/users/zimma208" TargetMode="External" /><Relationship Id="rId136" Type="http://schemas.openxmlformats.org/officeDocument/2006/relationships/hyperlink" Target="http://vk.com/id602488614" TargetMode="External" /><Relationship Id="rId264" Type="http://schemas.openxmlformats.org/officeDocument/2006/relationships/hyperlink" Target="https://web.telegram.org/#/im?p=@nastyadushk" TargetMode="External" /><Relationship Id="rId108" Type="http://schemas.openxmlformats.org/officeDocument/2006/relationships/hyperlink" Target="http://ok.ru/group/55077875286120" TargetMode="External" /><Relationship Id="rId229" Type="http://schemas.openxmlformats.org/officeDocument/2006/relationships/hyperlink" Target="https://web.telegram.org/#/im?p=@batr_fit" TargetMode="External" /><Relationship Id="rId114" Type="http://schemas.openxmlformats.org/officeDocument/2006/relationships/hyperlink" Target="http://www.facebook.com/profile.php?id=100005065122372" TargetMode="External" /><Relationship Id="rId289" Type="http://schemas.openxmlformats.org/officeDocument/2006/relationships/hyperlink" Target="https://dzen.ru/id/698d829de5a6106bda5a3db0" TargetMode="External" /><Relationship Id="rId92" Type="http://schemas.openxmlformats.org/officeDocument/2006/relationships/hyperlink" Target="http://www.facebook.com/profile.php?id=100003398325503" TargetMode="External" /><Relationship Id="rId205" Type="http://schemas.openxmlformats.org/officeDocument/2006/relationships/hyperlink" Target="https://web.telegram.org/#/im?p=@koikchan" TargetMode="External" /><Relationship Id="rId122" Type="http://schemas.openxmlformats.org/officeDocument/2006/relationships/hyperlink" Target="http://www.youtube.com/channel/UCzcBeIBDmIi3AoSEEiVsXVA" TargetMode="External" /><Relationship Id="rId110" Type="http://schemas.openxmlformats.org/officeDocument/2006/relationships/hyperlink" Target="https://instagram.com/m.u.life" TargetMode="External" /><Relationship Id="rId167" Type="http://schemas.openxmlformats.org/officeDocument/2006/relationships/hyperlink" Target="http://www.youtube.com/channel/UCwNb5iZXBZsjwon0FacVTMQ" TargetMode="External" /><Relationship Id="rId316" Type="http://schemas.openxmlformats.org/officeDocument/2006/relationships/hyperlink" Target="https://mom.life/user/6a14345a8a40cc102e0bb78d" TargetMode="External" /><Relationship Id="rId280" Type="http://schemas.openxmlformats.org/officeDocument/2006/relationships/hyperlink" Target="https://dzen.ru/id/69424d3d4f8ad6248027232e" TargetMode="External" /><Relationship Id="rId282" Type="http://schemas.openxmlformats.org/officeDocument/2006/relationships/hyperlink" Target="https://threads.com/@kirill19720708" TargetMode="External" /><Relationship Id="rId44" Type="http://schemas.openxmlformats.org/officeDocument/2006/relationships/hyperlink" Target="http://www.facebook.com/profile.php?id=100001690301142" TargetMode="External" /><Relationship Id="rId297" Type="http://schemas.openxmlformats.org/officeDocument/2006/relationships/hyperlink" Target="https://web.telegram.org/#/im?p=@bigmegabong" TargetMode="External" /><Relationship Id="rId265" Type="http://schemas.openxmlformats.org/officeDocument/2006/relationships/hyperlink" Target="http://vk.com/id1072210181" TargetMode="External" /><Relationship Id="rId18" Type="http://schemas.openxmlformats.org/officeDocument/2006/relationships/hyperlink" Target="https://www.vashe-mnenie.com/authors/&#1043;&#1086;&#1089;&#1090;&#1100;" TargetMode="External" /><Relationship Id="rId3" Type="http://schemas.openxmlformats.org/officeDocument/2006/relationships/hyperlink" Target="http://vk.com/id861782734" TargetMode="External" /><Relationship Id="rId24" Type="http://schemas.openxmlformats.org/officeDocument/2006/relationships/hyperlink" Target="http://vk.com/id773113250" TargetMode="External" /><Relationship Id="rId125" Type="http://schemas.openxmlformats.org/officeDocument/2006/relationships/hyperlink" Target="https://web.telegram.org/#/im?p=@trean_den" TargetMode="External" /><Relationship Id="rId290" Type="http://schemas.openxmlformats.org/officeDocument/2006/relationships/hyperlink" Target="http://vk.com/club235949966" TargetMode="External" /><Relationship Id="rId14" Type="http://schemas.openxmlformats.org/officeDocument/2006/relationships/hyperlink" Target="http://vk.com/id110659096" TargetMode="External" /><Relationship Id="rId155" Type="http://schemas.openxmlformats.org/officeDocument/2006/relationships/hyperlink" Target="http://vk.com/id653692873" TargetMode="External" /><Relationship Id="rId7" Type="http://schemas.openxmlformats.org/officeDocument/2006/relationships/hyperlink" Target="https://web.telegram.org/#/im?p=@nataliya_1" TargetMode="External" /><Relationship Id="rId106" Type="http://schemas.openxmlformats.org/officeDocument/2006/relationships/hyperlink" Target="http://www.facebook.com/profile.php?id=100024259613570" TargetMode="External" /><Relationship Id="rId59" Type="http://schemas.openxmlformats.org/officeDocument/2006/relationships/hyperlink" Target="http://vk.com/club42224436" TargetMode="External" /><Relationship Id="rId309" Type="http://schemas.openxmlformats.org/officeDocument/2006/relationships/hyperlink" Target="https://forum.baby.ru/u/usr2231337" TargetMode="External" /><Relationship Id="rId83" Type="http://schemas.openxmlformats.org/officeDocument/2006/relationships/hyperlink" Target="https://instagram.com/pigasovanina" TargetMode="External" /><Relationship Id="rId99" Type="http://schemas.openxmlformats.org/officeDocument/2006/relationships/hyperlink" Target="http://www.facebook.com/profile.php?id=100023342230421" TargetMode="External" /><Relationship Id="rId71" Type="http://schemas.openxmlformats.org/officeDocument/2006/relationships/hyperlink" Target="http://www.facebook.com/profile.php?id=100004823103752" TargetMode="External" /><Relationship Id="rId135" Type="http://schemas.openxmlformats.org/officeDocument/2006/relationships/hyperlink" Target="http://www.youtube.com/channel/UCFNfF6U3o-Z8BBpc0bSbfCA" TargetMode="External" /><Relationship Id="rId197" Type="http://schemas.openxmlformats.org/officeDocument/2006/relationships/hyperlink" Target="https://web.telegram.org/#/im?p=@airpumpservice" TargetMode="External" /><Relationship Id="rId306" Type="http://schemas.openxmlformats.org/officeDocument/2006/relationships/hyperlink" Target="https://forums.rusmedserv.com/authors/Nataliya0401" TargetMode="External" /><Relationship Id="rId269" Type="http://schemas.openxmlformats.org/officeDocument/2006/relationships/hyperlink" Target="https://threads.com/@oksanaderunets" TargetMode="External" /><Relationship Id="rId109" Type="http://schemas.openxmlformats.org/officeDocument/2006/relationships/hyperlink" Target="http://ok.ru/profile/575282624141" TargetMode="External" /><Relationship Id="rId70" Type="http://schemas.openxmlformats.org/officeDocument/2006/relationships/hyperlink" Target="http://vk.com/id204487094" TargetMode="External" /><Relationship Id="rId183" Type="http://schemas.openxmlformats.org/officeDocument/2006/relationships/hyperlink" Target="https://sprosivracha.com/authors/&#1045;&#1082;&#1072;&#1090;&#1077;&#1088;&#1080;&#1085;&#1072;" TargetMode="External" /><Relationship Id="rId193" Type="http://schemas.openxmlformats.org/officeDocument/2006/relationships/hyperlink" Target="http://vk.com/id772168005" TargetMode="External" /><Relationship Id="rId305" Type="http://schemas.openxmlformats.org/officeDocument/2006/relationships/hyperlink" Target="https://dzen.ru/user/1669098787" TargetMode="External" /><Relationship Id="rId301" Type="http://schemas.openxmlformats.org/officeDocument/2006/relationships/hyperlink" Target="https://otzovik.com/profile/&#1044;&#1080;&#1074;&#1085;&#1072;&#1103;+&#1055;&#1086;&#1083;&#1080;&#1085;&#1072;" TargetMode="External" /><Relationship Id="rId303" Type="http://schemas.openxmlformats.org/officeDocument/2006/relationships/hyperlink" Target="https://hron-prostatit.ru/authors/Bevel" TargetMode="External" /><Relationship Id="rId27" Type="http://schemas.openxmlformats.org/officeDocument/2006/relationships/hyperlink" Target="http://vk.com/id719231073" TargetMode="External" /><Relationship Id="rId224" Type="http://schemas.openxmlformats.org/officeDocument/2006/relationships/hyperlink" Target="https://web.telegram.org/#/im?p=@xeniatu" TargetMode="External" /><Relationship Id="rId255" Type="http://schemas.openxmlformats.org/officeDocument/2006/relationships/hyperlink" Target="https://web.telegram.org/#/im?p=@2141007721" TargetMode="External" /><Relationship Id="rId237" Type="http://schemas.openxmlformats.org/officeDocument/2006/relationships/hyperlink" Target="https://nup.ru/#pollightman" TargetMode="External" /><Relationship Id="rId187" Type="http://schemas.openxmlformats.org/officeDocument/2006/relationships/hyperlink" Target="https://sprosivracha.com/authors/&#1052;&#1072;&#1088;&#1080;&#1103;" TargetMode="External" /><Relationship Id="rId178" Type="http://schemas.openxmlformats.org/officeDocument/2006/relationships/hyperlink" Target="https://web.telegram.org/#/im?p=@alpentour" TargetMode="External" /><Relationship Id="rId80" Type="http://schemas.openxmlformats.org/officeDocument/2006/relationships/hyperlink" Target="https://instagram.com/mila.fomina" TargetMode="External" /><Relationship Id="rId58" Type="http://schemas.openxmlformats.org/officeDocument/2006/relationships/hyperlink" Target="http://vk.com/club42217841" TargetMode="External" /><Relationship Id="rId128" Type="http://schemas.openxmlformats.org/officeDocument/2006/relationships/hyperlink" Target="http://vk.com/id534244568" TargetMode="External" /><Relationship Id="rId30" Type="http://schemas.openxmlformats.org/officeDocument/2006/relationships/hyperlink" Target="http://www.facebook.com/profile.php?id=61587142363160" TargetMode="External" /><Relationship Id="rId84" Type="http://schemas.openxmlformats.org/officeDocument/2006/relationships/hyperlink" Target="http://www.youtube.com/channel/UC3gDRwAdO7J1D4wTRuW3IDg" TargetMode="External" /><Relationship Id="rId261" Type="http://schemas.openxmlformats.org/officeDocument/2006/relationships/hyperlink" Target="https://www.woman.ru/user/str-id401270608" TargetMode="External" /><Relationship Id="rId168" Type="http://schemas.openxmlformats.org/officeDocument/2006/relationships/hyperlink" Target="https://web.telegram.org/#/im?p=@nmic_blokhina" TargetMode="External" /><Relationship Id="rId291" Type="http://schemas.openxmlformats.org/officeDocument/2006/relationships/hyperlink" Target="https://web.telegram.org/#/im?p=@nikolai198726" TargetMode="External" /><Relationship Id="rId35" Type="http://schemas.openxmlformats.org/officeDocument/2006/relationships/hyperlink" Target="https://dzen.ru/user/widz-9ttzstlu5wquzbaljwtnka" TargetMode="External" /><Relationship Id="rId98" Type="http://schemas.openxmlformats.org/officeDocument/2006/relationships/hyperlink" Target="http://www.facebook.com/profile.php?id=100022147444966" TargetMode="External" /><Relationship Id="rId247" Type="http://schemas.openxmlformats.org/officeDocument/2006/relationships/hyperlink" Target="https://web.telegram.org/#/im?p=@actualphlebology" TargetMode="External" /><Relationship Id="rId51" Type="http://schemas.openxmlformats.org/officeDocument/2006/relationships/hyperlink" Target="http://vk.com/id2084950" TargetMode="External" /><Relationship Id="rId54" Type="http://schemas.openxmlformats.org/officeDocument/2006/relationships/hyperlink" Target="http://vk.com/club35402404" TargetMode="External" /><Relationship Id="rId180" Type="http://schemas.openxmlformats.org/officeDocument/2006/relationships/hyperlink" Target="http://vk.com/id753636546" TargetMode="External" /><Relationship Id="rId278" Type="http://schemas.openxmlformats.org/officeDocument/2006/relationships/hyperlink" Target="http://vk.com/id1087103557" TargetMode="External" /><Relationship Id="rId45" Type="http://schemas.openxmlformats.org/officeDocument/2006/relationships/hyperlink" Target="http://vk.com/id123313021" TargetMode="External" /><Relationship Id="rId184" Type="http://schemas.openxmlformats.org/officeDocument/2006/relationships/hyperlink" Target="https://sprosivracha.com/authors/&#1070;&#1083;&#1080;&#1103;" TargetMode="External" /><Relationship Id="rId293" Type="http://schemas.openxmlformats.org/officeDocument/2006/relationships/hyperlink" Target="https://max.ru/id7730183173_biz" TargetMode="External" /><Relationship Id="rId276" Type="http://schemas.openxmlformats.org/officeDocument/2006/relationships/hyperlink" Target="https://sprosivracha.com/authors/&#1045;&#1082;&#1072;&#1090;&#1077;&#1088;&#1080;&#1085;&#1072;%20&#1055;&#1083;&#1086;&#1090;&#1085;&#1080;&#1082;&#1086;&#1074;&#1072;" TargetMode="External" /><Relationship Id="rId314" Type="http://schemas.openxmlformats.org/officeDocument/2006/relationships/hyperlink" Target="https://dzen.ru/user/2356853477" TargetMode="External" /><Relationship Id="rId66" Type="http://schemas.openxmlformats.org/officeDocument/2006/relationships/hyperlink" Target="http://vk.com/id268284622" TargetMode="External" /><Relationship Id="rId257" Type="http://schemas.openxmlformats.org/officeDocument/2006/relationships/hyperlink" Target="https://dzen.ru/user/tthloi0zbn4jpz9s_9jo3kpk8zi" TargetMode="External" /><Relationship Id="rId116" Type="http://schemas.openxmlformats.org/officeDocument/2006/relationships/hyperlink" Target="https://instagram.com/svetik_kiss_13" TargetMode="External" /><Relationship Id="rId268" Type="http://schemas.openxmlformats.org/officeDocument/2006/relationships/hyperlink" Target="http://vk.com/club233198825" TargetMode="External" /><Relationship Id="rId318" Type="http://schemas.openxmlformats.org/officeDocument/2006/relationships/hyperlink" Target="https://irecommend.ru/users/polyalugovaya" TargetMode="External" /><Relationship Id="rId200" Type="http://schemas.openxmlformats.org/officeDocument/2006/relationships/hyperlink" Target="http://ok.ru/group/70000002368282" TargetMode="External" /><Relationship Id="rId179" Type="http://schemas.openxmlformats.org/officeDocument/2006/relationships/hyperlink" Target="https://www.woman.ru/forum/user-statuses/editorial/#gold_message" TargetMode="External" /><Relationship Id="rId69" Type="http://schemas.openxmlformats.org/officeDocument/2006/relationships/hyperlink" Target="http://ok.ru/group/52161146519625" TargetMode="External" /><Relationship Id="rId215" Type="http://schemas.openxmlformats.org/officeDocument/2006/relationships/hyperlink" Target="https://forums.rusmedserv.com/authors/Vinto" TargetMode="External" /><Relationship Id="rId281" Type="http://schemas.openxmlformats.org/officeDocument/2006/relationships/hyperlink" Target="https://rutube.ru/video/person/73643784" TargetMode="External" /><Relationship Id="rId8" Type="http://schemas.openxmlformats.org/officeDocument/2006/relationships/hyperlink" Target="http://vk.com/id244938783" TargetMode="External" /><Relationship Id="rId217" Type="http://schemas.openxmlformats.org/officeDocument/2006/relationships/hyperlink" Target="http://vk.com/club226278715" TargetMode="External" /><Relationship Id="rId195" Type="http://schemas.openxmlformats.org/officeDocument/2006/relationships/hyperlink" Target="http://vk.com/club218277808" TargetMode="External" /><Relationship Id="rId97" Type="http://schemas.openxmlformats.org/officeDocument/2006/relationships/hyperlink" Target="http://vk.com/id450124649" TargetMode="External" /><Relationship Id="rId304" Type="http://schemas.openxmlformats.org/officeDocument/2006/relationships/hyperlink" Target="https://threads.com/@mommycine" TargetMode="External" /><Relationship Id="rId124" Type="http://schemas.openxmlformats.org/officeDocument/2006/relationships/hyperlink" Target="https://www.babyplan.ru/profile/127076-la-belle" TargetMode="External" /><Relationship Id="rId163" Type="http://schemas.openxmlformats.org/officeDocument/2006/relationships/hyperlink" Target="https://web.telegram.org/#/im?p=@doc_kolesnik" TargetMode="External" /><Relationship Id="rId294" Type="http://schemas.openxmlformats.org/officeDocument/2006/relationships/hyperlink" Target="https://sprosivracha.com/authors/&#1053;&#1091;&#1088;&#1083;&#1072;&#1085;%20&#1048;&#1084;&#1072;&#1085;&#1086;&#1074;" TargetMode="External" /><Relationship Id="rId47" Type="http://schemas.openxmlformats.org/officeDocument/2006/relationships/hyperlink" Target="http://vk.com/id13041644" TargetMode="External" /><Relationship Id="rId118" Type="http://schemas.openxmlformats.org/officeDocument/2006/relationships/hyperlink" Target="https://pikabu.ru/@svlads" TargetMode="External" /><Relationship Id="rId212" Type="http://schemas.openxmlformats.org/officeDocument/2006/relationships/hyperlink" Target="http://www.youtube.com/channel/UCBnIG6SKJyBAeP5Mvz-_U7Q" TargetMode="External" /><Relationship Id="rId310" Type="http://schemas.openxmlformats.org/officeDocument/2006/relationships/hyperlink" Target="https://forum.steelfactor.ru/index.php?showuser=61513" TargetMode="External" /><Relationship Id="rId225" Type="http://schemas.openxmlformats.org/officeDocument/2006/relationships/hyperlink" Target="https://rutube.ru/video/person/24179634" TargetMode="External" /><Relationship Id="rId162" Type="http://schemas.openxmlformats.org/officeDocument/2006/relationships/hyperlink" Target="http://vk.com/id715304648" TargetMode="External" /><Relationship Id="rId241" Type="http://schemas.openxmlformats.org/officeDocument/2006/relationships/hyperlink" Target="https://hron-prostatit.ru/authors/deni4" TargetMode="External" /><Relationship Id="rId159" Type="http://schemas.openxmlformats.org/officeDocument/2006/relationships/hyperlink" Target="http://vk.com/id708630637" TargetMode="External" /><Relationship Id="rId292" Type="http://schemas.openxmlformats.org/officeDocument/2006/relationships/hyperlink" Target="https://max.ru/clariryofmind" TargetMode="External" /><Relationship Id="rId29" Type="http://schemas.openxmlformats.org/officeDocument/2006/relationships/hyperlink" Target="https://sprosivracha.com/authors/&#1040;&#1085;&#1076;&#1088;&#1077;&#1081;%20&#1050;&#1091;&#1083;&#1077;&#1096;&#1086;&#1074;" TargetMode="External" /><Relationship Id="rId262" Type="http://schemas.openxmlformats.org/officeDocument/2006/relationships/hyperlink" Target="https://threads.com/@artem1983m" TargetMode="External" /><Relationship Id="rId138" Type="http://schemas.openxmlformats.org/officeDocument/2006/relationships/hyperlink" Target="http://www.youtube.com/channel/UCCLQw9Y_QMNz6aWEU3CsnbQ" TargetMode="External" /><Relationship Id="rId22" Type="http://schemas.openxmlformats.org/officeDocument/2006/relationships/hyperlink" Target="https://web.telegram.org/#/im?p=@zovkredit" TargetMode="External" /><Relationship Id="rId313" Type="http://schemas.openxmlformats.org/officeDocument/2006/relationships/hyperlink" Target="http://vk.com/club238438025" TargetMode="External" /><Relationship Id="rId307" Type="http://schemas.openxmlformats.org/officeDocument/2006/relationships/hyperlink" Target="https://rutube.ru/video/person/78253766" TargetMode="External" /><Relationship Id="rId115" Type="http://schemas.openxmlformats.org/officeDocument/2006/relationships/hyperlink" Target="http://ok.ru/profile/418187866754" TargetMode="External" /><Relationship Id="rId127" Type="http://schemas.openxmlformats.org/officeDocument/2006/relationships/hyperlink" Target="https://instagram.com/leharostovskii" TargetMode="External" /><Relationship Id="rId72" Type="http://schemas.openxmlformats.org/officeDocument/2006/relationships/hyperlink" Target="http://vk.com/id110528668" TargetMode="External" /><Relationship Id="rId104" Type="http://schemas.openxmlformats.org/officeDocument/2006/relationships/hyperlink" Target="https://instagram.com/alexey_t18" TargetMode="External" /><Relationship Id="rId17" Type="http://schemas.openxmlformats.org/officeDocument/2006/relationships/hyperlink" Target="http://vk.com/id383835053" TargetMode="External" /><Relationship Id="rId299" Type="http://schemas.openxmlformats.org/officeDocument/2006/relationships/hyperlink" Target="http://vk.com/club237610432" TargetMode="External" /><Relationship Id="rId145" Type="http://schemas.openxmlformats.org/officeDocument/2006/relationships/hyperlink" Target="http://ok.ru/group/65900379045923" TargetMode="External" /><Relationship Id="rId211" Type="http://schemas.openxmlformats.org/officeDocument/2006/relationships/hyperlink" Target="http://vk.com/id833615399" TargetMode="External" /><Relationship Id="rId206" Type="http://schemas.openxmlformats.org/officeDocument/2006/relationships/hyperlink" Target="https://otzyv.ru/profile.php?id=75489" TargetMode="External" /><Relationship Id="rId137" Type="http://schemas.openxmlformats.org/officeDocument/2006/relationships/hyperlink" Target="https://instagram.com/pro_talina" TargetMode="External" /><Relationship Id="rId230" Type="http://schemas.openxmlformats.org/officeDocument/2006/relationships/hyperlink" Target="https://instagram.com/kiira_satu" TargetMode="External" /><Relationship Id="rId218" Type="http://schemas.openxmlformats.org/officeDocument/2006/relationships/hyperlink" Target="http://vk.com/id851594044" TargetMode="External" /><Relationship Id="rId38" Type="http://schemas.openxmlformats.org/officeDocument/2006/relationships/hyperlink" Target="http://vk.com/id193966433" TargetMode="External" /><Relationship Id="rId166" Type="http://schemas.openxmlformats.org/officeDocument/2006/relationships/hyperlink" Target="https://web.telegram.org/#/im?p=@kristheme" TargetMode="External" /><Relationship Id="rId238" Type="http://schemas.openxmlformats.org/officeDocument/2006/relationships/hyperlink" Target="http://vk.com/id1023616008" TargetMode="External" /><Relationship Id="rId266" Type="http://schemas.openxmlformats.org/officeDocument/2006/relationships/hyperlink" Target="https://threads.com/@dimasikdoc" TargetMode="External" /><Relationship Id="rId60" Type="http://schemas.openxmlformats.org/officeDocument/2006/relationships/hyperlink" Target="http://vk.com/club99694181" TargetMode="External" /><Relationship Id="rId11" Type="http://schemas.openxmlformats.org/officeDocument/2006/relationships/hyperlink" Target="http://vk.com/id2123550" TargetMode="External" /><Relationship Id="rId105" Type="http://schemas.openxmlformats.org/officeDocument/2006/relationships/hyperlink" Target="http://vk.com/id441154094" TargetMode="External" /><Relationship Id="rId199" Type="http://schemas.openxmlformats.org/officeDocument/2006/relationships/hyperlink" Target="https://web.telegram.org/#/im?p=@podkotik" TargetMode="External" /><Relationship Id="rId31" Type="http://schemas.openxmlformats.org/officeDocument/2006/relationships/hyperlink" Target="https://web.telegram.org/#/im?p=@1053760904" TargetMode="External" /><Relationship Id="rId146" Type="http://schemas.openxmlformats.org/officeDocument/2006/relationships/hyperlink" Target="https://instagram.com/kireeva2879" TargetMode="External" /><Relationship Id="rId149" Type="http://schemas.openxmlformats.org/officeDocument/2006/relationships/hyperlink" Target="https://web.telegram.org/#/im?p=@yougurtripper" TargetMode="External" /><Relationship Id="rId142" Type="http://schemas.openxmlformats.org/officeDocument/2006/relationships/hyperlink" Target="https://web.telegram.org/#/im?p=@499174279" TargetMode="External" /><Relationship Id="rId315" Type="http://schemas.openxmlformats.org/officeDocument/2006/relationships/hyperlink" Target="https://otzovik.com/profile/&#1040;&#1085;&#1076;&#1088;&#1080;&#1072;&#1085;&#1086;&#1074;&#1085;&#1072;" TargetMode="External" /><Relationship Id="rId53" Type="http://schemas.openxmlformats.org/officeDocument/2006/relationships/hyperlink" Target="http://vk.com/club30913680" TargetMode="External" /><Relationship Id="rId172" Type="http://schemas.openxmlformats.org/officeDocument/2006/relationships/hyperlink" Target="https://dzen.ru/id/6252046f5fa8243b3e3fa422" TargetMode="External" /><Relationship Id="rId20" Type="http://schemas.openxmlformats.org/officeDocument/2006/relationships/hyperlink" Target="http://vk.com/id708739638" TargetMode="External" /><Relationship Id="rId5" Type="http://schemas.openxmlformats.org/officeDocument/2006/relationships/hyperlink" Target="https://dzen.ru/user/edef6s10opi3ve84lz63es7gr1u" TargetMode="External" /></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0.xml" /></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1.xml" /></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2.xml" /></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13.xml" /></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14.xml" /></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15.xml" /></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16.xml" /></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17.xml" /></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1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b231a69-1ea2-4cdd-89cc-d9af202c19e7}">
  <dimension ref="B1:C40"/>
  <sheetViews>
    <sheetView showGridLines="0" workbookViewId="0" topLeftCell="A1"/>
  </sheetViews>
  <sheetFormatPr defaultRowHeight="12.75"/>
  <cols>
    <col min="1" max="1" width="4.714285714285714" customWidth="1"/>
    <col min="2" max="2" width="30.714285714285715" customWidth="1"/>
  </cols>
  <sheetData>
    <row r="1" spans="2:2" s="1" customFormat="1" ht="30" customHeight="1">
      <c r="B1" s="1" t="s">
        <v>0</v>
      </c>
    </row>
    <row r="4" spans="2:2" ht="12.75">
      <c r="B4" s="2" t="s">
        <v>1</v>
      </c>
    </row>
    <row r="6" spans="2:3" ht="12.75">
      <c r="B6" s="36" t="s">
        <v>3025</v>
      </c>
      <c r="C6" s="37" t="s">
        <v>3026</v>
      </c>
    </row>
    <row r="7" spans="2:3" ht="15" customHeight="1">
      <c r="B7" s="36" t="s">
        <v>3027</v>
      </c>
      <c r="C7" s="37" t="s">
        <v>3028</v>
      </c>
    </row>
    <row r="8" spans="2:3" ht="15" customHeight="1">
      <c r="B8" s="36" t="s">
        <v>3029</v>
      </c>
      <c r="C8" s="37"/>
    </row>
    <row r="9" spans="2:3" ht="15" customHeight="1">
      <c r="B9" s="36" t="s">
        <v>3030</v>
      </c>
      <c r="C9" s="37" t="s">
        <v>3031</v>
      </c>
    </row>
    <row r="10" spans="2:3" ht="15" customHeight="1">
      <c r="B10" s="36" t="s">
        <v>3032</v>
      </c>
      <c r="C10" s="37" t="s">
        <v>3033</v>
      </c>
    </row>
    <row r="11" spans="2:3" ht="15" customHeight="1">
      <c r="B11" s="36" t="s">
        <v>3034</v>
      </c>
      <c r="C11" s="37" t="s">
        <v>3035</v>
      </c>
    </row>
    <row r="12" spans="2:3" ht="15" customHeight="1">
      <c r="B12" s="36" t="s">
        <v>3036</v>
      </c>
      <c r="C12" s="37" t="s">
        <v>3037</v>
      </c>
    </row>
    <row r="13" spans="2:3" ht="15" customHeight="1">
      <c r="B13" s="36" t="s">
        <v>3038</v>
      </c>
      <c r="C13" s="37" t="s">
        <v>3039</v>
      </c>
    </row>
    <row r="14" spans="2:3" ht="15" customHeight="1">
      <c r="B14" s="36" t="s">
        <v>3040</v>
      </c>
      <c r="C14" s="38" t="s">
        <v>3041</v>
      </c>
    </row>
    <row r="15" ht="15" customHeight="1"/>
    <row r="16" spans="2:2" ht="15" customHeight="1">
      <c r="B16" s="40" t="s">
        <v>3</v>
      </c>
    </row>
    <row r="17" spans="2:2" ht="15" customHeight="1">
      <c r="B17" s="40" t="s">
        <v>4</v>
      </c>
    </row>
    <row r="18" spans="2:2" ht="15" customHeight="1">
      <c r="B18" s="40" t="s">
        <v>5</v>
      </c>
    </row>
    <row r="19" spans="2:2" ht="15" customHeight="1">
      <c r="B19" s="40" t="s">
        <v>6</v>
      </c>
    </row>
    <row r="20" spans="2:2" ht="15" customHeight="1">
      <c r="B20" s="40" t="s">
        <v>7</v>
      </c>
    </row>
    <row r="21" spans="2:2" ht="15" customHeight="1">
      <c r="B21" s="40" t="s">
        <v>8</v>
      </c>
    </row>
    <row r="22" spans="2:2" ht="15" customHeight="1">
      <c r="B22" s="40" t="s">
        <v>9</v>
      </c>
    </row>
    <row r="23" spans="2:2" ht="15" customHeight="1">
      <c r="B23" s="40" t="s">
        <v>10</v>
      </c>
    </row>
    <row r="24" spans="2:2" ht="15" customHeight="1">
      <c r="B24" s="40" t="s">
        <v>11</v>
      </c>
    </row>
    <row r="25" spans="2:2" ht="15" customHeight="1">
      <c r="B25" s="40" t="s">
        <v>12</v>
      </c>
    </row>
    <row r="26" spans="2:2" ht="15" customHeight="1">
      <c r="B26" s="40" t="s">
        <v>13</v>
      </c>
    </row>
    <row r="27" spans="2:2" ht="15" customHeight="1">
      <c r="B27" s="40" t="s">
        <v>23</v>
      </c>
    </row>
    <row r="28" spans="2:2" ht="15" customHeight="1">
      <c r="B28" s="40" t="s">
        <v>24</v>
      </c>
    </row>
    <row r="29" spans="2:2" ht="15" customHeight="1">
      <c r="B29" s="40" t="s">
        <v>27</v>
      </c>
    </row>
    <row r="30" spans="2:2" ht="15" customHeight="1">
      <c r="B30" s="40" t="s">
        <v>28</v>
      </c>
    </row>
    <row r="31" spans="2:2" ht="15" customHeight="1">
      <c r="B31" s="40" t="s">
        <v>29</v>
      </c>
    </row>
    <row r="32" spans="2:2" ht="15" customHeight="1">
      <c r="B32" s="40" t="s">
        <v>30</v>
      </c>
    </row>
    <row r="33" spans="2:2" ht="15" customHeight="1">
      <c r="B33" s="40" t="s">
        <v>40</v>
      </c>
    </row>
    <row r="34" spans="2:2" ht="15" customHeight="1">
      <c r="B34" s="40" t="s">
        <v>41</v>
      </c>
    </row>
    <row r="35" spans="2:2" ht="15" customHeight="1">
      <c r="B35" s="40" t="s">
        <v>42</v>
      </c>
    </row>
    <row r="36" spans="2:2" ht="15" customHeight="1">
      <c r="B36" s="40" t="s">
        <v>43</v>
      </c>
    </row>
    <row r="37" spans="2:2" ht="15" customHeight="1">
      <c r="B37" s="40" t="s">
        <v>44</v>
      </c>
    </row>
    <row r="38" spans="2:2" ht="15" customHeight="1">
      <c r="B38" s="40" t="s">
        <v>45</v>
      </c>
    </row>
    <row r="39" spans="2:2" ht="15" customHeight="1">
      <c r="B39" s="40" t="s">
        <v>46</v>
      </c>
    </row>
    <row r="40" spans="2:2" ht="15" customHeight="1"/>
  </sheetData>
  <hyperlinks>
    <hyperlink ref="B16" location="'Показатели'!B4" display="Показатели"/>
    <hyperlink ref="B17" location="'Динамика'!B4" display="Динамика"/>
    <hyperlink ref="B18" location="'Сообщения'!B4" display="Сообщения"/>
    <hyperlink ref="B19" location="'События СМИ'!B4" display="События СМИ"/>
    <hyperlink ref="B20" location="'Тональность'!B4" display="Тональность"/>
    <hyperlink ref="B21" location="'Мнения'!B4" display="Мнения"/>
    <hyperlink ref="B22" location="'Теги'!B4" display="Теги"/>
    <hyperlink ref="B23" location="'Промо'!B4" display="Промо"/>
    <hyperlink ref="B24" location="'Заказчики'!B4" display="Заказчики"/>
    <hyperlink ref="B25" location="'Оценки'!B4" display="Оценки"/>
    <hyperlink ref="B26" location="'Типы площадок'!B4" display="Типы площадок"/>
    <hyperlink ref="B27" location="'Площадки'!B4" display="Площадки"/>
    <hyperlink ref="B28" location="'Тематики'!B4" display="Тематики"/>
    <hyperlink ref="B29" location="'Группы'!B4" display="Группы"/>
    <hyperlink ref="B30" location="'Авторы'!B4" display="Авторы"/>
    <hyperlink ref="B31" location="'Соцдем авторов'!B4" display="Соцдем авторов"/>
    <hyperlink ref="B32" location="'Эмоции'!B4" display="Эмоции"/>
    <hyperlink ref="B33" location="'Реакции'!B4" display="Реакции"/>
    <hyperlink ref="B34" location="'Слова'!B4" display="Слова"/>
    <hyperlink ref="B35" location="'Хэштеги'!B4" display="Хэштеги"/>
    <hyperlink ref="B36" location="'Страны'!B4" display="Страны"/>
    <hyperlink ref="B37" location="'Федеральные округа'!B4" display="Федеральные округа"/>
    <hyperlink ref="B38" location="'Регионы РФ'!B4" display="Регионы РФ"/>
    <hyperlink ref="B39" location="'Города РФ'!B4" display="Города РФ"/>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153a828-d483-46aa-8f6b-eb48d73c3586}">
  <dimension ref="B1:K24"/>
  <sheetViews>
    <sheetView showGridLines="0" workbookViewId="0" topLeftCell="A1"/>
  </sheetViews>
  <sheetFormatPr defaultRowHeight="12.75"/>
  <cols>
    <col min="1" max="1" width="4.714285714285714" customWidth="1"/>
    <col min="2" max="2" width="22.714285714285715" customWidth="1"/>
    <col min="3" max="11" width="21" customWidth="1"/>
  </cols>
  <sheetData>
    <row r="1" spans="2:3" s="1" customFormat="1" ht="30" customHeight="1">
      <c r="B1" s="1" t="s">
        <v>0</v>
      </c>
      <c r="C1" s="4" t="s">
        <v>2</v>
      </c>
    </row>
    <row r="4" spans="2:2" ht="12.75">
      <c r="B4" s="2" t="s">
        <v>3</v>
      </c>
    </row>
    <row r="6" spans="2:2" ht="12.75">
      <c r="B6" s="27" t="s">
        <v>1348</v>
      </c>
    </row>
    <row r="8" spans="2:10" ht="30" customHeight="1">
      <c r="B8" s="5" t="s">
        <v>50</v>
      </c>
      <c r="C8" s="6" t="s">
        <v>5</v>
      </c>
      <c r="D8" s="6" t="s">
        <v>54</v>
      </c>
      <c r="E8" s="6" t="s">
        <v>33</v>
      </c>
      <c r="F8" s="6" t="s">
        <v>51</v>
      </c>
      <c r="G8" s="6" t="s">
        <v>34</v>
      </c>
      <c r="H8" s="6" t="s">
        <v>177</v>
      </c>
      <c r="I8" s="6" t="s">
        <v>178</v>
      </c>
      <c r="J8" s="6" t="s">
        <v>179</v>
      </c>
    </row>
    <row r="9" spans="2:10" ht="15" customHeight="1">
      <c r="B9" s="16" t="s">
        <v>61</v>
      </c>
      <c r="C9" s="8">
        <v>389</v>
      </c>
      <c r="D9" s="8">
        <v>4119</v>
      </c>
      <c r="E9" s="8">
        <v>34222829</v>
      </c>
      <c r="F9" s="8">
        <v>160024</v>
      </c>
      <c r="G9" s="8">
        <v>3818</v>
      </c>
      <c r="H9" s="8">
        <v>3235</v>
      </c>
      <c r="I9" s="8">
        <v>490</v>
      </c>
      <c r="J9" s="8">
        <v>93</v>
      </c>
    </row>
    <row r="11" spans="2:2" ht="12.75">
      <c r="B11" s="27" t="s">
        <v>7</v>
      </c>
    </row>
    <row r="13" spans="2:9" ht="30" customHeight="1">
      <c r="B13" s="5" t="s">
        <v>50</v>
      </c>
      <c r="C13" s="6" t="s">
        <v>36</v>
      </c>
      <c r="D13" s="6" t="s">
        <v>57</v>
      </c>
      <c r="E13" s="6" t="s">
        <v>38</v>
      </c>
      <c r="F13" s="6" t="s">
        <v>61</v>
      </c>
      <c r="G13" s="6" t="s">
        <v>140</v>
      </c>
      <c r="H13" s="6" t="s">
        <v>141</v>
      </c>
      <c r="I13" s="6" t="s">
        <v>142</v>
      </c>
    </row>
    <row r="14" spans="2:9" ht="15" customHeight="1">
      <c r="B14" s="16" t="s">
        <v>61</v>
      </c>
      <c r="C14" s="8">
        <v>94</v>
      </c>
      <c r="D14" s="8">
        <v>268</v>
      </c>
      <c r="E14" s="8">
        <v>27</v>
      </c>
      <c r="F14" s="8">
        <v>389</v>
      </c>
      <c r="G14" s="21">
        <f>IF(F14=0,0,C14/F14)</f>
      </c>
      <c r="H14" s="21">
        <f>IF(F14=0,0,D14/F14)</f>
      </c>
      <c r="I14" s="21">
        <f>IF(F14=0,0,E14/F14)</f>
      </c>
    </row>
    <row r="16" spans="2:2" ht="12.75">
      <c r="B16" s="27" t="s">
        <v>1349</v>
      </c>
    </row>
    <row r="18" spans="2:11" ht="30" customHeight="1">
      <c r="B18" s="5" t="s">
        <v>50</v>
      </c>
      <c r="C18" s="6" t="s">
        <v>1350</v>
      </c>
      <c r="D18" s="6" t="s">
        <v>56</v>
      </c>
      <c r="E18" s="6" t="s">
        <v>178</v>
      </c>
      <c r="F18" s="6" t="s">
        <v>179</v>
      </c>
      <c r="G18" s="6" t="s">
        <v>1351</v>
      </c>
      <c r="H18" s="6" t="s">
        <v>1352</v>
      </c>
      <c r="I18" s="6" t="s">
        <v>1353</v>
      </c>
      <c r="J18" s="6" t="s">
        <v>1354</v>
      </c>
      <c r="K18" s="6" t="s">
        <v>1355</v>
      </c>
    </row>
    <row r="19" spans="2:11" ht="15" customHeight="1">
      <c r="B19" s="16" t="s">
        <v>61</v>
      </c>
      <c r="C19" s="8">
        <v>99</v>
      </c>
      <c r="D19" s="8">
        <v>15</v>
      </c>
      <c r="E19" s="8">
        <v>216</v>
      </c>
      <c r="F19" s="8">
        <v>32</v>
      </c>
      <c r="G19" s="8">
        <v>2</v>
      </c>
      <c r="H19" s="8">
        <v>0</v>
      </c>
      <c r="I19" s="8">
        <v>2</v>
      </c>
      <c r="J19" s="8">
        <v>17</v>
      </c>
      <c r="K19" s="8">
        <v>6</v>
      </c>
    </row>
    <row r="21" spans="2:2" ht="12.75">
      <c r="B21" s="27" t="s">
        <v>1356</v>
      </c>
    </row>
    <row r="23" spans="2:5" ht="30" customHeight="1">
      <c r="B23" s="5" t="s">
        <v>50</v>
      </c>
      <c r="C23" s="6" t="s">
        <v>23</v>
      </c>
      <c r="D23" s="6" t="s">
        <v>27</v>
      </c>
      <c r="E23" s="6" t="s">
        <v>28</v>
      </c>
    </row>
    <row r="24" spans="2:5" ht="15" customHeight="1">
      <c r="B24" s="16" t="s">
        <v>61</v>
      </c>
      <c r="C24" s="8">
        <v>36</v>
      </c>
      <c r="D24" s="8">
        <v>285</v>
      </c>
      <c r="E24" s="8">
        <v>319</v>
      </c>
    </row>
  </sheetData>
  <hyperlinks>
    <hyperlink ref="C1" location="Содержание!B4" display="К содержанию"/>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7a32dc5-8d50-45ba-82a9-d7d29b55ea1c}">
  <dimension ref="B1:G38"/>
  <sheetViews>
    <sheetView showGridLines="0" workbookViewId="0" topLeftCell="A1"/>
  </sheetViews>
  <sheetFormatPr defaultRowHeight="12.75"/>
  <cols>
    <col min="1" max="1" width="4.714285714285714" customWidth="1"/>
    <col min="2" max="2" width="22.714285714285715" customWidth="1"/>
    <col min="3" max="7" width="23.285714285714285" customWidth="1"/>
  </cols>
  <sheetData>
    <row r="1" spans="2:3" s="1" customFormat="1" ht="30" customHeight="1">
      <c r="B1" s="1" t="s">
        <v>0</v>
      </c>
      <c r="C1" s="4" t="s">
        <v>2</v>
      </c>
    </row>
    <row r="4" spans="2:2" ht="12.75">
      <c r="B4" s="2" t="s">
        <v>4</v>
      </c>
    </row>
    <row r="6" spans="2:7" ht="30" customHeight="1">
      <c r="B6" s="5" t="s">
        <v>26</v>
      </c>
      <c r="C6" s="20" t="s">
        <v>5</v>
      </c>
      <c r="D6" s="20" t="s">
        <v>54</v>
      </c>
      <c r="E6" s="20" t="s">
        <v>33</v>
      </c>
      <c r="F6" s="20" t="s">
        <v>51</v>
      </c>
      <c r="G6" s="20" t="s">
        <v>34</v>
      </c>
    </row>
    <row r="7" spans="2:7" ht="15" customHeight="1">
      <c r="B7" s="13">
        <v>46143</v>
      </c>
      <c r="C7" s="8">
        <v>18</v>
      </c>
      <c r="D7" s="8">
        <v>66</v>
      </c>
      <c r="E7" s="8">
        <v>219568</v>
      </c>
      <c r="F7" s="8">
        <v>2827</v>
      </c>
      <c r="G7" s="8">
        <v>11</v>
      </c>
    </row>
    <row r="8" spans="2:7" ht="15" customHeight="1">
      <c r="B8" s="13">
        <v>46144</v>
      </c>
      <c r="C8" s="8">
        <v>9</v>
      </c>
      <c r="D8" s="8">
        <v>7</v>
      </c>
      <c r="E8" s="8">
        <v>314465</v>
      </c>
      <c r="F8" s="8">
        <v>695</v>
      </c>
      <c r="G8" s="8">
        <v>11</v>
      </c>
    </row>
    <row r="9" spans="2:7" ht="15" customHeight="1">
      <c r="B9" s="13">
        <v>46145</v>
      </c>
      <c r="C9" s="8">
        <v>5</v>
      </c>
      <c r="D9" s="8">
        <v>2</v>
      </c>
      <c r="E9" s="8">
        <v>263303</v>
      </c>
      <c r="F9" s="8">
        <v>0</v>
      </c>
      <c r="G9" s="8">
        <v>0</v>
      </c>
    </row>
    <row r="10" spans="2:7" ht="15" customHeight="1">
      <c r="B10" s="13">
        <v>46146</v>
      </c>
      <c r="C10" s="8">
        <v>9</v>
      </c>
      <c r="D10" s="8">
        <v>14</v>
      </c>
      <c r="E10" s="8">
        <v>163561</v>
      </c>
      <c r="F10" s="8">
        <v>34</v>
      </c>
      <c r="G10" s="8">
        <v>1</v>
      </c>
    </row>
    <row r="11" spans="2:7" ht="15" customHeight="1">
      <c r="B11" s="13">
        <v>46147</v>
      </c>
      <c r="C11" s="8">
        <v>18</v>
      </c>
      <c r="D11" s="8">
        <v>14</v>
      </c>
      <c r="E11" s="8">
        <v>1102728</v>
      </c>
      <c r="F11" s="8">
        <v>178</v>
      </c>
      <c r="G11" s="8">
        <v>9</v>
      </c>
    </row>
    <row r="12" spans="2:7" ht="15" customHeight="1">
      <c r="B12" s="13">
        <v>46148</v>
      </c>
      <c r="C12" s="8">
        <v>16</v>
      </c>
      <c r="D12" s="8">
        <v>10</v>
      </c>
      <c r="E12" s="8">
        <v>763989</v>
      </c>
      <c r="F12" s="8">
        <v>23</v>
      </c>
      <c r="G12" s="8">
        <v>4</v>
      </c>
    </row>
    <row r="13" spans="2:7" ht="15" customHeight="1">
      <c r="B13" s="13">
        <v>46149</v>
      </c>
      <c r="C13" s="8">
        <v>8</v>
      </c>
      <c r="D13" s="8">
        <v>17</v>
      </c>
      <c r="E13" s="8">
        <v>1439140</v>
      </c>
      <c r="F13" s="8">
        <v>0</v>
      </c>
      <c r="G13" s="8">
        <v>7</v>
      </c>
    </row>
    <row r="14" spans="2:7" ht="15" customHeight="1">
      <c r="B14" s="13">
        <v>46150</v>
      </c>
      <c r="C14" s="8">
        <v>33</v>
      </c>
      <c r="D14" s="8">
        <v>582</v>
      </c>
      <c r="E14" s="8">
        <v>2758047</v>
      </c>
      <c r="F14" s="8">
        <v>19262</v>
      </c>
      <c r="G14" s="8">
        <v>649</v>
      </c>
    </row>
    <row r="15" spans="2:7" ht="15" customHeight="1">
      <c r="B15" s="13">
        <v>46151</v>
      </c>
      <c r="C15" s="8">
        <v>15</v>
      </c>
      <c r="D15" s="8">
        <v>288</v>
      </c>
      <c r="E15" s="8">
        <v>167538</v>
      </c>
      <c r="F15" s="8">
        <v>23391</v>
      </c>
      <c r="G15" s="8">
        <v>1282</v>
      </c>
    </row>
    <row r="16" spans="2:7" ht="15" customHeight="1">
      <c r="B16" s="13">
        <v>46152</v>
      </c>
      <c r="C16" s="8">
        <v>20</v>
      </c>
      <c r="D16" s="8">
        <v>506</v>
      </c>
      <c r="E16" s="8">
        <v>1693829</v>
      </c>
      <c r="F16" s="8">
        <v>737</v>
      </c>
      <c r="G16" s="8">
        <v>215</v>
      </c>
    </row>
    <row r="17" spans="2:7" ht="15" customHeight="1">
      <c r="B17" s="13">
        <v>46153</v>
      </c>
      <c r="C17" s="8">
        <v>12</v>
      </c>
      <c r="D17" s="8">
        <v>74</v>
      </c>
      <c r="E17" s="8">
        <v>1259285</v>
      </c>
      <c r="F17" s="8">
        <v>3403</v>
      </c>
      <c r="G17" s="8">
        <v>31</v>
      </c>
    </row>
    <row r="18" spans="2:7" ht="15" customHeight="1">
      <c r="B18" s="13">
        <v>46154</v>
      </c>
      <c r="C18" s="8">
        <v>16</v>
      </c>
      <c r="D18" s="8">
        <v>422</v>
      </c>
      <c r="E18" s="8">
        <v>869781</v>
      </c>
      <c r="F18" s="8">
        <v>5079</v>
      </c>
      <c r="G18" s="8">
        <v>169</v>
      </c>
    </row>
    <row r="19" spans="2:7" ht="15" customHeight="1">
      <c r="B19" s="13">
        <v>46155</v>
      </c>
      <c r="C19" s="8">
        <v>15</v>
      </c>
      <c r="D19" s="8">
        <v>21</v>
      </c>
      <c r="E19" s="8">
        <v>2159814</v>
      </c>
      <c r="F19" s="8">
        <v>50</v>
      </c>
      <c r="G19" s="8">
        <v>28</v>
      </c>
    </row>
    <row r="20" spans="2:7" ht="15" customHeight="1">
      <c r="B20" s="13">
        <v>46156</v>
      </c>
      <c r="C20" s="8">
        <v>14</v>
      </c>
      <c r="D20" s="8">
        <v>70</v>
      </c>
      <c r="E20" s="8">
        <v>10163813</v>
      </c>
      <c r="F20" s="8">
        <v>67</v>
      </c>
      <c r="G20" s="8">
        <v>7</v>
      </c>
    </row>
    <row r="21" spans="2:7" ht="15" customHeight="1">
      <c r="B21" s="13">
        <v>46157</v>
      </c>
      <c r="C21" s="8">
        <v>5</v>
      </c>
      <c r="D21" s="8">
        <v>375</v>
      </c>
      <c r="E21" s="8">
        <v>117090</v>
      </c>
      <c r="F21" s="8">
        <v>2680</v>
      </c>
      <c r="G21" s="8">
        <v>75</v>
      </c>
    </row>
    <row r="22" spans="2:7" ht="15" customHeight="1">
      <c r="B22" s="13">
        <v>46158</v>
      </c>
      <c r="C22" s="8">
        <v>9</v>
      </c>
      <c r="D22" s="8">
        <v>10</v>
      </c>
      <c r="E22" s="8">
        <v>316238</v>
      </c>
      <c r="F22" s="8">
        <v>0</v>
      </c>
      <c r="G22" s="8">
        <v>2</v>
      </c>
    </row>
    <row r="23" spans="2:7" ht="15" customHeight="1">
      <c r="B23" s="13">
        <v>46159</v>
      </c>
      <c r="C23" s="8">
        <v>14</v>
      </c>
      <c r="D23" s="8">
        <v>373</v>
      </c>
      <c r="E23" s="8">
        <v>647565</v>
      </c>
      <c r="F23" s="8">
        <v>14392</v>
      </c>
      <c r="G23" s="8">
        <v>128</v>
      </c>
    </row>
    <row r="24" spans="2:7" ht="15" customHeight="1">
      <c r="B24" s="13">
        <v>46160</v>
      </c>
      <c r="C24" s="8">
        <v>8</v>
      </c>
      <c r="D24" s="8">
        <v>39</v>
      </c>
      <c r="E24" s="8">
        <v>174709</v>
      </c>
      <c r="F24" s="8">
        <v>318</v>
      </c>
      <c r="G24" s="8">
        <v>2</v>
      </c>
    </row>
    <row r="25" spans="2:7" ht="15" customHeight="1">
      <c r="B25" s="13">
        <v>46161</v>
      </c>
      <c r="C25" s="8">
        <v>8</v>
      </c>
      <c r="D25" s="8">
        <v>47</v>
      </c>
      <c r="E25" s="8">
        <v>137526</v>
      </c>
      <c r="F25" s="8">
        <v>37681</v>
      </c>
      <c r="G25" s="8">
        <v>343</v>
      </c>
    </row>
    <row r="26" spans="2:7" ht="15" customHeight="1">
      <c r="B26" s="13">
        <v>46162</v>
      </c>
      <c r="C26" s="8">
        <v>6</v>
      </c>
      <c r="D26" s="8">
        <v>7</v>
      </c>
      <c r="E26" s="8">
        <v>114407</v>
      </c>
      <c r="F26" s="8">
        <v>6</v>
      </c>
      <c r="G26" s="8">
        <v>8</v>
      </c>
    </row>
    <row r="27" spans="2:7" ht="15" customHeight="1">
      <c r="B27" s="13">
        <v>46163</v>
      </c>
      <c r="C27" s="8">
        <v>21</v>
      </c>
      <c r="D27" s="8">
        <v>563</v>
      </c>
      <c r="E27" s="8">
        <v>2760268</v>
      </c>
      <c r="F27" s="8">
        <v>4797</v>
      </c>
      <c r="G27" s="8">
        <v>272</v>
      </c>
    </row>
    <row r="28" spans="2:7" ht="15" customHeight="1">
      <c r="B28" s="13">
        <v>46164</v>
      </c>
      <c r="C28" s="8">
        <v>7</v>
      </c>
      <c r="D28" s="8">
        <v>50</v>
      </c>
      <c r="E28" s="8">
        <v>125864</v>
      </c>
      <c r="F28" s="8">
        <v>28307</v>
      </c>
      <c r="G28" s="8">
        <v>466</v>
      </c>
    </row>
    <row r="29" spans="2:7" ht="15" customHeight="1">
      <c r="B29" s="13">
        <v>46165</v>
      </c>
      <c r="C29" s="8">
        <v>12</v>
      </c>
      <c r="D29" s="8">
        <v>15</v>
      </c>
      <c r="E29" s="8">
        <v>463161</v>
      </c>
      <c r="F29" s="8">
        <v>16</v>
      </c>
      <c r="G29" s="8">
        <v>6</v>
      </c>
    </row>
    <row r="30" spans="2:7" ht="15" customHeight="1">
      <c r="B30" s="13">
        <v>46166</v>
      </c>
      <c r="C30" s="8">
        <v>11</v>
      </c>
      <c r="D30" s="8">
        <v>233</v>
      </c>
      <c r="E30" s="8">
        <v>974130</v>
      </c>
      <c r="F30" s="8">
        <v>512</v>
      </c>
      <c r="G30" s="8">
        <v>9</v>
      </c>
    </row>
    <row r="31" spans="2:7" ht="15" customHeight="1">
      <c r="B31" s="13">
        <v>46167</v>
      </c>
      <c r="C31" s="8">
        <v>15</v>
      </c>
      <c r="D31" s="8">
        <v>113</v>
      </c>
      <c r="E31" s="8">
        <v>888001</v>
      </c>
      <c r="F31" s="8">
        <v>12935</v>
      </c>
      <c r="G31" s="8">
        <v>8</v>
      </c>
    </row>
    <row r="32" spans="2:7" ht="15" customHeight="1">
      <c r="B32" s="13">
        <v>46168</v>
      </c>
      <c r="C32" s="8">
        <v>14</v>
      </c>
      <c r="D32" s="8">
        <v>25</v>
      </c>
      <c r="E32" s="8">
        <v>1349688</v>
      </c>
      <c r="F32" s="8">
        <v>0</v>
      </c>
      <c r="G32" s="8">
        <v>12</v>
      </c>
    </row>
    <row r="33" spans="2:7" ht="15" customHeight="1">
      <c r="B33" s="13">
        <v>46169</v>
      </c>
      <c r="C33" s="8">
        <v>10</v>
      </c>
      <c r="D33" s="8">
        <v>4</v>
      </c>
      <c r="E33" s="8">
        <v>907895</v>
      </c>
      <c r="F33" s="8">
        <v>0</v>
      </c>
      <c r="G33" s="8">
        <v>5</v>
      </c>
    </row>
    <row r="34" spans="2:7" ht="15" customHeight="1">
      <c r="B34" s="13">
        <v>46170</v>
      </c>
      <c r="C34" s="8">
        <v>13</v>
      </c>
      <c r="D34" s="8">
        <v>7</v>
      </c>
      <c r="E34" s="8">
        <v>1041051</v>
      </c>
      <c r="F34" s="8">
        <v>106</v>
      </c>
      <c r="G34" s="8">
        <v>16</v>
      </c>
    </row>
    <row r="35" spans="2:7" ht="15" customHeight="1">
      <c r="B35" s="13">
        <v>46171</v>
      </c>
      <c r="C35" s="8">
        <v>13</v>
      </c>
      <c r="D35" s="8">
        <v>24</v>
      </c>
      <c r="E35" s="8">
        <v>2987652</v>
      </c>
      <c r="F35" s="8">
        <v>0</v>
      </c>
      <c r="G35" s="8">
        <v>1</v>
      </c>
    </row>
    <row r="36" spans="2:7" ht="15" customHeight="1">
      <c r="B36" s="13">
        <v>46172</v>
      </c>
      <c r="C36" s="8">
        <v>4</v>
      </c>
      <c r="D36" s="8">
        <v>7</v>
      </c>
      <c r="E36" s="8">
        <v>1352644</v>
      </c>
      <c r="F36" s="8">
        <v>1059</v>
      </c>
      <c r="G36" s="8">
        <v>12</v>
      </c>
    </row>
    <row r="37" spans="2:7" ht="15" customHeight="1">
      <c r="B37" s="13">
        <v>46173</v>
      </c>
      <c r="C37" s="8">
        <v>11</v>
      </c>
      <c r="D37" s="8">
        <v>134</v>
      </c>
      <c r="E37" s="8">
        <v>91209</v>
      </c>
      <c r="F37" s="8">
        <v>1469</v>
      </c>
      <c r="G37" s="8">
        <v>29</v>
      </c>
    </row>
    <row r="38" spans="2:7" ht="20" customHeight="1">
      <c r="B38" s="15" t="s">
        <v>21</v>
      </c>
      <c r="C38" s="10">
        <v>389</v>
      </c>
      <c r="D38" s="10">
        <v>4119</v>
      </c>
      <c r="E38" s="10">
        <v>34222829</v>
      </c>
      <c r="F38" s="10">
        <v>160024</v>
      </c>
      <c r="G38" s="10">
        <v>3818</v>
      </c>
    </row>
    <row r="39" ht="13" customHeight="1"/>
    <row r="40" ht="13" customHeight="1"/>
    <row r="41" ht="13" customHeight="1"/>
    <row r="42" ht="13" customHeight="1"/>
    <row r="43" ht="13" customHeight="1"/>
    <row r="44" ht="13" customHeight="1"/>
    <row r="45" ht="13" customHeight="1"/>
    <row r="46" ht="13" customHeight="1"/>
    <row r="47" ht="13" customHeight="1"/>
    <row r="48" ht="13" customHeight="1"/>
    <row r="49" ht="13" customHeight="1"/>
    <row r="50" ht="13" customHeight="1"/>
    <row r="51" ht="13" customHeight="1"/>
    <row r="52" ht="13" customHeight="1"/>
    <row r="53" ht="13" customHeight="1"/>
    <row r="54" ht="13" customHeight="1"/>
    <row r="55" ht="13" customHeight="1"/>
    <row r="56" ht="13" customHeight="1"/>
    <row r="57" ht="13" customHeight="1"/>
    <row r="58" ht="13" customHeight="1"/>
    <row r="59" ht="13" customHeight="1"/>
    <row r="60" ht="13" customHeight="1"/>
    <row r="61" ht="13" customHeight="1"/>
    <row r="62" ht="13" customHeight="1"/>
    <row r="63" ht="13" customHeight="1"/>
    <row r="64" ht="13" customHeight="1"/>
    <row r="65" ht="13" customHeight="1"/>
    <row r="66" ht="13" customHeight="1"/>
    <row r="67" ht="13" customHeight="1"/>
    <row r="68" ht="13" customHeight="1"/>
    <row r="69" ht="13" customHeight="1"/>
    <row r="70" ht="13" customHeight="1"/>
    <row r="71" ht="13" customHeight="1"/>
    <row r="72" ht="13" customHeight="1"/>
    <row r="73" ht="13" customHeight="1"/>
    <row r="74" ht="13" customHeight="1"/>
    <row r="75" ht="13" customHeight="1"/>
    <row r="76" ht="13" customHeight="1"/>
    <row r="77" ht="13" customHeight="1"/>
    <row r="78" ht="13" customHeight="1"/>
    <row r="79" ht="13" customHeight="1"/>
    <row r="80" ht="13" customHeight="1"/>
    <row r="81" ht="13" customHeight="1"/>
    <row r="82" ht="13" customHeight="1"/>
    <row r="83" ht="13" customHeight="1"/>
    <row r="84" ht="13" customHeight="1"/>
    <row r="85" ht="13" customHeight="1"/>
    <row r="86" ht="13" customHeight="1"/>
    <row r="87" ht="13" customHeight="1"/>
    <row r="88" ht="13" customHeight="1"/>
    <row r="89" ht="13" customHeight="1"/>
    <row r="90" ht="13" customHeight="1"/>
    <row r="91" ht="13" customHeight="1"/>
    <row r="92" ht="13" customHeight="1"/>
    <row r="93" ht="13" customHeight="1"/>
    <row r="94" ht="13" customHeight="1"/>
    <row r="95" ht="13" customHeight="1"/>
    <row r="96" ht="13" customHeight="1"/>
    <row r="97" ht="13" customHeight="1"/>
    <row r="98" ht="13" customHeight="1"/>
    <row r="99" ht="13" customHeight="1"/>
    <row r="100" ht="13" customHeight="1"/>
    <row r="101" ht="13" customHeight="1"/>
    <row r="102" ht="13" customHeight="1"/>
    <row r="103" ht="13" customHeight="1"/>
    <row r="104" ht="13" customHeight="1"/>
    <row r="105" ht="13" customHeight="1"/>
    <row r="106" ht="13" customHeight="1"/>
    <row r="107" ht="13" customHeight="1"/>
    <row r="108" ht="13" customHeight="1"/>
    <row r="109" ht="13" customHeight="1"/>
    <row r="110" ht="13" customHeight="1"/>
    <row r="111" ht="13" customHeight="1"/>
    <row r="112" ht="13" customHeight="1"/>
    <row r="113" ht="13" customHeight="1"/>
    <row r="114" ht="13" customHeight="1"/>
    <row r="115" ht="13" customHeight="1"/>
    <row r="116" ht="13" customHeight="1"/>
    <row r="117" ht="13" customHeight="1"/>
  </sheetData>
  <hyperlinks>
    <hyperlink ref="C1" location="Содержание!B4" display="К содержанию"/>
    <hyperlink ref="C6" location="Динамика!A56" display="Сообщения"/>
    <hyperlink ref="D6" location="Динамика!A73" display="СМ Индекс"/>
    <hyperlink ref="E6" location="Динамика!A90" display="Аудитория"/>
    <hyperlink ref="F6" location="Динамика!A107" display="Просмотры"/>
    <hyperlink ref="G6" location="Динамика!A124" display="Вовлечённость"/>
  </hyperlink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a333072-4f71-4ec2-bed3-6009938631f8}">
  <dimension ref="B1:AV395"/>
  <sheetViews>
    <sheetView showGridLines="0" workbookViewId="0" topLeftCell="A1"/>
  </sheetViews>
  <sheetFormatPr defaultRowHeight="12.75"/>
  <cols>
    <col min="1" max="1" width="4.714285714285714" customWidth="1"/>
    <col min="2" max="2" width="22.714285714285715" customWidth="1"/>
    <col min="3" max="3" width="15.571428571428571" customWidth="1"/>
    <col min="4" max="4" width="14" customWidth="1"/>
    <col min="5" max="5" width="21.285714285714285" customWidth="1"/>
    <col min="6" max="6" width="18" customWidth="1"/>
    <col min="7" max="7" width="14" customWidth="1"/>
    <col min="8" max="8" width="13.285714285714286" customWidth="1"/>
    <col min="9" max="9" width="19.571428571428573" customWidth="1"/>
    <col min="10" max="10" width="13.285714285714286" customWidth="1"/>
    <col min="11" max="11" width="23.285714285714285" customWidth="1"/>
    <col min="12" max="12" width="11.857142857142858" customWidth="1"/>
    <col min="13" max="13" width="12.571428571428571" customWidth="1"/>
    <col min="14" max="14" width="16.142857142857142" customWidth="1"/>
    <col min="15" max="15" width="12.714285714285714" customWidth="1"/>
    <col min="16" max="16" width="15.571428571428571" customWidth="1"/>
    <col min="17" max="17" width="12.714285714285714" customWidth="1"/>
    <col min="18" max="18" width="12.857142857142858" customWidth="1"/>
    <col min="19" max="20" width="12.714285714285714" customWidth="1"/>
    <col min="21" max="21" width="14.714285714285714" customWidth="1"/>
    <col min="22" max="22" width="12.714285714285714" customWidth="1"/>
    <col min="23" max="23" width="11.714285714285714" customWidth="1"/>
    <col min="24" max="24" width="15.428571428571429" customWidth="1"/>
    <col min="25" max="25" width="14.714285714285714" customWidth="1"/>
    <col min="26" max="26" width="15.142857142857142" customWidth="1"/>
    <col min="27" max="30" width="12.714285714285714" customWidth="1"/>
    <col min="31" max="31" width="14.714285714285714" customWidth="1"/>
    <col min="32" max="32" width="12.714285714285714" customWidth="1"/>
    <col min="33" max="34" width="14.714285714285714" customWidth="1"/>
    <col min="35" max="35" width="12.714285714285714" customWidth="1"/>
    <col min="36" max="38" width="14.571428571428571" customWidth="1"/>
    <col min="39" max="40" width="9.714285714285714" customWidth="1"/>
    <col min="41" max="41" width="9.142857142857142" customWidth="1"/>
    <col min="42" max="42" width="16.142857142857142" customWidth="1"/>
    <col min="43" max="43" width="12.714285714285714" customWidth="1"/>
    <col min="44" max="44" width="14.428571428571429" customWidth="1"/>
    <col min="45" max="45" width="15" customWidth="1"/>
    <col min="46" max="47" width="12.714285714285714" customWidth="1"/>
    <col min="48" max="48" width="14.714285714285714" customWidth="1"/>
  </cols>
  <sheetData>
    <row r="1" spans="2:3" s="1" customFormat="1" ht="30" customHeight="1">
      <c r="B1" s="1" t="s">
        <v>0</v>
      </c>
      <c r="C1" s="4" t="s">
        <v>2</v>
      </c>
    </row>
    <row r="4" spans="2:2" ht="12.75">
      <c r="B4" s="2" t="s">
        <v>5</v>
      </c>
    </row>
    <row r="6" spans="2:48" ht="30" customHeight="1">
      <c r="B6" s="5" t="s">
        <v>841</v>
      </c>
      <c r="C6" s="5" t="s">
        <v>1642</v>
      </c>
      <c r="D6" s="5" t="s">
        <v>1643</v>
      </c>
      <c r="E6" s="5" t="s">
        <v>355</v>
      </c>
      <c r="F6" s="5" t="s">
        <v>1644</v>
      </c>
      <c r="G6" s="5" t="s">
        <v>1645</v>
      </c>
      <c r="H6" s="5" t="s">
        <v>48</v>
      </c>
      <c r="I6" s="5" t="s">
        <v>1646</v>
      </c>
      <c r="J6" s="5" t="s">
        <v>1647</v>
      </c>
      <c r="K6" s="5" t="s">
        <v>1648</v>
      </c>
      <c r="L6" s="5" t="s">
        <v>1649</v>
      </c>
      <c r="M6" s="5" t="s">
        <v>32</v>
      </c>
      <c r="N6" s="5" t="s">
        <v>7</v>
      </c>
      <c r="O6" s="5" t="s">
        <v>54</v>
      </c>
      <c r="P6" s="5" t="s">
        <v>846</v>
      </c>
      <c r="Q6" s="5" t="s">
        <v>845</v>
      </c>
      <c r="R6" s="5" t="s">
        <v>51</v>
      </c>
      <c r="S6" s="5" t="s">
        <v>34</v>
      </c>
      <c r="T6" s="5" t="s">
        <v>177</v>
      </c>
      <c r="U6" s="5" t="s">
        <v>178</v>
      </c>
      <c r="V6" s="5" t="s">
        <v>179</v>
      </c>
      <c r="W6" s="5" t="s">
        <v>1650</v>
      </c>
      <c r="X6" s="5" t="s">
        <v>1651</v>
      </c>
      <c r="Y6" s="5" t="s">
        <v>1652</v>
      </c>
      <c r="Z6" s="5" t="s">
        <v>1653</v>
      </c>
      <c r="AA6" s="5" t="s">
        <v>1654</v>
      </c>
      <c r="AB6" s="5" t="s">
        <v>847</v>
      </c>
      <c r="AC6" s="5" t="s">
        <v>848</v>
      </c>
      <c r="AD6" s="5" t="s">
        <v>1324</v>
      </c>
      <c r="AE6" s="5" t="s">
        <v>167</v>
      </c>
      <c r="AF6" s="5" t="s">
        <v>1655</v>
      </c>
      <c r="AG6" s="5" t="s">
        <v>1656</v>
      </c>
      <c r="AH6" s="5" t="s">
        <v>1657</v>
      </c>
      <c r="AI6" s="5" t="s">
        <v>1658</v>
      </c>
      <c r="AJ6" s="5" t="s">
        <v>180</v>
      </c>
      <c r="AK6" s="5" t="s">
        <v>181</v>
      </c>
      <c r="AL6" s="5" t="s">
        <v>182</v>
      </c>
      <c r="AM6" s="5" t="s">
        <v>8</v>
      </c>
      <c r="AN6" s="5" t="s">
        <v>1659</v>
      </c>
      <c r="AO6" s="5" t="s">
        <v>1660</v>
      </c>
      <c r="AP6" s="5" t="s">
        <v>1661</v>
      </c>
      <c r="AQ6" s="5" t="s">
        <v>1662</v>
      </c>
      <c r="AR6" s="5" t="s">
        <v>1663</v>
      </c>
      <c r="AS6" s="5" t="s">
        <v>1664</v>
      </c>
      <c r="AT6" s="5" t="s">
        <v>1665</v>
      </c>
      <c r="AU6" s="5" t="s">
        <v>9</v>
      </c>
      <c r="AV6" s="5" t="s">
        <v>1666</v>
      </c>
    </row>
    <row r="7" spans="2:48" ht="15" customHeight="1">
      <c r="B7" s="28">
        <v>1</v>
      </c>
      <c r="C7" s="29" t="s">
        <v>1667</v>
      </c>
      <c r="D7" s="30" t="s">
        <v>1668</v>
      </c>
      <c r="E7" s="31" t="s">
        <v>1669</v>
      </c>
      <c r="F7" s="31" t="s">
        <v>50</v>
      </c>
      <c r="G7" s="32" t="s">
        <v>1670</v>
      </c>
      <c r="H7" s="30" t="s">
        <v>91</v>
      </c>
      <c r="I7" s="30" t="s">
        <v>1191</v>
      </c>
      <c r="J7" s="32" t="s">
        <v>1192</v>
      </c>
      <c r="K7" s="30" t="s">
        <v>208</v>
      </c>
      <c r="L7" s="32" t="s">
        <v>209</v>
      </c>
      <c r="M7" s="30" t="s">
        <v>1671</v>
      </c>
      <c r="N7" s="30" t="s">
        <v>1672</v>
      </c>
      <c r="O7" s="33"/>
      <c r="P7" s="33">
        <v>0</v>
      </c>
      <c r="Q7" s="33">
        <v>0</v>
      </c>
      <c r="R7" s="33">
        <v>0</v>
      </c>
      <c r="S7" s="33">
        <v>0</v>
      </c>
      <c r="T7" s="33">
        <v>0</v>
      </c>
      <c r="U7" s="33">
        <v>0</v>
      </c>
      <c r="V7" s="33">
        <v>0</v>
      </c>
      <c r="W7" s="33" t="s">
        <v>50</v>
      </c>
      <c r="X7" s="33">
        <v>1</v>
      </c>
      <c r="Y7" s="30" t="s">
        <v>70</v>
      </c>
      <c r="Z7" s="30" t="s">
        <v>192</v>
      </c>
      <c r="AA7" s="30" t="s">
        <v>192</v>
      </c>
      <c r="AB7" s="30"/>
      <c r="AC7" s="30"/>
      <c r="AD7" s="30" t="s">
        <v>50</v>
      </c>
      <c r="AE7" s="30" t="s">
        <v>50</v>
      </c>
      <c r="AF7" s="30" t="s">
        <v>50</v>
      </c>
      <c r="AG7" s="30" t="s">
        <v>50</v>
      </c>
      <c r="AH7" s="30" t="s">
        <v>50</v>
      </c>
      <c r="AI7" s="30" t="s">
        <v>1673</v>
      </c>
      <c r="AJ7" s="30" t="s">
        <v>50</v>
      </c>
      <c r="AK7" s="30" t="s">
        <v>50</v>
      </c>
      <c r="AL7" s="30" t="s">
        <v>50</v>
      </c>
      <c r="AM7" s="30" t="s">
        <v>50</v>
      </c>
      <c r="AN7" s="30" t="s">
        <v>50</v>
      </c>
      <c r="AO7" s="30" t="s">
        <v>50</v>
      </c>
      <c r="AP7" s="30" t="s">
        <v>50</v>
      </c>
      <c r="AQ7" s="30" t="s">
        <v>50</v>
      </c>
      <c r="AR7" s="30" t="s">
        <v>50</v>
      </c>
      <c r="AS7" s="30" t="s">
        <v>50</v>
      </c>
      <c r="AT7" s="30" t="s">
        <v>299</v>
      </c>
      <c r="AU7" s="30" t="s">
        <v>50</v>
      </c>
      <c r="AV7" s="34">
        <v>168996149733</v>
      </c>
    </row>
    <row r="8" spans="2:48" ht="15" customHeight="1">
      <c r="B8" s="28">
        <v>2</v>
      </c>
      <c r="C8" s="29" t="s">
        <v>1674</v>
      </c>
      <c r="D8" s="30" t="s">
        <v>1675</v>
      </c>
      <c r="E8" s="31" t="s">
        <v>1676</v>
      </c>
      <c r="F8" s="31" t="s">
        <v>50</v>
      </c>
      <c r="G8" s="32" t="s">
        <v>1677</v>
      </c>
      <c r="H8" s="30" t="s">
        <v>102</v>
      </c>
      <c r="I8" s="30" t="s">
        <v>1199</v>
      </c>
      <c r="J8" s="32" t="s">
        <v>1200</v>
      </c>
      <c r="K8" s="30" t="s">
        <v>281</v>
      </c>
      <c r="L8" s="32" t="s">
        <v>282</v>
      </c>
      <c r="M8" s="30" t="s">
        <v>1678</v>
      </c>
      <c r="N8" s="30" t="s">
        <v>1679</v>
      </c>
      <c r="O8" s="33"/>
      <c r="P8" s="33">
        <v>0</v>
      </c>
      <c r="Q8" s="33">
        <v>0</v>
      </c>
      <c r="R8" s="33">
        <v>0</v>
      </c>
      <c r="S8" s="33">
        <v>0</v>
      </c>
      <c r="T8" s="33">
        <v>0</v>
      </c>
      <c r="U8" s="33">
        <v>0</v>
      </c>
      <c r="V8" s="33">
        <v>0</v>
      </c>
      <c r="W8" s="33" t="s">
        <v>1680</v>
      </c>
      <c r="X8" s="33">
        <v>2</v>
      </c>
      <c r="Y8" s="30" t="s">
        <v>56</v>
      </c>
      <c r="Z8" s="30" t="s">
        <v>192</v>
      </c>
      <c r="AA8" s="30" t="s">
        <v>192</v>
      </c>
      <c r="AB8" s="30" t="s">
        <v>1316</v>
      </c>
      <c r="AC8" s="30"/>
      <c r="AD8" s="30" t="s">
        <v>50</v>
      </c>
      <c r="AE8" s="30" t="s">
        <v>50</v>
      </c>
      <c r="AF8" s="30" t="s">
        <v>50</v>
      </c>
      <c r="AG8" s="30" t="s">
        <v>50</v>
      </c>
      <c r="AH8" s="30" t="s">
        <v>50</v>
      </c>
      <c r="AI8" s="30" t="s">
        <v>1673</v>
      </c>
      <c r="AJ8" s="30" t="s">
        <v>187</v>
      </c>
      <c r="AK8" s="30" t="s">
        <v>50</v>
      </c>
      <c r="AL8" s="30" t="s">
        <v>50</v>
      </c>
      <c r="AM8" s="30" t="s">
        <v>50</v>
      </c>
      <c r="AN8" s="30" t="s">
        <v>1681</v>
      </c>
      <c r="AO8" s="30" t="s">
        <v>50</v>
      </c>
      <c r="AP8" s="30" t="s">
        <v>50</v>
      </c>
      <c r="AQ8" s="30" t="s">
        <v>50</v>
      </c>
      <c r="AR8" s="30" t="s">
        <v>50</v>
      </c>
      <c r="AS8" s="30" t="s">
        <v>50</v>
      </c>
      <c r="AT8" s="30" t="s">
        <v>1682</v>
      </c>
      <c r="AU8" s="30" t="s">
        <v>147</v>
      </c>
      <c r="AV8" s="34">
        <v>169089674200</v>
      </c>
    </row>
    <row r="9" spans="2:48" ht="15" customHeight="1">
      <c r="B9" s="28">
        <v>3</v>
      </c>
      <c r="C9" s="29" t="s">
        <v>1683</v>
      </c>
      <c r="D9" s="30" t="s">
        <v>1684</v>
      </c>
      <c r="E9" s="31" t="s">
        <v>1685</v>
      </c>
      <c r="F9" s="31" t="s">
        <v>50</v>
      </c>
      <c r="G9" s="32" t="s">
        <v>838</v>
      </c>
      <c r="H9" s="30" t="s">
        <v>73</v>
      </c>
      <c r="I9" s="30" t="s">
        <v>1098</v>
      </c>
      <c r="J9" s="32" t="s">
        <v>1099</v>
      </c>
      <c r="K9" s="30" t="s">
        <v>240</v>
      </c>
      <c r="L9" s="32" t="s">
        <v>838</v>
      </c>
      <c r="M9" s="30" t="s">
        <v>1686</v>
      </c>
      <c r="N9" s="30" t="s">
        <v>1672</v>
      </c>
      <c r="O9" s="33"/>
      <c r="P9" s="33">
        <v>0</v>
      </c>
      <c r="Q9" s="33">
        <v>0</v>
      </c>
      <c r="R9" s="33" t="s">
        <v>158</v>
      </c>
      <c r="S9" s="33">
        <v>0</v>
      </c>
      <c r="T9" s="33" t="s">
        <v>158</v>
      </c>
      <c r="U9" s="33" t="s">
        <v>158</v>
      </c>
      <c r="V9" s="33" t="s">
        <v>158</v>
      </c>
      <c r="W9" s="33" t="s">
        <v>50</v>
      </c>
      <c r="X9" s="33">
        <v>1</v>
      </c>
      <c r="Y9" s="30" t="s">
        <v>75</v>
      </c>
      <c r="Z9" s="30" t="s">
        <v>192</v>
      </c>
      <c r="AA9" s="30" t="s">
        <v>192</v>
      </c>
      <c r="AB9" s="30" t="s">
        <v>1316</v>
      </c>
      <c r="AC9" s="30"/>
      <c r="AD9" s="30" t="s">
        <v>50</v>
      </c>
      <c r="AE9" s="30" t="s">
        <v>50</v>
      </c>
      <c r="AF9" s="30" t="s">
        <v>50</v>
      </c>
      <c r="AG9" s="30" t="s">
        <v>50</v>
      </c>
      <c r="AH9" s="30" t="s">
        <v>50</v>
      </c>
      <c r="AI9" s="30" t="s">
        <v>1673</v>
      </c>
      <c r="AJ9" s="30" t="s">
        <v>187</v>
      </c>
      <c r="AK9" s="30" t="s">
        <v>1687</v>
      </c>
      <c r="AL9" s="30" t="s">
        <v>840</v>
      </c>
      <c r="AM9" s="30" t="s">
        <v>50</v>
      </c>
      <c r="AN9" s="30" t="s">
        <v>1681</v>
      </c>
      <c r="AO9" s="30" t="s">
        <v>50</v>
      </c>
      <c r="AP9" s="30" t="s">
        <v>50</v>
      </c>
      <c r="AQ9" s="30" t="s">
        <v>50</v>
      </c>
      <c r="AR9" s="30" t="s">
        <v>50</v>
      </c>
      <c r="AS9" s="30" t="s">
        <v>50</v>
      </c>
      <c r="AT9" s="30" t="s">
        <v>299</v>
      </c>
      <c r="AU9" s="30" t="s">
        <v>50</v>
      </c>
      <c r="AV9" s="34">
        <v>169091671461</v>
      </c>
    </row>
    <row r="10" spans="2:48" ht="15" customHeight="1">
      <c r="B10" s="28">
        <v>4</v>
      </c>
      <c r="C10" s="29" t="s">
        <v>1688</v>
      </c>
      <c r="D10" s="30" t="s">
        <v>50</v>
      </c>
      <c r="E10" s="31" t="s">
        <v>1689</v>
      </c>
      <c r="F10" s="31" t="s">
        <v>50</v>
      </c>
      <c r="G10" s="32" t="s">
        <v>1690</v>
      </c>
      <c r="H10" s="30" t="s">
        <v>65</v>
      </c>
      <c r="I10" s="30" t="s">
        <v>624</v>
      </c>
      <c r="J10" s="32" t="s">
        <v>1691</v>
      </c>
      <c r="K10" s="30" t="s">
        <v>624</v>
      </c>
      <c r="L10" s="32" t="s">
        <v>1691</v>
      </c>
      <c r="M10" s="30" t="s">
        <v>1671</v>
      </c>
      <c r="N10" s="30" t="s">
        <v>1672</v>
      </c>
      <c r="O10" s="33"/>
      <c r="P10" s="33">
        <v>50</v>
      </c>
      <c r="Q10" s="33">
        <v>50</v>
      </c>
      <c r="R10" s="33">
        <v>12</v>
      </c>
      <c r="S10" s="33">
        <v>0</v>
      </c>
      <c r="T10" s="33">
        <v>0</v>
      </c>
      <c r="U10" s="33">
        <v>0</v>
      </c>
      <c r="V10" s="33">
        <v>0</v>
      </c>
      <c r="W10" s="33" t="s">
        <v>50</v>
      </c>
      <c r="X10" s="33">
        <v>1</v>
      </c>
      <c r="Y10" s="30" t="s">
        <v>67</v>
      </c>
      <c r="Z10" s="30" t="s">
        <v>186</v>
      </c>
      <c r="AA10" s="30" t="s">
        <v>186</v>
      </c>
      <c r="AB10" s="30"/>
      <c r="AC10" s="30"/>
      <c r="AD10" s="30" t="s">
        <v>50</v>
      </c>
      <c r="AE10" s="30" t="s">
        <v>50</v>
      </c>
      <c r="AF10" s="30" t="s">
        <v>50</v>
      </c>
      <c r="AG10" s="30" t="s">
        <v>50</v>
      </c>
      <c r="AH10" s="30" t="s">
        <v>50</v>
      </c>
      <c r="AI10" s="30" t="s">
        <v>1673</v>
      </c>
      <c r="AJ10" s="30" t="s">
        <v>50</v>
      </c>
      <c r="AK10" s="30" t="s">
        <v>50</v>
      </c>
      <c r="AL10" s="30" t="s">
        <v>50</v>
      </c>
      <c r="AM10" s="30" t="s">
        <v>50</v>
      </c>
      <c r="AN10" s="30" t="s">
        <v>50</v>
      </c>
      <c r="AO10" s="30" t="s">
        <v>50</v>
      </c>
      <c r="AP10" s="30" t="s">
        <v>50</v>
      </c>
      <c r="AQ10" s="30" t="s">
        <v>50</v>
      </c>
      <c r="AR10" s="30" t="s">
        <v>50</v>
      </c>
      <c r="AS10" s="30" t="s">
        <v>50</v>
      </c>
      <c r="AT10" s="30" t="s">
        <v>1682</v>
      </c>
      <c r="AU10" s="30" t="s">
        <v>50</v>
      </c>
      <c r="AV10" s="34">
        <v>168978590295</v>
      </c>
    </row>
    <row r="11" spans="2:48" ht="15" customHeight="1">
      <c r="B11" s="28">
        <v>5</v>
      </c>
      <c r="C11" s="29" t="s">
        <v>1692</v>
      </c>
      <c r="D11" s="30" t="s">
        <v>50</v>
      </c>
      <c r="E11" s="31" t="s">
        <v>1693</v>
      </c>
      <c r="F11" s="31" t="s">
        <v>50</v>
      </c>
      <c r="G11" s="32" t="s">
        <v>1694</v>
      </c>
      <c r="H11" s="30" t="s">
        <v>65</v>
      </c>
      <c r="I11" s="30" t="s">
        <v>1145</v>
      </c>
      <c r="J11" s="32" t="s">
        <v>1695</v>
      </c>
      <c r="K11" s="30" t="s">
        <v>297</v>
      </c>
      <c r="L11" s="32" t="s">
        <v>1696</v>
      </c>
      <c r="M11" s="30" t="s">
        <v>1697</v>
      </c>
      <c r="N11" s="30" t="s">
        <v>1672</v>
      </c>
      <c r="O11" s="33"/>
      <c r="P11" s="33">
        <v>2900</v>
      </c>
      <c r="Q11" s="33">
        <v>0</v>
      </c>
      <c r="R11" s="33">
        <v>0</v>
      </c>
      <c r="S11" s="33">
        <v>0</v>
      </c>
      <c r="T11" s="33">
        <v>0</v>
      </c>
      <c r="U11" s="33">
        <v>0</v>
      </c>
      <c r="V11" s="33">
        <v>0</v>
      </c>
      <c r="W11" s="33" t="s">
        <v>50</v>
      </c>
      <c r="X11" s="33">
        <v>1</v>
      </c>
      <c r="Y11" s="30" t="s">
        <v>67</v>
      </c>
      <c r="Z11" s="30" t="s">
        <v>186</v>
      </c>
      <c r="AA11" s="30" t="s">
        <v>222</v>
      </c>
      <c r="AB11" s="30"/>
      <c r="AC11" s="30"/>
      <c r="AD11" s="30" t="s">
        <v>50</v>
      </c>
      <c r="AE11" s="30" t="s">
        <v>50</v>
      </c>
      <c r="AF11" s="30" t="s">
        <v>50</v>
      </c>
      <c r="AG11" s="30" t="s">
        <v>50</v>
      </c>
      <c r="AH11" s="30" t="s">
        <v>50</v>
      </c>
      <c r="AI11" s="30" t="s">
        <v>1673</v>
      </c>
      <c r="AJ11" s="30" t="s">
        <v>50</v>
      </c>
      <c r="AK11" s="30" t="s">
        <v>50</v>
      </c>
      <c r="AL11" s="30" t="s">
        <v>50</v>
      </c>
      <c r="AM11" s="30" t="s">
        <v>50</v>
      </c>
      <c r="AN11" s="30" t="s">
        <v>1681</v>
      </c>
      <c r="AO11" s="30" t="s">
        <v>50</v>
      </c>
      <c r="AP11" s="30" t="s">
        <v>50</v>
      </c>
      <c r="AQ11" s="30" t="s">
        <v>50</v>
      </c>
      <c r="AR11" s="30" t="s">
        <v>50</v>
      </c>
      <c r="AS11" s="30" t="s">
        <v>50</v>
      </c>
      <c r="AT11" s="30" t="s">
        <v>1682</v>
      </c>
      <c r="AU11" s="30" t="s">
        <v>50</v>
      </c>
      <c r="AV11" s="34">
        <v>168977705290</v>
      </c>
    </row>
    <row r="12" spans="2:48" ht="15" customHeight="1">
      <c r="B12" s="28">
        <v>6</v>
      </c>
      <c r="C12" s="29" t="s">
        <v>1698</v>
      </c>
      <c r="D12" s="30" t="s">
        <v>1699</v>
      </c>
      <c r="E12" s="31" t="s">
        <v>1700</v>
      </c>
      <c r="F12" s="31" t="s">
        <v>1701</v>
      </c>
      <c r="G12" s="32" t="s">
        <v>1702</v>
      </c>
      <c r="H12" s="30" t="s">
        <v>62</v>
      </c>
      <c r="I12" s="30" t="s">
        <v>715</v>
      </c>
      <c r="J12" s="32" t="s">
        <v>716</v>
      </c>
      <c r="K12" s="30" t="s">
        <v>715</v>
      </c>
      <c r="L12" s="32" t="s">
        <v>716</v>
      </c>
      <c r="M12" s="30" t="s">
        <v>1671</v>
      </c>
      <c r="N12" s="30" t="s">
        <v>1672</v>
      </c>
      <c r="O12" s="33">
        <v>134</v>
      </c>
      <c r="P12" s="33">
        <v>7340</v>
      </c>
      <c r="Q12" s="33">
        <v>7340</v>
      </c>
      <c r="R12" s="33">
        <v>1457</v>
      </c>
      <c r="S12" s="33">
        <v>27</v>
      </c>
      <c r="T12" s="33">
        <v>23</v>
      </c>
      <c r="U12" s="33">
        <v>1</v>
      </c>
      <c r="V12" s="33">
        <v>3</v>
      </c>
      <c r="W12" s="33" t="s">
        <v>50</v>
      </c>
      <c r="X12" s="33">
        <v>1</v>
      </c>
      <c r="Y12" s="30" t="s">
        <v>64</v>
      </c>
      <c r="Z12" s="30" t="s">
        <v>186</v>
      </c>
      <c r="AA12" s="30" t="s">
        <v>186</v>
      </c>
      <c r="AB12" s="30"/>
      <c r="AC12" s="30"/>
      <c r="AD12" s="30" t="s">
        <v>50</v>
      </c>
      <c r="AE12" s="30" t="s">
        <v>50</v>
      </c>
      <c r="AF12" s="30" t="s">
        <v>50</v>
      </c>
      <c r="AG12" s="30" t="s">
        <v>50</v>
      </c>
      <c r="AH12" s="30" t="s">
        <v>50</v>
      </c>
      <c r="AI12" s="30" t="s">
        <v>1673</v>
      </c>
      <c r="AJ12" s="30" t="s">
        <v>50</v>
      </c>
      <c r="AK12" s="30" t="s">
        <v>50</v>
      </c>
      <c r="AL12" s="30" t="s">
        <v>50</v>
      </c>
      <c r="AM12" s="30" t="s">
        <v>50</v>
      </c>
      <c r="AN12" s="30" t="s">
        <v>50</v>
      </c>
      <c r="AO12" s="30" t="s">
        <v>50</v>
      </c>
      <c r="AP12" s="30" t="s">
        <v>50</v>
      </c>
      <c r="AQ12" s="30" t="s">
        <v>50</v>
      </c>
      <c r="AR12" s="30" t="s">
        <v>50</v>
      </c>
      <c r="AS12" s="30" t="s">
        <v>50</v>
      </c>
      <c r="AT12" s="30" t="s">
        <v>1682</v>
      </c>
      <c r="AU12" s="30" t="s">
        <v>50</v>
      </c>
      <c r="AV12" s="34">
        <v>169019035434</v>
      </c>
    </row>
    <row r="13" spans="2:48" ht="15" customHeight="1">
      <c r="B13" s="28">
        <v>7</v>
      </c>
      <c r="C13" s="29" t="s">
        <v>1703</v>
      </c>
      <c r="D13" s="30" t="s">
        <v>50</v>
      </c>
      <c r="E13" s="31" t="s">
        <v>1704</v>
      </c>
      <c r="F13" s="31" t="s">
        <v>50</v>
      </c>
      <c r="G13" s="32" t="s">
        <v>1705</v>
      </c>
      <c r="H13" s="30" t="s">
        <v>65</v>
      </c>
      <c r="I13" s="30" t="s">
        <v>1044</v>
      </c>
      <c r="J13" s="32" t="s">
        <v>1706</v>
      </c>
      <c r="K13" s="30" t="s">
        <v>599</v>
      </c>
      <c r="L13" s="32" t="s">
        <v>1707</v>
      </c>
      <c r="M13" s="30" t="s">
        <v>1671</v>
      </c>
      <c r="N13" s="30" t="s">
        <v>1672</v>
      </c>
      <c r="O13" s="33"/>
      <c r="P13" s="33">
        <v>3858</v>
      </c>
      <c r="Q13" s="33">
        <v>0</v>
      </c>
      <c r="R13" s="33">
        <v>0</v>
      </c>
      <c r="S13" s="33">
        <v>0</v>
      </c>
      <c r="T13" s="33">
        <v>0</v>
      </c>
      <c r="U13" s="33">
        <v>0</v>
      </c>
      <c r="V13" s="33">
        <v>0</v>
      </c>
      <c r="W13" s="33" t="s">
        <v>50</v>
      </c>
      <c r="X13" s="33">
        <v>1</v>
      </c>
      <c r="Y13" s="30" t="s">
        <v>67</v>
      </c>
      <c r="Z13" s="30" t="s">
        <v>186</v>
      </c>
      <c r="AA13" s="30" t="s">
        <v>222</v>
      </c>
      <c r="AB13" s="30" t="s">
        <v>1315</v>
      </c>
      <c r="AC13" s="30"/>
      <c r="AD13" s="30" t="s">
        <v>50</v>
      </c>
      <c r="AE13" s="30" t="s">
        <v>50</v>
      </c>
      <c r="AF13" s="30" t="s">
        <v>50</v>
      </c>
      <c r="AG13" s="30" t="s">
        <v>50</v>
      </c>
      <c r="AH13" s="30" t="s">
        <v>50</v>
      </c>
      <c r="AI13" s="30" t="s">
        <v>1673</v>
      </c>
      <c r="AJ13" s="30" t="s">
        <v>50</v>
      </c>
      <c r="AK13" s="30" t="s">
        <v>50</v>
      </c>
      <c r="AL13" s="30" t="s">
        <v>50</v>
      </c>
      <c r="AM13" s="30" t="s">
        <v>50</v>
      </c>
      <c r="AN13" s="30" t="s">
        <v>50</v>
      </c>
      <c r="AO13" s="30" t="s">
        <v>50</v>
      </c>
      <c r="AP13" s="30" t="s">
        <v>50</v>
      </c>
      <c r="AQ13" s="30" t="s">
        <v>50</v>
      </c>
      <c r="AR13" s="30" t="s">
        <v>50</v>
      </c>
      <c r="AS13" s="30" t="s">
        <v>50</v>
      </c>
      <c r="AT13" s="30" t="s">
        <v>1682</v>
      </c>
      <c r="AU13" s="30" t="s">
        <v>50</v>
      </c>
      <c r="AV13" s="34">
        <v>168973647213</v>
      </c>
    </row>
    <row r="14" spans="2:48" ht="15" customHeight="1">
      <c r="B14" s="28">
        <v>8</v>
      </c>
      <c r="C14" s="29" t="s">
        <v>1708</v>
      </c>
      <c r="D14" s="30" t="s">
        <v>50</v>
      </c>
      <c r="E14" s="31" t="s">
        <v>1709</v>
      </c>
      <c r="F14" s="31" t="s">
        <v>50</v>
      </c>
      <c r="G14" s="32" t="s">
        <v>1710</v>
      </c>
      <c r="H14" s="30" t="s">
        <v>68</v>
      </c>
      <c r="I14" s="30" t="s">
        <v>769</v>
      </c>
      <c r="J14" s="32" t="s">
        <v>1077</v>
      </c>
      <c r="K14" s="30" t="s">
        <v>616</v>
      </c>
      <c r="L14" s="32" t="s">
        <v>617</v>
      </c>
      <c r="M14" s="30" t="s">
        <v>1697</v>
      </c>
      <c r="N14" s="30" t="s">
        <v>1679</v>
      </c>
      <c r="O14" s="33"/>
      <c r="P14" s="33">
        <v>76893</v>
      </c>
      <c r="Q14" s="33">
        <v>6</v>
      </c>
      <c r="R14" s="33">
        <v>0</v>
      </c>
      <c r="S14" s="33">
        <v>0</v>
      </c>
      <c r="T14" s="33">
        <v>0</v>
      </c>
      <c r="U14" s="33">
        <v>0</v>
      </c>
      <c r="V14" s="33">
        <v>0</v>
      </c>
      <c r="W14" s="33" t="s">
        <v>50</v>
      </c>
      <c r="X14" s="33">
        <v>1</v>
      </c>
      <c r="Y14" s="30" t="s">
        <v>70</v>
      </c>
      <c r="Z14" s="30" t="s">
        <v>192</v>
      </c>
      <c r="AA14" s="30" t="s">
        <v>192</v>
      </c>
      <c r="AB14" s="30" t="s">
        <v>1315</v>
      </c>
      <c r="AC14" s="30"/>
      <c r="AD14" s="30" t="s">
        <v>50</v>
      </c>
      <c r="AE14" s="30" t="s">
        <v>50</v>
      </c>
      <c r="AF14" s="30" t="s">
        <v>50</v>
      </c>
      <c r="AG14" s="30" t="s">
        <v>50</v>
      </c>
      <c r="AH14" s="30" t="s">
        <v>50</v>
      </c>
      <c r="AI14" s="30" t="s">
        <v>1673</v>
      </c>
      <c r="AJ14" s="30" t="s">
        <v>50</v>
      </c>
      <c r="AK14" s="30" t="s">
        <v>50</v>
      </c>
      <c r="AL14" s="30" t="s">
        <v>50</v>
      </c>
      <c r="AM14" s="30" t="s">
        <v>50</v>
      </c>
      <c r="AN14" s="30" t="s">
        <v>1681</v>
      </c>
      <c r="AO14" s="30" t="s">
        <v>50</v>
      </c>
      <c r="AP14" s="30" t="s">
        <v>50</v>
      </c>
      <c r="AQ14" s="30" t="s">
        <v>50</v>
      </c>
      <c r="AR14" s="30" t="s">
        <v>50</v>
      </c>
      <c r="AS14" s="30" t="s">
        <v>50</v>
      </c>
      <c r="AT14" s="30" t="s">
        <v>1711</v>
      </c>
      <c r="AU14" s="30" t="s">
        <v>50</v>
      </c>
      <c r="AV14" s="34">
        <v>168973447658</v>
      </c>
    </row>
    <row r="15" spans="2:48" ht="15" customHeight="1">
      <c r="B15" s="28">
        <v>9</v>
      </c>
      <c r="C15" s="29" t="s">
        <v>1712</v>
      </c>
      <c r="D15" s="30" t="s">
        <v>50</v>
      </c>
      <c r="E15" s="31" t="s">
        <v>1713</v>
      </c>
      <c r="F15" s="31" t="s">
        <v>50</v>
      </c>
      <c r="G15" s="32" t="s">
        <v>1714</v>
      </c>
      <c r="H15" s="30" t="s">
        <v>83</v>
      </c>
      <c r="I15" s="30" t="s">
        <v>798</v>
      </c>
      <c r="J15" s="32" t="s">
        <v>799</v>
      </c>
      <c r="K15" s="30" t="s">
        <v>798</v>
      </c>
      <c r="L15" s="32" t="s">
        <v>799</v>
      </c>
      <c r="M15" s="30" t="s">
        <v>1697</v>
      </c>
      <c r="N15" s="30" t="s">
        <v>1672</v>
      </c>
      <c r="O15" s="33"/>
      <c r="P15" s="33">
        <v>1</v>
      </c>
      <c r="Q15" s="33">
        <v>1</v>
      </c>
      <c r="R15" s="33">
        <v>0</v>
      </c>
      <c r="S15" s="33">
        <v>2</v>
      </c>
      <c r="T15" s="33">
        <v>1</v>
      </c>
      <c r="U15" s="33">
        <v>1</v>
      </c>
      <c r="V15" s="33">
        <v>0</v>
      </c>
      <c r="W15" s="33" t="s">
        <v>50</v>
      </c>
      <c r="X15" s="33">
        <v>1</v>
      </c>
      <c r="Y15" s="30" t="s">
        <v>70</v>
      </c>
      <c r="Z15" s="30" t="s">
        <v>222</v>
      </c>
      <c r="AA15" s="30" t="s">
        <v>222</v>
      </c>
      <c r="AB15" s="30"/>
      <c r="AC15" s="30"/>
      <c r="AD15" s="30" t="s">
        <v>50</v>
      </c>
      <c r="AE15" s="30" t="s">
        <v>50</v>
      </c>
      <c r="AF15" s="30" t="s">
        <v>50</v>
      </c>
      <c r="AG15" s="30" t="s">
        <v>50</v>
      </c>
      <c r="AH15" s="30" t="s">
        <v>50</v>
      </c>
      <c r="AI15" s="30" t="s">
        <v>1673</v>
      </c>
      <c r="AJ15" s="30" t="s">
        <v>50</v>
      </c>
      <c r="AK15" s="30" t="s">
        <v>50</v>
      </c>
      <c r="AL15" s="30" t="s">
        <v>50</v>
      </c>
      <c r="AM15" s="30" t="s">
        <v>50</v>
      </c>
      <c r="AN15" s="30" t="s">
        <v>1681</v>
      </c>
      <c r="AO15" s="30" t="s">
        <v>50</v>
      </c>
      <c r="AP15" s="30" t="s">
        <v>50</v>
      </c>
      <c r="AQ15" s="30" t="s">
        <v>50</v>
      </c>
      <c r="AR15" s="30" t="s">
        <v>50</v>
      </c>
      <c r="AS15" s="30" t="s">
        <v>50</v>
      </c>
      <c r="AT15" s="30" t="s">
        <v>1682</v>
      </c>
      <c r="AU15" s="30" t="s">
        <v>50</v>
      </c>
      <c r="AV15" s="34">
        <v>168982857107</v>
      </c>
    </row>
    <row r="16" spans="2:48" ht="15" customHeight="1">
      <c r="B16" s="28">
        <v>10</v>
      </c>
      <c r="C16" s="29" t="s">
        <v>1715</v>
      </c>
      <c r="D16" s="30" t="s">
        <v>318</v>
      </c>
      <c r="E16" s="31" t="s">
        <v>1716</v>
      </c>
      <c r="F16" s="31" t="s">
        <v>50</v>
      </c>
      <c r="G16" s="32" t="s">
        <v>1717</v>
      </c>
      <c r="H16" s="30" t="s">
        <v>73</v>
      </c>
      <c r="I16" s="30" t="s">
        <v>1228</v>
      </c>
      <c r="J16" s="32" t="s">
        <v>1229</v>
      </c>
      <c r="K16" s="30" t="s">
        <v>318</v>
      </c>
      <c r="L16" s="32" t="s">
        <v>837</v>
      </c>
      <c r="M16" s="30" t="s">
        <v>1718</v>
      </c>
      <c r="N16" s="30" t="s">
        <v>1672</v>
      </c>
      <c r="O16" s="33"/>
      <c r="P16" s="33">
        <v>0</v>
      </c>
      <c r="Q16" s="33">
        <v>0</v>
      </c>
      <c r="R16" s="33" t="s">
        <v>158</v>
      </c>
      <c r="S16" s="33">
        <v>0</v>
      </c>
      <c r="T16" s="33" t="s">
        <v>158</v>
      </c>
      <c r="U16" s="33" t="s">
        <v>158</v>
      </c>
      <c r="V16" s="33" t="s">
        <v>158</v>
      </c>
      <c r="W16" s="33" t="s">
        <v>50</v>
      </c>
      <c r="X16" s="33">
        <v>1</v>
      </c>
      <c r="Y16" s="30" t="s">
        <v>75</v>
      </c>
      <c r="Z16" s="30" t="s">
        <v>192</v>
      </c>
      <c r="AA16" s="30" t="s">
        <v>192</v>
      </c>
      <c r="AB16" s="30" t="s">
        <v>1316</v>
      </c>
      <c r="AC16" s="30"/>
      <c r="AD16" s="30" t="s">
        <v>50</v>
      </c>
      <c r="AE16" s="30" t="s">
        <v>50</v>
      </c>
      <c r="AF16" s="30" t="s">
        <v>50</v>
      </c>
      <c r="AG16" s="30" t="s">
        <v>50</v>
      </c>
      <c r="AH16" s="30" t="s">
        <v>50</v>
      </c>
      <c r="AI16" s="30" t="s">
        <v>1673</v>
      </c>
      <c r="AJ16" s="30" t="s">
        <v>50</v>
      </c>
      <c r="AK16" s="30" t="s">
        <v>50</v>
      </c>
      <c r="AL16" s="30" t="s">
        <v>50</v>
      </c>
      <c r="AM16" s="30" t="s">
        <v>50</v>
      </c>
      <c r="AN16" s="30" t="s">
        <v>1681</v>
      </c>
      <c r="AO16" s="30" t="s">
        <v>50</v>
      </c>
      <c r="AP16" s="30" t="s">
        <v>50</v>
      </c>
      <c r="AQ16" s="30" t="s">
        <v>50</v>
      </c>
      <c r="AR16" s="30" t="s">
        <v>50</v>
      </c>
      <c r="AS16" s="30" t="s">
        <v>50</v>
      </c>
      <c r="AT16" s="30" t="s">
        <v>1711</v>
      </c>
      <c r="AU16" s="30" t="s">
        <v>50</v>
      </c>
      <c r="AV16" s="34">
        <v>168979640209</v>
      </c>
    </row>
    <row r="17" spans="2:48" ht="15" customHeight="1">
      <c r="B17" s="28">
        <v>11</v>
      </c>
      <c r="C17" s="29" t="s">
        <v>1719</v>
      </c>
      <c r="D17" s="30" t="s">
        <v>50</v>
      </c>
      <c r="E17" s="31" t="s">
        <v>1720</v>
      </c>
      <c r="F17" s="31" t="s">
        <v>1721</v>
      </c>
      <c r="G17" s="32" t="s">
        <v>1722</v>
      </c>
      <c r="H17" s="30" t="s">
        <v>65</v>
      </c>
      <c r="I17" s="30" t="s">
        <v>1246</v>
      </c>
      <c r="J17" s="32" t="s">
        <v>1723</v>
      </c>
      <c r="K17" s="30" t="s">
        <v>746</v>
      </c>
      <c r="L17" s="32" t="s">
        <v>1724</v>
      </c>
      <c r="M17" s="30" t="s">
        <v>1697</v>
      </c>
      <c r="N17" s="30" t="s">
        <v>1672</v>
      </c>
      <c r="O17" s="33"/>
      <c r="P17" s="33">
        <v>167</v>
      </c>
      <c r="Q17" s="33">
        <v>0</v>
      </c>
      <c r="R17" s="33">
        <v>0</v>
      </c>
      <c r="S17" s="33">
        <v>0</v>
      </c>
      <c r="T17" s="33">
        <v>0</v>
      </c>
      <c r="U17" s="33">
        <v>0</v>
      </c>
      <c r="V17" s="33">
        <v>0</v>
      </c>
      <c r="W17" s="33" t="s">
        <v>50</v>
      </c>
      <c r="X17" s="33">
        <v>1</v>
      </c>
      <c r="Y17" s="30" t="s">
        <v>67</v>
      </c>
      <c r="Z17" s="30" t="s">
        <v>186</v>
      </c>
      <c r="AA17" s="30" t="s">
        <v>192</v>
      </c>
      <c r="AB17" s="30"/>
      <c r="AC17" s="30"/>
      <c r="AD17" s="30" t="s">
        <v>50</v>
      </c>
      <c r="AE17" s="30" t="s">
        <v>50</v>
      </c>
      <c r="AF17" s="30" t="s">
        <v>50</v>
      </c>
      <c r="AG17" s="30" t="s">
        <v>50</v>
      </c>
      <c r="AH17" s="30" t="s">
        <v>50</v>
      </c>
      <c r="AI17" s="30" t="s">
        <v>1673</v>
      </c>
      <c r="AJ17" s="30" t="s">
        <v>50</v>
      </c>
      <c r="AK17" s="30" t="s">
        <v>50</v>
      </c>
      <c r="AL17" s="30" t="s">
        <v>50</v>
      </c>
      <c r="AM17" s="30" t="s">
        <v>50</v>
      </c>
      <c r="AN17" s="30" t="s">
        <v>1681</v>
      </c>
      <c r="AO17" s="30" t="s">
        <v>50</v>
      </c>
      <c r="AP17" s="30" t="s">
        <v>50</v>
      </c>
      <c r="AQ17" s="30" t="s">
        <v>50</v>
      </c>
      <c r="AR17" s="30" t="s">
        <v>50</v>
      </c>
      <c r="AS17" s="30" t="s">
        <v>50</v>
      </c>
      <c r="AT17" s="30" t="s">
        <v>1725</v>
      </c>
      <c r="AU17" s="30" t="s">
        <v>50</v>
      </c>
      <c r="AV17" s="34">
        <v>168964677577</v>
      </c>
    </row>
    <row r="18" spans="2:48" ht="15" customHeight="1">
      <c r="B18" s="28">
        <v>12</v>
      </c>
      <c r="C18" s="29" t="s">
        <v>1726</v>
      </c>
      <c r="D18" s="30" t="s">
        <v>50</v>
      </c>
      <c r="E18" s="31" t="s">
        <v>1727</v>
      </c>
      <c r="F18" s="31" t="s">
        <v>1728</v>
      </c>
      <c r="G18" s="32" t="s">
        <v>1729</v>
      </c>
      <c r="H18" s="30" t="s">
        <v>116</v>
      </c>
      <c r="I18" s="30" t="s">
        <v>779</v>
      </c>
      <c r="J18" s="32" t="s">
        <v>780</v>
      </c>
      <c r="K18" s="30" t="s">
        <v>779</v>
      </c>
      <c r="L18" s="32" t="s">
        <v>780</v>
      </c>
      <c r="M18" s="30" t="s">
        <v>1671</v>
      </c>
      <c r="N18" s="30" t="s">
        <v>1679</v>
      </c>
      <c r="O18" s="33"/>
      <c r="P18" s="33">
        <v>5373</v>
      </c>
      <c r="Q18" s="33">
        <v>5373</v>
      </c>
      <c r="R18" s="33">
        <v>1056</v>
      </c>
      <c r="S18" s="33">
        <v>12</v>
      </c>
      <c r="T18" s="33">
        <v>12</v>
      </c>
      <c r="U18" s="33">
        <v>0</v>
      </c>
      <c r="V18" s="33">
        <v>0</v>
      </c>
      <c r="W18" s="33" t="s">
        <v>50</v>
      </c>
      <c r="X18" s="33">
        <v>1</v>
      </c>
      <c r="Y18" s="30" t="s">
        <v>80</v>
      </c>
      <c r="Z18" s="30" t="s">
        <v>186</v>
      </c>
      <c r="AA18" s="30" t="s">
        <v>186</v>
      </c>
      <c r="AB18" s="30"/>
      <c r="AC18" s="30"/>
      <c r="AD18" s="30" t="s">
        <v>50</v>
      </c>
      <c r="AE18" s="30" t="s">
        <v>50</v>
      </c>
      <c r="AF18" s="30" t="s">
        <v>50</v>
      </c>
      <c r="AG18" s="30" t="s">
        <v>50</v>
      </c>
      <c r="AH18" s="30" t="s">
        <v>50</v>
      </c>
      <c r="AI18" s="30" t="s">
        <v>1673</v>
      </c>
      <c r="AJ18" s="30" t="s">
        <v>50</v>
      </c>
      <c r="AK18" s="30" t="s">
        <v>50</v>
      </c>
      <c r="AL18" s="30" t="s">
        <v>50</v>
      </c>
      <c r="AM18" s="30" t="s">
        <v>50</v>
      </c>
      <c r="AN18" s="30" t="s">
        <v>50</v>
      </c>
      <c r="AO18" s="30" t="s">
        <v>50</v>
      </c>
      <c r="AP18" s="30" t="s">
        <v>50</v>
      </c>
      <c r="AQ18" s="30" t="s">
        <v>50</v>
      </c>
      <c r="AR18" s="30" t="s">
        <v>50</v>
      </c>
      <c r="AS18" s="30" t="s">
        <v>50</v>
      </c>
      <c r="AT18" s="30" t="s">
        <v>1682</v>
      </c>
      <c r="AU18" s="30" t="s">
        <v>50</v>
      </c>
      <c r="AV18" s="34">
        <v>168922802234</v>
      </c>
    </row>
    <row r="19" spans="2:48" ht="15" customHeight="1">
      <c r="B19" s="28">
        <v>13</v>
      </c>
      <c r="C19" s="29" t="s">
        <v>1730</v>
      </c>
      <c r="D19" s="30" t="s">
        <v>50</v>
      </c>
      <c r="E19" s="31" t="s">
        <v>1731</v>
      </c>
      <c r="F19" s="31" t="s">
        <v>1732</v>
      </c>
      <c r="G19" s="32" t="s">
        <v>1733</v>
      </c>
      <c r="H19" s="30" t="s">
        <v>62</v>
      </c>
      <c r="I19" s="30" t="s">
        <v>752</v>
      </c>
      <c r="J19" s="32" t="s">
        <v>753</v>
      </c>
      <c r="K19" s="30" t="s">
        <v>752</v>
      </c>
      <c r="L19" s="32" t="s">
        <v>753</v>
      </c>
      <c r="M19" s="30" t="s">
        <v>1671</v>
      </c>
      <c r="N19" s="30" t="s">
        <v>1672</v>
      </c>
      <c r="O19" s="33"/>
      <c r="P19" s="33">
        <v>6</v>
      </c>
      <c r="Q19" s="33">
        <v>6</v>
      </c>
      <c r="R19" s="33">
        <v>3</v>
      </c>
      <c r="S19" s="33">
        <v>0</v>
      </c>
      <c r="T19" s="33">
        <v>0</v>
      </c>
      <c r="U19" s="33">
        <v>0</v>
      </c>
      <c r="V19" s="33">
        <v>0</v>
      </c>
      <c r="W19" s="33" t="s">
        <v>50</v>
      </c>
      <c r="X19" s="33">
        <v>1</v>
      </c>
      <c r="Y19" s="30" t="s">
        <v>64</v>
      </c>
      <c r="Z19" s="30" t="s">
        <v>186</v>
      </c>
      <c r="AA19" s="30" t="s">
        <v>186</v>
      </c>
      <c r="AB19" s="30"/>
      <c r="AC19" s="30"/>
      <c r="AD19" s="30" t="s">
        <v>50</v>
      </c>
      <c r="AE19" s="30" t="s">
        <v>50</v>
      </c>
      <c r="AF19" s="30" t="s">
        <v>50</v>
      </c>
      <c r="AG19" s="30" t="s">
        <v>50</v>
      </c>
      <c r="AH19" s="30" t="s">
        <v>50</v>
      </c>
      <c r="AI19" s="30" t="s">
        <v>1673</v>
      </c>
      <c r="AJ19" s="30" t="s">
        <v>187</v>
      </c>
      <c r="AK19" s="30" t="s">
        <v>201</v>
      </c>
      <c r="AL19" s="30" t="s">
        <v>201</v>
      </c>
      <c r="AM19" s="30" t="s">
        <v>50</v>
      </c>
      <c r="AN19" s="30" t="s">
        <v>50</v>
      </c>
      <c r="AO19" s="30" t="s">
        <v>50</v>
      </c>
      <c r="AP19" s="30" t="s">
        <v>50</v>
      </c>
      <c r="AQ19" s="30" t="s">
        <v>50</v>
      </c>
      <c r="AR19" s="30" t="s">
        <v>50</v>
      </c>
      <c r="AS19" s="30" t="s">
        <v>50</v>
      </c>
      <c r="AT19" s="30" t="s">
        <v>1711</v>
      </c>
      <c r="AU19" s="30" t="s">
        <v>50</v>
      </c>
      <c r="AV19" s="34">
        <v>168921224008</v>
      </c>
    </row>
    <row r="20" spans="2:48" ht="15" customHeight="1">
      <c r="B20" s="28">
        <v>14</v>
      </c>
      <c r="C20" s="29" t="s">
        <v>1734</v>
      </c>
      <c r="D20" s="30" t="s">
        <v>50</v>
      </c>
      <c r="E20" s="31" t="s">
        <v>1735</v>
      </c>
      <c r="F20" s="31" t="s">
        <v>50</v>
      </c>
      <c r="G20" s="32" t="s">
        <v>1736</v>
      </c>
      <c r="H20" s="30" t="s">
        <v>62</v>
      </c>
      <c r="I20" s="30" t="s">
        <v>982</v>
      </c>
      <c r="J20" s="32" t="s">
        <v>983</v>
      </c>
      <c r="K20" s="30" t="s">
        <v>652</v>
      </c>
      <c r="L20" s="32" t="s">
        <v>653</v>
      </c>
      <c r="M20" s="30" t="s">
        <v>1697</v>
      </c>
      <c r="N20" s="30" t="s">
        <v>1672</v>
      </c>
      <c r="O20" s="33">
        <v>3</v>
      </c>
      <c r="P20" s="33">
        <v>1330588</v>
      </c>
      <c r="Q20" s="33">
        <v>355</v>
      </c>
      <c r="R20" s="33">
        <v>0</v>
      </c>
      <c r="S20" s="33">
        <v>0</v>
      </c>
      <c r="T20" s="33">
        <v>0</v>
      </c>
      <c r="U20" s="33">
        <v>0</v>
      </c>
      <c r="V20" s="33">
        <v>0</v>
      </c>
      <c r="W20" s="33" t="s">
        <v>50</v>
      </c>
      <c r="X20" s="33">
        <v>1</v>
      </c>
      <c r="Y20" s="30" t="s">
        <v>64</v>
      </c>
      <c r="Z20" s="30" t="s">
        <v>186</v>
      </c>
      <c r="AA20" s="30" t="s">
        <v>222</v>
      </c>
      <c r="AB20" s="30" t="s">
        <v>1316</v>
      </c>
      <c r="AC20" s="30">
        <v>44</v>
      </c>
      <c r="AD20" s="30" t="s">
        <v>1325</v>
      </c>
      <c r="AE20" s="30" t="s">
        <v>883</v>
      </c>
      <c r="AF20" s="30" t="s">
        <v>50</v>
      </c>
      <c r="AG20" s="30" t="s">
        <v>50</v>
      </c>
      <c r="AH20" s="30" t="s">
        <v>50</v>
      </c>
      <c r="AI20" s="30" t="s">
        <v>1673</v>
      </c>
      <c r="AJ20" s="30" t="s">
        <v>187</v>
      </c>
      <c r="AK20" s="30" t="s">
        <v>1737</v>
      </c>
      <c r="AL20" s="30" t="s">
        <v>655</v>
      </c>
      <c r="AM20" s="30" t="s">
        <v>50</v>
      </c>
      <c r="AN20" s="30" t="s">
        <v>1681</v>
      </c>
      <c r="AO20" s="30" t="s">
        <v>50</v>
      </c>
      <c r="AP20" s="30" t="s">
        <v>50</v>
      </c>
      <c r="AQ20" s="30" t="s">
        <v>50</v>
      </c>
      <c r="AR20" s="30" t="s">
        <v>50</v>
      </c>
      <c r="AS20" s="30" t="s">
        <v>50</v>
      </c>
      <c r="AT20" s="30" t="s">
        <v>1682</v>
      </c>
      <c r="AU20" s="30" t="s">
        <v>50</v>
      </c>
      <c r="AV20" s="34">
        <v>168918370893</v>
      </c>
    </row>
    <row r="21" spans="2:48" ht="15" customHeight="1">
      <c r="B21" s="28">
        <v>15</v>
      </c>
      <c r="C21" s="29" t="s">
        <v>1738</v>
      </c>
      <c r="D21" s="30" t="s">
        <v>50</v>
      </c>
      <c r="E21" s="31" t="s">
        <v>1739</v>
      </c>
      <c r="F21" s="31" t="s">
        <v>50</v>
      </c>
      <c r="G21" s="32" t="s">
        <v>1740</v>
      </c>
      <c r="H21" s="30" t="s">
        <v>62</v>
      </c>
      <c r="I21" s="30" t="s">
        <v>907</v>
      </c>
      <c r="J21" s="32" t="s">
        <v>908</v>
      </c>
      <c r="K21" s="30" t="s">
        <v>266</v>
      </c>
      <c r="L21" s="32" t="s">
        <v>267</v>
      </c>
      <c r="M21" s="30" t="s">
        <v>1697</v>
      </c>
      <c r="N21" s="30" t="s">
        <v>1672</v>
      </c>
      <c r="O21" s="33">
        <v>4</v>
      </c>
      <c r="P21" s="33">
        <v>16677</v>
      </c>
      <c r="Q21" s="33">
        <v>29</v>
      </c>
      <c r="R21" s="33">
        <v>0</v>
      </c>
      <c r="S21" s="33">
        <v>0</v>
      </c>
      <c r="T21" s="33">
        <v>0</v>
      </c>
      <c r="U21" s="33">
        <v>0</v>
      </c>
      <c r="V21" s="33">
        <v>0</v>
      </c>
      <c r="W21" s="33" t="s">
        <v>50</v>
      </c>
      <c r="X21" s="33">
        <v>1</v>
      </c>
      <c r="Y21" s="30" t="s">
        <v>64</v>
      </c>
      <c r="Z21" s="30" t="s">
        <v>186</v>
      </c>
      <c r="AA21" s="30" t="s">
        <v>222</v>
      </c>
      <c r="AB21" s="30" t="s">
        <v>1316</v>
      </c>
      <c r="AC21" s="30"/>
      <c r="AD21" s="30" t="s">
        <v>50</v>
      </c>
      <c r="AE21" s="30" t="s">
        <v>50</v>
      </c>
      <c r="AF21" s="30" t="s">
        <v>1741</v>
      </c>
      <c r="AG21" s="30" t="s">
        <v>50</v>
      </c>
      <c r="AH21" s="30" t="s">
        <v>50</v>
      </c>
      <c r="AI21" s="30" t="s">
        <v>1673</v>
      </c>
      <c r="AJ21" s="30" t="s">
        <v>187</v>
      </c>
      <c r="AK21" s="30" t="s">
        <v>50</v>
      </c>
      <c r="AL21" s="30" t="s">
        <v>50</v>
      </c>
      <c r="AM21" s="30" t="s">
        <v>50</v>
      </c>
      <c r="AN21" s="30" t="s">
        <v>1681</v>
      </c>
      <c r="AO21" s="30" t="s">
        <v>50</v>
      </c>
      <c r="AP21" s="30" t="s">
        <v>50</v>
      </c>
      <c r="AQ21" s="30" t="s">
        <v>50</v>
      </c>
      <c r="AR21" s="30" t="s">
        <v>50</v>
      </c>
      <c r="AS21" s="30" t="s">
        <v>50</v>
      </c>
      <c r="AT21" s="30" t="s">
        <v>299</v>
      </c>
      <c r="AU21" s="30" t="s">
        <v>50</v>
      </c>
      <c r="AV21" s="34">
        <v>168902709445</v>
      </c>
    </row>
    <row r="22" spans="2:48" ht="15" customHeight="1">
      <c r="B22" s="28">
        <v>16</v>
      </c>
      <c r="C22" s="29" t="s">
        <v>1742</v>
      </c>
      <c r="D22" s="30" t="s">
        <v>50</v>
      </c>
      <c r="E22" s="31" t="s">
        <v>1743</v>
      </c>
      <c r="F22" s="31" t="s">
        <v>50</v>
      </c>
      <c r="G22" s="32" t="s">
        <v>1744</v>
      </c>
      <c r="H22" s="30" t="s">
        <v>68</v>
      </c>
      <c r="I22" s="30" t="s">
        <v>1206</v>
      </c>
      <c r="J22" s="32" t="s">
        <v>1207</v>
      </c>
      <c r="K22" s="30" t="s">
        <v>572</v>
      </c>
      <c r="L22" s="32" t="s">
        <v>573</v>
      </c>
      <c r="M22" s="30" t="s">
        <v>1697</v>
      </c>
      <c r="N22" s="30" t="s">
        <v>1679</v>
      </c>
      <c r="O22" s="33"/>
      <c r="P22" s="33">
        <v>81616</v>
      </c>
      <c r="Q22" s="33">
        <v>2</v>
      </c>
      <c r="R22" s="33">
        <v>0</v>
      </c>
      <c r="S22" s="33">
        <v>0</v>
      </c>
      <c r="T22" s="33">
        <v>0</v>
      </c>
      <c r="U22" s="33">
        <v>0</v>
      </c>
      <c r="V22" s="33">
        <v>0</v>
      </c>
      <c r="W22" s="33" t="s">
        <v>50</v>
      </c>
      <c r="X22" s="33">
        <v>1</v>
      </c>
      <c r="Y22" s="30" t="s">
        <v>70</v>
      </c>
      <c r="Z22" s="30" t="s">
        <v>192</v>
      </c>
      <c r="AA22" s="30" t="s">
        <v>192</v>
      </c>
      <c r="AB22" s="30"/>
      <c r="AC22" s="30"/>
      <c r="AD22" s="30" t="s">
        <v>50</v>
      </c>
      <c r="AE22" s="30" t="s">
        <v>50</v>
      </c>
      <c r="AF22" s="30" t="s">
        <v>1741</v>
      </c>
      <c r="AG22" s="30" t="s">
        <v>50</v>
      </c>
      <c r="AH22" s="30" t="s">
        <v>50</v>
      </c>
      <c r="AI22" s="30" t="s">
        <v>1673</v>
      </c>
      <c r="AJ22" s="30" t="s">
        <v>50</v>
      </c>
      <c r="AK22" s="30" t="s">
        <v>50</v>
      </c>
      <c r="AL22" s="30" t="s">
        <v>50</v>
      </c>
      <c r="AM22" s="30" t="s">
        <v>50</v>
      </c>
      <c r="AN22" s="30" t="s">
        <v>1681</v>
      </c>
      <c r="AO22" s="30" t="s">
        <v>50</v>
      </c>
      <c r="AP22" s="30" t="s">
        <v>50</v>
      </c>
      <c r="AQ22" s="30" t="s">
        <v>50</v>
      </c>
      <c r="AR22" s="30" t="s">
        <v>50</v>
      </c>
      <c r="AS22" s="30" t="s">
        <v>50</v>
      </c>
      <c r="AT22" s="30" t="s">
        <v>1682</v>
      </c>
      <c r="AU22" s="30" t="s">
        <v>50</v>
      </c>
      <c r="AV22" s="34">
        <v>168855275012</v>
      </c>
    </row>
    <row r="23" spans="2:48" ht="15" customHeight="1">
      <c r="B23" s="28">
        <v>17</v>
      </c>
      <c r="C23" s="29" t="s">
        <v>1745</v>
      </c>
      <c r="D23" s="30" t="s">
        <v>50</v>
      </c>
      <c r="E23" s="31" t="s">
        <v>1746</v>
      </c>
      <c r="F23" s="31" t="s">
        <v>50</v>
      </c>
      <c r="G23" s="32" t="s">
        <v>1747</v>
      </c>
      <c r="H23" s="30" t="s">
        <v>62</v>
      </c>
      <c r="I23" s="30" t="s">
        <v>1147</v>
      </c>
      <c r="J23" s="32" t="s">
        <v>1148</v>
      </c>
      <c r="K23" s="30" t="s">
        <v>548</v>
      </c>
      <c r="L23" s="32" t="s">
        <v>549</v>
      </c>
      <c r="M23" s="30" t="s">
        <v>1697</v>
      </c>
      <c r="N23" s="30" t="s">
        <v>1672</v>
      </c>
      <c r="O23" s="33">
        <v>1</v>
      </c>
      <c r="P23" s="33">
        <v>153783</v>
      </c>
      <c r="Q23" s="33">
        <v>2</v>
      </c>
      <c r="R23" s="33">
        <v>0</v>
      </c>
      <c r="S23" s="33">
        <v>0</v>
      </c>
      <c r="T23" s="33">
        <v>0</v>
      </c>
      <c r="U23" s="33">
        <v>0</v>
      </c>
      <c r="V23" s="33">
        <v>0</v>
      </c>
      <c r="W23" s="33" t="s">
        <v>50</v>
      </c>
      <c r="X23" s="33">
        <v>1</v>
      </c>
      <c r="Y23" s="30" t="s">
        <v>64</v>
      </c>
      <c r="Z23" s="30" t="s">
        <v>186</v>
      </c>
      <c r="AA23" s="30" t="s">
        <v>222</v>
      </c>
      <c r="AB23" s="30" t="s">
        <v>1316</v>
      </c>
      <c r="AC23" s="30">
        <v>44</v>
      </c>
      <c r="AD23" s="30" t="s">
        <v>50</v>
      </c>
      <c r="AE23" s="30" t="s">
        <v>50</v>
      </c>
      <c r="AF23" s="30" t="s">
        <v>50</v>
      </c>
      <c r="AG23" s="30" t="s">
        <v>50</v>
      </c>
      <c r="AH23" s="30" t="s">
        <v>50</v>
      </c>
      <c r="AI23" s="30" t="s">
        <v>1673</v>
      </c>
      <c r="AJ23" s="30" t="s">
        <v>50</v>
      </c>
      <c r="AK23" s="30" t="s">
        <v>50</v>
      </c>
      <c r="AL23" s="30" t="s">
        <v>50</v>
      </c>
      <c r="AM23" s="30" t="s">
        <v>50</v>
      </c>
      <c r="AN23" s="30" t="s">
        <v>1681</v>
      </c>
      <c r="AO23" s="30" t="s">
        <v>50</v>
      </c>
      <c r="AP23" s="30" t="s">
        <v>50</v>
      </c>
      <c r="AQ23" s="30" t="s">
        <v>50</v>
      </c>
      <c r="AR23" s="30" t="s">
        <v>50</v>
      </c>
      <c r="AS23" s="30" t="s">
        <v>50</v>
      </c>
      <c r="AT23" s="30" t="s">
        <v>1682</v>
      </c>
      <c r="AU23" s="30" t="s">
        <v>50</v>
      </c>
      <c r="AV23" s="34">
        <v>168847905628</v>
      </c>
    </row>
    <row r="24" spans="2:48" ht="15" customHeight="1">
      <c r="B24" s="28">
        <v>18</v>
      </c>
      <c r="C24" s="29" t="s">
        <v>1748</v>
      </c>
      <c r="D24" s="30" t="s">
        <v>50</v>
      </c>
      <c r="E24" s="31" t="s">
        <v>1749</v>
      </c>
      <c r="F24" s="31" t="s">
        <v>50</v>
      </c>
      <c r="G24" s="32" t="s">
        <v>1750</v>
      </c>
      <c r="H24" s="30" t="s">
        <v>65</v>
      </c>
      <c r="I24" s="30" t="s">
        <v>917</v>
      </c>
      <c r="J24" s="32" t="s">
        <v>1751</v>
      </c>
      <c r="K24" s="30" t="s">
        <v>304</v>
      </c>
      <c r="L24" s="32" t="s">
        <v>1752</v>
      </c>
      <c r="M24" s="30" t="s">
        <v>1671</v>
      </c>
      <c r="N24" s="30" t="s">
        <v>1672</v>
      </c>
      <c r="O24" s="33"/>
      <c r="P24" s="33">
        <v>30096</v>
      </c>
      <c r="Q24" s="33">
        <v>0</v>
      </c>
      <c r="R24" s="33">
        <v>0</v>
      </c>
      <c r="S24" s="33">
        <v>0</v>
      </c>
      <c r="T24" s="33">
        <v>0</v>
      </c>
      <c r="U24" s="33">
        <v>0</v>
      </c>
      <c r="V24" s="33">
        <v>0</v>
      </c>
      <c r="W24" s="33" t="s">
        <v>50</v>
      </c>
      <c r="X24" s="33">
        <v>1</v>
      </c>
      <c r="Y24" s="30" t="s">
        <v>67</v>
      </c>
      <c r="Z24" s="30" t="s">
        <v>186</v>
      </c>
      <c r="AA24" s="30" t="s">
        <v>222</v>
      </c>
      <c r="AB24" s="30"/>
      <c r="AC24" s="30"/>
      <c r="AD24" s="30" t="s">
        <v>50</v>
      </c>
      <c r="AE24" s="30" t="s">
        <v>50</v>
      </c>
      <c r="AF24" s="30" t="s">
        <v>50</v>
      </c>
      <c r="AG24" s="30" t="s">
        <v>50</v>
      </c>
      <c r="AH24" s="30" t="s">
        <v>50</v>
      </c>
      <c r="AI24" s="30" t="s">
        <v>1673</v>
      </c>
      <c r="AJ24" s="30" t="s">
        <v>50</v>
      </c>
      <c r="AK24" s="30" t="s">
        <v>50</v>
      </c>
      <c r="AL24" s="30" t="s">
        <v>50</v>
      </c>
      <c r="AM24" s="30" t="s">
        <v>50</v>
      </c>
      <c r="AN24" s="30" t="s">
        <v>50</v>
      </c>
      <c r="AO24" s="30" t="s">
        <v>50</v>
      </c>
      <c r="AP24" s="30" t="s">
        <v>50</v>
      </c>
      <c r="AQ24" s="30" t="s">
        <v>50</v>
      </c>
      <c r="AR24" s="30" t="s">
        <v>50</v>
      </c>
      <c r="AS24" s="30" t="s">
        <v>50</v>
      </c>
      <c r="AT24" s="30" t="s">
        <v>299</v>
      </c>
      <c r="AU24" s="30" t="s">
        <v>50</v>
      </c>
      <c r="AV24" s="34">
        <v>168843224373</v>
      </c>
    </row>
    <row r="25" spans="2:48" ht="15" customHeight="1">
      <c r="B25" s="28">
        <v>19</v>
      </c>
      <c r="C25" s="29" t="s">
        <v>1753</v>
      </c>
      <c r="D25" s="30" t="s">
        <v>50</v>
      </c>
      <c r="E25" s="31" t="s">
        <v>1754</v>
      </c>
      <c r="F25" s="31" t="s">
        <v>50</v>
      </c>
      <c r="G25" s="32" t="s">
        <v>1755</v>
      </c>
      <c r="H25" s="30" t="s">
        <v>62</v>
      </c>
      <c r="I25" s="30" t="s">
        <v>895</v>
      </c>
      <c r="J25" s="32" t="s">
        <v>896</v>
      </c>
      <c r="K25" s="30" t="s">
        <v>183</v>
      </c>
      <c r="L25" s="32" t="s">
        <v>185</v>
      </c>
      <c r="M25" s="30" t="s">
        <v>1697</v>
      </c>
      <c r="N25" s="30" t="s">
        <v>1679</v>
      </c>
      <c r="O25" s="33">
        <v>2</v>
      </c>
      <c r="P25" s="33">
        <v>3147</v>
      </c>
      <c r="Q25" s="33">
        <v>76</v>
      </c>
      <c r="R25" s="33">
        <v>0</v>
      </c>
      <c r="S25" s="33">
        <v>0</v>
      </c>
      <c r="T25" s="33">
        <v>0</v>
      </c>
      <c r="U25" s="33">
        <v>0</v>
      </c>
      <c r="V25" s="33">
        <v>0</v>
      </c>
      <c r="W25" s="33" t="s">
        <v>50</v>
      </c>
      <c r="X25" s="33">
        <v>1</v>
      </c>
      <c r="Y25" s="30" t="s">
        <v>64</v>
      </c>
      <c r="Z25" s="30" t="s">
        <v>186</v>
      </c>
      <c r="AA25" s="30" t="s">
        <v>222</v>
      </c>
      <c r="AB25" s="30" t="s">
        <v>1316</v>
      </c>
      <c r="AC25" s="30">
        <v>29</v>
      </c>
      <c r="AD25" s="30" t="s">
        <v>876</v>
      </c>
      <c r="AE25" s="30" t="s">
        <v>50</v>
      </c>
      <c r="AF25" s="30" t="s">
        <v>50</v>
      </c>
      <c r="AG25" s="30" t="s">
        <v>50</v>
      </c>
      <c r="AH25" s="30" t="s">
        <v>50</v>
      </c>
      <c r="AI25" s="30" t="s">
        <v>1673</v>
      </c>
      <c r="AJ25" s="30" t="s">
        <v>187</v>
      </c>
      <c r="AK25" s="30" t="s">
        <v>189</v>
      </c>
      <c r="AL25" s="30" t="s">
        <v>189</v>
      </c>
      <c r="AM25" s="30" t="s">
        <v>50</v>
      </c>
      <c r="AN25" s="30" t="s">
        <v>1681</v>
      </c>
      <c r="AO25" s="30" t="s">
        <v>50</v>
      </c>
      <c r="AP25" s="30" t="s">
        <v>50</v>
      </c>
      <c r="AQ25" s="30" t="s">
        <v>50</v>
      </c>
      <c r="AR25" s="30" t="s">
        <v>50</v>
      </c>
      <c r="AS25" s="30" t="s">
        <v>50</v>
      </c>
      <c r="AT25" s="30" t="s">
        <v>1682</v>
      </c>
      <c r="AU25" s="30" t="s">
        <v>50</v>
      </c>
      <c r="AV25" s="34">
        <v>168839382659</v>
      </c>
    </row>
    <row r="26" spans="2:48" ht="15" customHeight="1">
      <c r="B26" s="28">
        <v>20</v>
      </c>
      <c r="C26" s="29" t="s">
        <v>1756</v>
      </c>
      <c r="D26" s="30" t="s">
        <v>50</v>
      </c>
      <c r="E26" s="31" t="s">
        <v>1757</v>
      </c>
      <c r="F26" s="31" t="s">
        <v>50</v>
      </c>
      <c r="G26" s="32" t="s">
        <v>1758</v>
      </c>
      <c r="H26" s="30" t="s">
        <v>62</v>
      </c>
      <c r="I26" s="30" t="s">
        <v>879</v>
      </c>
      <c r="J26" s="32" t="s">
        <v>880</v>
      </c>
      <c r="K26" s="30" t="s">
        <v>183</v>
      </c>
      <c r="L26" s="32" t="s">
        <v>185</v>
      </c>
      <c r="M26" s="30" t="s">
        <v>1697</v>
      </c>
      <c r="N26" s="30" t="s">
        <v>1672</v>
      </c>
      <c r="O26" s="33">
        <v>2</v>
      </c>
      <c r="P26" s="33">
        <v>3147</v>
      </c>
      <c r="Q26" s="33">
        <v>182</v>
      </c>
      <c r="R26" s="33">
        <v>0</v>
      </c>
      <c r="S26" s="33">
        <v>0</v>
      </c>
      <c r="T26" s="33">
        <v>0</v>
      </c>
      <c r="U26" s="33">
        <v>0</v>
      </c>
      <c r="V26" s="33">
        <v>0</v>
      </c>
      <c r="W26" s="33" t="s">
        <v>50</v>
      </c>
      <c r="X26" s="33">
        <v>1</v>
      </c>
      <c r="Y26" s="30" t="s">
        <v>64</v>
      </c>
      <c r="Z26" s="30" t="s">
        <v>186</v>
      </c>
      <c r="AA26" s="30" t="s">
        <v>222</v>
      </c>
      <c r="AB26" s="30" t="s">
        <v>1316</v>
      </c>
      <c r="AC26" s="30">
        <v>37</v>
      </c>
      <c r="AD26" s="30" t="s">
        <v>1325</v>
      </c>
      <c r="AE26" s="30" t="s">
        <v>883</v>
      </c>
      <c r="AF26" s="30" t="s">
        <v>50</v>
      </c>
      <c r="AG26" s="30" t="s">
        <v>50</v>
      </c>
      <c r="AH26" s="30" t="s">
        <v>50</v>
      </c>
      <c r="AI26" s="30" t="s">
        <v>1673</v>
      </c>
      <c r="AJ26" s="30" t="s">
        <v>187</v>
      </c>
      <c r="AK26" s="30" t="s">
        <v>189</v>
      </c>
      <c r="AL26" s="30" t="s">
        <v>189</v>
      </c>
      <c r="AM26" s="30" t="s">
        <v>50</v>
      </c>
      <c r="AN26" s="30" t="s">
        <v>1681</v>
      </c>
      <c r="AO26" s="30" t="s">
        <v>50</v>
      </c>
      <c r="AP26" s="30" t="s">
        <v>50</v>
      </c>
      <c r="AQ26" s="30" t="s">
        <v>50</v>
      </c>
      <c r="AR26" s="30" t="s">
        <v>50</v>
      </c>
      <c r="AS26" s="30" t="s">
        <v>50</v>
      </c>
      <c r="AT26" s="30" t="s">
        <v>1682</v>
      </c>
      <c r="AU26" s="30" t="s">
        <v>50</v>
      </c>
      <c r="AV26" s="34">
        <v>168839222678</v>
      </c>
    </row>
    <row r="27" spans="2:48" ht="15" customHeight="1">
      <c r="B27" s="28">
        <v>21</v>
      </c>
      <c r="C27" s="29" t="s">
        <v>1759</v>
      </c>
      <c r="D27" s="30" t="s">
        <v>50</v>
      </c>
      <c r="E27" s="31" t="s">
        <v>1760</v>
      </c>
      <c r="F27" s="31" t="s">
        <v>50</v>
      </c>
      <c r="G27" s="32" t="s">
        <v>1761</v>
      </c>
      <c r="H27" s="30" t="s">
        <v>62</v>
      </c>
      <c r="I27" s="30" t="s">
        <v>895</v>
      </c>
      <c r="J27" s="32" t="s">
        <v>896</v>
      </c>
      <c r="K27" s="30" t="s">
        <v>183</v>
      </c>
      <c r="L27" s="32" t="s">
        <v>185</v>
      </c>
      <c r="M27" s="30" t="s">
        <v>1697</v>
      </c>
      <c r="N27" s="30" t="s">
        <v>1672</v>
      </c>
      <c r="O27" s="33">
        <v>2</v>
      </c>
      <c r="P27" s="33">
        <v>3147</v>
      </c>
      <c r="Q27" s="33">
        <v>76</v>
      </c>
      <c r="R27" s="33">
        <v>0</v>
      </c>
      <c r="S27" s="33">
        <v>0</v>
      </c>
      <c r="T27" s="33">
        <v>0</v>
      </c>
      <c r="U27" s="33">
        <v>0</v>
      </c>
      <c r="V27" s="33">
        <v>0</v>
      </c>
      <c r="W27" s="33" t="s">
        <v>50</v>
      </c>
      <c r="X27" s="33">
        <v>1</v>
      </c>
      <c r="Y27" s="30" t="s">
        <v>64</v>
      </c>
      <c r="Z27" s="30" t="s">
        <v>186</v>
      </c>
      <c r="AA27" s="30" t="s">
        <v>222</v>
      </c>
      <c r="AB27" s="30" t="s">
        <v>1316</v>
      </c>
      <c r="AC27" s="30">
        <v>29</v>
      </c>
      <c r="AD27" s="30" t="s">
        <v>876</v>
      </c>
      <c r="AE27" s="30" t="s">
        <v>50</v>
      </c>
      <c r="AF27" s="30" t="s">
        <v>50</v>
      </c>
      <c r="AG27" s="30" t="s">
        <v>50</v>
      </c>
      <c r="AH27" s="30" t="s">
        <v>50</v>
      </c>
      <c r="AI27" s="30" t="s">
        <v>1673</v>
      </c>
      <c r="AJ27" s="30" t="s">
        <v>187</v>
      </c>
      <c r="AK27" s="30" t="s">
        <v>189</v>
      </c>
      <c r="AL27" s="30" t="s">
        <v>189</v>
      </c>
      <c r="AM27" s="30" t="s">
        <v>50</v>
      </c>
      <c r="AN27" s="30" t="s">
        <v>1681</v>
      </c>
      <c r="AO27" s="30" t="s">
        <v>50</v>
      </c>
      <c r="AP27" s="30" t="s">
        <v>50</v>
      </c>
      <c r="AQ27" s="30" t="s">
        <v>50</v>
      </c>
      <c r="AR27" s="30" t="s">
        <v>50</v>
      </c>
      <c r="AS27" s="30" t="s">
        <v>50</v>
      </c>
      <c r="AT27" s="30" t="s">
        <v>1682</v>
      </c>
      <c r="AU27" s="30" t="s">
        <v>50</v>
      </c>
      <c r="AV27" s="34">
        <v>168839190092</v>
      </c>
    </row>
    <row r="28" spans="2:48" ht="15" customHeight="1">
      <c r="B28" s="28">
        <v>22</v>
      </c>
      <c r="C28" s="29" t="s">
        <v>1762</v>
      </c>
      <c r="D28" s="30" t="s">
        <v>50</v>
      </c>
      <c r="E28" s="31" t="s">
        <v>1763</v>
      </c>
      <c r="F28" s="31" t="s">
        <v>50</v>
      </c>
      <c r="G28" s="32" t="s">
        <v>1764</v>
      </c>
      <c r="H28" s="30" t="s">
        <v>62</v>
      </c>
      <c r="I28" s="30" t="s">
        <v>879</v>
      </c>
      <c r="J28" s="32" t="s">
        <v>880</v>
      </c>
      <c r="K28" s="30" t="s">
        <v>183</v>
      </c>
      <c r="L28" s="32" t="s">
        <v>185</v>
      </c>
      <c r="M28" s="30" t="s">
        <v>1697</v>
      </c>
      <c r="N28" s="30" t="s">
        <v>1679</v>
      </c>
      <c r="O28" s="33">
        <v>2</v>
      </c>
      <c r="P28" s="33">
        <v>3147</v>
      </c>
      <c r="Q28" s="33">
        <v>182</v>
      </c>
      <c r="R28" s="33">
        <v>0</v>
      </c>
      <c r="S28" s="33">
        <v>0</v>
      </c>
      <c r="T28" s="33">
        <v>0</v>
      </c>
      <c r="U28" s="33">
        <v>0</v>
      </c>
      <c r="V28" s="33">
        <v>0</v>
      </c>
      <c r="W28" s="33" t="s">
        <v>50</v>
      </c>
      <c r="X28" s="33">
        <v>1</v>
      </c>
      <c r="Y28" s="30" t="s">
        <v>64</v>
      </c>
      <c r="Z28" s="30" t="s">
        <v>186</v>
      </c>
      <c r="AA28" s="30" t="s">
        <v>222</v>
      </c>
      <c r="AB28" s="30" t="s">
        <v>1316</v>
      </c>
      <c r="AC28" s="30">
        <v>37</v>
      </c>
      <c r="AD28" s="30" t="s">
        <v>1325</v>
      </c>
      <c r="AE28" s="30" t="s">
        <v>883</v>
      </c>
      <c r="AF28" s="30" t="s">
        <v>50</v>
      </c>
      <c r="AG28" s="30" t="s">
        <v>50</v>
      </c>
      <c r="AH28" s="30" t="s">
        <v>50</v>
      </c>
      <c r="AI28" s="30" t="s">
        <v>1673</v>
      </c>
      <c r="AJ28" s="30" t="s">
        <v>187</v>
      </c>
      <c r="AK28" s="30" t="s">
        <v>189</v>
      </c>
      <c r="AL28" s="30" t="s">
        <v>189</v>
      </c>
      <c r="AM28" s="30" t="s">
        <v>50</v>
      </c>
      <c r="AN28" s="30" t="s">
        <v>1681</v>
      </c>
      <c r="AO28" s="30" t="s">
        <v>50</v>
      </c>
      <c r="AP28" s="30" t="s">
        <v>50</v>
      </c>
      <c r="AQ28" s="30" t="s">
        <v>50</v>
      </c>
      <c r="AR28" s="30" t="s">
        <v>50</v>
      </c>
      <c r="AS28" s="30" t="s">
        <v>50</v>
      </c>
      <c r="AT28" s="30" t="s">
        <v>1682</v>
      </c>
      <c r="AU28" s="30" t="s">
        <v>50</v>
      </c>
      <c r="AV28" s="34">
        <v>168836457424</v>
      </c>
    </row>
    <row r="29" spans="2:48" ht="15" customHeight="1">
      <c r="B29" s="28">
        <v>23</v>
      </c>
      <c r="C29" s="29" t="s">
        <v>1765</v>
      </c>
      <c r="D29" s="30" t="s">
        <v>50</v>
      </c>
      <c r="E29" s="31" t="s">
        <v>1766</v>
      </c>
      <c r="F29" s="31" t="s">
        <v>50</v>
      </c>
      <c r="G29" s="32" t="s">
        <v>1767</v>
      </c>
      <c r="H29" s="30" t="s">
        <v>78</v>
      </c>
      <c r="I29" s="30" t="s">
        <v>1121</v>
      </c>
      <c r="J29" s="32" t="s">
        <v>1122</v>
      </c>
      <c r="K29" s="30" t="s">
        <v>590</v>
      </c>
      <c r="L29" s="32" t="s">
        <v>591</v>
      </c>
      <c r="M29" s="30" t="s">
        <v>1697</v>
      </c>
      <c r="N29" s="30" t="s">
        <v>1672</v>
      </c>
      <c r="O29" s="33">
        <v>9</v>
      </c>
      <c r="P29" s="33">
        <v>2590000</v>
      </c>
      <c r="Q29" s="33">
        <v>12</v>
      </c>
      <c r="R29" s="33">
        <v>0</v>
      </c>
      <c r="S29" s="33">
        <v>1</v>
      </c>
      <c r="T29" s="33">
        <v>1</v>
      </c>
      <c r="U29" s="33">
        <v>0</v>
      </c>
      <c r="V29" s="33">
        <v>0</v>
      </c>
      <c r="W29" s="33" t="s">
        <v>50</v>
      </c>
      <c r="X29" s="33">
        <v>1</v>
      </c>
      <c r="Y29" s="30" t="s">
        <v>70</v>
      </c>
      <c r="Z29" s="30" t="s">
        <v>192</v>
      </c>
      <c r="AA29" s="30" t="s">
        <v>192</v>
      </c>
      <c r="AB29" s="30" t="s">
        <v>1316</v>
      </c>
      <c r="AC29" s="30"/>
      <c r="AD29" s="30" t="s">
        <v>50</v>
      </c>
      <c r="AE29" s="30" t="s">
        <v>50</v>
      </c>
      <c r="AF29" s="30" t="s">
        <v>50</v>
      </c>
      <c r="AG29" s="30" t="s">
        <v>50</v>
      </c>
      <c r="AH29" s="30" t="s">
        <v>50</v>
      </c>
      <c r="AI29" s="30" t="s">
        <v>1673</v>
      </c>
      <c r="AJ29" s="30" t="s">
        <v>187</v>
      </c>
      <c r="AK29" s="30" t="s">
        <v>50</v>
      </c>
      <c r="AL29" s="30" t="s">
        <v>50</v>
      </c>
      <c r="AM29" s="30" t="s">
        <v>50</v>
      </c>
      <c r="AN29" s="30" t="s">
        <v>1681</v>
      </c>
      <c r="AO29" s="30" t="s">
        <v>50</v>
      </c>
      <c r="AP29" s="30" t="s">
        <v>50</v>
      </c>
      <c r="AQ29" s="30" t="s">
        <v>50</v>
      </c>
      <c r="AR29" s="30" t="s">
        <v>50</v>
      </c>
      <c r="AS29" s="30" t="s">
        <v>50</v>
      </c>
      <c r="AT29" s="30" t="s">
        <v>1682</v>
      </c>
      <c r="AU29" s="30" t="s">
        <v>50</v>
      </c>
      <c r="AV29" s="34">
        <v>168831516563</v>
      </c>
    </row>
    <row r="30" spans="2:48" ht="15" customHeight="1">
      <c r="B30" s="28">
        <v>24</v>
      </c>
      <c r="C30" s="29" t="s">
        <v>1768</v>
      </c>
      <c r="D30" s="30" t="s">
        <v>50</v>
      </c>
      <c r="E30" s="31" t="s">
        <v>1769</v>
      </c>
      <c r="F30" s="31" t="s">
        <v>50</v>
      </c>
      <c r="G30" s="32" t="s">
        <v>1770</v>
      </c>
      <c r="H30" s="30" t="s">
        <v>104</v>
      </c>
      <c r="I30" s="30" t="s">
        <v>1193</v>
      </c>
      <c r="J30" s="32" t="s">
        <v>1194</v>
      </c>
      <c r="K30" s="30" t="s">
        <v>708</v>
      </c>
      <c r="L30" s="32" t="s">
        <v>709</v>
      </c>
      <c r="M30" s="30" t="s">
        <v>1697</v>
      </c>
      <c r="N30" s="30" t="s">
        <v>1672</v>
      </c>
      <c r="O30" s="33">
        <v>6</v>
      </c>
      <c r="P30" s="33">
        <v>113700</v>
      </c>
      <c r="Q30" s="33">
        <v>15</v>
      </c>
      <c r="R30" s="33">
        <v>0</v>
      </c>
      <c r="S30" s="33">
        <v>0</v>
      </c>
      <c r="T30" s="33">
        <v>0</v>
      </c>
      <c r="U30" s="33">
        <v>0</v>
      </c>
      <c r="V30" s="33">
        <v>0</v>
      </c>
      <c r="W30" s="33" t="s">
        <v>50</v>
      </c>
      <c r="X30" s="33">
        <v>1</v>
      </c>
      <c r="Y30" s="30" t="s">
        <v>64</v>
      </c>
      <c r="Z30" s="30" t="s">
        <v>222</v>
      </c>
      <c r="AA30" s="30" t="s">
        <v>222</v>
      </c>
      <c r="AB30" s="30"/>
      <c r="AC30" s="30"/>
      <c r="AD30" s="30" t="s">
        <v>50</v>
      </c>
      <c r="AE30" s="30" t="s">
        <v>50</v>
      </c>
      <c r="AF30" s="30" t="s">
        <v>50</v>
      </c>
      <c r="AG30" s="30" t="s">
        <v>50</v>
      </c>
      <c r="AH30" s="30" t="s">
        <v>50</v>
      </c>
      <c r="AI30" s="30" t="s">
        <v>1673</v>
      </c>
      <c r="AJ30" s="30" t="s">
        <v>50</v>
      </c>
      <c r="AK30" s="30" t="s">
        <v>50</v>
      </c>
      <c r="AL30" s="30" t="s">
        <v>50</v>
      </c>
      <c r="AM30" s="30" t="s">
        <v>50</v>
      </c>
      <c r="AN30" s="30" t="s">
        <v>1681</v>
      </c>
      <c r="AO30" s="30" t="s">
        <v>50</v>
      </c>
      <c r="AP30" s="30" t="s">
        <v>50</v>
      </c>
      <c r="AQ30" s="30" t="s">
        <v>50</v>
      </c>
      <c r="AR30" s="30" t="s">
        <v>50</v>
      </c>
      <c r="AS30" s="30" t="s">
        <v>50</v>
      </c>
      <c r="AT30" s="30" t="s">
        <v>1682</v>
      </c>
      <c r="AU30" s="30" t="s">
        <v>50</v>
      </c>
      <c r="AV30" s="34">
        <v>168857596334</v>
      </c>
    </row>
    <row r="31" spans="2:48" ht="15" customHeight="1">
      <c r="B31" s="28">
        <v>25</v>
      </c>
      <c r="C31" s="29" t="s">
        <v>1771</v>
      </c>
      <c r="D31" s="30" t="s">
        <v>50</v>
      </c>
      <c r="E31" s="31" t="s">
        <v>1772</v>
      </c>
      <c r="F31" s="31" t="s">
        <v>50</v>
      </c>
      <c r="G31" s="32" t="s">
        <v>1773</v>
      </c>
      <c r="H31" s="30" t="s">
        <v>83</v>
      </c>
      <c r="I31" s="30" t="s">
        <v>769</v>
      </c>
      <c r="J31" s="32" t="s">
        <v>770</v>
      </c>
      <c r="K31" s="30" t="s">
        <v>769</v>
      </c>
      <c r="L31" s="32" t="s">
        <v>770</v>
      </c>
      <c r="M31" s="30" t="s">
        <v>1697</v>
      </c>
      <c r="N31" s="30" t="s">
        <v>1672</v>
      </c>
      <c r="O31" s="33"/>
      <c r="P31" s="33">
        <v>41</v>
      </c>
      <c r="Q31" s="33">
        <v>41</v>
      </c>
      <c r="R31" s="33">
        <v>0</v>
      </c>
      <c r="S31" s="33">
        <v>0</v>
      </c>
      <c r="T31" s="33">
        <v>0</v>
      </c>
      <c r="U31" s="33">
        <v>0</v>
      </c>
      <c r="V31" s="33">
        <v>0</v>
      </c>
      <c r="W31" s="33" t="s">
        <v>50</v>
      </c>
      <c r="X31" s="33">
        <v>1</v>
      </c>
      <c r="Y31" s="30" t="s">
        <v>70</v>
      </c>
      <c r="Z31" s="30" t="s">
        <v>222</v>
      </c>
      <c r="AA31" s="30" t="s">
        <v>222</v>
      </c>
      <c r="AB31" s="30" t="s">
        <v>1315</v>
      </c>
      <c r="AC31" s="30"/>
      <c r="AD31" s="30" t="s">
        <v>50</v>
      </c>
      <c r="AE31" s="30" t="s">
        <v>50</v>
      </c>
      <c r="AF31" s="30" t="s">
        <v>50</v>
      </c>
      <c r="AG31" s="30" t="s">
        <v>50</v>
      </c>
      <c r="AH31" s="30" t="s">
        <v>50</v>
      </c>
      <c r="AI31" s="30" t="s">
        <v>1673</v>
      </c>
      <c r="AJ31" s="30" t="s">
        <v>50</v>
      </c>
      <c r="AK31" s="30" t="s">
        <v>50</v>
      </c>
      <c r="AL31" s="30" t="s">
        <v>50</v>
      </c>
      <c r="AM31" s="30" t="s">
        <v>50</v>
      </c>
      <c r="AN31" s="30" t="s">
        <v>1681</v>
      </c>
      <c r="AO31" s="30" t="s">
        <v>50</v>
      </c>
      <c r="AP31" s="30" t="s">
        <v>50</v>
      </c>
      <c r="AQ31" s="30" t="s">
        <v>50</v>
      </c>
      <c r="AR31" s="30" t="s">
        <v>50</v>
      </c>
      <c r="AS31" s="30" t="s">
        <v>50</v>
      </c>
      <c r="AT31" s="30" t="s">
        <v>299</v>
      </c>
      <c r="AU31" s="30" t="s">
        <v>50</v>
      </c>
      <c r="AV31" s="34">
        <v>168814876053</v>
      </c>
    </row>
    <row r="32" spans="2:48" ht="15" customHeight="1">
      <c r="B32" s="28">
        <v>26</v>
      </c>
      <c r="C32" s="29" t="s">
        <v>1774</v>
      </c>
      <c r="D32" s="30" t="s">
        <v>50</v>
      </c>
      <c r="E32" s="31" t="s">
        <v>1775</v>
      </c>
      <c r="F32" s="31" t="s">
        <v>50</v>
      </c>
      <c r="G32" s="32" t="s">
        <v>1776</v>
      </c>
      <c r="H32" s="30" t="s">
        <v>65</v>
      </c>
      <c r="I32" s="30" t="s">
        <v>1181</v>
      </c>
      <c r="J32" s="32" t="s">
        <v>1777</v>
      </c>
      <c r="K32" s="30" t="s">
        <v>723</v>
      </c>
      <c r="L32" s="32" t="s">
        <v>1778</v>
      </c>
      <c r="M32" s="30" t="s">
        <v>1697</v>
      </c>
      <c r="N32" s="30" t="s">
        <v>1679</v>
      </c>
      <c r="O32" s="33"/>
      <c r="P32" s="33">
        <v>2531</v>
      </c>
      <c r="Q32" s="33">
        <v>0</v>
      </c>
      <c r="R32" s="33">
        <v>0</v>
      </c>
      <c r="S32" s="33">
        <v>0</v>
      </c>
      <c r="T32" s="33">
        <v>0</v>
      </c>
      <c r="U32" s="33">
        <v>0</v>
      </c>
      <c r="V32" s="33">
        <v>0</v>
      </c>
      <c r="W32" s="33" t="s">
        <v>50</v>
      </c>
      <c r="X32" s="33">
        <v>1</v>
      </c>
      <c r="Y32" s="30" t="s">
        <v>67</v>
      </c>
      <c r="Z32" s="30" t="s">
        <v>186</v>
      </c>
      <c r="AA32" s="30" t="s">
        <v>222</v>
      </c>
      <c r="AB32" s="30" t="s">
        <v>1316</v>
      </c>
      <c r="AC32" s="30"/>
      <c r="AD32" s="30" t="s">
        <v>50</v>
      </c>
      <c r="AE32" s="30" t="s">
        <v>50</v>
      </c>
      <c r="AF32" s="30" t="s">
        <v>50</v>
      </c>
      <c r="AG32" s="30" t="s">
        <v>50</v>
      </c>
      <c r="AH32" s="30" t="s">
        <v>50</v>
      </c>
      <c r="AI32" s="30" t="s">
        <v>1673</v>
      </c>
      <c r="AJ32" s="30" t="s">
        <v>50</v>
      </c>
      <c r="AK32" s="30" t="s">
        <v>50</v>
      </c>
      <c r="AL32" s="30" t="s">
        <v>50</v>
      </c>
      <c r="AM32" s="30" t="s">
        <v>50</v>
      </c>
      <c r="AN32" s="30" t="s">
        <v>1681</v>
      </c>
      <c r="AO32" s="30" t="s">
        <v>50</v>
      </c>
      <c r="AP32" s="30" t="s">
        <v>50</v>
      </c>
      <c r="AQ32" s="30" t="s">
        <v>50</v>
      </c>
      <c r="AR32" s="30" t="s">
        <v>50</v>
      </c>
      <c r="AS32" s="30" t="s">
        <v>50</v>
      </c>
      <c r="AT32" s="30" t="s">
        <v>1682</v>
      </c>
      <c r="AU32" s="30" t="s">
        <v>50</v>
      </c>
      <c r="AV32" s="34">
        <v>168810334070</v>
      </c>
    </row>
    <row r="33" spans="2:48" ht="15" customHeight="1">
      <c r="B33" s="28">
        <v>27</v>
      </c>
      <c r="C33" s="29" t="s">
        <v>1779</v>
      </c>
      <c r="D33" s="30" t="s">
        <v>50</v>
      </c>
      <c r="E33" s="31" t="s">
        <v>1780</v>
      </c>
      <c r="F33" s="31" t="s">
        <v>50</v>
      </c>
      <c r="G33" s="32" t="s">
        <v>1781</v>
      </c>
      <c r="H33" s="30" t="s">
        <v>65</v>
      </c>
      <c r="I33" s="30" t="s">
        <v>921</v>
      </c>
      <c r="J33" s="32" t="s">
        <v>1782</v>
      </c>
      <c r="K33" s="30" t="s">
        <v>314</v>
      </c>
      <c r="L33" s="32" t="s">
        <v>1783</v>
      </c>
      <c r="M33" s="30" t="s">
        <v>1671</v>
      </c>
      <c r="N33" s="30" t="s">
        <v>1679</v>
      </c>
      <c r="O33" s="33"/>
      <c r="P33" s="33">
        <v>12738</v>
      </c>
      <c r="Q33" s="33">
        <v>0</v>
      </c>
      <c r="R33" s="33">
        <v>0</v>
      </c>
      <c r="S33" s="33">
        <v>0</v>
      </c>
      <c r="T33" s="33">
        <v>0</v>
      </c>
      <c r="U33" s="33">
        <v>0</v>
      </c>
      <c r="V33" s="33">
        <v>0</v>
      </c>
      <c r="W33" s="33" t="s">
        <v>50</v>
      </c>
      <c r="X33" s="33">
        <v>1</v>
      </c>
      <c r="Y33" s="30" t="s">
        <v>67</v>
      </c>
      <c r="Z33" s="30" t="s">
        <v>186</v>
      </c>
      <c r="AA33" s="30" t="s">
        <v>222</v>
      </c>
      <c r="AB33" s="30" t="s">
        <v>1316</v>
      </c>
      <c r="AC33" s="30"/>
      <c r="AD33" s="30" t="s">
        <v>50</v>
      </c>
      <c r="AE33" s="30" t="s">
        <v>50</v>
      </c>
      <c r="AF33" s="30" t="s">
        <v>50</v>
      </c>
      <c r="AG33" s="30" t="s">
        <v>50</v>
      </c>
      <c r="AH33" s="30" t="s">
        <v>50</v>
      </c>
      <c r="AI33" s="30" t="s">
        <v>1673</v>
      </c>
      <c r="AJ33" s="30" t="s">
        <v>50</v>
      </c>
      <c r="AK33" s="30" t="s">
        <v>50</v>
      </c>
      <c r="AL33" s="30" t="s">
        <v>50</v>
      </c>
      <c r="AM33" s="30" t="s">
        <v>50</v>
      </c>
      <c r="AN33" s="30" t="s">
        <v>50</v>
      </c>
      <c r="AO33" s="30" t="s">
        <v>50</v>
      </c>
      <c r="AP33" s="30" t="s">
        <v>50</v>
      </c>
      <c r="AQ33" s="30" t="s">
        <v>50</v>
      </c>
      <c r="AR33" s="30" t="s">
        <v>50</v>
      </c>
      <c r="AS33" s="30" t="s">
        <v>50</v>
      </c>
      <c r="AT33" s="30" t="s">
        <v>1682</v>
      </c>
      <c r="AU33" s="30" t="s">
        <v>50</v>
      </c>
      <c r="AV33" s="34">
        <v>168803237571</v>
      </c>
    </row>
    <row r="34" spans="2:48" ht="15" customHeight="1">
      <c r="B34" s="28">
        <v>28</v>
      </c>
      <c r="C34" s="29" t="s">
        <v>1784</v>
      </c>
      <c r="D34" s="30" t="s">
        <v>1785</v>
      </c>
      <c r="E34" s="31" t="s">
        <v>1786</v>
      </c>
      <c r="F34" s="31" t="s">
        <v>50</v>
      </c>
      <c r="G34" s="32" t="s">
        <v>1787</v>
      </c>
      <c r="H34" s="30" t="s">
        <v>130</v>
      </c>
      <c r="I34" s="30" t="s">
        <v>1289</v>
      </c>
      <c r="J34" s="32" t="s">
        <v>1290</v>
      </c>
      <c r="K34" s="30" t="s">
        <v>650</v>
      </c>
      <c r="L34" s="32" t="s">
        <v>651</v>
      </c>
      <c r="M34" s="30" t="s">
        <v>1678</v>
      </c>
      <c r="N34" s="30" t="s">
        <v>1679</v>
      </c>
      <c r="O34" s="33"/>
      <c r="P34" s="33">
        <v>0</v>
      </c>
      <c r="Q34" s="33">
        <v>0</v>
      </c>
      <c r="R34" s="33">
        <v>0</v>
      </c>
      <c r="S34" s="33">
        <v>0</v>
      </c>
      <c r="T34" s="33">
        <v>0</v>
      </c>
      <c r="U34" s="33">
        <v>0</v>
      </c>
      <c r="V34" s="33">
        <v>0</v>
      </c>
      <c r="W34" s="33" t="s">
        <v>1680</v>
      </c>
      <c r="X34" s="33">
        <v>1</v>
      </c>
      <c r="Y34" s="30" t="s">
        <v>56</v>
      </c>
      <c r="Z34" s="30" t="s">
        <v>192</v>
      </c>
      <c r="AA34" s="30" t="s">
        <v>192</v>
      </c>
      <c r="AB34" s="30"/>
      <c r="AC34" s="30"/>
      <c r="AD34" s="30" t="s">
        <v>50</v>
      </c>
      <c r="AE34" s="30" t="s">
        <v>50</v>
      </c>
      <c r="AF34" s="30" t="s">
        <v>50</v>
      </c>
      <c r="AG34" s="30" t="s">
        <v>50</v>
      </c>
      <c r="AH34" s="30" t="s">
        <v>50</v>
      </c>
      <c r="AI34" s="30" t="s">
        <v>1673</v>
      </c>
      <c r="AJ34" s="30" t="s">
        <v>187</v>
      </c>
      <c r="AK34" s="30" t="s">
        <v>50</v>
      </c>
      <c r="AL34" s="30" t="s">
        <v>50</v>
      </c>
      <c r="AM34" s="30" t="s">
        <v>50</v>
      </c>
      <c r="AN34" s="30" t="s">
        <v>1681</v>
      </c>
      <c r="AO34" s="30" t="s">
        <v>50</v>
      </c>
      <c r="AP34" s="30" t="s">
        <v>50</v>
      </c>
      <c r="AQ34" s="30" t="s">
        <v>50</v>
      </c>
      <c r="AR34" s="30" t="s">
        <v>50</v>
      </c>
      <c r="AS34" s="30" t="s">
        <v>50</v>
      </c>
      <c r="AT34" s="30" t="s">
        <v>299</v>
      </c>
      <c r="AU34" s="30" t="s">
        <v>147</v>
      </c>
      <c r="AV34" s="34">
        <v>168827486943</v>
      </c>
    </row>
    <row r="35" spans="2:48" ht="15" customHeight="1">
      <c r="B35" s="28">
        <v>29</v>
      </c>
      <c r="C35" s="29" t="s">
        <v>1788</v>
      </c>
      <c r="D35" s="30" t="s">
        <v>50</v>
      </c>
      <c r="E35" s="31" t="s">
        <v>1789</v>
      </c>
      <c r="F35" s="31" t="s">
        <v>50</v>
      </c>
      <c r="G35" s="32" t="s">
        <v>1790</v>
      </c>
      <c r="H35" s="30" t="s">
        <v>78</v>
      </c>
      <c r="I35" s="30" t="s">
        <v>1071</v>
      </c>
      <c r="J35" s="32" t="s">
        <v>1072</v>
      </c>
      <c r="K35" s="30" t="s">
        <v>474</v>
      </c>
      <c r="L35" s="32" t="s">
        <v>475</v>
      </c>
      <c r="M35" s="30" t="s">
        <v>1697</v>
      </c>
      <c r="N35" s="30" t="s">
        <v>1791</v>
      </c>
      <c r="O35" s="33">
        <v>5</v>
      </c>
      <c r="P35" s="33">
        <v>176000</v>
      </c>
      <c r="Q35" s="33">
        <v>1</v>
      </c>
      <c r="R35" s="33">
        <v>0</v>
      </c>
      <c r="S35" s="33">
        <v>0</v>
      </c>
      <c r="T35" s="33">
        <v>0</v>
      </c>
      <c r="U35" s="33">
        <v>0</v>
      </c>
      <c r="V35" s="33">
        <v>0</v>
      </c>
      <c r="W35" s="33" t="s">
        <v>50</v>
      </c>
      <c r="X35" s="33">
        <v>1</v>
      </c>
      <c r="Y35" s="30" t="s">
        <v>70</v>
      </c>
      <c r="Z35" s="30" t="s">
        <v>192</v>
      </c>
      <c r="AA35" s="30" t="s">
        <v>192</v>
      </c>
      <c r="AB35" s="30" t="s">
        <v>1316</v>
      </c>
      <c r="AC35" s="30"/>
      <c r="AD35" s="30" t="s">
        <v>50</v>
      </c>
      <c r="AE35" s="30" t="s">
        <v>50</v>
      </c>
      <c r="AF35" s="30" t="s">
        <v>50</v>
      </c>
      <c r="AG35" s="30" t="s">
        <v>50</v>
      </c>
      <c r="AH35" s="30" t="s">
        <v>50</v>
      </c>
      <c r="AI35" s="30" t="s">
        <v>1673</v>
      </c>
      <c r="AJ35" s="30" t="s">
        <v>392</v>
      </c>
      <c r="AK35" s="30" t="s">
        <v>50</v>
      </c>
      <c r="AL35" s="30" t="s">
        <v>50</v>
      </c>
      <c r="AM35" s="30" t="s">
        <v>50</v>
      </c>
      <c r="AN35" s="30" t="s">
        <v>1681</v>
      </c>
      <c r="AO35" s="30" t="s">
        <v>50</v>
      </c>
      <c r="AP35" s="30" t="s">
        <v>50</v>
      </c>
      <c r="AQ35" s="30" t="s">
        <v>50</v>
      </c>
      <c r="AR35" s="30" t="s">
        <v>50</v>
      </c>
      <c r="AS35" s="30" t="s">
        <v>50</v>
      </c>
      <c r="AT35" s="30" t="s">
        <v>1792</v>
      </c>
      <c r="AU35" s="30" t="s">
        <v>50</v>
      </c>
      <c r="AV35" s="34">
        <v>168792374192</v>
      </c>
    </row>
    <row r="36" spans="2:48" ht="15" customHeight="1">
      <c r="B36" s="28">
        <v>30</v>
      </c>
      <c r="C36" s="29" t="s">
        <v>1793</v>
      </c>
      <c r="D36" s="30" t="s">
        <v>1794</v>
      </c>
      <c r="E36" s="31" t="s">
        <v>1795</v>
      </c>
      <c r="F36" s="31" t="s">
        <v>50</v>
      </c>
      <c r="G36" s="32" t="s">
        <v>1796</v>
      </c>
      <c r="H36" s="30" t="s">
        <v>114</v>
      </c>
      <c r="I36" s="30" t="s">
        <v>892</v>
      </c>
      <c r="J36" s="32" t="s">
        <v>894</v>
      </c>
      <c r="K36" s="30" t="s">
        <v>299</v>
      </c>
      <c r="L36" s="32" t="s">
        <v>300</v>
      </c>
      <c r="M36" s="30" t="s">
        <v>1678</v>
      </c>
      <c r="N36" s="30" t="s">
        <v>1679</v>
      </c>
      <c r="O36" s="33"/>
      <c r="P36" s="33">
        <v>0</v>
      </c>
      <c r="Q36" s="33">
        <v>0</v>
      </c>
      <c r="R36" s="33">
        <v>0</v>
      </c>
      <c r="S36" s="33">
        <v>0</v>
      </c>
      <c r="T36" s="33">
        <v>0</v>
      </c>
      <c r="U36" s="33">
        <v>0</v>
      </c>
      <c r="V36" s="33">
        <v>0</v>
      </c>
      <c r="W36" s="33" t="s">
        <v>1680</v>
      </c>
      <c r="X36" s="33">
        <v>1</v>
      </c>
      <c r="Y36" s="30" t="s">
        <v>56</v>
      </c>
      <c r="Z36" s="30" t="s">
        <v>192</v>
      </c>
      <c r="AA36" s="30" t="s">
        <v>192</v>
      </c>
      <c r="AB36" s="30" t="s">
        <v>1315</v>
      </c>
      <c r="AC36" s="30"/>
      <c r="AD36" s="30" t="s">
        <v>50</v>
      </c>
      <c r="AE36" s="30" t="s">
        <v>50</v>
      </c>
      <c r="AF36" s="30" t="s">
        <v>50</v>
      </c>
      <c r="AG36" s="30" t="s">
        <v>50</v>
      </c>
      <c r="AH36" s="30" t="s">
        <v>50</v>
      </c>
      <c r="AI36" s="30" t="s">
        <v>1673</v>
      </c>
      <c r="AJ36" s="30" t="s">
        <v>187</v>
      </c>
      <c r="AK36" s="30" t="s">
        <v>50</v>
      </c>
      <c r="AL36" s="30" t="s">
        <v>50</v>
      </c>
      <c r="AM36" s="30" t="s">
        <v>50</v>
      </c>
      <c r="AN36" s="30" t="s">
        <v>1681</v>
      </c>
      <c r="AO36" s="30" t="s">
        <v>50</v>
      </c>
      <c r="AP36" s="30" t="s">
        <v>50</v>
      </c>
      <c r="AQ36" s="30" t="s">
        <v>50</v>
      </c>
      <c r="AR36" s="30" t="s">
        <v>50</v>
      </c>
      <c r="AS36" s="30" t="s">
        <v>50</v>
      </c>
      <c r="AT36" s="30" t="s">
        <v>299</v>
      </c>
      <c r="AU36" s="30" t="s">
        <v>50</v>
      </c>
      <c r="AV36" s="34">
        <v>168776742430</v>
      </c>
    </row>
    <row r="37" spans="2:48" ht="15" customHeight="1">
      <c r="B37" s="28">
        <v>31</v>
      </c>
      <c r="C37" s="29" t="s">
        <v>1797</v>
      </c>
      <c r="D37" s="30" t="s">
        <v>50</v>
      </c>
      <c r="E37" s="31" t="s">
        <v>1798</v>
      </c>
      <c r="F37" s="31" t="s">
        <v>50</v>
      </c>
      <c r="G37" s="32" t="s">
        <v>1799</v>
      </c>
      <c r="H37" s="30" t="s">
        <v>62</v>
      </c>
      <c r="I37" s="30" t="s">
        <v>960</v>
      </c>
      <c r="J37" s="32" t="s">
        <v>961</v>
      </c>
      <c r="K37" s="30" t="s">
        <v>402</v>
      </c>
      <c r="L37" s="32" t="s">
        <v>403</v>
      </c>
      <c r="M37" s="30" t="s">
        <v>1697</v>
      </c>
      <c r="N37" s="30" t="s">
        <v>1672</v>
      </c>
      <c r="O37" s="33">
        <v>2</v>
      </c>
      <c r="P37" s="33">
        <v>77077</v>
      </c>
      <c r="Q37" s="33">
        <v>71</v>
      </c>
      <c r="R37" s="33">
        <v>0</v>
      </c>
      <c r="S37" s="33">
        <v>0</v>
      </c>
      <c r="T37" s="33">
        <v>0</v>
      </c>
      <c r="U37" s="33">
        <v>0</v>
      </c>
      <c r="V37" s="33">
        <v>0</v>
      </c>
      <c r="W37" s="33" t="s">
        <v>50</v>
      </c>
      <c r="X37" s="33">
        <v>1</v>
      </c>
      <c r="Y37" s="30" t="s">
        <v>64</v>
      </c>
      <c r="Z37" s="30" t="s">
        <v>186</v>
      </c>
      <c r="AA37" s="30" t="s">
        <v>222</v>
      </c>
      <c r="AB37" s="30" t="s">
        <v>1316</v>
      </c>
      <c r="AC37" s="30"/>
      <c r="AD37" s="30" t="s">
        <v>50</v>
      </c>
      <c r="AE37" s="30" t="s">
        <v>50</v>
      </c>
      <c r="AF37" s="30" t="s">
        <v>50</v>
      </c>
      <c r="AG37" s="30" t="s">
        <v>50</v>
      </c>
      <c r="AH37" s="30" t="s">
        <v>50</v>
      </c>
      <c r="AI37" s="30" t="s">
        <v>1673</v>
      </c>
      <c r="AJ37" s="30" t="s">
        <v>187</v>
      </c>
      <c r="AK37" s="30" t="s">
        <v>50</v>
      </c>
      <c r="AL37" s="30" t="s">
        <v>50</v>
      </c>
      <c r="AM37" s="30" t="s">
        <v>50</v>
      </c>
      <c r="AN37" s="30" t="s">
        <v>1681</v>
      </c>
      <c r="AO37" s="30" t="s">
        <v>50</v>
      </c>
      <c r="AP37" s="30" t="s">
        <v>50</v>
      </c>
      <c r="AQ37" s="30" t="s">
        <v>50</v>
      </c>
      <c r="AR37" s="30" t="s">
        <v>50</v>
      </c>
      <c r="AS37" s="30" t="s">
        <v>50</v>
      </c>
      <c r="AT37" s="30" t="s">
        <v>1792</v>
      </c>
      <c r="AU37" s="30" t="s">
        <v>50</v>
      </c>
      <c r="AV37" s="34">
        <v>168773520292</v>
      </c>
    </row>
    <row r="38" spans="2:48" ht="15" customHeight="1">
      <c r="B38" s="28">
        <v>32</v>
      </c>
      <c r="C38" s="29" t="s">
        <v>1800</v>
      </c>
      <c r="D38" s="30" t="s">
        <v>50</v>
      </c>
      <c r="E38" s="31" t="s">
        <v>1801</v>
      </c>
      <c r="F38" s="31" t="s">
        <v>50</v>
      </c>
      <c r="G38" s="32" t="s">
        <v>1802</v>
      </c>
      <c r="H38" s="30" t="s">
        <v>68</v>
      </c>
      <c r="I38" s="30" t="s">
        <v>1244</v>
      </c>
      <c r="J38" s="32" t="s">
        <v>1245</v>
      </c>
      <c r="K38" s="30" t="s">
        <v>204</v>
      </c>
      <c r="L38" s="32" t="s">
        <v>205</v>
      </c>
      <c r="M38" s="30" t="s">
        <v>1697</v>
      </c>
      <c r="N38" s="30" t="s">
        <v>1679</v>
      </c>
      <c r="O38" s="33"/>
      <c r="P38" s="33">
        <v>756733</v>
      </c>
      <c r="Q38" s="33">
        <v>8</v>
      </c>
      <c r="R38" s="33">
        <v>0</v>
      </c>
      <c r="S38" s="33">
        <v>0</v>
      </c>
      <c r="T38" s="33">
        <v>0</v>
      </c>
      <c r="U38" s="33">
        <v>0</v>
      </c>
      <c r="V38" s="33">
        <v>0</v>
      </c>
      <c r="W38" s="33" t="s">
        <v>50</v>
      </c>
      <c r="X38" s="33">
        <v>1</v>
      </c>
      <c r="Y38" s="30" t="s">
        <v>70</v>
      </c>
      <c r="Z38" s="30" t="s">
        <v>192</v>
      </c>
      <c r="AA38" s="30" t="s">
        <v>192</v>
      </c>
      <c r="AB38" s="30" t="s">
        <v>1316</v>
      </c>
      <c r="AC38" s="30"/>
      <c r="AD38" s="30" t="s">
        <v>50</v>
      </c>
      <c r="AE38" s="30" t="s">
        <v>50</v>
      </c>
      <c r="AF38" s="30" t="s">
        <v>1741</v>
      </c>
      <c r="AG38" s="30" t="s">
        <v>50</v>
      </c>
      <c r="AH38" s="30" t="s">
        <v>50</v>
      </c>
      <c r="AI38" s="30" t="s">
        <v>1673</v>
      </c>
      <c r="AJ38" s="30" t="s">
        <v>50</v>
      </c>
      <c r="AK38" s="30" t="s">
        <v>50</v>
      </c>
      <c r="AL38" s="30" t="s">
        <v>50</v>
      </c>
      <c r="AM38" s="30" t="s">
        <v>50</v>
      </c>
      <c r="AN38" s="30" t="s">
        <v>1681</v>
      </c>
      <c r="AO38" s="30" t="s">
        <v>50</v>
      </c>
      <c r="AP38" s="30" t="s">
        <v>50</v>
      </c>
      <c r="AQ38" s="30" t="s">
        <v>50</v>
      </c>
      <c r="AR38" s="30" t="s">
        <v>50</v>
      </c>
      <c r="AS38" s="30" t="s">
        <v>50</v>
      </c>
      <c r="AT38" s="30" t="s">
        <v>299</v>
      </c>
      <c r="AU38" s="30" t="s">
        <v>50</v>
      </c>
      <c r="AV38" s="34">
        <v>168772346477</v>
      </c>
    </row>
    <row r="39" spans="2:48" ht="15" customHeight="1">
      <c r="B39" s="28">
        <v>33</v>
      </c>
      <c r="C39" s="29" t="s">
        <v>1803</v>
      </c>
      <c r="D39" s="30" t="s">
        <v>1804</v>
      </c>
      <c r="E39" s="31" t="s">
        <v>1805</v>
      </c>
      <c r="F39" s="31" t="s">
        <v>1806</v>
      </c>
      <c r="G39" s="32" t="s">
        <v>1807</v>
      </c>
      <c r="H39" s="30" t="s">
        <v>99</v>
      </c>
      <c r="I39" s="30" t="s">
        <v>1260</v>
      </c>
      <c r="J39" s="32" t="s">
        <v>1261</v>
      </c>
      <c r="K39" s="30" t="s">
        <v>321</v>
      </c>
      <c r="L39" s="32" t="s">
        <v>322</v>
      </c>
      <c r="M39" s="30" t="s">
        <v>1678</v>
      </c>
      <c r="N39" s="30" t="s">
        <v>1679</v>
      </c>
      <c r="O39" s="33"/>
      <c r="P39" s="33">
        <v>0</v>
      </c>
      <c r="Q39" s="33">
        <v>0</v>
      </c>
      <c r="R39" s="33">
        <v>0</v>
      </c>
      <c r="S39" s="33">
        <v>3</v>
      </c>
      <c r="T39" s="33">
        <v>3</v>
      </c>
      <c r="U39" s="33">
        <v>0</v>
      </c>
      <c r="V39" s="33">
        <v>0</v>
      </c>
      <c r="W39" s="33" t="s">
        <v>1680</v>
      </c>
      <c r="X39" s="33">
        <v>1</v>
      </c>
      <c r="Y39" s="30" t="s">
        <v>56</v>
      </c>
      <c r="Z39" s="30" t="s">
        <v>192</v>
      </c>
      <c r="AA39" s="30" t="s">
        <v>192</v>
      </c>
      <c r="AB39" s="30" t="s">
        <v>1316</v>
      </c>
      <c r="AC39" s="30"/>
      <c r="AD39" s="30" t="s">
        <v>50</v>
      </c>
      <c r="AE39" s="30" t="s">
        <v>50</v>
      </c>
      <c r="AF39" s="30" t="s">
        <v>50</v>
      </c>
      <c r="AG39" s="30" t="s">
        <v>50</v>
      </c>
      <c r="AH39" s="30" t="s">
        <v>50</v>
      </c>
      <c r="AI39" s="30" t="s">
        <v>1673</v>
      </c>
      <c r="AJ39" s="30" t="s">
        <v>187</v>
      </c>
      <c r="AK39" s="30" t="s">
        <v>50</v>
      </c>
      <c r="AL39" s="30" t="s">
        <v>50</v>
      </c>
      <c r="AM39" s="30" t="s">
        <v>50</v>
      </c>
      <c r="AN39" s="30" t="s">
        <v>1681</v>
      </c>
      <c r="AO39" s="30" t="s">
        <v>50</v>
      </c>
      <c r="AP39" s="30" t="s">
        <v>50</v>
      </c>
      <c r="AQ39" s="30" t="s">
        <v>50</v>
      </c>
      <c r="AR39" s="30" t="s">
        <v>50</v>
      </c>
      <c r="AS39" s="30" t="s">
        <v>50</v>
      </c>
      <c r="AT39" s="30" t="s">
        <v>1711</v>
      </c>
      <c r="AU39" s="30" t="s">
        <v>50</v>
      </c>
      <c r="AV39" s="34">
        <v>168770690019</v>
      </c>
    </row>
    <row r="40" spans="2:48" ht="15" customHeight="1">
      <c r="B40" s="28">
        <v>34</v>
      </c>
      <c r="C40" s="29" t="s">
        <v>1808</v>
      </c>
      <c r="D40" s="30" t="s">
        <v>50</v>
      </c>
      <c r="E40" s="31" t="s">
        <v>1809</v>
      </c>
      <c r="F40" s="31" t="s">
        <v>50</v>
      </c>
      <c r="G40" s="32" t="s">
        <v>1810</v>
      </c>
      <c r="H40" s="30" t="s">
        <v>65</v>
      </c>
      <c r="I40" s="30" t="s">
        <v>917</v>
      </c>
      <c r="J40" s="32" t="s">
        <v>1751</v>
      </c>
      <c r="K40" s="30" t="s">
        <v>304</v>
      </c>
      <c r="L40" s="32" t="s">
        <v>1752</v>
      </c>
      <c r="M40" s="30" t="s">
        <v>1671</v>
      </c>
      <c r="N40" s="30" t="s">
        <v>1679</v>
      </c>
      <c r="O40" s="33"/>
      <c r="P40" s="33">
        <v>30122</v>
      </c>
      <c r="Q40" s="33">
        <v>0</v>
      </c>
      <c r="R40" s="33">
        <v>0</v>
      </c>
      <c r="S40" s="33">
        <v>0</v>
      </c>
      <c r="T40" s="33">
        <v>0</v>
      </c>
      <c r="U40" s="33">
        <v>0</v>
      </c>
      <c r="V40" s="33">
        <v>0</v>
      </c>
      <c r="W40" s="33" t="s">
        <v>50</v>
      </c>
      <c r="X40" s="33">
        <v>1</v>
      </c>
      <c r="Y40" s="30" t="s">
        <v>67</v>
      </c>
      <c r="Z40" s="30" t="s">
        <v>186</v>
      </c>
      <c r="AA40" s="30" t="s">
        <v>222</v>
      </c>
      <c r="AB40" s="30"/>
      <c r="AC40" s="30"/>
      <c r="AD40" s="30" t="s">
        <v>50</v>
      </c>
      <c r="AE40" s="30" t="s">
        <v>50</v>
      </c>
      <c r="AF40" s="30" t="s">
        <v>50</v>
      </c>
      <c r="AG40" s="30" t="s">
        <v>50</v>
      </c>
      <c r="AH40" s="30" t="s">
        <v>50</v>
      </c>
      <c r="AI40" s="30" t="s">
        <v>1673</v>
      </c>
      <c r="AJ40" s="30" t="s">
        <v>50</v>
      </c>
      <c r="AK40" s="30" t="s">
        <v>50</v>
      </c>
      <c r="AL40" s="30" t="s">
        <v>50</v>
      </c>
      <c r="AM40" s="30" t="s">
        <v>50</v>
      </c>
      <c r="AN40" s="30" t="s">
        <v>50</v>
      </c>
      <c r="AO40" s="30" t="s">
        <v>50</v>
      </c>
      <c r="AP40" s="30" t="s">
        <v>50</v>
      </c>
      <c r="AQ40" s="30" t="s">
        <v>50</v>
      </c>
      <c r="AR40" s="30" t="s">
        <v>50</v>
      </c>
      <c r="AS40" s="30" t="s">
        <v>50</v>
      </c>
      <c r="AT40" s="30" t="s">
        <v>299</v>
      </c>
      <c r="AU40" s="30" t="s">
        <v>50</v>
      </c>
      <c r="AV40" s="34">
        <v>168767948560</v>
      </c>
    </row>
    <row r="41" spans="2:48" ht="15" customHeight="1">
      <c r="B41" s="28">
        <v>35</v>
      </c>
      <c r="C41" s="29" t="s">
        <v>1811</v>
      </c>
      <c r="D41" s="30" t="s">
        <v>50</v>
      </c>
      <c r="E41" s="31" t="s">
        <v>1812</v>
      </c>
      <c r="F41" s="31" t="s">
        <v>50</v>
      </c>
      <c r="G41" s="32" t="s">
        <v>1813</v>
      </c>
      <c r="H41" s="30" t="s">
        <v>62</v>
      </c>
      <c r="I41" s="30" t="s">
        <v>646</v>
      </c>
      <c r="J41" s="32" t="s">
        <v>647</v>
      </c>
      <c r="K41" s="30" t="s">
        <v>646</v>
      </c>
      <c r="L41" s="32" t="s">
        <v>647</v>
      </c>
      <c r="M41" s="30" t="s">
        <v>1671</v>
      </c>
      <c r="N41" s="30" t="s">
        <v>1679</v>
      </c>
      <c r="O41" s="33"/>
      <c r="P41" s="33">
        <v>213</v>
      </c>
      <c r="Q41" s="33">
        <v>213</v>
      </c>
      <c r="R41" s="33">
        <v>81</v>
      </c>
      <c r="S41" s="33">
        <v>8</v>
      </c>
      <c r="T41" s="33">
        <v>8</v>
      </c>
      <c r="U41" s="33">
        <v>0</v>
      </c>
      <c r="V41" s="33">
        <v>0</v>
      </c>
      <c r="W41" s="33" t="s">
        <v>50</v>
      </c>
      <c r="X41" s="33">
        <v>2</v>
      </c>
      <c r="Y41" s="30" t="s">
        <v>64</v>
      </c>
      <c r="Z41" s="30" t="s">
        <v>186</v>
      </c>
      <c r="AA41" s="30" t="s">
        <v>186</v>
      </c>
      <c r="AB41" s="30"/>
      <c r="AC41" s="30"/>
      <c r="AD41" s="30" t="s">
        <v>50</v>
      </c>
      <c r="AE41" s="30" t="s">
        <v>50</v>
      </c>
      <c r="AF41" s="30" t="s">
        <v>50</v>
      </c>
      <c r="AG41" s="30" t="s">
        <v>50</v>
      </c>
      <c r="AH41" s="30" t="s">
        <v>50</v>
      </c>
      <c r="AI41" s="30" t="s">
        <v>1673</v>
      </c>
      <c r="AJ41" s="30" t="s">
        <v>187</v>
      </c>
      <c r="AK41" s="30" t="s">
        <v>201</v>
      </c>
      <c r="AL41" s="30" t="s">
        <v>201</v>
      </c>
      <c r="AM41" s="30" t="s">
        <v>50</v>
      </c>
      <c r="AN41" s="30" t="s">
        <v>50</v>
      </c>
      <c r="AO41" s="30" t="s">
        <v>50</v>
      </c>
      <c r="AP41" s="30" t="s">
        <v>50</v>
      </c>
      <c r="AQ41" s="30" t="s">
        <v>50</v>
      </c>
      <c r="AR41" s="30" t="s">
        <v>50</v>
      </c>
      <c r="AS41" s="30" t="s">
        <v>50</v>
      </c>
      <c r="AT41" s="30" t="s">
        <v>1792</v>
      </c>
      <c r="AU41" s="30" t="s">
        <v>50</v>
      </c>
      <c r="AV41" s="34">
        <v>168767200030</v>
      </c>
    </row>
    <row r="42" spans="2:48" ht="15" customHeight="1">
      <c r="B42" s="28">
        <v>36</v>
      </c>
      <c r="C42" s="29" t="s">
        <v>1814</v>
      </c>
      <c r="D42" s="30" t="s">
        <v>1815</v>
      </c>
      <c r="E42" s="31" t="s">
        <v>1816</v>
      </c>
      <c r="F42" s="31" t="s">
        <v>1817</v>
      </c>
      <c r="G42" s="32" t="s">
        <v>1818</v>
      </c>
      <c r="H42" s="30" t="s">
        <v>99</v>
      </c>
      <c r="I42" s="30" t="s">
        <v>1281</v>
      </c>
      <c r="J42" s="32" t="s">
        <v>1282</v>
      </c>
      <c r="K42" s="30" t="s">
        <v>321</v>
      </c>
      <c r="L42" s="32" t="s">
        <v>322</v>
      </c>
      <c r="M42" s="30" t="s">
        <v>1678</v>
      </c>
      <c r="N42" s="30" t="s">
        <v>1679</v>
      </c>
      <c r="O42" s="33"/>
      <c r="P42" s="33">
        <v>0</v>
      </c>
      <c r="Q42" s="33">
        <v>0</v>
      </c>
      <c r="R42" s="33">
        <v>0</v>
      </c>
      <c r="S42" s="33">
        <v>3</v>
      </c>
      <c r="T42" s="33">
        <v>3</v>
      </c>
      <c r="U42" s="33">
        <v>0</v>
      </c>
      <c r="V42" s="33">
        <v>0</v>
      </c>
      <c r="W42" s="33" t="s">
        <v>1680</v>
      </c>
      <c r="X42" s="33">
        <v>1</v>
      </c>
      <c r="Y42" s="30" t="s">
        <v>56</v>
      </c>
      <c r="Z42" s="30" t="s">
        <v>192</v>
      </c>
      <c r="AA42" s="30" t="s">
        <v>192</v>
      </c>
      <c r="AB42" s="30"/>
      <c r="AC42" s="30"/>
      <c r="AD42" s="30" t="s">
        <v>50</v>
      </c>
      <c r="AE42" s="30" t="s">
        <v>50</v>
      </c>
      <c r="AF42" s="30" t="s">
        <v>50</v>
      </c>
      <c r="AG42" s="30" t="s">
        <v>50</v>
      </c>
      <c r="AH42" s="30" t="s">
        <v>50</v>
      </c>
      <c r="AI42" s="30" t="s">
        <v>1673</v>
      </c>
      <c r="AJ42" s="30" t="s">
        <v>991</v>
      </c>
      <c r="AK42" s="30" t="s">
        <v>50</v>
      </c>
      <c r="AL42" s="30" t="s">
        <v>50</v>
      </c>
      <c r="AM42" s="30" t="s">
        <v>50</v>
      </c>
      <c r="AN42" s="30" t="s">
        <v>1681</v>
      </c>
      <c r="AO42" s="30" t="s">
        <v>50</v>
      </c>
      <c r="AP42" s="30" t="s">
        <v>50</v>
      </c>
      <c r="AQ42" s="30" t="s">
        <v>50</v>
      </c>
      <c r="AR42" s="30" t="s">
        <v>50</v>
      </c>
      <c r="AS42" s="30" t="s">
        <v>50</v>
      </c>
      <c r="AT42" s="30" t="s">
        <v>1711</v>
      </c>
      <c r="AU42" s="30" t="s">
        <v>50</v>
      </c>
      <c r="AV42" s="34">
        <v>168765361772</v>
      </c>
    </row>
    <row r="43" spans="2:48" ht="15" customHeight="1">
      <c r="B43" s="28">
        <v>37</v>
      </c>
      <c r="C43" s="29" t="s">
        <v>1819</v>
      </c>
      <c r="D43" s="30" t="s">
        <v>50</v>
      </c>
      <c r="E43" s="31" t="s">
        <v>1820</v>
      </c>
      <c r="F43" s="31" t="s">
        <v>50</v>
      </c>
      <c r="G43" s="32" t="s">
        <v>1821</v>
      </c>
      <c r="H43" s="30" t="s">
        <v>85</v>
      </c>
      <c r="I43" s="30" t="s">
        <v>1155</v>
      </c>
      <c r="J43" s="32" t="s">
        <v>1156</v>
      </c>
      <c r="K43" s="30" t="s">
        <v>725</v>
      </c>
      <c r="L43" s="32" t="s">
        <v>726</v>
      </c>
      <c r="M43" s="30" t="s">
        <v>1697</v>
      </c>
      <c r="N43" s="30" t="s">
        <v>1672</v>
      </c>
      <c r="O43" s="33"/>
      <c r="P43" s="33">
        <v>0</v>
      </c>
      <c r="Q43" s="33">
        <v>14</v>
      </c>
      <c r="R43" s="33">
        <v>0</v>
      </c>
      <c r="S43" s="33">
        <v>1</v>
      </c>
      <c r="T43" s="33">
        <v>1</v>
      </c>
      <c r="U43" s="33">
        <v>0</v>
      </c>
      <c r="V43" s="33">
        <v>0</v>
      </c>
      <c r="W43" s="33" t="s">
        <v>50</v>
      </c>
      <c r="X43" s="33">
        <v>1</v>
      </c>
      <c r="Y43" s="30" t="s">
        <v>64</v>
      </c>
      <c r="Z43" s="30" t="s">
        <v>186</v>
      </c>
      <c r="AA43" s="30" t="s">
        <v>222</v>
      </c>
      <c r="AB43" s="30"/>
      <c r="AC43" s="30"/>
      <c r="AD43" s="30" t="s">
        <v>50</v>
      </c>
      <c r="AE43" s="30" t="s">
        <v>50</v>
      </c>
      <c r="AF43" s="30" t="s">
        <v>50</v>
      </c>
      <c r="AG43" s="30" t="s">
        <v>50</v>
      </c>
      <c r="AH43" s="30" t="s">
        <v>50</v>
      </c>
      <c r="AI43" s="30" t="s">
        <v>1673</v>
      </c>
      <c r="AJ43" s="30" t="s">
        <v>50</v>
      </c>
      <c r="AK43" s="30" t="s">
        <v>50</v>
      </c>
      <c r="AL43" s="30" t="s">
        <v>50</v>
      </c>
      <c r="AM43" s="30" t="s">
        <v>50</v>
      </c>
      <c r="AN43" s="30" t="s">
        <v>1681</v>
      </c>
      <c r="AO43" s="30" t="s">
        <v>50</v>
      </c>
      <c r="AP43" s="30" t="s">
        <v>50</v>
      </c>
      <c r="AQ43" s="30" t="s">
        <v>50</v>
      </c>
      <c r="AR43" s="30" t="s">
        <v>50</v>
      </c>
      <c r="AS43" s="30" t="s">
        <v>50</v>
      </c>
      <c r="AT43" s="30" t="s">
        <v>1682</v>
      </c>
      <c r="AU43" s="30" t="s">
        <v>50</v>
      </c>
      <c r="AV43" s="34">
        <v>168764942070</v>
      </c>
    </row>
    <row r="44" spans="2:48" ht="15" customHeight="1">
      <c r="B44" s="28">
        <v>38</v>
      </c>
      <c r="C44" s="29" t="s">
        <v>1822</v>
      </c>
      <c r="D44" s="30" t="s">
        <v>1823</v>
      </c>
      <c r="E44" s="31" t="s">
        <v>1795</v>
      </c>
      <c r="F44" s="31" t="s">
        <v>50</v>
      </c>
      <c r="G44" s="32" t="s">
        <v>1824</v>
      </c>
      <c r="H44" s="30" t="s">
        <v>112</v>
      </c>
      <c r="I44" s="30" t="s">
        <v>892</v>
      </c>
      <c r="J44" s="32" t="s">
        <v>893</v>
      </c>
      <c r="K44" s="30" t="s">
        <v>299</v>
      </c>
      <c r="L44" s="32" t="s">
        <v>301</v>
      </c>
      <c r="M44" s="30" t="s">
        <v>1678</v>
      </c>
      <c r="N44" s="30" t="s">
        <v>1679</v>
      </c>
      <c r="O44" s="33"/>
      <c r="P44" s="33">
        <v>0</v>
      </c>
      <c r="Q44" s="33">
        <v>0</v>
      </c>
      <c r="R44" s="33">
        <v>0</v>
      </c>
      <c r="S44" s="33">
        <v>0</v>
      </c>
      <c r="T44" s="33">
        <v>0</v>
      </c>
      <c r="U44" s="33">
        <v>0</v>
      </c>
      <c r="V44" s="33">
        <v>0</v>
      </c>
      <c r="W44" s="33" t="s">
        <v>1680</v>
      </c>
      <c r="X44" s="33">
        <v>1</v>
      </c>
      <c r="Y44" s="30" t="s">
        <v>56</v>
      </c>
      <c r="Z44" s="30" t="s">
        <v>192</v>
      </c>
      <c r="AA44" s="30" t="s">
        <v>192</v>
      </c>
      <c r="AB44" s="30" t="s">
        <v>1315</v>
      </c>
      <c r="AC44" s="30"/>
      <c r="AD44" s="30" t="s">
        <v>50</v>
      </c>
      <c r="AE44" s="30" t="s">
        <v>50</v>
      </c>
      <c r="AF44" s="30" t="s">
        <v>50</v>
      </c>
      <c r="AG44" s="30" t="s">
        <v>50</v>
      </c>
      <c r="AH44" s="30" t="s">
        <v>50</v>
      </c>
      <c r="AI44" s="30" t="s">
        <v>1673</v>
      </c>
      <c r="AJ44" s="30" t="s">
        <v>187</v>
      </c>
      <c r="AK44" s="30" t="s">
        <v>50</v>
      </c>
      <c r="AL44" s="30" t="s">
        <v>50</v>
      </c>
      <c r="AM44" s="30" t="s">
        <v>50</v>
      </c>
      <c r="AN44" s="30" t="s">
        <v>1681</v>
      </c>
      <c r="AO44" s="30" t="s">
        <v>50</v>
      </c>
      <c r="AP44" s="30" t="s">
        <v>50</v>
      </c>
      <c r="AQ44" s="30" t="s">
        <v>50</v>
      </c>
      <c r="AR44" s="30" t="s">
        <v>50</v>
      </c>
      <c r="AS44" s="30" t="s">
        <v>50</v>
      </c>
      <c r="AT44" s="30" t="s">
        <v>299</v>
      </c>
      <c r="AU44" s="30" t="s">
        <v>50</v>
      </c>
      <c r="AV44" s="34">
        <v>168768433668</v>
      </c>
    </row>
    <row r="45" spans="2:48" ht="15" customHeight="1">
      <c r="B45" s="28">
        <v>39</v>
      </c>
      <c r="C45" s="29" t="s">
        <v>1825</v>
      </c>
      <c r="D45" s="30" t="s">
        <v>50</v>
      </c>
      <c r="E45" s="31" t="s">
        <v>1812</v>
      </c>
      <c r="F45" s="31" t="s">
        <v>50</v>
      </c>
      <c r="G45" s="32" t="s">
        <v>1826</v>
      </c>
      <c r="H45" s="30" t="s">
        <v>65</v>
      </c>
      <c r="I45" s="30" t="s">
        <v>701</v>
      </c>
      <c r="J45" s="32" t="s">
        <v>1827</v>
      </c>
      <c r="K45" s="30" t="s">
        <v>701</v>
      </c>
      <c r="L45" s="32" t="s">
        <v>1827</v>
      </c>
      <c r="M45" s="30" t="s">
        <v>1671</v>
      </c>
      <c r="N45" s="30" t="s">
        <v>1679</v>
      </c>
      <c r="O45" s="33"/>
      <c r="P45" s="33">
        <v>326</v>
      </c>
      <c r="Q45" s="33">
        <v>326</v>
      </c>
      <c r="R45" s="33">
        <v>25</v>
      </c>
      <c r="S45" s="33">
        <v>1</v>
      </c>
      <c r="T45" s="33">
        <v>1</v>
      </c>
      <c r="U45" s="33">
        <v>0</v>
      </c>
      <c r="V45" s="33">
        <v>0</v>
      </c>
      <c r="W45" s="33" t="s">
        <v>50</v>
      </c>
      <c r="X45" s="33">
        <v>2</v>
      </c>
      <c r="Y45" s="30" t="s">
        <v>67</v>
      </c>
      <c r="Z45" s="30" t="s">
        <v>186</v>
      </c>
      <c r="AA45" s="30" t="s">
        <v>186</v>
      </c>
      <c r="AB45" s="30"/>
      <c r="AC45" s="30"/>
      <c r="AD45" s="30" t="s">
        <v>50</v>
      </c>
      <c r="AE45" s="30" t="s">
        <v>50</v>
      </c>
      <c r="AF45" s="30" t="s">
        <v>50</v>
      </c>
      <c r="AG45" s="30" t="s">
        <v>50</v>
      </c>
      <c r="AH45" s="30" t="s">
        <v>50</v>
      </c>
      <c r="AI45" s="30" t="s">
        <v>1673</v>
      </c>
      <c r="AJ45" s="30" t="s">
        <v>50</v>
      </c>
      <c r="AK45" s="30" t="s">
        <v>50</v>
      </c>
      <c r="AL45" s="30" t="s">
        <v>50</v>
      </c>
      <c r="AM45" s="30" t="s">
        <v>50</v>
      </c>
      <c r="AN45" s="30" t="s">
        <v>50</v>
      </c>
      <c r="AO45" s="30" t="s">
        <v>50</v>
      </c>
      <c r="AP45" s="30" t="s">
        <v>50</v>
      </c>
      <c r="AQ45" s="30" t="s">
        <v>50</v>
      </c>
      <c r="AR45" s="30" t="s">
        <v>50</v>
      </c>
      <c r="AS45" s="30" t="s">
        <v>50</v>
      </c>
      <c r="AT45" s="30" t="s">
        <v>1792</v>
      </c>
      <c r="AU45" s="30" t="s">
        <v>50</v>
      </c>
      <c r="AV45" s="34">
        <v>168764177472</v>
      </c>
    </row>
    <row r="46" spans="2:48" ht="15" customHeight="1">
      <c r="B46" s="28">
        <v>40</v>
      </c>
      <c r="C46" s="29" t="s">
        <v>1828</v>
      </c>
      <c r="D46" s="30" t="s">
        <v>50</v>
      </c>
      <c r="E46" s="31" t="s">
        <v>1829</v>
      </c>
      <c r="F46" s="31" t="s">
        <v>50</v>
      </c>
      <c r="G46" s="32" t="s">
        <v>1830</v>
      </c>
      <c r="H46" s="30" t="s">
        <v>95</v>
      </c>
      <c r="I46" s="30" t="s">
        <v>1003</v>
      </c>
      <c r="J46" s="32" t="s">
        <v>1004</v>
      </c>
      <c r="K46" s="30" t="s">
        <v>835</v>
      </c>
      <c r="L46" s="32" t="s">
        <v>836</v>
      </c>
      <c r="M46" s="30" t="s">
        <v>1697</v>
      </c>
      <c r="N46" s="30" t="s">
        <v>1672</v>
      </c>
      <c r="O46" s="33"/>
      <c r="P46" s="33">
        <v>0</v>
      </c>
      <c r="Q46" s="33">
        <v>0</v>
      </c>
      <c r="R46" s="33" t="s">
        <v>158</v>
      </c>
      <c r="S46" s="33">
        <v>0</v>
      </c>
      <c r="T46" s="33" t="s">
        <v>158</v>
      </c>
      <c r="U46" s="33" t="s">
        <v>158</v>
      </c>
      <c r="V46" s="33" t="s">
        <v>158</v>
      </c>
      <c r="W46" s="33" t="s">
        <v>50</v>
      </c>
      <c r="X46" s="33">
        <v>1</v>
      </c>
      <c r="Y46" s="30" t="s">
        <v>75</v>
      </c>
      <c r="Z46" s="30" t="s">
        <v>192</v>
      </c>
      <c r="AA46" s="30" t="s">
        <v>192</v>
      </c>
      <c r="AB46" s="30"/>
      <c r="AC46" s="30"/>
      <c r="AD46" s="30" t="s">
        <v>50</v>
      </c>
      <c r="AE46" s="30" t="s">
        <v>50</v>
      </c>
      <c r="AF46" s="30" t="s">
        <v>50</v>
      </c>
      <c r="AG46" s="30" t="s">
        <v>50</v>
      </c>
      <c r="AH46" s="30" t="s">
        <v>50</v>
      </c>
      <c r="AI46" s="30" t="s">
        <v>1673</v>
      </c>
      <c r="AJ46" s="30" t="s">
        <v>187</v>
      </c>
      <c r="AK46" s="30" t="s">
        <v>50</v>
      </c>
      <c r="AL46" s="30" t="s">
        <v>50</v>
      </c>
      <c r="AM46" s="30" t="s">
        <v>50</v>
      </c>
      <c r="AN46" s="30" t="s">
        <v>1681</v>
      </c>
      <c r="AO46" s="30" t="s">
        <v>50</v>
      </c>
      <c r="AP46" s="30" t="s">
        <v>50</v>
      </c>
      <c r="AQ46" s="30" t="s">
        <v>50</v>
      </c>
      <c r="AR46" s="30" t="s">
        <v>50</v>
      </c>
      <c r="AS46" s="30" t="s">
        <v>50</v>
      </c>
      <c r="AT46" s="30" t="s">
        <v>1682</v>
      </c>
      <c r="AU46" s="30" t="s">
        <v>50</v>
      </c>
      <c r="AV46" s="34">
        <v>168792392706</v>
      </c>
    </row>
    <row r="47" spans="2:48" ht="15" customHeight="1">
      <c r="B47" s="28">
        <v>41</v>
      </c>
      <c r="C47" s="29" t="s">
        <v>1831</v>
      </c>
      <c r="D47" s="30" t="s">
        <v>50</v>
      </c>
      <c r="E47" s="31" t="s">
        <v>1832</v>
      </c>
      <c r="F47" s="31" t="s">
        <v>50</v>
      </c>
      <c r="G47" s="32" t="s">
        <v>1833</v>
      </c>
      <c r="H47" s="30" t="s">
        <v>65</v>
      </c>
      <c r="I47" s="30" t="s">
        <v>1183</v>
      </c>
      <c r="J47" s="32" t="s">
        <v>1834</v>
      </c>
      <c r="K47" s="30" t="s">
        <v>744</v>
      </c>
      <c r="L47" s="32" t="s">
        <v>1835</v>
      </c>
      <c r="M47" s="30" t="s">
        <v>1671</v>
      </c>
      <c r="N47" s="30" t="s">
        <v>1672</v>
      </c>
      <c r="O47" s="33"/>
      <c r="P47" s="33">
        <v>580</v>
      </c>
      <c r="Q47" s="33">
        <v>0</v>
      </c>
      <c r="R47" s="33">
        <v>0</v>
      </c>
      <c r="S47" s="33">
        <v>0</v>
      </c>
      <c r="T47" s="33">
        <v>0</v>
      </c>
      <c r="U47" s="33">
        <v>0</v>
      </c>
      <c r="V47" s="33">
        <v>0</v>
      </c>
      <c r="W47" s="33" t="s">
        <v>50</v>
      </c>
      <c r="X47" s="33">
        <v>1</v>
      </c>
      <c r="Y47" s="30" t="s">
        <v>67</v>
      </c>
      <c r="Z47" s="30" t="s">
        <v>186</v>
      </c>
      <c r="AA47" s="30" t="s">
        <v>192</v>
      </c>
      <c r="AB47" s="30" t="s">
        <v>1316</v>
      </c>
      <c r="AC47" s="30"/>
      <c r="AD47" s="30" t="s">
        <v>50</v>
      </c>
      <c r="AE47" s="30" t="s">
        <v>50</v>
      </c>
      <c r="AF47" s="30" t="s">
        <v>50</v>
      </c>
      <c r="AG47" s="30" t="s">
        <v>50</v>
      </c>
      <c r="AH47" s="30" t="s">
        <v>50</v>
      </c>
      <c r="AI47" s="30" t="s">
        <v>1673</v>
      </c>
      <c r="AJ47" s="30" t="s">
        <v>50</v>
      </c>
      <c r="AK47" s="30" t="s">
        <v>50</v>
      </c>
      <c r="AL47" s="30" t="s">
        <v>50</v>
      </c>
      <c r="AM47" s="30" t="s">
        <v>50</v>
      </c>
      <c r="AN47" s="30" t="s">
        <v>50</v>
      </c>
      <c r="AO47" s="30" t="s">
        <v>50</v>
      </c>
      <c r="AP47" s="30" t="s">
        <v>50</v>
      </c>
      <c r="AQ47" s="30" t="s">
        <v>50</v>
      </c>
      <c r="AR47" s="30" t="s">
        <v>50</v>
      </c>
      <c r="AS47" s="30" t="s">
        <v>50</v>
      </c>
      <c r="AT47" s="30" t="s">
        <v>1682</v>
      </c>
      <c r="AU47" s="30" t="s">
        <v>50</v>
      </c>
      <c r="AV47" s="34">
        <v>168751173221</v>
      </c>
    </row>
    <row r="48" spans="2:48" ht="15" customHeight="1">
      <c r="B48" s="28">
        <v>42</v>
      </c>
      <c r="C48" s="29" t="s">
        <v>1836</v>
      </c>
      <c r="D48" s="30" t="s">
        <v>318</v>
      </c>
      <c r="E48" s="31" t="s">
        <v>1837</v>
      </c>
      <c r="F48" s="31" t="s">
        <v>50</v>
      </c>
      <c r="G48" s="32" t="s">
        <v>1838</v>
      </c>
      <c r="H48" s="30" t="s">
        <v>73</v>
      </c>
      <c r="I48" s="30" t="s">
        <v>1230</v>
      </c>
      <c r="J48" s="32" t="s">
        <v>1231</v>
      </c>
      <c r="K48" s="30" t="s">
        <v>240</v>
      </c>
      <c r="L48" s="32" t="s">
        <v>834</v>
      </c>
      <c r="M48" s="30" t="s">
        <v>1718</v>
      </c>
      <c r="N48" s="30" t="s">
        <v>1672</v>
      </c>
      <c r="O48" s="33"/>
      <c r="P48" s="33">
        <v>0</v>
      </c>
      <c r="Q48" s="33">
        <v>0</v>
      </c>
      <c r="R48" s="33" t="s">
        <v>158</v>
      </c>
      <c r="S48" s="33">
        <v>0</v>
      </c>
      <c r="T48" s="33" t="s">
        <v>158</v>
      </c>
      <c r="U48" s="33" t="s">
        <v>158</v>
      </c>
      <c r="V48" s="33" t="s">
        <v>158</v>
      </c>
      <c r="W48" s="33" t="s">
        <v>50</v>
      </c>
      <c r="X48" s="33">
        <v>1</v>
      </c>
      <c r="Y48" s="30" t="s">
        <v>75</v>
      </c>
      <c r="Z48" s="30" t="s">
        <v>192</v>
      </c>
      <c r="AA48" s="30" t="s">
        <v>192</v>
      </c>
      <c r="AB48" s="30" t="s">
        <v>1316</v>
      </c>
      <c r="AC48" s="30"/>
      <c r="AD48" s="30" t="s">
        <v>50</v>
      </c>
      <c r="AE48" s="30" t="s">
        <v>50</v>
      </c>
      <c r="AF48" s="30" t="s">
        <v>50</v>
      </c>
      <c r="AG48" s="30" t="s">
        <v>50</v>
      </c>
      <c r="AH48" s="30" t="s">
        <v>50</v>
      </c>
      <c r="AI48" s="30" t="s">
        <v>1673</v>
      </c>
      <c r="AJ48" s="30" t="s">
        <v>50</v>
      </c>
      <c r="AK48" s="30" t="s">
        <v>50</v>
      </c>
      <c r="AL48" s="30" t="s">
        <v>50</v>
      </c>
      <c r="AM48" s="30" t="s">
        <v>50</v>
      </c>
      <c r="AN48" s="30" t="s">
        <v>1681</v>
      </c>
      <c r="AO48" s="30" t="s">
        <v>50</v>
      </c>
      <c r="AP48" s="30" t="s">
        <v>50</v>
      </c>
      <c r="AQ48" s="30" t="s">
        <v>50</v>
      </c>
      <c r="AR48" s="30" t="s">
        <v>50</v>
      </c>
      <c r="AS48" s="30" t="s">
        <v>50</v>
      </c>
      <c r="AT48" s="30" t="s">
        <v>1682</v>
      </c>
      <c r="AU48" s="30" t="s">
        <v>50</v>
      </c>
      <c r="AV48" s="34">
        <v>168734317793</v>
      </c>
    </row>
    <row r="49" spans="2:48" ht="15" customHeight="1">
      <c r="B49" s="28">
        <v>43</v>
      </c>
      <c r="C49" s="29" t="s">
        <v>1839</v>
      </c>
      <c r="D49" s="30" t="s">
        <v>50</v>
      </c>
      <c r="E49" s="31" t="s">
        <v>1840</v>
      </c>
      <c r="F49" s="31" t="s">
        <v>1841</v>
      </c>
      <c r="G49" s="32" t="s">
        <v>1842</v>
      </c>
      <c r="H49" s="30" t="s">
        <v>81</v>
      </c>
      <c r="I49" s="30" t="s">
        <v>1843</v>
      </c>
      <c r="J49" s="32" t="s">
        <v>565</v>
      </c>
      <c r="K49" s="30" t="s">
        <v>1843</v>
      </c>
      <c r="L49" s="32" t="s">
        <v>565</v>
      </c>
      <c r="M49" s="30" t="s">
        <v>1671</v>
      </c>
      <c r="N49" s="30" t="s">
        <v>1672</v>
      </c>
      <c r="O49" s="33"/>
      <c r="P49" s="33">
        <v>379</v>
      </c>
      <c r="Q49" s="33">
        <v>379</v>
      </c>
      <c r="R49" s="33">
        <v>0</v>
      </c>
      <c r="S49" s="33">
        <v>4</v>
      </c>
      <c r="T49" s="33">
        <v>4</v>
      </c>
      <c r="U49" s="33">
        <v>0</v>
      </c>
      <c r="V49" s="33">
        <v>0</v>
      </c>
      <c r="W49" s="33" t="s">
        <v>50</v>
      </c>
      <c r="X49" s="33">
        <v>1</v>
      </c>
      <c r="Y49" s="30" t="s">
        <v>64</v>
      </c>
      <c r="Z49" s="30" t="s">
        <v>222</v>
      </c>
      <c r="AA49" s="30" t="s">
        <v>222</v>
      </c>
      <c r="AB49" s="30" t="s">
        <v>1316</v>
      </c>
      <c r="AC49" s="30"/>
      <c r="AD49" s="30" t="s">
        <v>50</v>
      </c>
      <c r="AE49" s="30" t="s">
        <v>50</v>
      </c>
      <c r="AF49" s="30" t="s">
        <v>50</v>
      </c>
      <c r="AG49" s="30" t="s">
        <v>50</v>
      </c>
      <c r="AH49" s="30" t="s">
        <v>50</v>
      </c>
      <c r="AI49" s="30" t="s">
        <v>1673</v>
      </c>
      <c r="AJ49" s="30" t="s">
        <v>50</v>
      </c>
      <c r="AK49" s="30" t="s">
        <v>50</v>
      </c>
      <c r="AL49" s="30" t="s">
        <v>50</v>
      </c>
      <c r="AM49" s="30" t="s">
        <v>50</v>
      </c>
      <c r="AN49" s="30" t="s">
        <v>50</v>
      </c>
      <c r="AO49" s="30" t="s">
        <v>50</v>
      </c>
      <c r="AP49" s="30" t="s">
        <v>50</v>
      </c>
      <c r="AQ49" s="30" t="s">
        <v>50</v>
      </c>
      <c r="AR49" s="30" t="s">
        <v>50</v>
      </c>
      <c r="AS49" s="30" t="s">
        <v>50</v>
      </c>
      <c r="AT49" s="30" t="s">
        <v>1682</v>
      </c>
      <c r="AU49" s="30" t="s">
        <v>50</v>
      </c>
      <c r="AV49" s="34">
        <v>168743928657</v>
      </c>
    </row>
    <row r="50" spans="2:48" ht="15" customHeight="1">
      <c r="B50" s="28">
        <v>44</v>
      </c>
      <c r="C50" s="29" t="s">
        <v>1844</v>
      </c>
      <c r="D50" s="30" t="s">
        <v>50</v>
      </c>
      <c r="E50" s="31" t="s">
        <v>1845</v>
      </c>
      <c r="F50" s="31" t="s">
        <v>50</v>
      </c>
      <c r="G50" s="32" t="s">
        <v>1846</v>
      </c>
      <c r="H50" s="30" t="s">
        <v>68</v>
      </c>
      <c r="I50" s="30" t="s">
        <v>1078</v>
      </c>
      <c r="J50" s="32" t="s">
        <v>1079</v>
      </c>
      <c r="K50" s="30" t="s">
        <v>204</v>
      </c>
      <c r="L50" s="32" t="s">
        <v>205</v>
      </c>
      <c r="M50" s="30" t="s">
        <v>1697</v>
      </c>
      <c r="N50" s="30" t="s">
        <v>1679</v>
      </c>
      <c r="O50" s="33"/>
      <c r="P50" s="33">
        <v>754823</v>
      </c>
      <c r="Q50" s="33">
        <v>2</v>
      </c>
      <c r="R50" s="33">
        <v>0</v>
      </c>
      <c r="S50" s="33">
        <v>0</v>
      </c>
      <c r="T50" s="33">
        <v>0</v>
      </c>
      <c r="U50" s="33">
        <v>0</v>
      </c>
      <c r="V50" s="33">
        <v>0</v>
      </c>
      <c r="W50" s="33" t="s">
        <v>50</v>
      </c>
      <c r="X50" s="33">
        <v>1</v>
      </c>
      <c r="Y50" s="30" t="s">
        <v>70</v>
      </c>
      <c r="Z50" s="30" t="s">
        <v>192</v>
      </c>
      <c r="AA50" s="30" t="s">
        <v>192</v>
      </c>
      <c r="AB50" s="30"/>
      <c r="AC50" s="30"/>
      <c r="AD50" s="30" t="s">
        <v>50</v>
      </c>
      <c r="AE50" s="30" t="s">
        <v>50</v>
      </c>
      <c r="AF50" s="30" t="s">
        <v>50</v>
      </c>
      <c r="AG50" s="30" t="s">
        <v>50</v>
      </c>
      <c r="AH50" s="30" t="s">
        <v>50</v>
      </c>
      <c r="AI50" s="30" t="s">
        <v>1673</v>
      </c>
      <c r="AJ50" s="30" t="s">
        <v>50</v>
      </c>
      <c r="AK50" s="30" t="s">
        <v>50</v>
      </c>
      <c r="AL50" s="30" t="s">
        <v>50</v>
      </c>
      <c r="AM50" s="30" t="s">
        <v>50</v>
      </c>
      <c r="AN50" s="30" t="s">
        <v>1681</v>
      </c>
      <c r="AO50" s="30" t="s">
        <v>50</v>
      </c>
      <c r="AP50" s="30" t="s">
        <v>50</v>
      </c>
      <c r="AQ50" s="30" t="s">
        <v>50</v>
      </c>
      <c r="AR50" s="30" t="s">
        <v>50</v>
      </c>
      <c r="AS50" s="30" t="s">
        <v>50</v>
      </c>
      <c r="AT50" s="30" t="s">
        <v>299</v>
      </c>
      <c r="AU50" s="30" t="s">
        <v>50</v>
      </c>
      <c r="AV50" s="34">
        <v>168709926654</v>
      </c>
    </row>
    <row r="51" spans="2:48" ht="15" customHeight="1">
      <c r="B51" s="28">
        <v>45</v>
      </c>
      <c r="C51" s="29" t="s">
        <v>1847</v>
      </c>
      <c r="D51" s="30" t="s">
        <v>1848</v>
      </c>
      <c r="E51" s="31" t="s">
        <v>1849</v>
      </c>
      <c r="F51" s="31" t="s">
        <v>50</v>
      </c>
      <c r="G51" s="32" t="s">
        <v>1850</v>
      </c>
      <c r="H51" s="30" t="s">
        <v>93</v>
      </c>
      <c r="I51" s="30" t="s">
        <v>1134</v>
      </c>
      <c r="J51" s="32" t="s">
        <v>1135</v>
      </c>
      <c r="K51" s="30" t="s">
        <v>229</v>
      </c>
      <c r="L51" s="32" t="s">
        <v>230</v>
      </c>
      <c r="M51" s="30" t="s">
        <v>1671</v>
      </c>
      <c r="N51" s="30" t="s">
        <v>1672</v>
      </c>
      <c r="O51" s="33"/>
      <c r="P51" s="33">
        <v>116186</v>
      </c>
      <c r="Q51" s="33">
        <v>23</v>
      </c>
      <c r="R51" s="33" t="s">
        <v>158</v>
      </c>
      <c r="S51" s="33">
        <v>0</v>
      </c>
      <c r="T51" s="33" t="s">
        <v>158</v>
      </c>
      <c r="U51" s="33" t="s">
        <v>158</v>
      </c>
      <c r="V51" s="33" t="s">
        <v>158</v>
      </c>
      <c r="W51" s="33" t="s">
        <v>50</v>
      </c>
      <c r="X51" s="33">
        <v>1</v>
      </c>
      <c r="Y51" s="30" t="s">
        <v>75</v>
      </c>
      <c r="Z51" s="30" t="s">
        <v>186</v>
      </c>
      <c r="AA51" s="30" t="s">
        <v>222</v>
      </c>
      <c r="AB51" s="30"/>
      <c r="AC51" s="30">
        <v>34</v>
      </c>
      <c r="AD51" s="30" t="s">
        <v>50</v>
      </c>
      <c r="AE51" s="30" t="s">
        <v>50</v>
      </c>
      <c r="AF51" s="30" t="s">
        <v>50</v>
      </c>
      <c r="AG51" s="30" t="s">
        <v>50</v>
      </c>
      <c r="AH51" s="30" t="s">
        <v>50</v>
      </c>
      <c r="AI51" s="30" t="s">
        <v>1673</v>
      </c>
      <c r="AJ51" s="30" t="s">
        <v>187</v>
      </c>
      <c r="AK51" s="30" t="s">
        <v>50</v>
      </c>
      <c r="AL51" s="30" t="s">
        <v>50</v>
      </c>
      <c r="AM51" s="30" t="s">
        <v>50</v>
      </c>
      <c r="AN51" s="30" t="s">
        <v>1681</v>
      </c>
      <c r="AO51" s="30" t="s">
        <v>50</v>
      </c>
      <c r="AP51" s="30" t="s">
        <v>50</v>
      </c>
      <c r="AQ51" s="30" t="s">
        <v>50</v>
      </c>
      <c r="AR51" s="30" t="s">
        <v>50</v>
      </c>
      <c r="AS51" s="30" t="s">
        <v>50</v>
      </c>
      <c r="AT51" s="30" t="s">
        <v>1682</v>
      </c>
      <c r="AU51" s="30" t="s">
        <v>50</v>
      </c>
      <c r="AV51" s="34">
        <v>168705661207</v>
      </c>
    </row>
    <row r="52" spans="2:48" ht="15" customHeight="1">
      <c r="B52" s="28">
        <v>46</v>
      </c>
      <c r="C52" s="29" t="s">
        <v>1851</v>
      </c>
      <c r="D52" s="30" t="s">
        <v>50</v>
      </c>
      <c r="E52" s="31" t="s">
        <v>1852</v>
      </c>
      <c r="F52" s="31" t="s">
        <v>50</v>
      </c>
      <c r="G52" s="32" t="s">
        <v>1853</v>
      </c>
      <c r="H52" s="30" t="s">
        <v>62</v>
      </c>
      <c r="I52" s="30" t="s">
        <v>308</v>
      </c>
      <c r="J52" s="32" t="s">
        <v>309</v>
      </c>
      <c r="K52" s="30" t="s">
        <v>308</v>
      </c>
      <c r="L52" s="32" t="s">
        <v>309</v>
      </c>
      <c r="M52" s="30" t="s">
        <v>1671</v>
      </c>
      <c r="N52" s="30" t="s">
        <v>1672</v>
      </c>
      <c r="O52" s="33"/>
      <c r="P52" s="33">
        <v>7</v>
      </c>
      <c r="Q52" s="33">
        <v>7</v>
      </c>
      <c r="R52" s="33">
        <v>0</v>
      </c>
      <c r="S52" s="33">
        <v>0</v>
      </c>
      <c r="T52" s="33">
        <v>0</v>
      </c>
      <c r="U52" s="33">
        <v>0</v>
      </c>
      <c r="V52" s="33">
        <v>0</v>
      </c>
      <c r="W52" s="33" t="s">
        <v>50</v>
      </c>
      <c r="X52" s="33">
        <v>1</v>
      </c>
      <c r="Y52" s="30" t="s">
        <v>64</v>
      </c>
      <c r="Z52" s="30" t="s">
        <v>186</v>
      </c>
      <c r="AA52" s="30" t="s">
        <v>186</v>
      </c>
      <c r="AB52" s="30"/>
      <c r="AC52" s="30"/>
      <c r="AD52" s="30" t="s">
        <v>50</v>
      </c>
      <c r="AE52" s="30" t="s">
        <v>50</v>
      </c>
      <c r="AF52" s="30" t="s">
        <v>50</v>
      </c>
      <c r="AG52" s="30" t="s">
        <v>50</v>
      </c>
      <c r="AH52" s="30" t="s">
        <v>50</v>
      </c>
      <c r="AI52" s="30" t="s">
        <v>1673</v>
      </c>
      <c r="AJ52" s="30" t="s">
        <v>187</v>
      </c>
      <c r="AK52" s="30" t="s">
        <v>201</v>
      </c>
      <c r="AL52" s="30" t="s">
        <v>201</v>
      </c>
      <c r="AM52" s="30" t="s">
        <v>50</v>
      </c>
      <c r="AN52" s="30" t="s">
        <v>50</v>
      </c>
      <c r="AO52" s="30" t="s">
        <v>50</v>
      </c>
      <c r="AP52" s="30" t="s">
        <v>50</v>
      </c>
      <c r="AQ52" s="30" t="s">
        <v>50</v>
      </c>
      <c r="AR52" s="30" t="s">
        <v>50</v>
      </c>
      <c r="AS52" s="30" t="s">
        <v>50</v>
      </c>
      <c r="AT52" s="30" t="s">
        <v>1682</v>
      </c>
      <c r="AU52" s="30" t="s">
        <v>50</v>
      </c>
      <c r="AV52" s="34">
        <v>168703269210</v>
      </c>
    </row>
    <row r="53" spans="2:48" ht="15" customHeight="1">
      <c r="B53" s="28">
        <v>47</v>
      </c>
      <c r="C53" s="29" t="s">
        <v>1854</v>
      </c>
      <c r="D53" s="30" t="s">
        <v>1855</v>
      </c>
      <c r="E53" s="31" t="s">
        <v>1856</v>
      </c>
      <c r="F53" s="31" t="s">
        <v>1857</v>
      </c>
      <c r="G53" s="32" t="s">
        <v>1858</v>
      </c>
      <c r="H53" s="30" t="s">
        <v>110</v>
      </c>
      <c r="I53" s="30" t="s">
        <v>1189</v>
      </c>
      <c r="J53" s="32" t="s">
        <v>1190</v>
      </c>
      <c r="K53" s="30" t="s">
        <v>566</v>
      </c>
      <c r="L53" s="32" t="s">
        <v>567</v>
      </c>
      <c r="M53" s="30" t="s">
        <v>1678</v>
      </c>
      <c r="N53" s="30" t="s">
        <v>1791</v>
      </c>
      <c r="O53" s="33"/>
      <c r="P53" s="33">
        <v>0</v>
      </c>
      <c r="Q53" s="33">
        <v>0</v>
      </c>
      <c r="R53" s="33">
        <v>0</v>
      </c>
      <c r="S53" s="33">
        <v>0</v>
      </c>
      <c r="T53" s="33">
        <v>0</v>
      </c>
      <c r="U53" s="33">
        <v>0</v>
      </c>
      <c r="V53" s="33">
        <v>0</v>
      </c>
      <c r="W53" s="33" t="s">
        <v>1859</v>
      </c>
      <c r="X53" s="33">
        <v>1</v>
      </c>
      <c r="Y53" s="30" t="s">
        <v>56</v>
      </c>
      <c r="Z53" s="30" t="s">
        <v>192</v>
      </c>
      <c r="AA53" s="30" t="s">
        <v>192</v>
      </c>
      <c r="AB53" s="30"/>
      <c r="AC53" s="30"/>
      <c r="AD53" s="30" t="s">
        <v>50</v>
      </c>
      <c r="AE53" s="30" t="s">
        <v>50</v>
      </c>
      <c r="AF53" s="30" t="s">
        <v>50</v>
      </c>
      <c r="AG53" s="30" t="s">
        <v>50</v>
      </c>
      <c r="AH53" s="30" t="s">
        <v>50</v>
      </c>
      <c r="AI53" s="30" t="s">
        <v>1673</v>
      </c>
      <c r="AJ53" s="30" t="s">
        <v>187</v>
      </c>
      <c r="AK53" s="30" t="s">
        <v>50</v>
      </c>
      <c r="AL53" s="30" t="s">
        <v>50</v>
      </c>
      <c r="AM53" s="30" t="s">
        <v>50</v>
      </c>
      <c r="AN53" s="30" t="s">
        <v>1681</v>
      </c>
      <c r="AO53" s="30" t="s">
        <v>50</v>
      </c>
      <c r="AP53" s="30" t="s">
        <v>50</v>
      </c>
      <c r="AQ53" s="30" t="s">
        <v>50</v>
      </c>
      <c r="AR53" s="30" t="s">
        <v>50</v>
      </c>
      <c r="AS53" s="30" t="s">
        <v>50</v>
      </c>
      <c r="AT53" s="30" t="s">
        <v>1682</v>
      </c>
      <c r="AU53" s="30" t="s">
        <v>50</v>
      </c>
      <c r="AV53" s="34">
        <v>168743164653</v>
      </c>
    </row>
    <row r="54" spans="2:48" ht="15" customHeight="1">
      <c r="B54" s="28">
        <v>48</v>
      </c>
      <c r="C54" s="29" t="s">
        <v>1860</v>
      </c>
      <c r="D54" s="30" t="s">
        <v>50</v>
      </c>
      <c r="E54" s="31" t="s">
        <v>1861</v>
      </c>
      <c r="F54" s="31" t="s">
        <v>50</v>
      </c>
      <c r="G54" s="32" t="s">
        <v>1862</v>
      </c>
      <c r="H54" s="30" t="s">
        <v>68</v>
      </c>
      <c r="I54" s="30" t="s">
        <v>860</v>
      </c>
      <c r="J54" s="32" t="s">
        <v>861</v>
      </c>
      <c r="K54" s="30" t="s">
        <v>204</v>
      </c>
      <c r="L54" s="32" t="s">
        <v>205</v>
      </c>
      <c r="M54" s="30" t="s">
        <v>1697</v>
      </c>
      <c r="N54" s="30" t="s">
        <v>1672</v>
      </c>
      <c r="O54" s="33"/>
      <c r="P54" s="33">
        <v>753351</v>
      </c>
      <c r="Q54" s="33">
        <v>0</v>
      </c>
      <c r="R54" s="33">
        <v>0</v>
      </c>
      <c r="S54" s="33">
        <v>0</v>
      </c>
      <c r="T54" s="33">
        <v>0</v>
      </c>
      <c r="U54" s="33">
        <v>0</v>
      </c>
      <c r="V54" s="33">
        <v>0</v>
      </c>
      <c r="W54" s="33" t="s">
        <v>50</v>
      </c>
      <c r="X54" s="33">
        <v>1</v>
      </c>
      <c r="Y54" s="30" t="s">
        <v>70</v>
      </c>
      <c r="Z54" s="30" t="s">
        <v>192</v>
      </c>
      <c r="AA54" s="30" t="s">
        <v>192</v>
      </c>
      <c r="AB54" s="30" t="s">
        <v>1316</v>
      </c>
      <c r="AC54" s="30"/>
      <c r="AD54" s="30" t="s">
        <v>50</v>
      </c>
      <c r="AE54" s="30" t="s">
        <v>50</v>
      </c>
      <c r="AF54" s="30" t="s">
        <v>50</v>
      </c>
      <c r="AG54" s="30" t="s">
        <v>50</v>
      </c>
      <c r="AH54" s="30" t="s">
        <v>50</v>
      </c>
      <c r="AI54" s="30" t="s">
        <v>1673</v>
      </c>
      <c r="AJ54" s="30" t="s">
        <v>50</v>
      </c>
      <c r="AK54" s="30" t="s">
        <v>50</v>
      </c>
      <c r="AL54" s="30" t="s">
        <v>50</v>
      </c>
      <c r="AM54" s="30" t="s">
        <v>50</v>
      </c>
      <c r="AN54" s="30" t="s">
        <v>1681</v>
      </c>
      <c r="AO54" s="30" t="s">
        <v>50</v>
      </c>
      <c r="AP54" s="30" t="s">
        <v>50</v>
      </c>
      <c r="AQ54" s="30" t="s">
        <v>50</v>
      </c>
      <c r="AR54" s="30" t="s">
        <v>50</v>
      </c>
      <c r="AS54" s="30" t="s">
        <v>50</v>
      </c>
      <c r="AT54" s="30" t="s">
        <v>299</v>
      </c>
      <c r="AU54" s="30" t="s">
        <v>50</v>
      </c>
      <c r="AV54" s="34">
        <v>168697127418</v>
      </c>
    </row>
    <row r="55" spans="2:48" ht="15" customHeight="1">
      <c r="B55" s="28">
        <v>49</v>
      </c>
      <c r="C55" s="29" t="s">
        <v>1863</v>
      </c>
      <c r="D55" s="30" t="s">
        <v>1864</v>
      </c>
      <c r="E55" s="31" t="s">
        <v>1865</v>
      </c>
      <c r="F55" s="31" t="s">
        <v>50</v>
      </c>
      <c r="G55" s="32" t="s">
        <v>1866</v>
      </c>
      <c r="H55" s="30" t="s">
        <v>99</v>
      </c>
      <c r="I55" s="30" t="s">
        <v>1285</v>
      </c>
      <c r="J55" s="32" t="s">
        <v>1286</v>
      </c>
      <c r="K55" s="30" t="s">
        <v>704</v>
      </c>
      <c r="L55" s="32" t="s">
        <v>705</v>
      </c>
      <c r="M55" s="30" t="s">
        <v>1678</v>
      </c>
      <c r="N55" s="30" t="s">
        <v>1791</v>
      </c>
      <c r="O55" s="33"/>
      <c r="P55" s="33">
        <v>0</v>
      </c>
      <c r="Q55" s="33">
        <v>0</v>
      </c>
      <c r="R55" s="33">
        <v>0</v>
      </c>
      <c r="S55" s="33">
        <v>1</v>
      </c>
      <c r="T55" s="33">
        <v>1</v>
      </c>
      <c r="U55" s="33">
        <v>0</v>
      </c>
      <c r="V55" s="33">
        <v>0</v>
      </c>
      <c r="W55" s="33" t="s">
        <v>1867</v>
      </c>
      <c r="X55" s="33">
        <v>1</v>
      </c>
      <c r="Y55" s="30" t="s">
        <v>56</v>
      </c>
      <c r="Z55" s="30" t="s">
        <v>192</v>
      </c>
      <c r="AA55" s="30" t="s">
        <v>192</v>
      </c>
      <c r="AB55" s="30"/>
      <c r="AC55" s="30"/>
      <c r="AD55" s="30" t="s">
        <v>50</v>
      </c>
      <c r="AE55" s="30" t="s">
        <v>50</v>
      </c>
      <c r="AF55" s="30" t="s">
        <v>50</v>
      </c>
      <c r="AG55" s="30" t="s">
        <v>50</v>
      </c>
      <c r="AH55" s="30" t="s">
        <v>50</v>
      </c>
      <c r="AI55" s="30" t="s">
        <v>1673</v>
      </c>
      <c r="AJ55" s="30" t="s">
        <v>991</v>
      </c>
      <c r="AK55" s="30" t="s">
        <v>50</v>
      </c>
      <c r="AL55" s="30" t="s">
        <v>50</v>
      </c>
      <c r="AM55" s="30" t="s">
        <v>50</v>
      </c>
      <c r="AN55" s="30" t="s">
        <v>1681</v>
      </c>
      <c r="AO55" s="30" t="s">
        <v>50</v>
      </c>
      <c r="AP55" s="30" t="s">
        <v>50</v>
      </c>
      <c r="AQ55" s="30" t="s">
        <v>50</v>
      </c>
      <c r="AR55" s="30" t="s">
        <v>50</v>
      </c>
      <c r="AS55" s="30" t="s">
        <v>50</v>
      </c>
      <c r="AT55" s="30" t="s">
        <v>1682</v>
      </c>
      <c r="AU55" s="30" t="s">
        <v>148</v>
      </c>
      <c r="AV55" s="34">
        <v>168676489880</v>
      </c>
    </row>
    <row r="56" spans="2:48" ht="15" customHeight="1">
      <c r="B56" s="28">
        <v>50</v>
      </c>
      <c r="C56" s="29" t="s">
        <v>1868</v>
      </c>
      <c r="D56" s="30" t="s">
        <v>1869</v>
      </c>
      <c r="E56" s="31" t="s">
        <v>1870</v>
      </c>
      <c r="F56" s="31" t="s">
        <v>50</v>
      </c>
      <c r="G56" s="32" t="s">
        <v>1871</v>
      </c>
      <c r="H56" s="30" t="s">
        <v>134</v>
      </c>
      <c r="I56" s="30" t="s">
        <v>1256</v>
      </c>
      <c r="J56" s="32" t="s">
        <v>1257</v>
      </c>
      <c r="K56" s="30" t="s">
        <v>791</v>
      </c>
      <c r="L56" s="32" t="s">
        <v>792</v>
      </c>
      <c r="M56" s="30" t="s">
        <v>1678</v>
      </c>
      <c r="N56" s="30" t="s">
        <v>1679</v>
      </c>
      <c r="O56" s="33"/>
      <c r="P56" s="33">
        <v>0</v>
      </c>
      <c r="Q56" s="33">
        <v>0</v>
      </c>
      <c r="R56" s="33">
        <v>0</v>
      </c>
      <c r="S56" s="33">
        <v>0</v>
      </c>
      <c r="T56" s="33">
        <v>0</v>
      </c>
      <c r="U56" s="33">
        <v>0</v>
      </c>
      <c r="V56" s="33">
        <v>0</v>
      </c>
      <c r="W56" s="33" t="s">
        <v>1680</v>
      </c>
      <c r="X56" s="33">
        <v>1</v>
      </c>
      <c r="Y56" s="30" t="s">
        <v>56</v>
      </c>
      <c r="Z56" s="30" t="s">
        <v>192</v>
      </c>
      <c r="AA56" s="30" t="s">
        <v>192</v>
      </c>
      <c r="AB56" s="30"/>
      <c r="AC56" s="30"/>
      <c r="AD56" s="30" t="s">
        <v>50</v>
      </c>
      <c r="AE56" s="30" t="s">
        <v>50</v>
      </c>
      <c r="AF56" s="30" t="s">
        <v>50</v>
      </c>
      <c r="AG56" s="30" t="s">
        <v>50</v>
      </c>
      <c r="AH56" s="30" t="s">
        <v>50</v>
      </c>
      <c r="AI56" s="30" t="s">
        <v>1673</v>
      </c>
      <c r="AJ56" s="30" t="s">
        <v>187</v>
      </c>
      <c r="AK56" s="30" t="s">
        <v>50</v>
      </c>
      <c r="AL56" s="30" t="s">
        <v>50</v>
      </c>
      <c r="AM56" s="30" t="s">
        <v>50</v>
      </c>
      <c r="AN56" s="30" t="s">
        <v>1681</v>
      </c>
      <c r="AO56" s="30" t="s">
        <v>50</v>
      </c>
      <c r="AP56" s="30" t="s">
        <v>50</v>
      </c>
      <c r="AQ56" s="30" t="s">
        <v>50</v>
      </c>
      <c r="AR56" s="30" t="s">
        <v>50</v>
      </c>
      <c r="AS56" s="30" t="s">
        <v>50</v>
      </c>
      <c r="AT56" s="30" t="s">
        <v>299</v>
      </c>
      <c r="AU56" s="30" t="s">
        <v>50</v>
      </c>
      <c r="AV56" s="34">
        <v>168674017081</v>
      </c>
    </row>
    <row r="57" spans="2:48" ht="15" customHeight="1">
      <c r="B57" s="28">
        <v>51</v>
      </c>
      <c r="C57" s="29" t="s">
        <v>1872</v>
      </c>
      <c r="D57" s="30" t="s">
        <v>50</v>
      </c>
      <c r="E57" s="31" t="s">
        <v>1873</v>
      </c>
      <c r="F57" s="31" t="s">
        <v>50</v>
      </c>
      <c r="G57" s="32" t="s">
        <v>1874</v>
      </c>
      <c r="H57" s="30" t="s">
        <v>78</v>
      </c>
      <c r="I57" s="30" t="s">
        <v>1222</v>
      </c>
      <c r="J57" s="32" t="s">
        <v>1223</v>
      </c>
      <c r="K57" s="30" t="s">
        <v>202</v>
      </c>
      <c r="L57" s="32" t="s">
        <v>203</v>
      </c>
      <c r="M57" s="30" t="s">
        <v>1697</v>
      </c>
      <c r="N57" s="30" t="s">
        <v>1679</v>
      </c>
      <c r="O57" s="33">
        <v>4</v>
      </c>
      <c r="P57" s="33">
        <v>36500</v>
      </c>
      <c r="Q57" s="33">
        <v>0</v>
      </c>
      <c r="R57" s="33">
        <v>0</v>
      </c>
      <c r="S57" s="33">
        <v>0</v>
      </c>
      <c r="T57" s="33">
        <v>0</v>
      </c>
      <c r="U57" s="33">
        <v>0</v>
      </c>
      <c r="V57" s="33">
        <v>0</v>
      </c>
      <c r="W57" s="33" t="s">
        <v>50</v>
      </c>
      <c r="X57" s="33">
        <v>1</v>
      </c>
      <c r="Y57" s="30" t="s">
        <v>70</v>
      </c>
      <c r="Z57" s="30" t="s">
        <v>192</v>
      </c>
      <c r="AA57" s="30" t="s">
        <v>192</v>
      </c>
      <c r="AB57" s="30" t="s">
        <v>1315</v>
      </c>
      <c r="AC57" s="30"/>
      <c r="AD57" s="30" t="s">
        <v>50</v>
      </c>
      <c r="AE57" s="30" t="s">
        <v>50</v>
      </c>
      <c r="AF57" s="30" t="s">
        <v>50</v>
      </c>
      <c r="AG57" s="30" t="s">
        <v>50</v>
      </c>
      <c r="AH57" s="30" t="s">
        <v>50</v>
      </c>
      <c r="AI57" s="30" t="s">
        <v>1673</v>
      </c>
      <c r="AJ57" s="30" t="s">
        <v>1292</v>
      </c>
      <c r="AK57" s="30" t="s">
        <v>50</v>
      </c>
      <c r="AL57" s="30" t="s">
        <v>50</v>
      </c>
      <c r="AM57" s="30" t="s">
        <v>50</v>
      </c>
      <c r="AN57" s="30" t="s">
        <v>1681</v>
      </c>
      <c r="AO57" s="30" t="s">
        <v>50</v>
      </c>
      <c r="AP57" s="30" t="s">
        <v>50</v>
      </c>
      <c r="AQ57" s="30" t="s">
        <v>50</v>
      </c>
      <c r="AR57" s="30" t="s">
        <v>50</v>
      </c>
      <c r="AS57" s="30" t="s">
        <v>50</v>
      </c>
      <c r="AT57" s="30" t="s">
        <v>1711</v>
      </c>
      <c r="AU57" s="30" t="s">
        <v>50</v>
      </c>
      <c r="AV57" s="34">
        <v>168668550373</v>
      </c>
    </row>
    <row r="58" spans="2:48" ht="15" customHeight="1">
      <c r="B58" s="28">
        <v>52</v>
      </c>
      <c r="C58" s="29" t="s">
        <v>1875</v>
      </c>
      <c r="D58" s="30" t="s">
        <v>1876</v>
      </c>
      <c r="E58" s="31" t="s">
        <v>1877</v>
      </c>
      <c r="F58" s="31" t="s">
        <v>50</v>
      </c>
      <c r="G58" s="32" t="s">
        <v>1878</v>
      </c>
      <c r="H58" s="30" t="s">
        <v>138</v>
      </c>
      <c r="I58" s="30" t="s">
        <v>1161</v>
      </c>
      <c r="J58" s="32" t="s">
        <v>1162</v>
      </c>
      <c r="K58" s="30" t="s">
        <v>731</v>
      </c>
      <c r="L58" s="32" t="s">
        <v>732</v>
      </c>
      <c r="M58" s="30" t="s">
        <v>1678</v>
      </c>
      <c r="N58" s="30" t="s">
        <v>1679</v>
      </c>
      <c r="O58" s="33"/>
      <c r="P58" s="33">
        <v>0</v>
      </c>
      <c r="Q58" s="33">
        <v>0</v>
      </c>
      <c r="R58" s="33">
        <v>0</v>
      </c>
      <c r="S58" s="33">
        <v>0</v>
      </c>
      <c r="T58" s="33">
        <v>0</v>
      </c>
      <c r="U58" s="33">
        <v>0</v>
      </c>
      <c r="V58" s="33">
        <v>0</v>
      </c>
      <c r="W58" s="33" t="s">
        <v>1879</v>
      </c>
      <c r="X58" s="33">
        <v>1</v>
      </c>
      <c r="Y58" s="30" t="s">
        <v>56</v>
      </c>
      <c r="Z58" s="30" t="s">
        <v>192</v>
      </c>
      <c r="AA58" s="30" t="s">
        <v>192</v>
      </c>
      <c r="AB58" s="30"/>
      <c r="AC58" s="30"/>
      <c r="AD58" s="30" t="s">
        <v>50</v>
      </c>
      <c r="AE58" s="30" t="s">
        <v>50</v>
      </c>
      <c r="AF58" s="30" t="s">
        <v>50</v>
      </c>
      <c r="AG58" s="30" t="s">
        <v>50</v>
      </c>
      <c r="AH58" s="30" t="s">
        <v>50</v>
      </c>
      <c r="AI58" s="30" t="s">
        <v>1673</v>
      </c>
      <c r="AJ58" s="30" t="s">
        <v>187</v>
      </c>
      <c r="AK58" s="30" t="s">
        <v>50</v>
      </c>
      <c r="AL58" s="30" t="s">
        <v>50</v>
      </c>
      <c r="AM58" s="30" t="s">
        <v>50</v>
      </c>
      <c r="AN58" s="30" t="s">
        <v>1681</v>
      </c>
      <c r="AO58" s="30" t="s">
        <v>50</v>
      </c>
      <c r="AP58" s="30" t="s">
        <v>50</v>
      </c>
      <c r="AQ58" s="30" t="s">
        <v>50</v>
      </c>
      <c r="AR58" s="30" t="s">
        <v>50</v>
      </c>
      <c r="AS58" s="30" t="s">
        <v>50</v>
      </c>
      <c r="AT58" s="30" t="s">
        <v>299</v>
      </c>
      <c r="AU58" s="30" t="s">
        <v>1880</v>
      </c>
      <c r="AV58" s="34">
        <v>168823288592</v>
      </c>
    </row>
    <row r="59" spans="2:48" ht="15" customHeight="1">
      <c r="B59" s="28">
        <v>53</v>
      </c>
      <c r="C59" s="29" t="s">
        <v>1881</v>
      </c>
      <c r="D59" s="30" t="s">
        <v>50</v>
      </c>
      <c r="E59" s="31" t="s">
        <v>1882</v>
      </c>
      <c r="F59" s="31" t="s">
        <v>50</v>
      </c>
      <c r="G59" s="32" t="s">
        <v>1883</v>
      </c>
      <c r="H59" s="30" t="s">
        <v>62</v>
      </c>
      <c r="I59" s="30" t="s">
        <v>984</v>
      </c>
      <c r="J59" s="32" t="s">
        <v>985</v>
      </c>
      <c r="K59" s="30" t="s">
        <v>352</v>
      </c>
      <c r="L59" s="32" t="s">
        <v>353</v>
      </c>
      <c r="M59" s="30" t="s">
        <v>1697</v>
      </c>
      <c r="N59" s="30" t="s">
        <v>1672</v>
      </c>
      <c r="O59" s="33">
        <v>3</v>
      </c>
      <c r="P59" s="33">
        <v>13465</v>
      </c>
      <c r="Q59" s="33">
        <v>70</v>
      </c>
      <c r="R59" s="33">
        <v>0</v>
      </c>
      <c r="S59" s="33">
        <v>0</v>
      </c>
      <c r="T59" s="33">
        <v>0</v>
      </c>
      <c r="U59" s="33">
        <v>0</v>
      </c>
      <c r="V59" s="33">
        <v>0</v>
      </c>
      <c r="W59" s="33" t="s">
        <v>50</v>
      </c>
      <c r="X59" s="33">
        <v>1</v>
      </c>
      <c r="Y59" s="30" t="s">
        <v>64</v>
      </c>
      <c r="Z59" s="30" t="s">
        <v>186</v>
      </c>
      <c r="AA59" s="30" t="s">
        <v>222</v>
      </c>
      <c r="AB59" s="30" t="s">
        <v>1316</v>
      </c>
      <c r="AC59" s="30">
        <v>66</v>
      </c>
      <c r="AD59" s="30" t="s">
        <v>1325</v>
      </c>
      <c r="AE59" s="30" t="s">
        <v>883</v>
      </c>
      <c r="AF59" s="30" t="s">
        <v>1741</v>
      </c>
      <c r="AG59" s="30" t="s">
        <v>50</v>
      </c>
      <c r="AH59" s="30" t="s">
        <v>50</v>
      </c>
      <c r="AI59" s="30" t="s">
        <v>1673</v>
      </c>
      <c r="AJ59" s="30" t="s">
        <v>50</v>
      </c>
      <c r="AK59" s="30" t="s">
        <v>50</v>
      </c>
      <c r="AL59" s="30" t="s">
        <v>50</v>
      </c>
      <c r="AM59" s="30" t="s">
        <v>50</v>
      </c>
      <c r="AN59" s="30" t="s">
        <v>1681</v>
      </c>
      <c r="AO59" s="30" t="s">
        <v>50</v>
      </c>
      <c r="AP59" s="30" t="s">
        <v>50</v>
      </c>
      <c r="AQ59" s="30" t="s">
        <v>50</v>
      </c>
      <c r="AR59" s="30" t="s">
        <v>50</v>
      </c>
      <c r="AS59" s="30" t="s">
        <v>50</v>
      </c>
      <c r="AT59" s="30" t="s">
        <v>299</v>
      </c>
      <c r="AU59" s="30" t="s">
        <v>50</v>
      </c>
      <c r="AV59" s="34">
        <v>168661294773</v>
      </c>
    </row>
    <row r="60" spans="2:48" ht="15" customHeight="1">
      <c r="B60" s="28">
        <v>54</v>
      </c>
      <c r="C60" s="29" t="s">
        <v>1884</v>
      </c>
      <c r="D60" s="30" t="s">
        <v>50</v>
      </c>
      <c r="E60" s="31" t="s">
        <v>1885</v>
      </c>
      <c r="F60" s="31" t="s">
        <v>50</v>
      </c>
      <c r="G60" s="32" t="s">
        <v>1886</v>
      </c>
      <c r="H60" s="30" t="s">
        <v>81</v>
      </c>
      <c r="I60" s="30" t="s">
        <v>1887</v>
      </c>
      <c r="J60" s="32" t="s">
        <v>1048</v>
      </c>
      <c r="K60" s="30" t="s">
        <v>1888</v>
      </c>
      <c r="L60" s="32" t="s">
        <v>666</v>
      </c>
      <c r="M60" s="30" t="s">
        <v>1697</v>
      </c>
      <c r="N60" s="30" t="s">
        <v>1672</v>
      </c>
      <c r="O60" s="33">
        <v>10</v>
      </c>
      <c r="P60" s="33">
        <v>1167416</v>
      </c>
      <c r="Q60" s="33">
        <v>118</v>
      </c>
      <c r="R60" s="33">
        <v>0</v>
      </c>
      <c r="S60" s="33">
        <v>2</v>
      </c>
      <c r="T60" s="33">
        <v>2</v>
      </c>
      <c r="U60" s="33">
        <v>0</v>
      </c>
      <c r="V60" s="33">
        <v>0</v>
      </c>
      <c r="W60" s="33" t="s">
        <v>50</v>
      </c>
      <c r="X60" s="33">
        <v>1</v>
      </c>
      <c r="Y60" s="30" t="s">
        <v>64</v>
      </c>
      <c r="Z60" s="30" t="s">
        <v>222</v>
      </c>
      <c r="AA60" s="30" t="s">
        <v>222</v>
      </c>
      <c r="AB60" s="30"/>
      <c r="AC60" s="30"/>
      <c r="AD60" s="30" t="s">
        <v>50</v>
      </c>
      <c r="AE60" s="30" t="s">
        <v>50</v>
      </c>
      <c r="AF60" s="30" t="s">
        <v>50</v>
      </c>
      <c r="AG60" s="30" t="s">
        <v>50</v>
      </c>
      <c r="AH60" s="30" t="s">
        <v>50</v>
      </c>
      <c r="AI60" s="30" t="s">
        <v>1673</v>
      </c>
      <c r="AJ60" s="30" t="s">
        <v>50</v>
      </c>
      <c r="AK60" s="30" t="s">
        <v>50</v>
      </c>
      <c r="AL60" s="30" t="s">
        <v>50</v>
      </c>
      <c r="AM60" s="30" t="s">
        <v>50</v>
      </c>
      <c r="AN60" s="30" t="s">
        <v>1681</v>
      </c>
      <c r="AO60" s="30" t="s">
        <v>50</v>
      </c>
      <c r="AP60" s="30" t="s">
        <v>50</v>
      </c>
      <c r="AQ60" s="30" t="s">
        <v>50</v>
      </c>
      <c r="AR60" s="30" t="s">
        <v>50</v>
      </c>
      <c r="AS60" s="30" t="s">
        <v>50</v>
      </c>
      <c r="AT60" s="30" t="s">
        <v>1682</v>
      </c>
      <c r="AU60" s="30" t="s">
        <v>50</v>
      </c>
      <c r="AV60" s="34">
        <v>168667005210</v>
      </c>
    </row>
    <row r="61" spans="2:48" ht="15" customHeight="1">
      <c r="B61" s="28">
        <v>55</v>
      </c>
      <c r="C61" s="29" t="s">
        <v>1889</v>
      </c>
      <c r="D61" s="30" t="s">
        <v>50</v>
      </c>
      <c r="E61" s="31" t="s">
        <v>1890</v>
      </c>
      <c r="F61" s="31" t="s">
        <v>50</v>
      </c>
      <c r="G61" s="32" t="s">
        <v>1891</v>
      </c>
      <c r="H61" s="30" t="s">
        <v>78</v>
      </c>
      <c r="I61" s="30" t="s">
        <v>1011</v>
      </c>
      <c r="J61" s="32" t="s">
        <v>1012</v>
      </c>
      <c r="K61" s="30" t="s">
        <v>202</v>
      </c>
      <c r="L61" s="32" t="s">
        <v>203</v>
      </c>
      <c r="M61" s="30" t="s">
        <v>1697</v>
      </c>
      <c r="N61" s="30" t="s">
        <v>1672</v>
      </c>
      <c r="O61" s="33">
        <v>4</v>
      </c>
      <c r="P61" s="33">
        <v>36500</v>
      </c>
      <c r="Q61" s="33">
        <v>0</v>
      </c>
      <c r="R61" s="33">
        <v>0</v>
      </c>
      <c r="S61" s="33">
        <v>1</v>
      </c>
      <c r="T61" s="33">
        <v>0</v>
      </c>
      <c r="U61" s="33">
        <v>1</v>
      </c>
      <c r="V61" s="33">
        <v>0</v>
      </c>
      <c r="W61" s="33" t="s">
        <v>50</v>
      </c>
      <c r="X61" s="33">
        <v>1</v>
      </c>
      <c r="Y61" s="30" t="s">
        <v>70</v>
      </c>
      <c r="Z61" s="30" t="s">
        <v>192</v>
      </c>
      <c r="AA61" s="30" t="s">
        <v>192</v>
      </c>
      <c r="AB61" s="30" t="s">
        <v>1315</v>
      </c>
      <c r="AC61" s="30"/>
      <c r="AD61" s="30" t="s">
        <v>50</v>
      </c>
      <c r="AE61" s="30" t="s">
        <v>50</v>
      </c>
      <c r="AF61" s="30" t="s">
        <v>50</v>
      </c>
      <c r="AG61" s="30" t="s">
        <v>50</v>
      </c>
      <c r="AH61" s="30" t="s">
        <v>50</v>
      </c>
      <c r="AI61" s="30" t="s">
        <v>1673</v>
      </c>
      <c r="AJ61" s="30" t="s">
        <v>1292</v>
      </c>
      <c r="AK61" s="30" t="s">
        <v>50</v>
      </c>
      <c r="AL61" s="30" t="s">
        <v>50</v>
      </c>
      <c r="AM61" s="30" t="s">
        <v>50</v>
      </c>
      <c r="AN61" s="30" t="s">
        <v>1681</v>
      </c>
      <c r="AO61" s="30" t="s">
        <v>50</v>
      </c>
      <c r="AP61" s="30" t="s">
        <v>50</v>
      </c>
      <c r="AQ61" s="30" t="s">
        <v>50</v>
      </c>
      <c r="AR61" s="30" t="s">
        <v>50</v>
      </c>
      <c r="AS61" s="30" t="s">
        <v>50</v>
      </c>
      <c r="AT61" s="30" t="s">
        <v>299</v>
      </c>
      <c r="AU61" s="30" t="s">
        <v>50</v>
      </c>
      <c r="AV61" s="34">
        <v>168668506872</v>
      </c>
    </row>
    <row r="62" spans="2:48" ht="15" customHeight="1">
      <c r="B62" s="28">
        <v>56</v>
      </c>
      <c r="C62" s="29" t="s">
        <v>1892</v>
      </c>
      <c r="D62" s="30" t="s">
        <v>50</v>
      </c>
      <c r="E62" s="31" t="s">
        <v>1893</v>
      </c>
      <c r="F62" s="31" t="s">
        <v>50</v>
      </c>
      <c r="G62" s="32" t="s">
        <v>1894</v>
      </c>
      <c r="H62" s="30" t="s">
        <v>62</v>
      </c>
      <c r="I62" s="30" t="s">
        <v>862</v>
      </c>
      <c r="J62" s="32" t="s">
        <v>863</v>
      </c>
      <c r="K62" s="30" t="s">
        <v>216</v>
      </c>
      <c r="L62" s="32" t="s">
        <v>217</v>
      </c>
      <c r="M62" s="30" t="s">
        <v>1697</v>
      </c>
      <c r="N62" s="30" t="s">
        <v>1672</v>
      </c>
      <c r="O62" s="33">
        <v>3</v>
      </c>
      <c r="P62" s="33">
        <v>66349</v>
      </c>
      <c r="Q62" s="33">
        <v>0</v>
      </c>
      <c r="R62" s="33">
        <v>0</v>
      </c>
      <c r="S62" s="33">
        <v>0</v>
      </c>
      <c r="T62" s="33">
        <v>0</v>
      </c>
      <c r="U62" s="33">
        <v>0</v>
      </c>
      <c r="V62" s="33">
        <v>0</v>
      </c>
      <c r="W62" s="33" t="s">
        <v>50</v>
      </c>
      <c r="X62" s="33">
        <v>1</v>
      </c>
      <c r="Y62" s="30" t="s">
        <v>64</v>
      </c>
      <c r="Z62" s="30" t="s">
        <v>186</v>
      </c>
      <c r="AA62" s="30" t="s">
        <v>222</v>
      </c>
      <c r="AB62" s="30" t="s">
        <v>1316</v>
      </c>
      <c r="AC62" s="30">
        <v>38</v>
      </c>
      <c r="AD62" s="30" t="s">
        <v>1325</v>
      </c>
      <c r="AE62" s="30" t="s">
        <v>50</v>
      </c>
      <c r="AF62" s="30" t="s">
        <v>50</v>
      </c>
      <c r="AG62" s="30" t="s">
        <v>50</v>
      </c>
      <c r="AH62" s="30" t="s">
        <v>50</v>
      </c>
      <c r="AI62" s="30" t="s">
        <v>1673</v>
      </c>
      <c r="AJ62" s="30" t="s">
        <v>187</v>
      </c>
      <c r="AK62" s="30" t="s">
        <v>1895</v>
      </c>
      <c r="AL62" s="30" t="s">
        <v>219</v>
      </c>
      <c r="AM62" s="30" t="s">
        <v>50</v>
      </c>
      <c r="AN62" s="30" t="s">
        <v>1681</v>
      </c>
      <c r="AO62" s="30" t="s">
        <v>50</v>
      </c>
      <c r="AP62" s="30" t="s">
        <v>50</v>
      </c>
      <c r="AQ62" s="30" t="s">
        <v>50</v>
      </c>
      <c r="AR62" s="30" t="s">
        <v>50</v>
      </c>
      <c r="AS62" s="30" t="s">
        <v>50</v>
      </c>
      <c r="AT62" s="30" t="s">
        <v>299</v>
      </c>
      <c r="AU62" s="30" t="s">
        <v>50</v>
      </c>
      <c r="AV62" s="34">
        <v>168647314933</v>
      </c>
    </row>
    <row r="63" spans="2:48" ht="15" customHeight="1">
      <c r="B63" s="28">
        <v>57</v>
      </c>
      <c r="C63" s="29" t="s">
        <v>1896</v>
      </c>
      <c r="D63" s="30" t="s">
        <v>1897</v>
      </c>
      <c r="E63" s="31" t="s">
        <v>1898</v>
      </c>
      <c r="F63" s="31" t="s">
        <v>50</v>
      </c>
      <c r="G63" s="32" t="s">
        <v>1899</v>
      </c>
      <c r="H63" s="30" t="s">
        <v>114</v>
      </c>
      <c r="I63" s="30" t="s">
        <v>892</v>
      </c>
      <c r="J63" s="32" t="s">
        <v>894</v>
      </c>
      <c r="K63" s="30" t="s">
        <v>299</v>
      </c>
      <c r="L63" s="32" t="s">
        <v>300</v>
      </c>
      <c r="M63" s="30" t="s">
        <v>1678</v>
      </c>
      <c r="N63" s="30" t="s">
        <v>1679</v>
      </c>
      <c r="O63" s="33"/>
      <c r="P63" s="33">
        <v>0</v>
      </c>
      <c r="Q63" s="33">
        <v>0</v>
      </c>
      <c r="R63" s="33">
        <v>0</v>
      </c>
      <c r="S63" s="33">
        <v>0</v>
      </c>
      <c r="T63" s="33">
        <v>0</v>
      </c>
      <c r="U63" s="33">
        <v>0</v>
      </c>
      <c r="V63" s="33">
        <v>0</v>
      </c>
      <c r="W63" s="33" t="s">
        <v>1680</v>
      </c>
      <c r="X63" s="33">
        <v>1</v>
      </c>
      <c r="Y63" s="30" t="s">
        <v>56</v>
      </c>
      <c r="Z63" s="30" t="s">
        <v>192</v>
      </c>
      <c r="AA63" s="30" t="s">
        <v>192</v>
      </c>
      <c r="AB63" s="30" t="s">
        <v>1315</v>
      </c>
      <c r="AC63" s="30"/>
      <c r="AD63" s="30" t="s">
        <v>50</v>
      </c>
      <c r="AE63" s="30" t="s">
        <v>50</v>
      </c>
      <c r="AF63" s="30" t="s">
        <v>50</v>
      </c>
      <c r="AG63" s="30" t="s">
        <v>50</v>
      </c>
      <c r="AH63" s="30" t="s">
        <v>50</v>
      </c>
      <c r="AI63" s="30" t="s">
        <v>1673</v>
      </c>
      <c r="AJ63" s="30" t="s">
        <v>187</v>
      </c>
      <c r="AK63" s="30" t="s">
        <v>50</v>
      </c>
      <c r="AL63" s="30" t="s">
        <v>50</v>
      </c>
      <c r="AM63" s="30" t="s">
        <v>50</v>
      </c>
      <c r="AN63" s="30" t="s">
        <v>1681</v>
      </c>
      <c r="AO63" s="30" t="s">
        <v>50</v>
      </c>
      <c r="AP63" s="30" t="s">
        <v>50</v>
      </c>
      <c r="AQ63" s="30" t="s">
        <v>50</v>
      </c>
      <c r="AR63" s="30" t="s">
        <v>50</v>
      </c>
      <c r="AS63" s="30" t="s">
        <v>50</v>
      </c>
      <c r="AT63" s="30" t="s">
        <v>299</v>
      </c>
      <c r="AU63" s="30" t="s">
        <v>50</v>
      </c>
      <c r="AV63" s="34">
        <v>168646951733</v>
      </c>
    </row>
    <row r="64" spans="2:48" ht="15" customHeight="1">
      <c r="B64" s="28">
        <v>58</v>
      </c>
      <c r="C64" s="29" t="s">
        <v>1900</v>
      </c>
      <c r="D64" s="30" t="s">
        <v>1901</v>
      </c>
      <c r="E64" s="31" t="s">
        <v>1902</v>
      </c>
      <c r="F64" s="31" t="s">
        <v>50</v>
      </c>
      <c r="G64" s="32" t="s">
        <v>1903</v>
      </c>
      <c r="H64" s="30" t="s">
        <v>110</v>
      </c>
      <c r="I64" s="30" t="s">
        <v>1287</v>
      </c>
      <c r="J64" s="32" t="s">
        <v>1288</v>
      </c>
      <c r="K64" s="30" t="s">
        <v>533</v>
      </c>
      <c r="L64" s="32" t="s">
        <v>534</v>
      </c>
      <c r="M64" s="30" t="s">
        <v>1678</v>
      </c>
      <c r="N64" s="30" t="s">
        <v>1679</v>
      </c>
      <c r="O64" s="33"/>
      <c r="P64" s="33">
        <v>0</v>
      </c>
      <c r="Q64" s="33">
        <v>0</v>
      </c>
      <c r="R64" s="33">
        <v>0</v>
      </c>
      <c r="S64" s="33">
        <v>0</v>
      </c>
      <c r="T64" s="33">
        <v>0</v>
      </c>
      <c r="U64" s="33">
        <v>0</v>
      </c>
      <c r="V64" s="33">
        <v>0</v>
      </c>
      <c r="W64" s="33" t="s">
        <v>1680</v>
      </c>
      <c r="X64" s="33">
        <v>1</v>
      </c>
      <c r="Y64" s="30" t="s">
        <v>56</v>
      </c>
      <c r="Z64" s="30" t="s">
        <v>192</v>
      </c>
      <c r="AA64" s="30" t="s">
        <v>192</v>
      </c>
      <c r="AB64" s="30"/>
      <c r="AC64" s="30"/>
      <c r="AD64" s="30" t="s">
        <v>50</v>
      </c>
      <c r="AE64" s="30" t="s">
        <v>50</v>
      </c>
      <c r="AF64" s="30" t="s">
        <v>50</v>
      </c>
      <c r="AG64" s="30" t="s">
        <v>50</v>
      </c>
      <c r="AH64" s="30" t="s">
        <v>50</v>
      </c>
      <c r="AI64" s="30" t="s">
        <v>1673</v>
      </c>
      <c r="AJ64" s="30" t="s">
        <v>187</v>
      </c>
      <c r="AK64" s="30" t="s">
        <v>50</v>
      </c>
      <c r="AL64" s="30" t="s">
        <v>50</v>
      </c>
      <c r="AM64" s="30" t="s">
        <v>50</v>
      </c>
      <c r="AN64" s="30" t="s">
        <v>1681</v>
      </c>
      <c r="AO64" s="30" t="s">
        <v>50</v>
      </c>
      <c r="AP64" s="30" t="s">
        <v>50</v>
      </c>
      <c r="AQ64" s="30" t="s">
        <v>50</v>
      </c>
      <c r="AR64" s="30" t="s">
        <v>50</v>
      </c>
      <c r="AS64" s="30" t="s">
        <v>50</v>
      </c>
      <c r="AT64" s="30" t="s">
        <v>299</v>
      </c>
      <c r="AU64" s="30" t="s">
        <v>148</v>
      </c>
      <c r="AV64" s="34">
        <v>168747452177</v>
      </c>
    </row>
    <row r="65" spans="2:48" ht="15" customHeight="1">
      <c r="B65" s="28">
        <v>59</v>
      </c>
      <c r="C65" s="29" t="s">
        <v>1904</v>
      </c>
      <c r="D65" s="30" t="s">
        <v>1823</v>
      </c>
      <c r="E65" s="31" t="s">
        <v>1898</v>
      </c>
      <c r="F65" s="31" t="s">
        <v>50</v>
      </c>
      <c r="G65" s="32" t="s">
        <v>1905</v>
      </c>
      <c r="H65" s="30" t="s">
        <v>112</v>
      </c>
      <c r="I65" s="30" t="s">
        <v>892</v>
      </c>
      <c r="J65" s="32" t="s">
        <v>893</v>
      </c>
      <c r="K65" s="30" t="s">
        <v>299</v>
      </c>
      <c r="L65" s="32" t="s">
        <v>301</v>
      </c>
      <c r="M65" s="30" t="s">
        <v>1678</v>
      </c>
      <c r="N65" s="30" t="s">
        <v>1679</v>
      </c>
      <c r="O65" s="33"/>
      <c r="P65" s="33">
        <v>0</v>
      </c>
      <c r="Q65" s="33">
        <v>0</v>
      </c>
      <c r="R65" s="33">
        <v>0</v>
      </c>
      <c r="S65" s="33">
        <v>0</v>
      </c>
      <c r="T65" s="33">
        <v>0</v>
      </c>
      <c r="U65" s="33">
        <v>0</v>
      </c>
      <c r="V65" s="33">
        <v>0</v>
      </c>
      <c r="W65" s="33" t="s">
        <v>1680</v>
      </c>
      <c r="X65" s="33">
        <v>1</v>
      </c>
      <c r="Y65" s="30" t="s">
        <v>56</v>
      </c>
      <c r="Z65" s="30" t="s">
        <v>192</v>
      </c>
      <c r="AA65" s="30" t="s">
        <v>192</v>
      </c>
      <c r="AB65" s="30" t="s">
        <v>1315</v>
      </c>
      <c r="AC65" s="30"/>
      <c r="AD65" s="30" t="s">
        <v>50</v>
      </c>
      <c r="AE65" s="30" t="s">
        <v>50</v>
      </c>
      <c r="AF65" s="30" t="s">
        <v>50</v>
      </c>
      <c r="AG65" s="30" t="s">
        <v>50</v>
      </c>
      <c r="AH65" s="30" t="s">
        <v>50</v>
      </c>
      <c r="AI65" s="30" t="s">
        <v>1673</v>
      </c>
      <c r="AJ65" s="30" t="s">
        <v>187</v>
      </c>
      <c r="AK65" s="30" t="s">
        <v>50</v>
      </c>
      <c r="AL65" s="30" t="s">
        <v>50</v>
      </c>
      <c r="AM65" s="30" t="s">
        <v>50</v>
      </c>
      <c r="AN65" s="30" t="s">
        <v>1681</v>
      </c>
      <c r="AO65" s="30" t="s">
        <v>50</v>
      </c>
      <c r="AP65" s="30" t="s">
        <v>50</v>
      </c>
      <c r="AQ65" s="30" t="s">
        <v>50</v>
      </c>
      <c r="AR65" s="30" t="s">
        <v>50</v>
      </c>
      <c r="AS65" s="30" t="s">
        <v>50</v>
      </c>
      <c r="AT65" s="30" t="s">
        <v>299</v>
      </c>
      <c r="AU65" s="30" t="s">
        <v>50</v>
      </c>
      <c r="AV65" s="34">
        <v>168654101105</v>
      </c>
    </row>
    <row r="66" spans="2:48" ht="15" customHeight="1">
      <c r="B66" s="28">
        <v>60</v>
      </c>
      <c r="C66" s="29" t="s">
        <v>1906</v>
      </c>
      <c r="D66" s="30" t="s">
        <v>50</v>
      </c>
      <c r="E66" s="31" t="s">
        <v>1907</v>
      </c>
      <c r="F66" s="31" t="s">
        <v>50</v>
      </c>
      <c r="G66" s="32" t="s">
        <v>1908</v>
      </c>
      <c r="H66" s="30" t="s">
        <v>104</v>
      </c>
      <c r="I66" s="30" t="s">
        <v>1090</v>
      </c>
      <c r="J66" s="32" t="s">
        <v>1091</v>
      </c>
      <c r="K66" s="30" t="s">
        <v>712</v>
      </c>
      <c r="L66" s="32" t="s">
        <v>714</v>
      </c>
      <c r="M66" s="30" t="s">
        <v>1697</v>
      </c>
      <c r="N66" s="30" t="s">
        <v>1672</v>
      </c>
      <c r="O66" s="33">
        <v>5</v>
      </c>
      <c r="P66" s="33">
        <v>60700</v>
      </c>
      <c r="Q66" s="33">
        <v>446</v>
      </c>
      <c r="R66" s="33">
        <v>0</v>
      </c>
      <c r="S66" s="33">
        <v>0</v>
      </c>
      <c r="T66" s="33">
        <v>0</v>
      </c>
      <c r="U66" s="33">
        <v>0</v>
      </c>
      <c r="V66" s="33">
        <v>0</v>
      </c>
      <c r="W66" s="33" t="s">
        <v>50</v>
      </c>
      <c r="X66" s="33">
        <v>1</v>
      </c>
      <c r="Y66" s="30" t="s">
        <v>64</v>
      </c>
      <c r="Z66" s="30" t="s">
        <v>222</v>
      </c>
      <c r="AA66" s="30" t="s">
        <v>222</v>
      </c>
      <c r="AB66" s="30"/>
      <c r="AC66" s="30"/>
      <c r="AD66" s="30" t="s">
        <v>50</v>
      </c>
      <c r="AE66" s="30" t="s">
        <v>50</v>
      </c>
      <c r="AF66" s="30" t="s">
        <v>50</v>
      </c>
      <c r="AG66" s="30" t="s">
        <v>50</v>
      </c>
      <c r="AH66" s="30" t="s">
        <v>50</v>
      </c>
      <c r="AI66" s="30" t="s">
        <v>1673</v>
      </c>
      <c r="AJ66" s="30" t="s">
        <v>50</v>
      </c>
      <c r="AK66" s="30" t="s">
        <v>50</v>
      </c>
      <c r="AL66" s="30" t="s">
        <v>50</v>
      </c>
      <c r="AM66" s="30" t="s">
        <v>50</v>
      </c>
      <c r="AN66" s="30" t="s">
        <v>1681</v>
      </c>
      <c r="AO66" s="30" t="s">
        <v>50</v>
      </c>
      <c r="AP66" s="30" t="s">
        <v>50</v>
      </c>
      <c r="AQ66" s="30" t="s">
        <v>50</v>
      </c>
      <c r="AR66" s="30" t="s">
        <v>50</v>
      </c>
      <c r="AS66" s="30" t="s">
        <v>50</v>
      </c>
      <c r="AT66" s="30" t="s">
        <v>299</v>
      </c>
      <c r="AU66" s="30" t="s">
        <v>50</v>
      </c>
      <c r="AV66" s="34">
        <v>168650054235</v>
      </c>
    </row>
    <row r="67" spans="2:48" ht="15" customHeight="1">
      <c r="B67" s="28">
        <v>61</v>
      </c>
      <c r="C67" s="29" t="s">
        <v>1909</v>
      </c>
      <c r="D67" s="30" t="s">
        <v>50</v>
      </c>
      <c r="E67" s="31" t="s">
        <v>1910</v>
      </c>
      <c r="F67" s="31" t="s">
        <v>50</v>
      </c>
      <c r="G67" s="32" t="s">
        <v>1911</v>
      </c>
      <c r="H67" s="30" t="s">
        <v>65</v>
      </c>
      <c r="I67" s="30" t="s">
        <v>897</v>
      </c>
      <c r="J67" s="32" t="s">
        <v>1912</v>
      </c>
      <c r="K67" s="30" t="s">
        <v>295</v>
      </c>
      <c r="L67" s="32" t="s">
        <v>1913</v>
      </c>
      <c r="M67" s="30" t="s">
        <v>1697</v>
      </c>
      <c r="N67" s="30" t="s">
        <v>1672</v>
      </c>
      <c r="O67" s="33"/>
      <c r="P67" s="33">
        <v>1103</v>
      </c>
      <c r="Q67" s="33">
        <v>0</v>
      </c>
      <c r="R67" s="33">
        <v>0</v>
      </c>
      <c r="S67" s="33">
        <v>0</v>
      </c>
      <c r="T67" s="33">
        <v>0</v>
      </c>
      <c r="U67" s="33">
        <v>0</v>
      </c>
      <c r="V67" s="33">
        <v>0</v>
      </c>
      <c r="W67" s="33" t="s">
        <v>50</v>
      </c>
      <c r="X67" s="33">
        <v>1</v>
      </c>
      <c r="Y67" s="30" t="s">
        <v>67</v>
      </c>
      <c r="Z67" s="30" t="s">
        <v>186</v>
      </c>
      <c r="AA67" s="30" t="s">
        <v>192</v>
      </c>
      <c r="AB67" s="30" t="s">
        <v>1315</v>
      </c>
      <c r="AC67" s="30"/>
      <c r="AD67" s="30" t="s">
        <v>50</v>
      </c>
      <c r="AE67" s="30" t="s">
        <v>50</v>
      </c>
      <c r="AF67" s="30" t="s">
        <v>50</v>
      </c>
      <c r="AG67" s="30" t="s">
        <v>50</v>
      </c>
      <c r="AH67" s="30" t="s">
        <v>50</v>
      </c>
      <c r="AI67" s="30" t="s">
        <v>1673</v>
      </c>
      <c r="AJ67" s="30" t="s">
        <v>50</v>
      </c>
      <c r="AK67" s="30" t="s">
        <v>50</v>
      </c>
      <c r="AL67" s="30" t="s">
        <v>50</v>
      </c>
      <c r="AM67" s="30" t="s">
        <v>50</v>
      </c>
      <c r="AN67" s="30" t="s">
        <v>1681</v>
      </c>
      <c r="AO67" s="30" t="s">
        <v>50</v>
      </c>
      <c r="AP67" s="30" t="s">
        <v>50</v>
      </c>
      <c r="AQ67" s="30" t="s">
        <v>50</v>
      </c>
      <c r="AR67" s="30" t="s">
        <v>50</v>
      </c>
      <c r="AS67" s="30" t="s">
        <v>50</v>
      </c>
      <c r="AT67" s="30" t="s">
        <v>1792</v>
      </c>
      <c r="AU67" s="30" t="s">
        <v>50</v>
      </c>
      <c r="AV67" s="34">
        <v>168635094390</v>
      </c>
    </row>
    <row r="68" spans="2:48" ht="15" customHeight="1">
      <c r="B68" s="28">
        <v>62</v>
      </c>
      <c r="C68" s="29" t="s">
        <v>1914</v>
      </c>
      <c r="D68" s="30" t="s">
        <v>50</v>
      </c>
      <c r="E68" s="31" t="s">
        <v>1915</v>
      </c>
      <c r="F68" s="31" t="s">
        <v>50</v>
      </c>
      <c r="G68" s="32" t="s">
        <v>1916</v>
      </c>
      <c r="H68" s="30" t="s">
        <v>62</v>
      </c>
      <c r="I68" s="30" t="s">
        <v>1073</v>
      </c>
      <c r="J68" s="32" t="s">
        <v>1074</v>
      </c>
      <c r="K68" s="30" t="s">
        <v>735</v>
      </c>
      <c r="L68" s="32" t="s">
        <v>736</v>
      </c>
      <c r="M68" s="30" t="s">
        <v>1697</v>
      </c>
      <c r="N68" s="30" t="s">
        <v>1672</v>
      </c>
      <c r="O68" s="33"/>
      <c r="P68" s="33">
        <v>884</v>
      </c>
      <c r="Q68" s="33">
        <v>207</v>
      </c>
      <c r="R68" s="33">
        <v>0</v>
      </c>
      <c r="S68" s="33">
        <v>0</v>
      </c>
      <c r="T68" s="33">
        <v>0</v>
      </c>
      <c r="U68" s="33">
        <v>0</v>
      </c>
      <c r="V68" s="33">
        <v>0</v>
      </c>
      <c r="W68" s="33" t="s">
        <v>50</v>
      </c>
      <c r="X68" s="33">
        <v>1</v>
      </c>
      <c r="Y68" s="30" t="s">
        <v>64</v>
      </c>
      <c r="Z68" s="30" t="s">
        <v>186</v>
      </c>
      <c r="AA68" s="30" t="s">
        <v>222</v>
      </c>
      <c r="AB68" s="30" t="s">
        <v>1316</v>
      </c>
      <c r="AC68" s="30">
        <v>48</v>
      </c>
      <c r="AD68" s="30" t="s">
        <v>1325</v>
      </c>
      <c r="AE68" s="30" t="s">
        <v>50</v>
      </c>
      <c r="AF68" s="30" t="s">
        <v>50</v>
      </c>
      <c r="AG68" s="30" t="s">
        <v>50</v>
      </c>
      <c r="AH68" s="30" t="s">
        <v>50</v>
      </c>
      <c r="AI68" s="30" t="s">
        <v>1673</v>
      </c>
      <c r="AJ68" s="30" t="s">
        <v>187</v>
      </c>
      <c r="AK68" s="30" t="s">
        <v>201</v>
      </c>
      <c r="AL68" s="30" t="s">
        <v>201</v>
      </c>
      <c r="AM68" s="30" t="s">
        <v>50</v>
      </c>
      <c r="AN68" s="30" t="s">
        <v>1681</v>
      </c>
      <c r="AO68" s="30" t="s">
        <v>50</v>
      </c>
      <c r="AP68" s="30" t="s">
        <v>50</v>
      </c>
      <c r="AQ68" s="30" t="s">
        <v>50</v>
      </c>
      <c r="AR68" s="30" t="s">
        <v>50</v>
      </c>
      <c r="AS68" s="30" t="s">
        <v>50</v>
      </c>
      <c r="AT68" s="30" t="s">
        <v>1682</v>
      </c>
      <c r="AU68" s="30" t="s">
        <v>50</v>
      </c>
      <c r="AV68" s="34">
        <v>168631513409</v>
      </c>
    </row>
    <row r="69" spans="2:48" ht="15" customHeight="1">
      <c r="B69" s="28">
        <v>63</v>
      </c>
      <c r="C69" s="29" t="s">
        <v>1917</v>
      </c>
      <c r="D69" s="30" t="s">
        <v>50</v>
      </c>
      <c r="E69" s="31" t="s">
        <v>1918</v>
      </c>
      <c r="F69" s="31" t="s">
        <v>50</v>
      </c>
      <c r="G69" s="32" t="s">
        <v>1919</v>
      </c>
      <c r="H69" s="30" t="s">
        <v>87</v>
      </c>
      <c r="I69" s="30" t="s">
        <v>1159</v>
      </c>
      <c r="J69" s="32" t="s">
        <v>1160</v>
      </c>
      <c r="K69" s="30" t="s">
        <v>302</v>
      </c>
      <c r="L69" s="32" t="s">
        <v>303</v>
      </c>
      <c r="M69" s="30" t="s">
        <v>1697</v>
      </c>
      <c r="N69" s="30" t="s">
        <v>1672</v>
      </c>
      <c r="O69" s="33"/>
      <c r="P69" s="33">
        <v>3271</v>
      </c>
      <c r="Q69" s="33">
        <v>0</v>
      </c>
      <c r="R69" s="33">
        <v>0</v>
      </c>
      <c r="S69" s="33">
        <v>1</v>
      </c>
      <c r="T69" s="33">
        <v>1</v>
      </c>
      <c r="U69" s="33">
        <v>0</v>
      </c>
      <c r="V69" s="33">
        <v>0</v>
      </c>
      <c r="W69" s="33" t="s">
        <v>50</v>
      </c>
      <c r="X69" s="33">
        <v>1</v>
      </c>
      <c r="Y69" s="30" t="s">
        <v>70</v>
      </c>
      <c r="Z69" s="30" t="s">
        <v>192</v>
      </c>
      <c r="AA69" s="30" t="s">
        <v>192</v>
      </c>
      <c r="AB69" s="30"/>
      <c r="AC69" s="30"/>
      <c r="AD69" s="30" t="s">
        <v>50</v>
      </c>
      <c r="AE69" s="30" t="s">
        <v>50</v>
      </c>
      <c r="AF69" s="30" t="s">
        <v>50</v>
      </c>
      <c r="AG69" s="30" t="s">
        <v>50</v>
      </c>
      <c r="AH69" s="30" t="s">
        <v>50</v>
      </c>
      <c r="AI69" s="30" t="s">
        <v>1673</v>
      </c>
      <c r="AJ69" s="30" t="s">
        <v>50</v>
      </c>
      <c r="AK69" s="30" t="s">
        <v>50</v>
      </c>
      <c r="AL69" s="30" t="s">
        <v>50</v>
      </c>
      <c r="AM69" s="30" t="s">
        <v>50</v>
      </c>
      <c r="AN69" s="30" t="s">
        <v>1681</v>
      </c>
      <c r="AO69" s="30" t="s">
        <v>50</v>
      </c>
      <c r="AP69" s="30" t="s">
        <v>50</v>
      </c>
      <c r="AQ69" s="30" t="s">
        <v>50</v>
      </c>
      <c r="AR69" s="30" t="s">
        <v>50</v>
      </c>
      <c r="AS69" s="30" t="s">
        <v>50</v>
      </c>
      <c r="AT69" s="30" t="s">
        <v>299</v>
      </c>
      <c r="AU69" s="30" t="s">
        <v>50</v>
      </c>
      <c r="AV69" s="34">
        <v>168623579910</v>
      </c>
    </row>
    <row r="70" spans="2:48" ht="15" customHeight="1">
      <c r="B70" s="28">
        <v>64</v>
      </c>
      <c r="C70" s="29" t="s">
        <v>1920</v>
      </c>
      <c r="D70" s="30" t="s">
        <v>50</v>
      </c>
      <c r="E70" s="31" t="s">
        <v>1921</v>
      </c>
      <c r="F70" s="31" t="s">
        <v>50</v>
      </c>
      <c r="G70" s="32" t="s">
        <v>1922</v>
      </c>
      <c r="H70" s="30" t="s">
        <v>87</v>
      </c>
      <c r="I70" s="30" t="s">
        <v>1171</v>
      </c>
      <c r="J70" s="32" t="s">
        <v>1172</v>
      </c>
      <c r="K70" s="30" t="s">
        <v>302</v>
      </c>
      <c r="L70" s="32" t="s">
        <v>303</v>
      </c>
      <c r="M70" s="30" t="s">
        <v>1697</v>
      </c>
      <c r="N70" s="30" t="s">
        <v>1679</v>
      </c>
      <c r="O70" s="33"/>
      <c r="P70" s="33">
        <v>3267</v>
      </c>
      <c r="Q70" s="33">
        <v>3</v>
      </c>
      <c r="R70" s="33">
        <v>0</v>
      </c>
      <c r="S70" s="33">
        <v>8</v>
      </c>
      <c r="T70" s="33">
        <v>4</v>
      </c>
      <c r="U70" s="33">
        <v>4</v>
      </c>
      <c r="V70" s="33">
        <v>0</v>
      </c>
      <c r="W70" s="33" t="s">
        <v>50</v>
      </c>
      <c r="X70" s="33">
        <v>1</v>
      </c>
      <c r="Y70" s="30" t="s">
        <v>70</v>
      </c>
      <c r="Z70" s="30" t="s">
        <v>192</v>
      </c>
      <c r="AA70" s="30" t="s">
        <v>192</v>
      </c>
      <c r="AB70" s="30"/>
      <c r="AC70" s="30"/>
      <c r="AD70" s="30" t="s">
        <v>50</v>
      </c>
      <c r="AE70" s="30" t="s">
        <v>50</v>
      </c>
      <c r="AF70" s="30" t="s">
        <v>50</v>
      </c>
      <c r="AG70" s="30" t="s">
        <v>50</v>
      </c>
      <c r="AH70" s="30" t="s">
        <v>50</v>
      </c>
      <c r="AI70" s="30" t="s">
        <v>1673</v>
      </c>
      <c r="AJ70" s="30" t="s">
        <v>50</v>
      </c>
      <c r="AK70" s="30" t="s">
        <v>50</v>
      </c>
      <c r="AL70" s="30" t="s">
        <v>50</v>
      </c>
      <c r="AM70" s="30" t="s">
        <v>50</v>
      </c>
      <c r="AN70" s="30" t="s">
        <v>1681</v>
      </c>
      <c r="AO70" s="30" t="s">
        <v>50</v>
      </c>
      <c r="AP70" s="30" t="s">
        <v>50</v>
      </c>
      <c r="AQ70" s="30" t="s">
        <v>50</v>
      </c>
      <c r="AR70" s="30" t="s">
        <v>50</v>
      </c>
      <c r="AS70" s="30" t="s">
        <v>50</v>
      </c>
      <c r="AT70" s="30" t="s">
        <v>299</v>
      </c>
      <c r="AU70" s="30" t="s">
        <v>50</v>
      </c>
      <c r="AV70" s="34">
        <v>168607999946</v>
      </c>
    </row>
    <row r="71" spans="2:48" ht="15" customHeight="1">
      <c r="B71" s="28">
        <v>65</v>
      </c>
      <c r="C71" s="29" t="s">
        <v>1923</v>
      </c>
      <c r="D71" s="30" t="s">
        <v>50</v>
      </c>
      <c r="E71" s="31" t="s">
        <v>1924</v>
      </c>
      <c r="F71" s="31" t="s">
        <v>50</v>
      </c>
      <c r="G71" s="32" t="s">
        <v>1925</v>
      </c>
      <c r="H71" s="30" t="s">
        <v>97</v>
      </c>
      <c r="I71" s="30" t="s">
        <v>1086</v>
      </c>
      <c r="J71" s="32" t="s">
        <v>1087</v>
      </c>
      <c r="K71" s="30" t="s">
        <v>832</v>
      </c>
      <c r="L71" s="32" t="s">
        <v>833</v>
      </c>
      <c r="M71" s="30" t="s">
        <v>1697</v>
      </c>
      <c r="N71" s="30" t="s">
        <v>1672</v>
      </c>
      <c r="O71" s="33"/>
      <c r="P71" s="33">
        <v>0</v>
      </c>
      <c r="Q71" s="33">
        <v>0</v>
      </c>
      <c r="R71" s="33" t="s">
        <v>158</v>
      </c>
      <c r="S71" s="33">
        <v>0</v>
      </c>
      <c r="T71" s="33" t="s">
        <v>158</v>
      </c>
      <c r="U71" s="33" t="s">
        <v>158</v>
      </c>
      <c r="V71" s="33" t="s">
        <v>158</v>
      </c>
      <c r="W71" s="33" t="s">
        <v>50</v>
      </c>
      <c r="X71" s="33">
        <v>1</v>
      </c>
      <c r="Y71" s="30" t="s">
        <v>75</v>
      </c>
      <c r="Z71" s="30" t="s">
        <v>192</v>
      </c>
      <c r="AA71" s="30" t="s">
        <v>192</v>
      </c>
      <c r="AB71" s="30" t="s">
        <v>1316</v>
      </c>
      <c r="AC71" s="30"/>
      <c r="AD71" s="30" t="s">
        <v>50</v>
      </c>
      <c r="AE71" s="30" t="s">
        <v>50</v>
      </c>
      <c r="AF71" s="30" t="s">
        <v>50</v>
      </c>
      <c r="AG71" s="30" t="s">
        <v>50</v>
      </c>
      <c r="AH71" s="30" t="s">
        <v>50</v>
      </c>
      <c r="AI71" s="30" t="s">
        <v>1673</v>
      </c>
      <c r="AJ71" s="30" t="s">
        <v>187</v>
      </c>
      <c r="AK71" s="30" t="s">
        <v>50</v>
      </c>
      <c r="AL71" s="30" t="s">
        <v>50</v>
      </c>
      <c r="AM71" s="30" t="s">
        <v>50</v>
      </c>
      <c r="AN71" s="30" t="s">
        <v>1681</v>
      </c>
      <c r="AO71" s="30" t="s">
        <v>50</v>
      </c>
      <c r="AP71" s="30" t="s">
        <v>50</v>
      </c>
      <c r="AQ71" s="30" t="s">
        <v>50</v>
      </c>
      <c r="AR71" s="30" t="s">
        <v>50</v>
      </c>
      <c r="AS71" s="30" t="s">
        <v>50</v>
      </c>
      <c r="AT71" s="30" t="s">
        <v>299</v>
      </c>
      <c r="AU71" s="30" t="s">
        <v>50</v>
      </c>
      <c r="AV71" s="34">
        <v>168601202218</v>
      </c>
    </row>
    <row r="72" spans="2:48" ht="15" customHeight="1">
      <c r="B72" s="28">
        <v>66</v>
      </c>
      <c r="C72" s="29" t="s">
        <v>1926</v>
      </c>
      <c r="D72" s="30" t="s">
        <v>1927</v>
      </c>
      <c r="E72" s="31" t="s">
        <v>1928</v>
      </c>
      <c r="F72" s="31" t="s">
        <v>1929</v>
      </c>
      <c r="G72" s="32" t="s">
        <v>1930</v>
      </c>
      <c r="H72" s="30" t="s">
        <v>76</v>
      </c>
      <c r="I72" s="30" t="s">
        <v>510</v>
      </c>
      <c r="J72" s="32" t="s">
        <v>511</v>
      </c>
      <c r="K72" s="30" t="s">
        <v>510</v>
      </c>
      <c r="L72" s="32" t="s">
        <v>511</v>
      </c>
      <c r="M72" s="30" t="s">
        <v>1671</v>
      </c>
      <c r="N72" s="30" t="s">
        <v>1679</v>
      </c>
      <c r="O72" s="33"/>
      <c r="P72" s="33">
        <v>24752</v>
      </c>
      <c r="Q72" s="33">
        <v>24752</v>
      </c>
      <c r="R72" s="33">
        <v>0</v>
      </c>
      <c r="S72" s="33">
        <v>0</v>
      </c>
      <c r="T72" s="33">
        <v>0</v>
      </c>
      <c r="U72" s="33">
        <v>0</v>
      </c>
      <c r="V72" s="33">
        <v>0</v>
      </c>
      <c r="W72" s="33" t="s">
        <v>50</v>
      </c>
      <c r="X72" s="33">
        <v>1</v>
      </c>
      <c r="Y72" s="30" t="s">
        <v>64</v>
      </c>
      <c r="Z72" s="30" t="s">
        <v>186</v>
      </c>
      <c r="AA72" s="30" t="s">
        <v>186</v>
      </c>
      <c r="AB72" s="30"/>
      <c r="AC72" s="30"/>
      <c r="AD72" s="30" t="s">
        <v>50</v>
      </c>
      <c r="AE72" s="30" t="s">
        <v>50</v>
      </c>
      <c r="AF72" s="30" t="s">
        <v>50</v>
      </c>
      <c r="AG72" s="30" t="s">
        <v>50</v>
      </c>
      <c r="AH72" s="30" t="s">
        <v>50</v>
      </c>
      <c r="AI72" s="30" t="s">
        <v>1673</v>
      </c>
      <c r="AJ72" s="30" t="s">
        <v>50</v>
      </c>
      <c r="AK72" s="30" t="s">
        <v>50</v>
      </c>
      <c r="AL72" s="30" t="s">
        <v>50</v>
      </c>
      <c r="AM72" s="30" t="s">
        <v>35</v>
      </c>
      <c r="AN72" s="30" t="s">
        <v>1681</v>
      </c>
      <c r="AO72" s="30" t="s">
        <v>50</v>
      </c>
      <c r="AP72" s="30" t="s">
        <v>50</v>
      </c>
      <c r="AQ72" s="30" t="s">
        <v>50</v>
      </c>
      <c r="AR72" s="30" t="s">
        <v>50</v>
      </c>
      <c r="AS72" s="30" t="s">
        <v>50</v>
      </c>
      <c r="AT72" s="30" t="s">
        <v>1682</v>
      </c>
      <c r="AU72" s="30" t="s">
        <v>50</v>
      </c>
      <c r="AV72" s="34">
        <v>168598133480</v>
      </c>
    </row>
    <row r="73" spans="2:48" ht="15" customHeight="1">
      <c r="B73" s="28">
        <v>67</v>
      </c>
      <c r="C73" s="29" t="s">
        <v>1931</v>
      </c>
      <c r="D73" s="30" t="s">
        <v>50</v>
      </c>
      <c r="E73" s="31" t="s">
        <v>1932</v>
      </c>
      <c r="F73" s="31" t="s">
        <v>50</v>
      </c>
      <c r="G73" s="32" t="s">
        <v>1933</v>
      </c>
      <c r="H73" s="30" t="s">
        <v>62</v>
      </c>
      <c r="I73" s="30" t="s">
        <v>935</v>
      </c>
      <c r="J73" s="32" t="s">
        <v>936</v>
      </c>
      <c r="K73" s="30" t="s">
        <v>398</v>
      </c>
      <c r="L73" s="32" t="s">
        <v>399</v>
      </c>
      <c r="M73" s="30" t="s">
        <v>1697</v>
      </c>
      <c r="N73" s="30" t="s">
        <v>1672</v>
      </c>
      <c r="O73" s="33">
        <v>3</v>
      </c>
      <c r="P73" s="33">
        <v>80790</v>
      </c>
      <c r="Q73" s="33">
        <v>745</v>
      </c>
      <c r="R73" s="33">
        <v>0</v>
      </c>
      <c r="S73" s="33">
        <v>0</v>
      </c>
      <c r="T73" s="33">
        <v>0</v>
      </c>
      <c r="U73" s="33">
        <v>0</v>
      </c>
      <c r="V73" s="33">
        <v>0</v>
      </c>
      <c r="W73" s="33" t="s">
        <v>50</v>
      </c>
      <c r="X73" s="33">
        <v>1</v>
      </c>
      <c r="Y73" s="30" t="s">
        <v>64</v>
      </c>
      <c r="Z73" s="30" t="s">
        <v>186</v>
      </c>
      <c r="AA73" s="30" t="s">
        <v>222</v>
      </c>
      <c r="AB73" s="30" t="s">
        <v>1316</v>
      </c>
      <c r="AC73" s="30"/>
      <c r="AD73" s="30" t="s">
        <v>50</v>
      </c>
      <c r="AE73" s="30" t="s">
        <v>50</v>
      </c>
      <c r="AF73" s="30" t="s">
        <v>50</v>
      </c>
      <c r="AG73" s="30" t="s">
        <v>50</v>
      </c>
      <c r="AH73" s="30" t="s">
        <v>50</v>
      </c>
      <c r="AI73" s="30" t="s">
        <v>1673</v>
      </c>
      <c r="AJ73" s="30" t="s">
        <v>187</v>
      </c>
      <c r="AK73" s="30" t="s">
        <v>1934</v>
      </c>
      <c r="AL73" s="30" t="s">
        <v>401</v>
      </c>
      <c r="AM73" s="30" t="s">
        <v>50</v>
      </c>
      <c r="AN73" s="30" t="s">
        <v>1681</v>
      </c>
      <c r="AO73" s="30" t="s">
        <v>50</v>
      </c>
      <c r="AP73" s="30" t="s">
        <v>50</v>
      </c>
      <c r="AQ73" s="30" t="s">
        <v>50</v>
      </c>
      <c r="AR73" s="30" t="s">
        <v>50</v>
      </c>
      <c r="AS73" s="30" t="s">
        <v>50</v>
      </c>
      <c r="AT73" s="30" t="s">
        <v>299</v>
      </c>
      <c r="AU73" s="30" t="s">
        <v>50</v>
      </c>
      <c r="AV73" s="34">
        <v>168597683634</v>
      </c>
    </row>
    <row r="74" spans="2:48" ht="15" customHeight="1">
      <c r="B74" s="28">
        <v>68</v>
      </c>
      <c r="C74" s="29" t="s">
        <v>1935</v>
      </c>
      <c r="D74" s="30" t="s">
        <v>50</v>
      </c>
      <c r="E74" s="31" t="s">
        <v>1936</v>
      </c>
      <c r="F74" s="31" t="s">
        <v>50</v>
      </c>
      <c r="G74" s="32" t="s">
        <v>1937</v>
      </c>
      <c r="H74" s="30" t="s">
        <v>85</v>
      </c>
      <c r="I74" s="30" t="s">
        <v>1283</v>
      </c>
      <c r="J74" s="32" t="s">
        <v>1284</v>
      </c>
      <c r="K74" s="30" t="s">
        <v>695</v>
      </c>
      <c r="L74" s="32" t="s">
        <v>696</v>
      </c>
      <c r="M74" s="30" t="s">
        <v>1697</v>
      </c>
      <c r="N74" s="30" t="s">
        <v>1672</v>
      </c>
      <c r="O74" s="33"/>
      <c r="P74" s="33">
        <v>30</v>
      </c>
      <c r="Q74" s="33">
        <v>0</v>
      </c>
      <c r="R74" s="33">
        <v>0</v>
      </c>
      <c r="S74" s="33">
        <v>0</v>
      </c>
      <c r="T74" s="33">
        <v>0</v>
      </c>
      <c r="U74" s="33">
        <v>0</v>
      </c>
      <c r="V74" s="33">
        <v>0</v>
      </c>
      <c r="W74" s="33" t="s">
        <v>50</v>
      </c>
      <c r="X74" s="33">
        <v>1</v>
      </c>
      <c r="Y74" s="30" t="s">
        <v>64</v>
      </c>
      <c r="Z74" s="30" t="s">
        <v>222</v>
      </c>
      <c r="AA74" s="30" t="s">
        <v>222</v>
      </c>
      <c r="AB74" s="30"/>
      <c r="AC74" s="30"/>
      <c r="AD74" s="30" t="s">
        <v>50</v>
      </c>
      <c r="AE74" s="30" t="s">
        <v>50</v>
      </c>
      <c r="AF74" s="30" t="s">
        <v>50</v>
      </c>
      <c r="AG74" s="30" t="s">
        <v>50</v>
      </c>
      <c r="AH74" s="30" t="s">
        <v>50</v>
      </c>
      <c r="AI74" s="30" t="s">
        <v>1673</v>
      </c>
      <c r="AJ74" s="30" t="s">
        <v>50</v>
      </c>
      <c r="AK74" s="30" t="s">
        <v>50</v>
      </c>
      <c r="AL74" s="30" t="s">
        <v>50</v>
      </c>
      <c r="AM74" s="30" t="s">
        <v>50</v>
      </c>
      <c r="AN74" s="30" t="s">
        <v>1681</v>
      </c>
      <c r="AO74" s="30" t="s">
        <v>50</v>
      </c>
      <c r="AP74" s="30" t="s">
        <v>50</v>
      </c>
      <c r="AQ74" s="30" t="s">
        <v>50</v>
      </c>
      <c r="AR74" s="30" t="s">
        <v>1681</v>
      </c>
      <c r="AS74" s="30" t="s">
        <v>50</v>
      </c>
      <c r="AT74" s="30" t="s">
        <v>1682</v>
      </c>
      <c r="AU74" s="30" t="s">
        <v>50</v>
      </c>
      <c r="AV74" s="34">
        <v>168592409514</v>
      </c>
    </row>
    <row r="75" spans="2:48" ht="15" customHeight="1">
      <c r="B75" s="28">
        <v>69</v>
      </c>
      <c r="C75" s="29" t="s">
        <v>1938</v>
      </c>
      <c r="D75" s="30" t="s">
        <v>1939</v>
      </c>
      <c r="E75" s="31" t="s">
        <v>1940</v>
      </c>
      <c r="F75" s="31" t="s">
        <v>1941</v>
      </c>
      <c r="G75" s="32" t="s">
        <v>1942</v>
      </c>
      <c r="H75" s="30" t="s">
        <v>78</v>
      </c>
      <c r="I75" s="30" t="s">
        <v>595</v>
      </c>
      <c r="J75" s="32" t="s">
        <v>596</v>
      </c>
      <c r="K75" s="30" t="s">
        <v>595</v>
      </c>
      <c r="L75" s="32" t="s">
        <v>596</v>
      </c>
      <c r="M75" s="30" t="s">
        <v>1671</v>
      </c>
      <c r="N75" s="30" t="s">
        <v>1672</v>
      </c>
      <c r="O75" s="33">
        <v>23</v>
      </c>
      <c r="P75" s="33">
        <v>9420</v>
      </c>
      <c r="Q75" s="33">
        <v>9420</v>
      </c>
      <c r="R75" s="33">
        <v>59</v>
      </c>
      <c r="S75" s="33">
        <v>1</v>
      </c>
      <c r="T75" s="33">
        <v>1</v>
      </c>
      <c r="U75" s="33">
        <v>0</v>
      </c>
      <c r="V75" s="33">
        <v>0</v>
      </c>
      <c r="W75" s="33" t="s">
        <v>50</v>
      </c>
      <c r="X75" s="33">
        <v>1</v>
      </c>
      <c r="Y75" s="30" t="s">
        <v>70</v>
      </c>
      <c r="Z75" s="30" t="s">
        <v>192</v>
      </c>
      <c r="AA75" s="30" t="s">
        <v>192</v>
      </c>
      <c r="AB75" s="30"/>
      <c r="AC75" s="30"/>
      <c r="AD75" s="30" t="s">
        <v>50</v>
      </c>
      <c r="AE75" s="30" t="s">
        <v>50</v>
      </c>
      <c r="AF75" s="30" t="s">
        <v>50</v>
      </c>
      <c r="AG75" s="30" t="s">
        <v>50</v>
      </c>
      <c r="AH75" s="30" t="s">
        <v>50</v>
      </c>
      <c r="AI75" s="30" t="s">
        <v>1673</v>
      </c>
      <c r="AJ75" s="30" t="s">
        <v>50</v>
      </c>
      <c r="AK75" s="30" t="s">
        <v>50</v>
      </c>
      <c r="AL75" s="30" t="s">
        <v>50</v>
      </c>
      <c r="AM75" s="30" t="s">
        <v>50</v>
      </c>
      <c r="AN75" s="30" t="s">
        <v>50</v>
      </c>
      <c r="AO75" s="30" t="s">
        <v>50</v>
      </c>
      <c r="AP75" s="30" t="s">
        <v>50</v>
      </c>
      <c r="AQ75" s="30" t="s">
        <v>50</v>
      </c>
      <c r="AR75" s="30" t="s">
        <v>50</v>
      </c>
      <c r="AS75" s="30" t="s">
        <v>50</v>
      </c>
      <c r="AT75" s="30" t="s">
        <v>1711</v>
      </c>
      <c r="AU75" s="30" t="s">
        <v>50</v>
      </c>
      <c r="AV75" s="34">
        <v>168588440642</v>
      </c>
    </row>
    <row r="76" spans="2:48" ht="15" customHeight="1">
      <c r="B76" s="28">
        <v>70</v>
      </c>
      <c r="C76" s="29" t="s">
        <v>1943</v>
      </c>
      <c r="D76" s="30" t="s">
        <v>50</v>
      </c>
      <c r="E76" s="31" t="s">
        <v>1944</v>
      </c>
      <c r="F76" s="31" t="s">
        <v>1945</v>
      </c>
      <c r="G76" s="32" t="s">
        <v>1946</v>
      </c>
      <c r="H76" s="30" t="s">
        <v>62</v>
      </c>
      <c r="I76" s="30" t="s">
        <v>212</v>
      </c>
      <c r="J76" s="32" t="s">
        <v>213</v>
      </c>
      <c r="K76" s="30" t="s">
        <v>212</v>
      </c>
      <c r="L76" s="32" t="s">
        <v>213</v>
      </c>
      <c r="M76" s="30" t="s">
        <v>1671</v>
      </c>
      <c r="N76" s="30" t="s">
        <v>1672</v>
      </c>
      <c r="O76" s="33">
        <v>51</v>
      </c>
      <c r="P76" s="33">
        <v>145360</v>
      </c>
      <c r="Q76" s="33">
        <v>145360</v>
      </c>
      <c r="R76" s="33">
        <v>12409</v>
      </c>
      <c r="S76" s="33">
        <v>3</v>
      </c>
      <c r="T76" s="33">
        <v>2</v>
      </c>
      <c r="U76" s="33">
        <v>1</v>
      </c>
      <c r="V76" s="33">
        <v>0</v>
      </c>
      <c r="W76" s="33" t="s">
        <v>50</v>
      </c>
      <c r="X76" s="33">
        <v>1</v>
      </c>
      <c r="Y76" s="30" t="s">
        <v>64</v>
      </c>
      <c r="Z76" s="30" t="s">
        <v>186</v>
      </c>
      <c r="AA76" s="30" t="s">
        <v>186</v>
      </c>
      <c r="AB76" s="30"/>
      <c r="AC76" s="30"/>
      <c r="AD76" s="30" t="s">
        <v>50</v>
      </c>
      <c r="AE76" s="30" t="s">
        <v>50</v>
      </c>
      <c r="AF76" s="30" t="s">
        <v>50</v>
      </c>
      <c r="AG76" s="30" t="s">
        <v>50</v>
      </c>
      <c r="AH76" s="30" t="s">
        <v>50</v>
      </c>
      <c r="AI76" s="30" t="s">
        <v>1673</v>
      </c>
      <c r="AJ76" s="30" t="s">
        <v>187</v>
      </c>
      <c r="AK76" s="30" t="s">
        <v>50</v>
      </c>
      <c r="AL76" s="30" t="s">
        <v>50</v>
      </c>
      <c r="AM76" s="30" t="s">
        <v>50</v>
      </c>
      <c r="AN76" s="30" t="s">
        <v>50</v>
      </c>
      <c r="AO76" s="30" t="s">
        <v>50</v>
      </c>
      <c r="AP76" s="30" t="s">
        <v>50</v>
      </c>
      <c r="AQ76" s="30" t="s">
        <v>50</v>
      </c>
      <c r="AR76" s="30" t="s">
        <v>50</v>
      </c>
      <c r="AS76" s="30" t="s">
        <v>50</v>
      </c>
      <c r="AT76" s="30" t="s">
        <v>1682</v>
      </c>
      <c r="AU76" s="30" t="s">
        <v>50</v>
      </c>
      <c r="AV76" s="34">
        <v>168579491299</v>
      </c>
    </row>
    <row r="77" spans="2:48" ht="15" customHeight="1">
      <c r="B77" s="28">
        <v>71</v>
      </c>
      <c r="C77" s="29" t="s">
        <v>1947</v>
      </c>
      <c r="D77" s="30" t="s">
        <v>50</v>
      </c>
      <c r="E77" s="31" t="s">
        <v>1948</v>
      </c>
      <c r="F77" s="31" t="s">
        <v>50</v>
      </c>
      <c r="G77" s="32" t="s">
        <v>1949</v>
      </c>
      <c r="H77" s="30" t="s">
        <v>62</v>
      </c>
      <c r="I77" s="30" t="s">
        <v>862</v>
      </c>
      <c r="J77" s="32" t="s">
        <v>863</v>
      </c>
      <c r="K77" s="30" t="s">
        <v>622</v>
      </c>
      <c r="L77" s="32" t="s">
        <v>623</v>
      </c>
      <c r="M77" s="30" t="s">
        <v>1697</v>
      </c>
      <c r="N77" s="30" t="s">
        <v>1672</v>
      </c>
      <c r="O77" s="33">
        <v>7</v>
      </c>
      <c r="P77" s="33">
        <v>86541</v>
      </c>
      <c r="Q77" s="33">
        <v>0</v>
      </c>
      <c r="R77" s="33">
        <v>0</v>
      </c>
      <c r="S77" s="33">
        <v>0</v>
      </c>
      <c r="T77" s="33">
        <v>0</v>
      </c>
      <c r="U77" s="33">
        <v>0</v>
      </c>
      <c r="V77" s="33">
        <v>0</v>
      </c>
      <c r="W77" s="33" t="s">
        <v>50</v>
      </c>
      <c r="X77" s="33">
        <v>1</v>
      </c>
      <c r="Y77" s="30" t="s">
        <v>64</v>
      </c>
      <c r="Z77" s="30" t="s">
        <v>186</v>
      </c>
      <c r="AA77" s="30" t="s">
        <v>222</v>
      </c>
      <c r="AB77" s="30" t="s">
        <v>1316</v>
      </c>
      <c r="AC77" s="30">
        <v>38</v>
      </c>
      <c r="AD77" s="30" t="s">
        <v>1325</v>
      </c>
      <c r="AE77" s="30" t="s">
        <v>50</v>
      </c>
      <c r="AF77" s="30" t="s">
        <v>50</v>
      </c>
      <c r="AG77" s="30" t="s">
        <v>50</v>
      </c>
      <c r="AH77" s="30" t="s">
        <v>50</v>
      </c>
      <c r="AI77" s="30" t="s">
        <v>1673</v>
      </c>
      <c r="AJ77" s="30" t="s">
        <v>187</v>
      </c>
      <c r="AK77" s="30" t="s">
        <v>1950</v>
      </c>
      <c r="AL77" s="30" t="s">
        <v>558</v>
      </c>
      <c r="AM77" s="30" t="s">
        <v>50</v>
      </c>
      <c r="AN77" s="30" t="s">
        <v>1681</v>
      </c>
      <c r="AO77" s="30" t="s">
        <v>50</v>
      </c>
      <c r="AP77" s="30" t="s">
        <v>50</v>
      </c>
      <c r="AQ77" s="30" t="s">
        <v>50</v>
      </c>
      <c r="AR77" s="30" t="s">
        <v>50</v>
      </c>
      <c r="AS77" s="30" t="s">
        <v>50</v>
      </c>
      <c r="AT77" s="30" t="s">
        <v>299</v>
      </c>
      <c r="AU77" s="30" t="s">
        <v>50</v>
      </c>
      <c r="AV77" s="34">
        <v>168578583877</v>
      </c>
    </row>
    <row r="78" spans="2:48" ht="15" customHeight="1">
      <c r="B78" s="28">
        <v>72</v>
      </c>
      <c r="C78" s="29" t="s">
        <v>1951</v>
      </c>
      <c r="D78" s="30" t="s">
        <v>50</v>
      </c>
      <c r="E78" s="31" t="s">
        <v>1952</v>
      </c>
      <c r="F78" s="31" t="s">
        <v>50</v>
      </c>
      <c r="G78" s="32" t="s">
        <v>1953</v>
      </c>
      <c r="H78" s="30" t="s">
        <v>62</v>
      </c>
      <c r="I78" s="30" t="s">
        <v>862</v>
      </c>
      <c r="J78" s="32" t="s">
        <v>863</v>
      </c>
      <c r="K78" s="30" t="s">
        <v>340</v>
      </c>
      <c r="L78" s="32" t="s">
        <v>342</v>
      </c>
      <c r="M78" s="30" t="s">
        <v>1697</v>
      </c>
      <c r="N78" s="30" t="s">
        <v>1672</v>
      </c>
      <c r="O78" s="33">
        <v>2</v>
      </c>
      <c r="P78" s="33">
        <v>33519</v>
      </c>
      <c r="Q78" s="33">
        <v>0</v>
      </c>
      <c r="R78" s="33">
        <v>0</v>
      </c>
      <c r="S78" s="33">
        <v>0</v>
      </c>
      <c r="T78" s="33">
        <v>0</v>
      </c>
      <c r="U78" s="33">
        <v>0</v>
      </c>
      <c r="V78" s="33">
        <v>0</v>
      </c>
      <c r="W78" s="33" t="s">
        <v>50</v>
      </c>
      <c r="X78" s="33">
        <v>1</v>
      </c>
      <c r="Y78" s="30" t="s">
        <v>64</v>
      </c>
      <c r="Z78" s="30" t="s">
        <v>186</v>
      </c>
      <c r="AA78" s="30" t="s">
        <v>222</v>
      </c>
      <c r="AB78" s="30" t="s">
        <v>1316</v>
      </c>
      <c r="AC78" s="30">
        <v>38</v>
      </c>
      <c r="AD78" s="30" t="s">
        <v>1325</v>
      </c>
      <c r="AE78" s="30" t="s">
        <v>50</v>
      </c>
      <c r="AF78" s="30" t="s">
        <v>50</v>
      </c>
      <c r="AG78" s="30" t="s">
        <v>50</v>
      </c>
      <c r="AH78" s="30" t="s">
        <v>50</v>
      </c>
      <c r="AI78" s="30" t="s">
        <v>1673</v>
      </c>
      <c r="AJ78" s="30" t="s">
        <v>187</v>
      </c>
      <c r="AK78" s="30" t="s">
        <v>1954</v>
      </c>
      <c r="AL78" s="30" t="s">
        <v>344</v>
      </c>
      <c r="AM78" s="30" t="s">
        <v>50</v>
      </c>
      <c r="AN78" s="30" t="s">
        <v>1681</v>
      </c>
      <c r="AO78" s="30" t="s">
        <v>50</v>
      </c>
      <c r="AP78" s="30" t="s">
        <v>50</v>
      </c>
      <c r="AQ78" s="30" t="s">
        <v>50</v>
      </c>
      <c r="AR78" s="30" t="s">
        <v>50</v>
      </c>
      <c r="AS78" s="30" t="s">
        <v>50</v>
      </c>
      <c r="AT78" s="30" t="s">
        <v>299</v>
      </c>
      <c r="AU78" s="30" t="s">
        <v>50</v>
      </c>
      <c r="AV78" s="34">
        <v>168577933713</v>
      </c>
    </row>
    <row r="79" spans="2:48" ht="15" customHeight="1">
      <c r="B79" s="28">
        <v>73</v>
      </c>
      <c r="C79" s="29" t="s">
        <v>1955</v>
      </c>
      <c r="D79" s="30" t="s">
        <v>50</v>
      </c>
      <c r="E79" s="31" t="s">
        <v>1956</v>
      </c>
      <c r="F79" s="31" t="s">
        <v>50</v>
      </c>
      <c r="G79" s="32" t="s">
        <v>1957</v>
      </c>
      <c r="H79" s="30" t="s">
        <v>62</v>
      </c>
      <c r="I79" s="30" t="s">
        <v>1007</v>
      </c>
      <c r="J79" s="32" t="s">
        <v>1008</v>
      </c>
      <c r="K79" s="30" t="s">
        <v>248</v>
      </c>
      <c r="L79" s="32" t="s">
        <v>249</v>
      </c>
      <c r="M79" s="30" t="s">
        <v>1697</v>
      </c>
      <c r="N79" s="30" t="s">
        <v>1672</v>
      </c>
      <c r="O79" s="33">
        <v>5</v>
      </c>
      <c r="P79" s="33">
        <v>422734</v>
      </c>
      <c r="Q79" s="33">
        <v>32691</v>
      </c>
      <c r="R79" s="33">
        <v>0</v>
      </c>
      <c r="S79" s="33">
        <v>0</v>
      </c>
      <c r="T79" s="33">
        <v>0</v>
      </c>
      <c r="U79" s="33">
        <v>0</v>
      </c>
      <c r="V79" s="33">
        <v>0</v>
      </c>
      <c r="W79" s="33" t="s">
        <v>50</v>
      </c>
      <c r="X79" s="33">
        <v>1</v>
      </c>
      <c r="Y79" s="30" t="s">
        <v>64</v>
      </c>
      <c r="Z79" s="30" t="s">
        <v>186</v>
      </c>
      <c r="AA79" s="30" t="s">
        <v>186</v>
      </c>
      <c r="AB79" s="30"/>
      <c r="AC79" s="30"/>
      <c r="AD79" s="30" t="s">
        <v>50</v>
      </c>
      <c r="AE79" s="30" t="s">
        <v>50</v>
      </c>
      <c r="AF79" s="30" t="s">
        <v>50</v>
      </c>
      <c r="AG79" s="30" t="s">
        <v>50</v>
      </c>
      <c r="AH79" s="30" t="s">
        <v>50</v>
      </c>
      <c r="AI79" s="30" t="s">
        <v>1673</v>
      </c>
      <c r="AJ79" s="30" t="s">
        <v>187</v>
      </c>
      <c r="AK79" s="30" t="s">
        <v>189</v>
      </c>
      <c r="AL79" s="30" t="s">
        <v>189</v>
      </c>
      <c r="AM79" s="30" t="s">
        <v>50</v>
      </c>
      <c r="AN79" s="30" t="s">
        <v>1681</v>
      </c>
      <c r="AO79" s="30" t="s">
        <v>50</v>
      </c>
      <c r="AP79" s="30" t="s">
        <v>50</v>
      </c>
      <c r="AQ79" s="30" t="s">
        <v>50</v>
      </c>
      <c r="AR79" s="30" t="s">
        <v>50</v>
      </c>
      <c r="AS79" s="30" t="s">
        <v>50</v>
      </c>
      <c r="AT79" s="30" t="s">
        <v>299</v>
      </c>
      <c r="AU79" s="30" t="s">
        <v>50</v>
      </c>
      <c r="AV79" s="34">
        <v>168572017842</v>
      </c>
    </row>
    <row r="80" spans="2:48" ht="15" customHeight="1">
      <c r="B80" s="28">
        <v>74</v>
      </c>
      <c r="C80" s="29" t="s">
        <v>1958</v>
      </c>
      <c r="D80" s="30" t="s">
        <v>50</v>
      </c>
      <c r="E80" s="31" t="s">
        <v>1959</v>
      </c>
      <c r="F80" s="31" t="s">
        <v>50</v>
      </c>
      <c r="G80" s="32" t="s">
        <v>1960</v>
      </c>
      <c r="H80" s="30" t="s">
        <v>62</v>
      </c>
      <c r="I80" s="30" t="s">
        <v>308</v>
      </c>
      <c r="J80" s="32" t="s">
        <v>309</v>
      </c>
      <c r="K80" s="30" t="s">
        <v>308</v>
      </c>
      <c r="L80" s="32" t="s">
        <v>309</v>
      </c>
      <c r="M80" s="30" t="s">
        <v>1671</v>
      </c>
      <c r="N80" s="30" t="s">
        <v>1672</v>
      </c>
      <c r="O80" s="33"/>
      <c r="P80" s="33">
        <v>7</v>
      </c>
      <c r="Q80" s="33">
        <v>7</v>
      </c>
      <c r="R80" s="33">
        <v>0</v>
      </c>
      <c r="S80" s="33">
        <v>0</v>
      </c>
      <c r="T80" s="33">
        <v>0</v>
      </c>
      <c r="U80" s="33">
        <v>0</v>
      </c>
      <c r="V80" s="33">
        <v>0</v>
      </c>
      <c r="W80" s="33" t="s">
        <v>50</v>
      </c>
      <c r="X80" s="33">
        <v>1</v>
      </c>
      <c r="Y80" s="30" t="s">
        <v>64</v>
      </c>
      <c r="Z80" s="30" t="s">
        <v>186</v>
      </c>
      <c r="AA80" s="30" t="s">
        <v>186</v>
      </c>
      <c r="AB80" s="30"/>
      <c r="AC80" s="30"/>
      <c r="AD80" s="30" t="s">
        <v>50</v>
      </c>
      <c r="AE80" s="30" t="s">
        <v>50</v>
      </c>
      <c r="AF80" s="30" t="s">
        <v>50</v>
      </c>
      <c r="AG80" s="30" t="s">
        <v>50</v>
      </c>
      <c r="AH80" s="30" t="s">
        <v>50</v>
      </c>
      <c r="AI80" s="30" t="s">
        <v>1673</v>
      </c>
      <c r="AJ80" s="30" t="s">
        <v>187</v>
      </c>
      <c r="AK80" s="30" t="s">
        <v>201</v>
      </c>
      <c r="AL80" s="30" t="s">
        <v>201</v>
      </c>
      <c r="AM80" s="30" t="s">
        <v>50</v>
      </c>
      <c r="AN80" s="30" t="s">
        <v>50</v>
      </c>
      <c r="AO80" s="30" t="s">
        <v>50</v>
      </c>
      <c r="AP80" s="30" t="s">
        <v>50</v>
      </c>
      <c r="AQ80" s="30" t="s">
        <v>50</v>
      </c>
      <c r="AR80" s="30" t="s">
        <v>50</v>
      </c>
      <c r="AS80" s="30" t="s">
        <v>50</v>
      </c>
      <c r="AT80" s="30" t="s">
        <v>1682</v>
      </c>
      <c r="AU80" s="30" t="s">
        <v>50</v>
      </c>
      <c r="AV80" s="34">
        <v>168566740727</v>
      </c>
    </row>
    <row r="81" spans="2:48" ht="15" customHeight="1">
      <c r="B81" s="28">
        <v>75</v>
      </c>
      <c r="C81" s="29" t="s">
        <v>1961</v>
      </c>
      <c r="D81" s="30" t="s">
        <v>50</v>
      </c>
      <c r="E81" s="31" t="s">
        <v>1962</v>
      </c>
      <c r="F81" s="31" t="s">
        <v>50</v>
      </c>
      <c r="G81" s="32" t="s">
        <v>1963</v>
      </c>
      <c r="H81" s="30" t="s">
        <v>95</v>
      </c>
      <c r="I81" s="30" t="s">
        <v>994</v>
      </c>
      <c r="J81" s="32" t="s">
        <v>995</v>
      </c>
      <c r="K81" s="30" t="s">
        <v>826</v>
      </c>
      <c r="L81" s="32" t="s">
        <v>827</v>
      </c>
      <c r="M81" s="30" t="s">
        <v>1697</v>
      </c>
      <c r="N81" s="30" t="s">
        <v>1672</v>
      </c>
      <c r="O81" s="33"/>
      <c r="P81" s="33">
        <v>0</v>
      </c>
      <c r="Q81" s="33">
        <v>0</v>
      </c>
      <c r="R81" s="33" t="s">
        <v>158</v>
      </c>
      <c r="S81" s="33">
        <v>0</v>
      </c>
      <c r="T81" s="33" t="s">
        <v>158</v>
      </c>
      <c r="U81" s="33" t="s">
        <v>158</v>
      </c>
      <c r="V81" s="33" t="s">
        <v>158</v>
      </c>
      <c r="W81" s="33" t="s">
        <v>50</v>
      </c>
      <c r="X81" s="33">
        <v>1</v>
      </c>
      <c r="Y81" s="30" t="s">
        <v>75</v>
      </c>
      <c r="Z81" s="30" t="s">
        <v>192</v>
      </c>
      <c r="AA81" s="30" t="s">
        <v>192</v>
      </c>
      <c r="AB81" s="30"/>
      <c r="AC81" s="30"/>
      <c r="AD81" s="30" t="s">
        <v>50</v>
      </c>
      <c r="AE81" s="30" t="s">
        <v>50</v>
      </c>
      <c r="AF81" s="30" t="s">
        <v>50</v>
      </c>
      <c r="AG81" s="30" t="s">
        <v>50</v>
      </c>
      <c r="AH81" s="30" t="s">
        <v>50</v>
      </c>
      <c r="AI81" s="30" t="s">
        <v>1673</v>
      </c>
      <c r="AJ81" s="30" t="s">
        <v>187</v>
      </c>
      <c r="AK81" s="30" t="s">
        <v>50</v>
      </c>
      <c r="AL81" s="30" t="s">
        <v>50</v>
      </c>
      <c r="AM81" s="30" t="s">
        <v>50</v>
      </c>
      <c r="AN81" s="30" t="s">
        <v>1681</v>
      </c>
      <c r="AO81" s="30" t="s">
        <v>50</v>
      </c>
      <c r="AP81" s="30" t="s">
        <v>50</v>
      </c>
      <c r="AQ81" s="30" t="s">
        <v>50</v>
      </c>
      <c r="AR81" s="30" t="s">
        <v>50</v>
      </c>
      <c r="AS81" s="30" t="s">
        <v>50</v>
      </c>
      <c r="AT81" s="30" t="s">
        <v>1682</v>
      </c>
      <c r="AU81" s="30" t="s">
        <v>50</v>
      </c>
      <c r="AV81" s="34">
        <v>168589514342</v>
      </c>
    </row>
    <row r="82" spans="2:48" ht="15" customHeight="1">
      <c r="B82" s="28">
        <v>76</v>
      </c>
      <c r="C82" s="29" t="s">
        <v>1964</v>
      </c>
      <c r="D82" s="30" t="s">
        <v>1965</v>
      </c>
      <c r="E82" s="31" t="s">
        <v>1966</v>
      </c>
      <c r="F82" s="31" t="s">
        <v>1967</v>
      </c>
      <c r="G82" s="32" t="s">
        <v>1968</v>
      </c>
      <c r="H82" s="30" t="s">
        <v>118</v>
      </c>
      <c r="I82" s="30" t="s">
        <v>733</v>
      </c>
      <c r="J82" s="32" t="s">
        <v>734</v>
      </c>
      <c r="K82" s="30" t="s">
        <v>733</v>
      </c>
      <c r="L82" s="32" t="s">
        <v>734</v>
      </c>
      <c r="M82" s="30" t="s">
        <v>1671</v>
      </c>
      <c r="N82" s="30" t="s">
        <v>1672</v>
      </c>
      <c r="O82" s="33"/>
      <c r="P82" s="33">
        <v>115</v>
      </c>
      <c r="Q82" s="33">
        <v>115</v>
      </c>
      <c r="R82" s="33">
        <v>136</v>
      </c>
      <c r="S82" s="33">
        <v>0</v>
      </c>
      <c r="T82" s="33">
        <v>0</v>
      </c>
      <c r="U82" s="33">
        <v>0</v>
      </c>
      <c r="V82" s="33">
        <v>0</v>
      </c>
      <c r="W82" s="33" t="s">
        <v>50</v>
      </c>
      <c r="X82" s="33">
        <v>1</v>
      </c>
      <c r="Y82" s="30" t="s">
        <v>70</v>
      </c>
      <c r="Z82" s="30" t="s">
        <v>222</v>
      </c>
      <c r="AA82" s="30" t="s">
        <v>222</v>
      </c>
      <c r="AB82" s="30"/>
      <c r="AC82" s="30"/>
      <c r="AD82" s="30" t="s">
        <v>50</v>
      </c>
      <c r="AE82" s="30" t="s">
        <v>50</v>
      </c>
      <c r="AF82" s="30" t="s">
        <v>50</v>
      </c>
      <c r="AG82" s="30" t="s">
        <v>50</v>
      </c>
      <c r="AH82" s="30" t="s">
        <v>50</v>
      </c>
      <c r="AI82" s="30" t="s">
        <v>1673</v>
      </c>
      <c r="AJ82" s="30" t="s">
        <v>50</v>
      </c>
      <c r="AK82" s="30" t="s">
        <v>50</v>
      </c>
      <c r="AL82" s="30" t="s">
        <v>50</v>
      </c>
      <c r="AM82" s="30" t="s">
        <v>50</v>
      </c>
      <c r="AN82" s="30" t="s">
        <v>50</v>
      </c>
      <c r="AO82" s="30" t="s">
        <v>50</v>
      </c>
      <c r="AP82" s="30" t="s">
        <v>50</v>
      </c>
      <c r="AQ82" s="30" t="s">
        <v>50</v>
      </c>
      <c r="AR82" s="30" t="s">
        <v>50</v>
      </c>
      <c r="AS82" s="30" t="s">
        <v>50</v>
      </c>
      <c r="AT82" s="30" t="s">
        <v>1682</v>
      </c>
      <c r="AU82" s="30" t="s">
        <v>50</v>
      </c>
      <c r="AV82" s="34">
        <v>168613257622</v>
      </c>
    </row>
    <row r="83" spans="2:48" ht="15" customHeight="1">
      <c r="B83" s="28">
        <v>77</v>
      </c>
      <c r="C83" s="29" t="s">
        <v>1969</v>
      </c>
      <c r="D83" s="30" t="s">
        <v>50</v>
      </c>
      <c r="E83" s="31" t="s">
        <v>1970</v>
      </c>
      <c r="F83" s="31" t="s">
        <v>50</v>
      </c>
      <c r="G83" s="32" t="s">
        <v>1971</v>
      </c>
      <c r="H83" s="30" t="s">
        <v>81</v>
      </c>
      <c r="I83" s="30" t="s">
        <v>1972</v>
      </c>
      <c r="J83" s="32" t="s">
        <v>530</v>
      </c>
      <c r="K83" s="30" t="s">
        <v>1972</v>
      </c>
      <c r="L83" s="32" t="s">
        <v>530</v>
      </c>
      <c r="M83" s="30" t="s">
        <v>1697</v>
      </c>
      <c r="N83" s="30" t="s">
        <v>1672</v>
      </c>
      <c r="O83" s="33">
        <v>5</v>
      </c>
      <c r="P83" s="33">
        <v>52885</v>
      </c>
      <c r="Q83" s="33">
        <v>52885</v>
      </c>
      <c r="R83" s="33">
        <v>0</v>
      </c>
      <c r="S83" s="33">
        <v>4</v>
      </c>
      <c r="T83" s="33">
        <v>4</v>
      </c>
      <c r="U83" s="33">
        <v>0</v>
      </c>
      <c r="V83" s="33">
        <v>0</v>
      </c>
      <c r="W83" s="33" t="s">
        <v>50</v>
      </c>
      <c r="X83" s="33">
        <v>1</v>
      </c>
      <c r="Y83" s="30" t="s">
        <v>64</v>
      </c>
      <c r="Z83" s="30" t="s">
        <v>222</v>
      </c>
      <c r="AA83" s="30" t="s">
        <v>222</v>
      </c>
      <c r="AB83" s="30"/>
      <c r="AC83" s="30"/>
      <c r="AD83" s="30" t="s">
        <v>50</v>
      </c>
      <c r="AE83" s="30" t="s">
        <v>50</v>
      </c>
      <c r="AF83" s="30" t="s">
        <v>50</v>
      </c>
      <c r="AG83" s="30" t="s">
        <v>50</v>
      </c>
      <c r="AH83" s="30" t="s">
        <v>50</v>
      </c>
      <c r="AI83" s="30" t="s">
        <v>1673</v>
      </c>
      <c r="AJ83" s="30" t="s">
        <v>50</v>
      </c>
      <c r="AK83" s="30" t="s">
        <v>50</v>
      </c>
      <c r="AL83" s="30" t="s">
        <v>50</v>
      </c>
      <c r="AM83" s="30" t="s">
        <v>50</v>
      </c>
      <c r="AN83" s="30" t="s">
        <v>1681</v>
      </c>
      <c r="AO83" s="30" t="s">
        <v>50</v>
      </c>
      <c r="AP83" s="30" t="s">
        <v>50</v>
      </c>
      <c r="AQ83" s="30" t="s">
        <v>50</v>
      </c>
      <c r="AR83" s="30" t="s">
        <v>50</v>
      </c>
      <c r="AS83" s="30" t="s">
        <v>50</v>
      </c>
      <c r="AT83" s="30" t="s">
        <v>1711</v>
      </c>
      <c r="AU83" s="30" t="s">
        <v>50</v>
      </c>
      <c r="AV83" s="34">
        <v>168606700594</v>
      </c>
    </row>
    <row r="84" spans="2:48" ht="15" customHeight="1">
      <c r="B84" s="28">
        <v>78</v>
      </c>
      <c r="C84" s="29" t="s">
        <v>1973</v>
      </c>
      <c r="D84" s="30" t="s">
        <v>50</v>
      </c>
      <c r="E84" s="31" t="s">
        <v>1974</v>
      </c>
      <c r="F84" s="31" t="s">
        <v>50</v>
      </c>
      <c r="G84" s="32" t="s">
        <v>1975</v>
      </c>
      <c r="H84" s="30" t="s">
        <v>62</v>
      </c>
      <c r="I84" s="30" t="s">
        <v>925</v>
      </c>
      <c r="J84" s="32" t="s">
        <v>926</v>
      </c>
      <c r="K84" s="30" t="s">
        <v>248</v>
      </c>
      <c r="L84" s="32" t="s">
        <v>249</v>
      </c>
      <c r="M84" s="30" t="s">
        <v>1697</v>
      </c>
      <c r="N84" s="30" t="s">
        <v>1672</v>
      </c>
      <c r="O84" s="33">
        <v>5</v>
      </c>
      <c r="P84" s="33">
        <v>422734</v>
      </c>
      <c r="Q84" s="33">
        <v>707</v>
      </c>
      <c r="R84" s="33">
        <v>0</v>
      </c>
      <c r="S84" s="33">
        <v>0</v>
      </c>
      <c r="T84" s="33">
        <v>0</v>
      </c>
      <c r="U84" s="33">
        <v>0</v>
      </c>
      <c r="V84" s="33">
        <v>0</v>
      </c>
      <c r="W84" s="33" t="s">
        <v>50</v>
      </c>
      <c r="X84" s="33">
        <v>1</v>
      </c>
      <c r="Y84" s="30" t="s">
        <v>64</v>
      </c>
      <c r="Z84" s="30" t="s">
        <v>186</v>
      </c>
      <c r="AA84" s="30" t="s">
        <v>222</v>
      </c>
      <c r="AB84" s="30" t="s">
        <v>1316</v>
      </c>
      <c r="AC84" s="30"/>
      <c r="AD84" s="30" t="s">
        <v>50</v>
      </c>
      <c r="AE84" s="30" t="s">
        <v>50</v>
      </c>
      <c r="AF84" s="30" t="s">
        <v>50</v>
      </c>
      <c r="AG84" s="30" t="s">
        <v>50</v>
      </c>
      <c r="AH84" s="30" t="s">
        <v>50</v>
      </c>
      <c r="AI84" s="30" t="s">
        <v>1673</v>
      </c>
      <c r="AJ84" s="30" t="s">
        <v>187</v>
      </c>
      <c r="AK84" s="30" t="s">
        <v>189</v>
      </c>
      <c r="AL84" s="30" t="s">
        <v>189</v>
      </c>
      <c r="AM84" s="30" t="s">
        <v>50</v>
      </c>
      <c r="AN84" s="30" t="s">
        <v>1681</v>
      </c>
      <c r="AO84" s="30" t="s">
        <v>50</v>
      </c>
      <c r="AP84" s="30" t="s">
        <v>50</v>
      </c>
      <c r="AQ84" s="30" t="s">
        <v>50</v>
      </c>
      <c r="AR84" s="30" t="s">
        <v>50</v>
      </c>
      <c r="AS84" s="30" t="s">
        <v>50</v>
      </c>
      <c r="AT84" s="30" t="s">
        <v>299</v>
      </c>
      <c r="AU84" s="30" t="s">
        <v>50</v>
      </c>
      <c r="AV84" s="34">
        <v>168537976706</v>
      </c>
    </row>
    <row r="85" spans="2:48" ht="15" customHeight="1">
      <c r="B85" s="28">
        <v>79</v>
      </c>
      <c r="C85" s="29" t="s">
        <v>1976</v>
      </c>
      <c r="D85" s="30" t="s">
        <v>50</v>
      </c>
      <c r="E85" s="31" t="s">
        <v>1977</v>
      </c>
      <c r="F85" s="31" t="s">
        <v>50</v>
      </c>
      <c r="G85" s="32" t="s">
        <v>1978</v>
      </c>
      <c r="H85" s="30" t="s">
        <v>62</v>
      </c>
      <c r="I85" s="30" t="s">
        <v>252</v>
      </c>
      <c r="J85" s="32" t="s">
        <v>253</v>
      </c>
      <c r="K85" s="30" t="s">
        <v>252</v>
      </c>
      <c r="L85" s="32" t="s">
        <v>253</v>
      </c>
      <c r="M85" s="30" t="s">
        <v>1671</v>
      </c>
      <c r="N85" s="30" t="s">
        <v>1672</v>
      </c>
      <c r="O85" s="33"/>
      <c r="P85" s="33">
        <v>18236</v>
      </c>
      <c r="Q85" s="33">
        <v>18236</v>
      </c>
      <c r="R85" s="33">
        <v>331</v>
      </c>
      <c r="S85" s="33">
        <v>0</v>
      </c>
      <c r="T85" s="33">
        <v>0</v>
      </c>
      <c r="U85" s="33">
        <v>0</v>
      </c>
      <c r="V85" s="33">
        <v>0</v>
      </c>
      <c r="W85" s="33" t="s">
        <v>50</v>
      </c>
      <c r="X85" s="33">
        <v>2</v>
      </c>
      <c r="Y85" s="30" t="s">
        <v>64</v>
      </c>
      <c r="Z85" s="30" t="s">
        <v>186</v>
      </c>
      <c r="AA85" s="30" t="s">
        <v>186</v>
      </c>
      <c r="AB85" s="30"/>
      <c r="AC85" s="30"/>
      <c r="AD85" s="30" t="s">
        <v>50</v>
      </c>
      <c r="AE85" s="30" t="s">
        <v>50</v>
      </c>
      <c r="AF85" s="30" t="s">
        <v>50</v>
      </c>
      <c r="AG85" s="30" t="s">
        <v>50</v>
      </c>
      <c r="AH85" s="30" t="s">
        <v>50</v>
      </c>
      <c r="AI85" s="30" t="s">
        <v>1673</v>
      </c>
      <c r="AJ85" s="30" t="s">
        <v>50</v>
      </c>
      <c r="AK85" s="30" t="s">
        <v>50</v>
      </c>
      <c r="AL85" s="30" t="s">
        <v>50</v>
      </c>
      <c r="AM85" s="30" t="s">
        <v>50</v>
      </c>
      <c r="AN85" s="30" t="s">
        <v>50</v>
      </c>
      <c r="AO85" s="30" t="s">
        <v>50</v>
      </c>
      <c r="AP85" s="30" t="s">
        <v>50</v>
      </c>
      <c r="AQ85" s="30" t="s">
        <v>1979</v>
      </c>
      <c r="AR85" s="30" t="s">
        <v>50</v>
      </c>
      <c r="AS85" s="30" t="s">
        <v>50</v>
      </c>
      <c r="AT85" s="30" t="s">
        <v>1682</v>
      </c>
      <c r="AU85" s="30" t="s">
        <v>50</v>
      </c>
      <c r="AV85" s="34">
        <v>168537657355</v>
      </c>
    </row>
    <row r="86" spans="2:48" ht="15" customHeight="1">
      <c r="B86" s="28">
        <v>80</v>
      </c>
      <c r="C86" s="29" t="s">
        <v>1976</v>
      </c>
      <c r="D86" s="30" t="s">
        <v>1980</v>
      </c>
      <c r="E86" s="31" t="s">
        <v>1981</v>
      </c>
      <c r="F86" s="31" t="s">
        <v>50</v>
      </c>
      <c r="G86" s="32" t="s">
        <v>1982</v>
      </c>
      <c r="H86" s="30" t="s">
        <v>76</v>
      </c>
      <c r="I86" s="30" t="s">
        <v>252</v>
      </c>
      <c r="J86" s="32" t="s">
        <v>404</v>
      </c>
      <c r="K86" s="30" t="s">
        <v>252</v>
      </c>
      <c r="L86" s="32" t="s">
        <v>404</v>
      </c>
      <c r="M86" s="30" t="s">
        <v>1671</v>
      </c>
      <c r="N86" s="30" t="s">
        <v>1672</v>
      </c>
      <c r="O86" s="33">
        <v>12</v>
      </c>
      <c r="P86" s="33">
        <v>13612</v>
      </c>
      <c r="Q86" s="33">
        <v>13612</v>
      </c>
      <c r="R86" s="33">
        <v>0</v>
      </c>
      <c r="S86" s="33">
        <v>0</v>
      </c>
      <c r="T86" s="33">
        <v>0</v>
      </c>
      <c r="U86" s="33">
        <v>0</v>
      </c>
      <c r="V86" s="33">
        <v>0</v>
      </c>
      <c r="W86" s="33" t="s">
        <v>50</v>
      </c>
      <c r="X86" s="33">
        <v>2</v>
      </c>
      <c r="Y86" s="30" t="s">
        <v>64</v>
      </c>
      <c r="Z86" s="30" t="s">
        <v>186</v>
      </c>
      <c r="AA86" s="30" t="s">
        <v>186</v>
      </c>
      <c r="AB86" s="30"/>
      <c r="AC86" s="30"/>
      <c r="AD86" s="30" t="s">
        <v>50</v>
      </c>
      <c r="AE86" s="30" t="s">
        <v>50</v>
      </c>
      <c r="AF86" s="30" t="s">
        <v>50</v>
      </c>
      <c r="AG86" s="30" t="s">
        <v>50</v>
      </c>
      <c r="AH86" s="30" t="s">
        <v>50</v>
      </c>
      <c r="AI86" s="30" t="s">
        <v>1673</v>
      </c>
      <c r="AJ86" s="30" t="s">
        <v>50</v>
      </c>
      <c r="AK86" s="30" t="s">
        <v>50</v>
      </c>
      <c r="AL86" s="30" t="s">
        <v>50</v>
      </c>
      <c r="AM86" s="30" t="s">
        <v>50</v>
      </c>
      <c r="AN86" s="30" t="s">
        <v>50</v>
      </c>
      <c r="AO86" s="30" t="s">
        <v>50</v>
      </c>
      <c r="AP86" s="30" t="s">
        <v>50</v>
      </c>
      <c r="AQ86" s="30" t="s">
        <v>50</v>
      </c>
      <c r="AR86" s="30" t="s">
        <v>50</v>
      </c>
      <c r="AS86" s="30" t="s">
        <v>50</v>
      </c>
      <c r="AT86" s="30" t="s">
        <v>1682</v>
      </c>
      <c r="AU86" s="30" t="s">
        <v>50</v>
      </c>
      <c r="AV86" s="34">
        <v>168537710558</v>
      </c>
    </row>
    <row r="87" spans="2:48" ht="15" customHeight="1">
      <c r="B87" s="28">
        <v>81</v>
      </c>
      <c r="C87" s="29" t="s">
        <v>1983</v>
      </c>
      <c r="D87" s="30" t="s">
        <v>50</v>
      </c>
      <c r="E87" s="31" t="s">
        <v>1984</v>
      </c>
      <c r="F87" s="31" t="s">
        <v>50</v>
      </c>
      <c r="G87" s="32" t="s">
        <v>1985</v>
      </c>
      <c r="H87" s="30" t="s">
        <v>62</v>
      </c>
      <c r="I87" s="30" t="s">
        <v>1141</v>
      </c>
      <c r="J87" s="32" t="s">
        <v>1142</v>
      </c>
      <c r="K87" s="30" t="s">
        <v>717</v>
      </c>
      <c r="L87" s="32" t="s">
        <v>718</v>
      </c>
      <c r="M87" s="30" t="s">
        <v>1697</v>
      </c>
      <c r="N87" s="30" t="s">
        <v>1672</v>
      </c>
      <c r="O87" s="33"/>
      <c r="P87" s="33">
        <v>2109</v>
      </c>
      <c r="Q87" s="33">
        <v>37</v>
      </c>
      <c r="R87" s="33">
        <v>0</v>
      </c>
      <c r="S87" s="33">
        <v>1</v>
      </c>
      <c r="T87" s="33">
        <v>1</v>
      </c>
      <c r="U87" s="33">
        <v>0</v>
      </c>
      <c r="V87" s="33">
        <v>0</v>
      </c>
      <c r="W87" s="33" t="s">
        <v>50</v>
      </c>
      <c r="X87" s="33">
        <v>1</v>
      </c>
      <c r="Y87" s="30" t="s">
        <v>64</v>
      </c>
      <c r="Z87" s="30" t="s">
        <v>186</v>
      </c>
      <c r="AA87" s="30" t="s">
        <v>222</v>
      </c>
      <c r="AB87" s="30" t="s">
        <v>1316</v>
      </c>
      <c r="AC87" s="30">
        <v>59</v>
      </c>
      <c r="AD87" s="30" t="s">
        <v>1325</v>
      </c>
      <c r="AE87" s="30" t="s">
        <v>50</v>
      </c>
      <c r="AF87" s="30" t="s">
        <v>50</v>
      </c>
      <c r="AG87" s="30" t="s">
        <v>50</v>
      </c>
      <c r="AH87" s="30" t="s">
        <v>50</v>
      </c>
      <c r="AI87" s="30" t="s">
        <v>1673</v>
      </c>
      <c r="AJ87" s="30" t="s">
        <v>187</v>
      </c>
      <c r="AK87" s="30" t="s">
        <v>201</v>
      </c>
      <c r="AL87" s="30" t="s">
        <v>201</v>
      </c>
      <c r="AM87" s="30" t="s">
        <v>50</v>
      </c>
      <c r="AN87" s="30" t="s">
        <v>1681</v>
      </c>
      <c r="AO87" s="30" t="s">
        <v>50</v>
      </c>
      <c r="AP87" s="30" t="s">
        <v>50</v>
      </c>
      <c r="AQ87" s="30" t="s">
        <v>50</v>
      </c>
      <c r="AR87" s="30" t="s">
        <v>50</v>
      </c>
      <c r="AS87" s="30" t="s">
        <v>50</v>
      </c>
      <c r="AT87" s="30" t="s">
        <v>299</v>
      </c>
      <c r="AU87" s="30" t="s">
        <v>50</v>
      </c>
      <c r="AV87" s="34">
        <v>168532737514</v>
      </c>
    </row>
    <row r="88" spans="2:48" ht="15" customHeight="1">
      <c r="B88" s="28">
        <v>82</v>
      </c>
      <c r="C88" s="29" t="s">
        <v>1986</v>
      </c>
      <c r="D88" s="30" t="s">
        <v>50</v>
      </c>
      <c r="E88" s="31" t="s">
        <v>1987</v>
      </c>
      <c r="F88" s="31" t="s">
        <v>50</v>
      </c>
      <c r="G88" s="32" t="s">
        <v>1988</v>
      </c>
      <c r="H88" s="30" t="s">
        <v>71</v>
      </c>
      <c r="I88" s="30" t="s">
        <v>325</v>
      </c>
      <c r="J88" s="32" t="s">
        <v>326</v>
      </c>
      <c r="K88" s="30" t="s">
        <v>325</v>
      </c>
      <c r="L88" s="32" t="s">
        <v>326</v>
      </c>
      <c r="M88" s="30" t="s">
        <v>1989</v>
      </c>
      <c r="N88" s="30" t="s">
        <v>1672</v>
      </c>
      <c r="O88" s="33"/>
      <c r="P88" s="33">
        <v>9325</v>
      </c>
      <c r="Q88" s="33">
        <v>5046</v>
      </c>
      <c r="R88" s="33">
        <v>0</v>
      </c>
      <c r="S88" s="33">
        <v>0</v>
      </c>
      <c r="T88" s="33">
        <v>0</v>
      </c>
      <c r="U88" s="33">
        <v>0</v>
      </c>
      <c r="V88" s="33">
        <v>0</v>
      </c>
      <c r="W88" s="33" t="s">
        <v>50</v>
      </c>
      <c r="X88" s="33">
        <v>1</v>
      </c>
      <c r="Y88" s="30" t="s">
        <v>64</v>
      </c>
      <c r="Z88" s="30" t="s">
        <v>222</v>
      </c>
      <c r="AA88" s="30" t="s">
        <v>192</v>
      </c>
      <c r="AB88" s="30" t="s">
        <v>1316</v>
      </c>
      <c r="AC88" s="30"/>
      <c r="AD88" s="30" t="s">
        <v>50</v>
      </c>
      <c r="AE88" s="30" t="s">
        <v>50</v>
      </c>
      <c r="AF88" s="30" t="s">
        <v>50</v>
      </c>
      <c r="AG88" s="30" t="s">
        <v>50</v>
      </c>
      <c r="AH88" s="30" t="s">
        <v>50</v>
      </c>
      <c r="AI88" s="30" t="s">
        <v>1673</v>
      </c>
      <c r="AJ88" s="30" t="s">
        <v>187</v>
      </c>
      <c r="AK88" s="30" t="s">
        <v>201</v>
      </c>
      <c r="AL88" s="30" t="s">
        <v>201</v>
      </c>
      <c r="AM88" s="30" t="s">
        <v>37</v>
      </c>
      <c r="AN88" s="30" t="s">
        <v>1681</v>
      </c>
      <c r="AO88" s="30" t="s">
        <v>50</v>
      </c>
      <c r="AP88" s="30" t="s">
        <v>50</v>
      </c>
      <c r="AQ88" s="30" t="s">
        <v>50</v>
      </c>
      <c r="AR88" s="30" t="s">
        <v>50</v>
      </c>
      <c r="AS88" s="30" t="s">
        <v>50</v>
      </c>
      <c r="AT88" s="30" t="s">
        <v>1711</v>
      </c>
      <c r="AU88" s="30" t="s">
        <v>50</v>
      </c>
      <c r="AV88" s="34">
        <v>168517163981</v>
      </c>
    </row>
    <row r="89" spans="2:48" ht="15" customHeight="1">
      <c r="B89" s="28">
        <v>83</v>
      </c>
      <c r="C89" s="29" t="s">
        <v>1990</v>
      </c>
      <c r="D89" s="30" t="s">
        <v>50</v>
      </c>
      <c r="E89" s="31" t="s">
        <v>1991</v>
      </c>
      <c r="F89" s="31" t="s">
        <v>50</v>
      </c>
      <c r="G89" s="32" t="s">
        <v>1992</v>
      </c>
      <c r="H89" s="30" t="s">
        <v>71</v>
      </c>
      <c r="I89" s="30" t="s">
        <v>323</v>
      </c>
      <c r="J89" s="32" t="s">
        <v>324</v>
      </c>
      <c r="K89" s="30" t="s">
        <v>323</v>
      </c>
      <c r="L89" s="32" t="s">
        <v>324</v>
      </c>
      <c r="M89" s="30" t="s">
        <v>1989</v>
      </c>
      <c r="N89" s="30" t="s">
        <v>1672</v>
      </c>
      <c r="O89" s="33"/>
      <c r="P89" s="33">
        <v>1486</v>
      </c>
      <c r="Q89" s="33">
        <v>1004</v>
      </c>
      <c r="R89" s="33">
        <v>0</v>
      </c>
      <c r="S89" s="33">
        <v>0</v>
      </c>
      <c r="T89" s="33">
        <v>0</v>
      </c>
      <c r="U89" s="33">
        <v>0</v>
      </c>
      <c r="V89" s="33">
        <v>0</v>
      </c>
      <c r="W89" s="33" t="s">
        <v>50</v>
      </c>
      <c r="X89" s="33">
        <v>7</v>
      </c>
      <c r="Y89" s="30" t="s">
        <v>64</v>
      </c>
      <c r="Z89" s="30" t="s">
        <v>222</v>
      </c>
      <c r="AA89" s="30" t="s">
        <v>222</v>
      </c>
      <c r="AB89" s="30" t="s">
        <v>1315</v>
      </c>
      <c r="AC89" s="30"/>
      <c r="AD89" s="30" t="s">
        <v>50</v>
      </c>
      <c r="AE89" s="30" t="s">
        <v>50</v>
      </c>
      <c r="AF89" s="30" t="s">
        <v>50</v>
      </c>
      <c r="AG89" s="30" t="s">
        <v>50</v>
      </c>
      <c r="AH89" s="30" t="s">
        <v>50</v>
      </c>
      <c r="AI89" s="30" t="s">
        <v>1673</v>
      </c>
      <c r="AJ89" s="30" t="s">
        <v>50</v>
      </c>
      <c r="AK89" s="30" t="s">
        <v>50</v>
      </c>
      <c r="AL89" s="30" t="s">
        <v>50</v>
      </c>
      <c r="AM89" s="30" t="s">
        <v>37</v>
      </c>
      <c r="AN89" s="30" t="s">
        <v>1681</v>
      </c>
      <c r="AO89" s="30" t="s">
        <v>50</v>
      </c>
      <c r="AP89" s="30" t="s">
        <v>50</v>
      </c>
      <c r="AQ89" s="30" t="s">
        <v>50</v>
      </c>
      <c r="AR89" s="30" t="s">
        <v>50</v>
      </c>
      <c r="AS89" s="30" t="s">
        <v>50</v>
      </c>
      <c r="AT89" s="30" t="s">
        <v>1711</v>
      </c>
      <c r="AU89" s="30" t="s">
        <v>50</v>
      </c>
      <c r="AV89" s="34">
        <v>168550815620</v>
      </c>
    </row>
    <row r="90" spans="2:48" ht="15" customHeight="1">
      <c r="B90" s="28">
        <v>84</v>
      </c>
      <c r="C90" s="29" t="s">
        <v>1993</v>
      </c>
      <c r="D90" s="30" t="s">
        <v>50</v>
      </c>
      <c r="E90" s="31" t="s">
        <v>1994</v>
      </c>
      <c r="F90" s="31" t="s">
        <v>50</v>
      </c>
      <c r="G90" s="32" t="s">
        <v>1995</v>
      </c>
      <c r="H90" s="30" t="s">
        <v>62</v>
      </c>
      <c r="I90" s="30" t="s">
        <v>952</v>
      </c>
      <c r="J90" s="32" t="s">
        <v>953</v>
      </c>
      <c r="K90" s="30" t="s">
        <v>490</v>
      </c>
      <c r="L90" s="32" t="s">
        <v>491</v>
      </c>
      <c r="M90" s="30" t="s">
        <v>1697</v>
      </c>
      <c r="N90" s="30" t="s">
        <v>1679</v>
      </c>
      <c r="O90" s="33">
        <v>1</v>
      </c>
      <c r="P90" s="33">
        <v>4037</v>
      </c>
      <c r="Q90" s="33">
        <v>1025</v>
      </c>
      <c r="R90" s="33">
        <v>0</v>
      </c>
      <c r="S90" s="33">
        <v>0</v>
      </c>
      <c r="T90" s="33">
        <v>0</v>
      </c>
      <c r="U90" s="33">
        <v>0</v>
      </c>
      <c r="V90" s="33">
        <v>0</v>
      </c>
      <c r="W90" s="33" t="s">
        <v>50</v>
      </c>
      <c r="X90" s="33">
        <v>1</v>
      </c>
      <c r="Y90" s="30" t="s">
        <v>64</v>
      </c>
      <c r="Z90" s="30" t="s">
        <v>186</v>
      </c>
      <c r="AA90" s="30" t="s">
        <v>222</v>
      </c>
      <c r="AB90" s="30" t="s">
        <v>1316</v>
      </c>
      <c r="AC90" s="30">
        <v>47</v>
      </c>
      <c r="AD90" s="30" t="s">
        <v>50</v>
      </c>
      <c r="AE90" s="30" t="s">
        <v>50</v>
      </c>
      <c r="AF90" s="30" t="s">
        <v>50</v>
      </c>
      <c r="AG90" s="30" t="s">
        <v>50</v>
      </c>
      <c r="AH90" s="30" t="s">
        <v>50</v>
      </c>
      <c r="AI90" s="30" t="s">
        <v>1673</v>
      </c>
      <c r="AJ90" s="30" t="s">
        <v>187</v>
      </c>
      <c r="AK90" s="30" t="s">
        <v>1934</v>
      </c>
      <c r="AL90" s="30" t="s">
        <v>492</v>
      </c>
      <c r="AM90" s="30" t="s">
        <v>50</v>
      </c>
      <c r="AN90" s="30" t="s">
        <v>1681</v>
      </c>
      <c r="AO90" s="30" t="s">
        <v>50</v>
      </c>
      <c r="AP90" s="30" t="s">
        <v>50</v>
      </c>
      <c r="AQ90" s="30" t="s">
        <v>50</v>
      </c>
      <c r="AR90" s="30" t="s">
        <v>50</v>
      </c>
      <c r="AS90" s="30" t="s">
        <v>50</v>
      </c>
      <c r="AT90" s="30" t="s">
        <v>1682</v>
      </c>
      <c r="AU90" s="30" t="s">
        <v>50</v>
      </c>
      <c r="AV90" s="34">
        <v>168515330112</v>
      </c>
    </row>
    <row r="91" spans="2:48" ht="15" customHeight="1">
      <c r="B91" s="28">
        <v>85</v>
      </c>
      <c r="C91" s="29" t="s">
        <v>1996</v>
      </c>
      <c r="D91" s="30" t="s">
        <v>50</v>
      </c>
      <c r="E91" s="31" t="s">
        <v>1997</v>
      </c>
      <c r="F91" s="31" t="s">
        <v>50</v>
      </c>
      <c r="G91" s="32" t="s">
        <v>1998</v>
      </c>
      <c r="H91" s="30" t="s">
        <v>65</v>
      </c>
      <c r="I91" s="30" t="s">
        <v>412</v>
      </c>
      <c r="J91" s="32" t="s">
        <v>1999</v>
      </c>
      <c r="K91" s="30" t="s">
        <v>412</v>
      </c>
      <c r="L91" s="32" t="s">
        <v>1999</v>
      </c>
      <c r="M91" s="30" t="s">
        <v>1671</v>
      </c>
      <c r="N91" s="30" t="s">
        <v>1672</v>
      </c>
      <c r="O91" s="33">
        <v>218</v>
      </c>
      <c r="P91" s="33">
        <v>6620</v>
      </c>
      <c r="Q91" s="33">
        <v>6620</v>
      </c>
      <c r="R91" s="33">
        <v>455</v>
      </c>
      <c r="S91" s="33">
        <v>8</v>
      </c>
      <c r="T91" s="33">
        <v>0</v>
      </c>
      <c r="U91" s="33">
        <v>6</v>
      </c>
      <c r="V91" s="33">
        <v>2</v>
      </c>
      <c r="W91" s="33" t="s">
        <v>50</v>
      </c>
      <c r="X91" s="33">
        <v>1</v>
      </c>
      <c r="Y91" s="30" t="s">
        <v>67</v>
      </c>
      <c r="Z91" s="30" t="s">
        <v>186</v>
      </c>
      <c r="AA91" s="30" t="s">
        <v>186</v>
      </c>
      <c r="AB91" s="30"/>
      <c r="AC91" s="30"/>
      <c r="AD91" s="30" t="s">
        <v>50</v>
      </c>
      <c r="AE91" s="30" t="s">
        <v>50</v>
      </c>
      <c r="AF91" s="30" t="s">
        <v>50</v>
      </c>
      <c r="AG91" s="30" t="s">
        <v>50</v>
      </c>
      <c r="AH91" s="30" t="s">
        <v>50</v>
      </c>
      <c r="AI91" s="30" t="s">
        <v>1673</v>
      </c>
      <c r="AJ91" s="30" t="s">
        <v>50</v>
      </c>
      <c r="AK91" s="30" t="s">
        <v>50</v>
      </c>
      <c r="AL91" s="30" t="s">
        <v>50</v>
      </c>
      <c r="AM91" s="30" t="s">
        <v>50</v>
      </c>
      <c r="AN91" s="30" t="s">
        <v>50</v>
      </c>
      <c r="AO91" s="30" t="s">
        <v>50</v>
      </c>
      <c r="AP91" s="30" t="s">
        <v>50</v>
      </c>
      <c r="AQ91" s="30" t="s">
        <v>50</v>
      </c>
      <c r="AR91" s="30" t="s">
        <v>50</v>
      </c>
      <c r="AS91" s="30" t="s">
        <v>50</v>
      </c>
      <c r="AT91" s="30" t="s">
        <v>1682</v>
      </c>
      <c r="AU91" s="30" t="s">
        <v>146</v>
      </c>
      <c r="AV91" s="34">
        <v>168514726873</v>
      </c>
    </row>
    <row r="92" spans="2:48" ht="15" customHeight="1">
      <c r="B92" s="28">
        <v>86</v>
      </c>
      <c r="C92" s="29" t="s">
        <v>2000</v>
      </c>
      <c r="D92" s="30" t="s">
        <v>50</v>
      </c>
      <c r="E92" s="31" t="s">
        <v>2001</v>
      </c>
      <c r="F92" s="31" t="s">
        <v>50</v>
      </c>
      <c r="G92" s="32" t="s">
        <v>2002</v>
      </c>
      <c r="H92" s="30" t="s">
        <v>62</v>
      </c>
      <c r="I92" s="30" t="s">
        <v>1151</v>
      </c>
      <c r="J92" s="32" t="s">
        <v>1152</v>
      </c>
      <c r="K92" s="30" t="s">
        <v>183</v>
      </c>
      <c r="L92" s="32" t="s">
        <v>185</v>
      </c>
      <c r="M92" s="30" t="s">
        <v>1697</v>
      </c>
      <c r="N92" s="30" t="s">
        <v>1672</v>
      </c>
      <c r="O92" s="33">
        <v>2</v>
      </c>
      <c r="P92" s="33">
        <v>3145</v>
      </c>
      <c r="Q92" s="33">
        <v>15</v>
      </c>
      <c r="R92" s="33">
        <v>0</v>
      </c>
      <c r="S92" s="33">
        <v>0</v>
      </c>
      <c r="T92" s="33">
        <v>0</v>
      </c>
      <c r="U92" s="33">
        <v>0</v>
      </c>
      <c r="V92" s="33">
        <v>0</v>
      </c>
      <c r="W92" s="33" t="s">
        <v>50</v>
      </c>
      <c r="X92" s="33">
        <v>1</v>
      </c>
      <c r="Y92" s="30" t="s">
        <v>64</v>
      </c>
      <c r="Z92" s="30" t="s">
        <v>186</v>
      </c>
      <c r="AA92" s="30" t="s">
        <v>222</v>
      </c>
      <c r="AB92" s="30" t="s">
        <v>1316</v>
      </c>
      <c r="AC92" s="30"/>
      <c r="AD92" s="30" t="s">
        <v>50</v>
      </c>
      <c r="AE92" s="30" t="s">
        <v>50</v>
      </c>
      <c r="AF92" s="30" t="s">
        <v>50</v>
      </c>
      <c r="AG92" s="30" t="s">
        <v>50</v>
      </c>
      <c r="AH92" s="30" t="s">
        <v>50</v>
      </c>
      <c r="AI92" s="30" t="s">
        <v>1673</v>
      </c>
      <c r="AJ92" s="30" t="s">
        <v>187</v>
      </c>
      <c r="AK92" s="30" t="s">
        <v>189</v>
      </c>
      <c r="AL92" s="30" t="s">
        <v>189</v>
      </c>
      <c r="AM92" s="30" t="s">
        <v>50</v>
      </c>
      <c r="AN92" s="30" t="s">
        <v>1681</v>
      </c>
      <c r="AO92" s="30" t="s">
        <v>50</v>
      </c>
      <c r="AP92" s="30" t="s">
        <v>50</v>
      </c>
      <c r="AQ92" s="30" t="s">
        <v>50</v>
      </c>
      <c r="AR92" s="30" t="s">
        <v>50</v>
      </c>
      <c r="AS92" s="30" t="s">
        <v>50</v>
      </c>
      <c r="AT92" s="30" t="s">
        <v>1682</v>
      </c>
      <c r="AU92" s="30" t="s">
        <v>50</v>
      </c>
      <c r="AV92" s="34">
        <v>168505712921</v>
      </c>
    </row>
    <row r="93" spans="2:48" ht="15" customHeight="1">
      <c r="B93" s="28">
        <v>87</v>
      </c>
      <c r="C93" s="29" t="s">
        <v>2003</v>
      </c>
      <c r="D93" s="30" t="s">
        <v>50</v>
      </c>
      <c r="E93" s="31" t="s">
        <v>2004</v>
      </c>
      <c r="F93" s="31" t="s">
        <v>50</v>
      </c>
      <c r="G93" s="32" t="s">
        <v>2005</v>
      </c>
      <c r="H93" s="30" t="s">
        <v>62</v>
      </c>
      <c r="I93" s="30" t="s">
        <v>375</v>
      </c>
      <c r="J93" s="32" t="s">
        <v>376</v>
      </c>
      <c r="K93" s="30" t="s">
        <v>375</v>
      </c>
      <c r="L93" s="32" t="s">
        <v>376</v>
      </c>
      <c r="M93" s="30" t="s">
        <v>1671</v>
      </c>
      <c r="N93" s="30" t="s">
        <v>1672</v>
      </c>
      <c r="O93" s="33"/>
      <c r="P93" s="33">
        <v>8765</v>
      </c>
      <c r="Q93" s="33">
        <v>8765</v>
      </c>
      <c r="R93" s="33">
        <v>57</v>
      </c>
      <c r="S93" s="33">
        <v>0</v>
      </c>
      <c r="T93" s="33">
        <v>0</v>
      </c>
      <c r="U93" s="33">
        <v>0</v>
      </c>
      <c r="V93" s="33">
        <v>0</v>
      </c>
      <c r="W93" s="33" t="s">
        <v>50</v>
      </c>
      <c r="X93" s="33">
        <v>2</v>
      </c>
      <c r="Y93" s="30" t="s">
        <v>64</v>
      </c>
      <c r="Z93" s="30" t="s">
        <v>186</v>
      </c>
      <c r="AA93" s="30" t="s">
        <v>186</v>
      </c>
      <c r="AB93" s="30"/>
      <c r="AC93" s="30"/>
      <c r="AD93" s="30" t="s">
        <v>50</v>
      </c>
      <c r="AE93" s="30" t="s">
        <v>50</v>
      </c>
      <c r="AF93" s="30" t="s">
        <v>50</v>
      </c>
      <c r="AG93" s="30" t="s">
        <v>50</v>
      </c>
      <c r="AH93" s="30" t="s">
        <v>50</v>
      </c>
      <c r="AI93" s="30" t="s">
        <v>1673</v>
      </c>
      <c r="AJ93" s="30" t="s">
        <v>50</v>
      </c>
      <c r="AK93" s="30" t="s">
        <v>50</v>
      </c>
      <c r="AL93" s="30" t="s">
        <v>50</v>
      </c>
      <c r="AM93" s="30" t="s">
        <v>50</v>
      </c>
      <c r="AN93" s="30" t="s">
        <v>50</v>
      </c>
      <c r="AO93" s="30" t="s">
        <v>50</v>
      </c>
      <c r="AP93" s="30" t="s">
        <v>50</v>
      </c>
      <c r="AQ93" s="30" t="s">
        <v>1979</v>
      </c>
      <c r="AR93" s="30" t="s">
        <v>50</v>
      </c>
      <c r="AS93" s="30" t="s">
        <v>50</v>
      </c>
      <c r="AT93" s="30" t="s">
        <v>1682</v>
      </c>
      <c r="AU93" s="30" t="s">
        <v>50</v>
      </c>
      <c r="AV93" s="34">
        <v>168502353001</v>
      </c>
    </row>
    <row r="94" spans="2:48" ht="15" customHeight="1">
      <c r="B94" s="28">
        <v>88</v>
      </c>
      <c r="C94" s="29" t="s">
        <v>2006</v>
      </c>
      <c r="D94" s="30" t="s">
        <v>1980</v>
      </c>
      <c r="E94" s="31" t="s">
        <v>2007</v>
      </c>
      <c r="F94" s="31" t="s">
        <v>50</v>
      </c>
      <c r="G94" s="32" t="s">
        <v>2008</v>
      </c>
      <c r="H94" s="30" t="s">
        <v>76</v>
      </c>
      <c r="I94" s="30" t="s">
        <v>375</v>
      </c>
      <c r="J94" s="32" t="s">
        <v>405</v>
      </c>
      <c r="K94" s="30" t="s">
        <v>375</v>
      </c>
      <c r="L94" s="32" t="s">
        <v>405</v>
      </c>
      <c r="M94" s="30" t="s">
        <v>1671</v>
      </c>
      <c r="N94" s="30" t="s">
        <v>1672</v>
      </c>
      <c r="O94" s="33"/>
      <c r="P94" s="33">
        <v>2843</v>
      </c>
      <c r="Q94" s="33">
        <v>2843</v>
      </c>
      <c r="R94" s="33">
        <v>0</v>
      </c>
      <c r="S94" s="33">
        <v>0</v>
      </c>
      <c r="T94" s="33">
        <v>0</v>
      </c>
      <c r="U94" s="33">
        <v>0</v>
      </c>
      <c r="V94" s="33">
        <v>0</v>
      </c>
      <c r="W94" s="33" t="s">
        <v>50</v>
      </c>
      <c r="X94" s="33">
        <v>2</v>
      </c>
      <c r="Y94" s="30" t="s">
        <v>64</v>
      </c>
      <c r="Z94" s="30" t="s">
        <v>186</v>
      </c>
      <c r="AA94" s="30" t="s">
        <v>186</v>
      </c>
      <c r="AB94" s="30"/>
      <c r="AC94" s="30"/>
      <c r="AD94" s="30" t="s">
        <v>50</v>
      </c>
      <c r="AE94" s="30" t="s">
        <v>50</v>
      </c>
      <c r="AF94" s="30" t="s">
        <v>50</v>
      </c>
      <c r="AG94" s="30" t="s">
        <v>50</v>
      </c>
      <c r="AH94" s="30" t="s">
        <v>50</v>
      </c>
      <c r="AI94" s="30" t="s">
        <v>1673</v>
      </c>
      <c r="AJ94" s="30" t="s">
        <v>50</v>
      </c>
      <c r="AK94" s="30" t="s">
        <v>50</v>
      </c>
      <c r="AL94" s="30" t="s">
        <v>50</v>
      </c>
      <c r="AM94" s="30" t="s">
        <v>50</v>
      </c>
      <c r="AN94" s="30" t="s">
        <v>50</v>
      </c>
      <c r="AO94" s="30" t="s">
        <v>50</v>
      </c>
      <c r="AP94" s="30" t="s">
        <v>50</v>
      </c>
      <c r="AQ94" s="30" t="s">
        <v>50</v>
      </c>
      <c r="AR94" s="30" t="s">
        <v>50</v>
      </c>
      <c r="AS94" s="30" t="s">
        <v>50</v>
      </c>
      <c r="AT94" s="30" t="s">
        <v>1682</v>
      </c>
      <c r="AU94" s="30" t="s">
        <v>50</v>
      </c>
      <c r="AV94" s="34">
        <v>168502403820</v>
      </c>
    </row>
    <row r="95" spans="2:48" ht="15" customHeight="1">
      <c r="B95" s="28">
        <v>89</v>
      </c>
      <c r="C95" s="29" t="s">
        <v>2009</v>
      </c>
      <c r="D95" s="30" t="s">
        <v>50</v>
      </c>
      <c r="E95" s="31" t="s">
        <v>2010</v>
      </c>
      <c r="F95" s="31" t="s">
        <v>50</v>
      </c>
      <c r="G95" s="32" t="s">
        <v>2011</v>
      </c>
      <c r="H95" s="30" t="s">
        <v>65</v>
      </c>
      <c r="I95" s="30" t="s">
        <v>287</v>
      </c>
      <c r="J95" s="32" t="s">
        <v>2012</v>
      </c>
      <c r="K95" s="30" t="s">
        <v>287</v>
      </c>
      <c r="L95" s="32" t="s">
        <v>2012</v>
      </c>
      <c r="M95" s="30" t="s">
        <v>1697</v>
      </c>
      <c r="N95" s="30" t="s">
        <v>1672</v>
      </c>
      <c r="O95" s="33"/>
      <c r="P95" s="33">
        <v>5889</v>
      </c>
      <c r="Q95" s="33">
        <v>5889</v>
      </c>
      <c r="R95" s="33">
        <v>0</v>
      </c>
      <c r="S95" s="33">
        <v>0</v>
      </c>
      <c r="T95" s="33">
        <v>0</v>
      </c>
      <c r="U95" s="33">
        <v>0</v>
      </c>
      <c r="V95" s="33">
        <v>0</v>
      </c>
      <c r="W95" s="33" t="s">
        <v>50</v>
      </c>
      <c r="X95" s="33">
        <v>1</v>
      </c>
      <c r="Y95" s="30" t="s">
        <v>67</v>
      </c>
      <c r="Z95" s="30" t="s">
        <v>186</v>
      </c>
      <c r="AA95" s="30" t="s">
        <v>186</v>
      </c>
      <c r="AB95" s="30"/>
      <c r="AC95" s="30"/>
      <c r="AD95" s="30" t="s">
        <v>50</v>
      </c>
      <c r="AE95" s="30" t="s">
        <v>50</v>
      </c>
      <c r="AF95" s="30" t="s">
        <v>1741</v>
      </c>
      <c r="AG95" s="30" t="s">
        <v>50</v>
      </c>
      <c r="AH95" s="30" t="s">
        <v>50</v>
      </c>
      <c r="AI95" s="30" t="s">
        <v>1673</v>
      </c>
      <c r="AJ95" s="30" t="s">
        <v>50</v>
      </c>
      <c r="AK95" s="30" t="s">
        <v>50</v>
      </c>
      <c r="AL95" s="30" t="s">
        <v>50</v>
      </c>
      <c r="AM95" s="30" t="s">
        <v>50</v>
      </c>
      <c r="AN95" s="30" t="s">
        <v>1681</v>
      </c>
      <c r="AO95" s="30" t="s">
        <v>50</v>
      </c>
      <c r="AP95" s="30" t="s">
        <v>50</v>
      </c>
      <c r="AQ95" s="30" t="s">
        <v>50</v>
      </c>
      <c r="AR95" s="30" t="s">
        <v>50</v>
      </c>
      <c r="AS95" s="30" t="s">
        <v>50</v>
      </c>
      <c r="AT95" s="30" t="s">
        <v>1682</v>
      </c>
      <c r="AU95" s="30" t="s">
        <v>50</v>
      </c>
      <c r="AV95" s="34">
        <v>168479419115</v>
      </c>
    </row>
    <row r="96" spans="2:48" ht="15" customHeight="1">
      <c r="B96" s="28">
        <v>90</v>
      </c>
      <c r="C96" s="29" t="s">
        <v>2013</v>
      </c>
      <c r="D96" s="30" t="s">
        <v>50</v>
      </c>
      <c r="E96" s="31" t="s">
        <v>2014</v>
      </c>
      <c r="F96" s="31" t="s">
        <v>50</v>
      </c>
      <c r="G96" s="32" t="s">
        <v>2015</v>
      </c>
      <c r="H96" s="30" t="s">
        <v>81</v>
      </c>
      <c r="I96" s="30" t="s">
        <v>2016</v>
      </c>
      <c r="J96" s="32" t="s">
        <v>971</v>
      </c>
      <c r="K96" s="30" t="s">
        <v>2017</v>
      </c>
      <c r="L96" s="32" t="s">
        <v>528</v>
      </c>
      <c r="M96" s="30" t="s">
        <v>1697</v>
      </c>
      <c r="N96" s="30" t="s">
        <v>1672</v>
      </c>
      <c r="O96" s="33">
        <v>7</v>
      </c>
      <c r="P96" s="33">
        <v>866448</v>
      </c>
      <c r="Q96" s="33">
        <v>571</v>
      </c>
      <c r="R96" s="33">
        <v>0</v>
      </c>
      <c r="S96" s="33">
        <v>0</v>
      </c>
      <c r="T96" s="33">
        <v>0</v>
      </c>
      <c r="U96" s="33">
        <v>0</v>
      </c>
      <c r="V96" s="33">
        <v>0</v>
      </c>
      <c r="W96" s="33" t="s">
        <v>50</v>
      </c>
      <c r="X96" s="33">
        <v>1</v>
      </c>
      <c r="Y96" s="30" t="s">
        <v>64</v>
      </c>
      <c r="Z96" s="30" t="s">
        <v>222</v>
      </c>
      <c r="AA96" s="30" t="s">
        <v>222</v>
      </c>
      <c r="AB96" s="30"/>
      <c r="AC96" s="30"/>
      <c r="AD96" s="30" t="s">
        <v>50</v>
      </c>
      <c r="AE96" s="30" t="s">
        <v>50</v>
      </c>
      <c r="AF96" s="30" t="s">
        <v>50</v>
      </c>
      <c r="AG96" s="30" t="s">
        <v>50</v>
      </c>
      <c r="AH96" s="30" t="s">
        <v>50</v>
      </c>
      <c r="AI96" s="30" t="s">
        <v>1673</v>
      </c>
      <c r="AJ96" s="30" t="s">
        <v>50</v>
      </c>
      <c r="AK96" s="30" t="s">
        <v>50</v>
      </c>
      <c r="AL96" s="30" t="s">
        <v>50</v>
      </c>
      <c r="AM96" s="30" t="s">
        <v>50</v>
      </c>
      <c r="AN96" s="30" t="s">
        <v>1681</v>
      </c>
      <c r="AO96" s="30" t="s">
        <v>50</v>
      </c>
      <c r="AP96" s="30" t="s">
        <v>50</v>
      </c>
      <c r="AQ96" s="30" t="s">
        <v>50</v>
      </c>
      <c r="AR96" s="30" t="s">
        <v>50</v>
      </c>
      <c r="AS96" s="30" t="s">
        <v>50</v>
      </c>
      <c r="AT96" s="30" t="s">
        <v>299</v>
      </c>
      <c r="AU96" s="30" t="s">
        <v>50</v>
      </c>
      <c r="AV96" s="34">
        <v>168478974392</v>
      </c>
    </row>
    <row r="97" spans="2:48" ht="15" customHeight="1">
      <c r="B97" s="28">
        <v>91</v>
      </c>
      <c r="C97" s="29" t="s">
        <v>2018</v>
      </c>
      <c r="D97" s="30" t="s">
        <v>50</v>
      </c>
      <c r="E97" s="31" t="s">
        <v>2019</v>
      </c>
      <c r="F97" s="31" t="s">
        <v>50</v>
      </c>
      <c r="G97" s="32" t="s">
        <v>2020</v>
      </c>
      <c r="H97" s="30" t="s">
        <v>81</v>
      </c>
      <c r="I97" s="30" t="s">
        <v>2021</v>
      </c>
      <c r="J97" s="32" t="s">
        <v>1001</v>
      </c>
      <c r="K97" s="30" t="s">
        <v>2022</v>
      </c>
      <c r="L97" s="32" t="s">
        <v>292</v>
      </c>
      <c r="M97" s="30" t="s">
        <v>1697</v>
      </c>
      <c r="N97" s="30" t="s">
        <v>1672</v>
      </c>
      <c r="O97" s="33">
        <v>5</v>
      </c>
      <c r="P97" s="33">
        <v>63463</v>
      </c>
      <c r="Q97" s="33">
        <v>192</v>
      </c>
      <c r="R97" s="33">
        <v>0</v>
      </c>
      <c r="S97" s="33">
        <v>0</v>
      </c>
      <c r="T97" s="33">
        <v>0</v>
      </c>
      <c r="U97" s="33">
        <v>0</v>
      </c>
      <c r="V97" s="33">
        <v>0</v>
      </c>
      <c r="W97" s="33" t="s">
        <v>50</v>
      </c>
      <c r="X97" s="33">
        <v>1</v>
      </c>
      <c r="Y97" s="30" t="s">
        <v>64</v>
      </c>
      <c r="Z97" s="30" t="s">
        <v>222</v>
      </c>
      <c r="AA97" s="30" t="s">
        <v>222</v>
      </c>
      <c r="AB97" s="30"/>
      <c r="AC97" s="30"/>
      <c r="AD97" s="30" t="s">
        <v>50</v>
      </c>
      <c r="AE97" s="30" t="s">
        <v>50</v>
      </c>
      <c r="AF97" s="30" t="s">
        <v>50</v>
      </c>
      <c r="AG97" s="30" t="s">
        <v>50</v>
      </c>
      <c r="AH97" s="30" t="s">
        <v>50</v>
      </c>
      <c r="AI97" s="30" t="s">
        <v>1673</v>
      </c>
      <c r="AJ97" s="30" t="s">
        <v>50</v>
      </c>
      <c r="AK97" s="30" t="s">
        <v>50</v>
      </c>
      <c r="AL97" s="30" t="s">
        <v>50</v>
      </c>
      <c r="AM97" s="30" t="s">
        <v>50</v>
      </c>
      <c r="AN97" s="30" t="s">
        <v>1681</v>
      </c>
      <c r="AO97" s="30" t="s">
        <v>50</v>
      </c>
      <c r="AP97" s="30" t="s">
        <v>50</v>
      </c>
      <c r="AQ97" s="30" t="s">
        <v>50</v>
      </c>
      <c r="AR97" s="30" t="s">
        <v>50</v>
      </c>
      <c r="AS97" s="30" t="s">
        <v>50</v>
      </c>
      <c r="AT97" s="30" t="s">
        <v>1682</v>
      </c>
      <c r="AU97" s="30" t="s">
        <v>50</v>
      </c>
      <c r="AV97" s="34">
        <v>168479476068</v>
      </c>
    </row>
    <row r="98" spans="2:48" ht="15" customHeight="1">
      <c r="B98" s="28">
        <v>92</v>
      </c>
      <c r="C98" s="29" t="s">
        <v>2023</v>
      </c>
      <c r="D98" s="30" t="s">
        <v>50</v>
      </c>
      <c r="E98" s="31" t="s">
        <v>2024</v>
      </c>
      <c r="F98" s="31" t="s">
        <v>50</v>
      </c>
      <c r="G98" s="32" t="s">
        <v>2025</v>
      </c>
      <c r="H98" s="30" t="s">
        <v>71</v>
      </c>
      <c r="I98" s="30" t="s">
        <v>331</v>
      </c>
      <c r="J98" s="32" t="s">
        <v>332</v>
      </c>
      <c r="K98" s="30" t="s">
        <v>331</v>
      </c>
      <c r="L98" s="32" t="s">
        <v>332</v>
      </c>
      <c r="M98" s="30" t="s">
        <v>1989</v>
      </c>
      <c r="N98" s="30" t="s">
        <v>1672</v>
      </c>
      <c r="O98" s="33"/>
      <c r="P98" s="33">
        <v>659</v>
      </c>
      <c r="Q98" s="33">
        <v>659</v>
      </c>
      <c r="R98" s="33">
        <v>0</v>
      </c>
      <c r="S98" s="33">
        <v>0</v>
      </c>
      <c r="T98" s="33">
        <v>0</v>
      </c>
      <c r="U98" s="33">
        <v>0</v>
      </c>
      <c r="V98" s="33">
        <v>0</v>
      </c>
      <c r="W98" s="33" t="s">
        <v>50</v>
      </c>
      <c r="X98" s="33">
        <v>7</v>
      </c>
      <c r="Y98" s="30" t="s">
        <v>64</v>
      </c>
      <c r="Z98" s="30" t="s">
        <v>192</v>
      </c>
      <c r="AA98" s="30" t="s">
        <v>192</v>
      </c>
      <c r="AB98" s="30" t="s">
        <v>1315</v>
      </c>
      <c r="AC98" s="30"/>
      <c r="AD98" s="30" t="s">
        <v>50</v>
      </c>
      <c r="AE98" s="30" t="s">
        <v>883</v>
      </c>
      <c r="AF98" s="30" t="s">
        <v>50</v>
      </c>
      <c r="AG98" s="30" t="s">
        <v>50</v>
      </c>
      <c r="AH98" s="30" t="s">
        <v>50</v>
      </c>
      <c r="AI98" s="30" t="s">
        <v>1673</v>
      </c>
      <c r="AJ98" s="30" t="s">
        <v>187</v>
      </c>
      <c r="AK98" s="30" t="s">
        <v>189</v>
      </c>
      <c r="AL98" s="30" t="s">
        <v>189</v>
      </c>
      <c r="AM98" s="30" t="s">
        <v>37</v>
      </c>
      <c r="AN98" s="30" t="s">
        <v>1681</v>
      </c>
      <c r="AO98" s="30" t="s">
        <v>50</v>
      </c>
      <c r="AP98" s="30" t="s">
        <v>50</v>
      </c>
      <c r="AQ98" s="30" t="s">
        <v>50</v>
      </c>
      <c r="AR98" s="30" t="s">
        <v>50</v>
      </c>
      <c r="AS98" s="30" t="s">
        <v>50</v>
      </c>
      <c r="AT98" s="30" t="s">
        <v>1711</v>
      </c>
      <c r="AU98" s="30" t="s">
        <v>50</v>
      </c>
      <c r="AV98" s="34">
        <v>168549256051</v>
      </c>
    </row>
    <row r="99" spans="2:48" ht="15" customHeight="1">
      <c r="B99" s="28">
        <v>93</v>
      </c>
      <c r="C99" s="29" t="s">
        <v>2026</v>
      </c>
      <c r="D99" s="30" t="s">
        <v>50</v>
      </c>
      <c r="E99" s="31" t="s">
        <v>2024</v>
      </c>
      <c r="F99" s="31" t="s">
        <v>50</v>
      </c>
      <c r="G99" s="32" t="s">
        <v>2027</v>
      </c>
      <c r="H99" s="30" t="s">
        <v>71</v>
      </c>
      <c r="I99" s="30" t="s">
        <v>390</v>
      </c>
      <c r="J99" s="32" t="s">
        <v>391</v>
      </c>
      <c r="K99" s="30" t="s">
        <v>390</v>
      </c>
      <c r="L99" s="32" t="s">
        <v>391</v>
      </c>
      <c r="M99" s="30" t="s">
        <v>1989</v>
      </c>
      <c r="N99" s="30" t="s">
        <v>1672</v>
      </c>
      <c r="O99" s="33"/>
      <c r="P99" s="33">
        <v>1476</v>
      </c>
      <c r="Q99" s="33">
        <v>1476</v>
      </c>
      <c r="R99" s="33">
        <v>0</v>
      </c>
      <c r="S99" s="33">
        <v>0</v>
      </c>
      <c r="T99" s="33">
        <v>0</v>
      </c>
      <c r="U99" s="33">
        <v>0</v>
      </c>
      <c r="V99" s="33">
        <v>0</v>
      </c>
      <c r="W99" s="33" t="s">
        <v>50</v>
      </c>
      <c r="X99" s="33">
        <v>7</v>
      </c>
      <c r="Y99" s="30" t="s">
        <v>64</v>
      </c>
      <c r="Z99" s="30" t="s">
        <v>192</v>
      </c>
      <c r="AA99" s="30" t="s">
        <v>192</v>
      </c>
      <c r="AB99" s="30" t="s">
        <v>1315</v>
      </c>
      <c r="AC99" s="30"/>
      <c r="AD99" s="30" t="s">
        <v>50</v>
      </c>
      <c r="AE99" s="30" t="s">
        <v>50</v>
      </c>
      <c r="AF99" s="30" t="s">
        <v>50</v>
      </c>
      <c r="AG99" s="30" t="s">
        <v>50</v>
      </c>
      <c r="AH99" s="30" t="s">
        <v>50</v>
      </c>
      <c r="AI99" s="30" t="s">
        <v>1673</v>
      </c>
      <c r="AJ99" s="30" t="s">
        <v>392</v>
      </c>
      <c r="AK99" s="30" t="s">
        <v>2028</v>
      </c>
      <c r="AL99" s="30" t="s">
        <v>394</v>
      </c>
      <c r="AM99" s="30" t="s">
        <v>37</v>
      </c>
      <c r="AN99" s="30" t="s">
        <v>1681</v>
      </c>
      <c r="AO99" s="30" t="s">
        <v>50</v>
      </c>
      <c r="AP99" s="30" t="s">
        <v>50</v>
      </c>
      <c r="AQ99" s="30" t="s">
        <v>50</v>
      </c>
      <c r="AR99" s="30" t="s">
        <v>50</v>
      </c>
      <c r="AS99" s="30" t="s">
        <v>50</v>
      </c>
      <c r="AT99" s="30" t="s">
        <v>1711</v>
      </c>
      <c r="AU99" s="30" t="s">
        <v>50</v>
      </c>
      <c r="AV99" s="34">
        <v>168533891864</v>
      </c>
    </row>
    <row r="100" spans="2:48" ht="15" customHeight="1">
      <c r="B100" s="28">
        <v>94</v>
      </c>
      <c r="C100" s="29" t="s">
        <v>2029</v>
      </c>
      <c r="D100" s="30" t="s">
        <v>50</v>
      </c>
      <c r="E100" s="31" t="s">
        <v>2030</v>
      </c>
      <c r="F100" s="31" t="s">
        <v>50</v>
      </c>
      <c r="G100" s="32" t="s">
        <v>2031</v>
      </c>
      <c r="H100" s="30" t="s">
        <v>62</v>
      </c>
      <c r="I100" s="30" t="s">
        <v>907</v>
      </c>
      <c r="J100" s="32" t="s">
        <v>908</v>
      </c>
      <c r="K100" s="30" t="s">
        <v>266</v>
      </c>
      <c r="L100" s="32" t="s">
        <v>267</v>
      </c>
      <c r="M100" s="30" t="s">
        <v>1697</v>
      </c>
      <c r="N100" s="30" t="s">
        <v>1672</v>
      </c>
      <c r="O100" s="33">
        <v>4</v>
      </c>
      <c r="P100" s="33">
        <v>16554</v>
      </c>
      <c r="Q100" s="33">
        <v>29</v>
      </c>
      <c r="R100" s="33">
        <v>0</v>
      </c>
      <c r="S100" s="33">
        <v>0</v>
      </c>
      <c r="T100" s="33">
        <v>0</v>
      </c>
      <c r="U100" s="33">
        <v>0</v>
      </c>
      <c r="V100" s="33">
        <v>0</v>
      </c>
      <c r="W100" s="33" t="s">
        <v>50</v>
      </c>
      <c r="X100" s="33">
        <v>1</v>
      </c>
      <c r="Y100" s="30" t="s">
        <v>64</v>
      </c>
      <c r="Z100" s="30" t="s">
        <v>186</v>
      </c>
      <c r="AA100" s="30" t="s">
        <v>222</v>
      </c>
      <c r="AB100" s="30" t="s">
        <v>1316</v>
      </c>
      <c r="AC100" s="30"/>
      <c r="AD100" s="30" t="s">
        <v>50</v>
      </c>
      <c r="AE100" s="30" t="s">
        <v>50</v>
      </c>
      <c r="AF100" s="30" t="s">
        <v>50</v>
      </c>
      <c r="AG100" s="30" t="s">
        <v>50</v>
      </c>
      <c r="AH100" s="30" t="s">
        <v>50</v>
      </c>
      <c r="AI100" s="30" t="s">
        <v>1673</v>
      </c>
      <c r="AJ100" s="30" t="s">
        <v>187</v>
      </c>
      <c r="AK100" s="30" t="s">
        <v>50</v>
      </c>
      <c r="AL100" s="30" t="s">
        <v>50</v>
      </c>
      <c r="AM100" s="30" t="s">
        <v>50</v>
      </c>
      <c r="AN100" s="30" t="s">
        <v>1681</v>
      </c>
      <c r="AO100" s="30" t="s">
        <v>50</v>
      </c>
      <c r="AP100" s="30" t="s">
        <v>50</v>
      </c>
      <c r="AQ100" s="30" t="s">
        <v>50</v>
      </c>
      <c r="AR100" s="30" t="s">
        <v>50</v>
      </c>
      <c r="AS100" s="30" t="s">
        <v>50</v>
      </c>
      <c r="AT100" s="30" t="s">
        <v>1682</v>
      </c>
      <c r="AU100" s="30" t="s">
        <v>50</v>
      </c>
      <c r="AV100" s="34">
        <v>168461257240</v>
      </c>
    </row>
    <row r="101" spans="2:48" ht="15" customHeight="1">
      <c r="B101" s="28">
        <v>95</v>
      </c>
      <c r="C101" s="29" t="s">
        <v>2032</v>
      </c>
      <c r="D101" s="30" t="s">
        <v>50</v>
      </c>
      <c r="E101" s="31" t="s">
        <v>2024</v>
      </c>
      <c r="F101" s="31" t="s">
        <v>50</v>
      </c>
      <c r="G101" s="32" t="s">
        <v>2033</v>
      </c>
      <c r="H101" s="30" t="s">
        <v>71</v>
      </c>
      <c r="I101" s="30" t="s">
        <v>347</v>
      </c>
      <c r="J101" s="32" t="s">
        <v>348</v>
      </c>
      <c r="K101" s="30" t="s">
        <v>347</v>
      </c>
      <c r="L101" s="32" t="s">
        <v>348</v>
      </c>
      <c r="M101" s="30" t="s">
        <v>1989</v>
      </c>
      <c r="N101" s="30" t="s">
        <v>1672</v>
      </c>
      <c r="O101" s="33"/>
      <c r="P101" s="33">
        <v>0</v>
      </c>
      <c r="Q101" s="33">
        <v>0</v>
      </c>
      <c r="R101" s="33">
        <v>0</v>
      </c>
      <c r="S101" s="33">
        <v>0</v>
      </c>
      <c r="T101" s="33">
        <v>0</v>
      </c>
      <c r="U101" s="33">
        <v>0</v>
      </c>
      <c r="V101" s="33">
        <v>0</v>
      </c>
      <c r="W101" s="33" t="s">
        <v>50</v>
      </c>
      <c r="X101" s="33">
        <v>7</v>
      </c>
      <c r="Y101" s="30" t="s">
        <v>64</v>
      </c>
      <c r="Z101" s="30" t="s">
        <v>192</v>
      </c>
      <c r="AA101" s="30" t="s">
        <v>192</v>
      </c>
      <c r="AB101" s="30" t="s">
        <v>1315</v>
      </c>
      <c r="AC101" s="30"/>
      <c r="AD101" s="30" t="s">
        <v>50</v>
      </c>
      <c r="AE101" s="30" t="s">
        <v>50</v>
      </c>
      <c r="AF101" s="30" t="s">
        <v>50</v>
      </c>
      <c r="AG101" s="30" t="s">
        <v>50</v>
      </c>
      <c r="AH101" s="30" t="s">
        <v>50</v>
      </c>
      <c r="AI101" s="30" t="s">
        <v>1673</v>
      </c>
      <c r="AJ101" s="30" t="s">
        <v>187</v>
      </c>
      <c r="AK101" s="30" t="s">
        <v>201</v>
      </c>
      <c r="AL101" s="30" t="s">
        <v>201</v>
      </c>
      <c r="AM101" s="30" t="s">
        <v>37</v>
      </c>
      <c r="AN101" s="30" t="s">
        <v>1681</v>
      </c>
      <c r="AO101" s="30" t="s">
        <v>50</v>
      </c>
      <c r="AP101" s="30" t="s">
        <v>50</v>
      </c>
      <c r="AQ101" s="30" t="s">
        <v>50</v>
      </c>
      <c r="AR101" s="30" t="s">
        <v>50</v>
      </c>
      <c r="AS101" s="30" t="s">
        <v>50</v>
      </c>
      <c r="AT101" s="30" t="s">
        <v>1711</v>
      </c>
      <c r="AU101" s="30" t="s">
        <v>50</v>
      </c>
      <c r="AV101" s="34">
        <v>168486768981</v>
      </c>
    </row>
    <row r="102" spans="2:48" ht="15" customHeight="1">
      <c r="B102" s="28">
        <v>96</v>
      </c>
      <c r="C102" s="29" t="s">
        <v>2034</v>
      </c>
      <c r="D102" s="30" t="s">
        <v>828</v>
      </c>
      <c r="E102" s="31" t="s">
        <v>2035</v>
      </c>
      <c r="F102" s="31" t="s">
        <v>50</v>
      </c>
      <c r="G102" s="32" t="s">
        <v>829</v>
      </c>
      <c r="H102" s="30" t="s">
        <v>73</v>
      </c>
      <c r="I102" s="30" t="s">
        <v>1092</v>
      </c>
      <c r="J102" s="32" t="s">
        <v>1093</v>
      </c>
      <c r="K102" s="30" t="s">
        <v>828</v>
      </c>
      <c r="L102" s="32" t="s">
        <v>829</v>
      </c>
      <c r="M102" s="30" t="s">
        <v>1686</v>
      </c>
      <c r="N102" s="30" t="s">
        <v>1672</v>
      </c>
      <c r="O102" s="33"/>
      <c r="P102" s="33">
        <v>0</v>
      </c>
      <c r="Q102" s="33">
        <v>0</v>
      </c>
      <c r="R102" s="33" t="s">
        <v>158</v>
      </c>
      <c r="S102" s="33">
        <v>0</v>
      </c>
      <c r="T102" s="33" t="s">
        <v>158</v>
      </c>
      <c r="U102" s="33" t="s">
        <v>158</v>
      </c>
      <c r="V102" s="33" t="s">
        <v>158</v>
      </c>
      <c r="W102" s="33" t="s">
        <v>50</v>
      </c>
      <c r="X102" s="33">
        <v>1</v>
      </c>
      <c r="Y102" s="30" t="s">
        <v>75</v>
      </c>
      <c r="Z102" s="30" t="s">
        <v>192</v>
      </c>
      <c r="AA102" s="30" t="s">
        <v>192</v>
      </c>
      <c r="AB102" s="30" t="s">
        <v>1316</v>
      </c>
      <c r="AC102" s="30"/>
      <c r="AD102" s="30" t="s">
        <v>50</v>
      </c>
      <c r="AE102" s="30" t="s">
        <v>50</v>
      </c>
      <c r="AF102" s="30" t="s">
        <v>50</v>
      </c>
      <c r="AG102" s="30" t="s">
        <v>50</v>
      </c>
      <c r="AH102" s="30" t="s">
        <v>50</v>
      </c>
      <c r="AI102" s="30" t="s">
        <v>1673</v>
      </c>
      <c r="AJ102" s="30" t="s">
        <v>187</v>
      </c>
      <c r="AK102" s="30" t="s">
        <v>2036</v>
      </c>
      <c r="AL102" s="30" t="s">
        <v>831</v>
      </c>
      <c r="AM102" s="30" t="s">
        <v>50</v>
      </c>
      <c r="AN102" s="30" t="s">
        <v>1681</v>
      </c>
      <c r="AO102" s="30" t="s">
        <v>50</v>
      </c>
      <c r="AP102" s="30" t="s">
        <v>50</v>
      </c>
      <c r="AQ102" s="30" t="s">
        <v>50</v>
      </c>
      <c r="AR102" s="30" t="s">
        <v>50</v>
      </c>
      <c r="AS102" s="30" t="s">
        <v>50</v>
      </c>
      <c r="AT102" s="30" t="s">
        <v>299</v>
      </c>
      <c r="AU102" s="30" t="s">
        <v>50</v>
      </c>
      <c r="AV102" s="34">
        <v>168523399330</v>
      </c>
    </row>
    <row r="103" spans="2:48" ht="15" customHeight="1">
      <c r="B103" s="28">
        <v>97</v>
      </c>
      <c r="C103" s="29" t="s">
        <v>2037</v>
      </c>
      <c r="D103" s="30" t="s">
        <v>50</v>
      </c>
      <c r="E103" s="31" t="s">
        <v>2038</v>
      </c>
      <c r="F103" s="31" t="s">
        <v>50</v>
      </c>
      <c r="G103" s="32" t="s">
        <v>2039</v>
      </c>
      <c r="H103" s="30" t="s">
        <v>81</v>
      </c>
      <c r="I103" s="30" t="s">
        <v>2022</v>
      </c>
      <c r="J103" s="32" t="s">
        <v>292</v>
      </c>
      <c r="K103" s="30" t="s">
        <v>2022</v>
      </c>
      <c r="L103" s="32" t="s">
        <v>292</v>
      </c>
      <c r="M103" s="30" t="s">
        <v>1697</v>
      </c>
      <c r="N103" s="30" t="s">
        <v>1672</v>
      </c>
      <c r="O103" s="33">
        <v>5</v>
      </c>
      <c r="P103" s="33">
        <v>63463</v>
      </c>
      <c r="Q103" s="33">
        <v>63463</v>
      </c>
      <c r="R103" s="33">
        <v>0</v>
      </c>
      <c r="S103" s="33">
        <v>0</v>
      </c>
      <c r="T103" s="33">
        <v>0</v>
      </c>
      <c r="U103" s="33">
        <v>0</v>
      </c>
      <c r="V103" s="33">
        <v>0</v>
      </c>
      <c r="W103" s="33" t="s">
        <v>50</v>
      </c>
      <c r="X103" s="33">
        <v>1</v>
      </c>
      <c r="Y103" s="30" t="s">
        <v>64</v>
      </c>
      <c r="Z103" s="30" t="s">
        <v>222</v>
      </c>
      <c r="AA103" s="30" t="s">
        <v>222</v>
      </c>
      <c r="AB103" s="30"/>
      <c r="AC103" s="30"/>
      <c r="AD103" s="30" t="s">
        <v>50</v>
      </c>
      <c r="AE103" s="30" t="s">
        <v>50</v>
      </c>
      <c r="AF103" s="30" t="s">
        <v>50</v>
      </c>
      <c r="AG103" s="30" t="s">
        <v>50</v>
      </c>
      <c r="AH103" s="30" t="s">
        <v>50</v>
      </c>
      <c r="AI103" s="30" t="s">
        <v>1673</v>
      </c>
      <c r="AJ103" s="30" t="s">
        <v>50</v>
      </c>
      <c r="AK103" s="30" t="s">
        <v>50</v>
      </c>
      <c r="AL103" s="30" t="s">
        <v>50</v>
      </c>
      <c r="AM103" s="30" t="s">
        <v>50</v>
      </c>
      <c r="AN103" s="30" t="s">
        <v>1681</v>
      </c>
      <c r="AO103" s="30" t="s">
        <v>50</v>
      </c>
      <c r="AP103" s="30" t="s">
        <v>50</v>
      </c>
      <c r="AQ103" s="30" t="s">
        <v>50</v>
      </c>
      <c r="AR103" s="30" t="s">
        <v>50</v>
      </c>
      <c r="AS103" s="30" t="s">
        <v>50</v>
      </c>
      <c r="AT103" s="30" t="s">
        <v>1682</v>
      </c>
      <c r="AU103" s="30" t="s">
        <v>50</v>
      </c>
      <c r="AV103" s="34">
        <v>168447414335</v>
      </c>
    </row>
    <row r="104" spans="2:48" ht="15" customHeight="1">
      <c r="B104" s="28">
        <v>98</v>
      </c>
      <c r="C104" s="29" t="s">
        <v>2040</v>
      </c>
      <c r="D104" s="30" t="s">
        <v>50</v>
      </c>
      <c r="E104" s="31" t="s">
        <v>2041</v>
      </c>
      <c r="F104" s="31" t="s">
        <v>50</v>
      </c>
      <c r="G104" s="32" t="s">
        <v>2042</v>
      </c>
      <c r="H104" s="30" t="s">
        <v>65</v>
      </c>
      <c r="I104" s="30" t="s">
        <v>969</v>
      </c>
      <c r="J104" s="32" t="s">
        <v>2043</v>
      </c>
      <c r="K104" s="30" t="s">
        <v>785</v>
      </c>
      <c r="L104" s="32" t="s">
        <v>2044</v>
      </c>
      <c r="M104" s="30" t="s">
        <v>1697</v>
      </c>
      <c r="N104" s="30" t="s">
        <v>1672</v>
      </c>
      <c r="O104" s="33"/>
      <c r="P104" s="33">
        <v>6282</v>
      </c>
      <c r="Q104" s="33">
        <v>0</v>
      </c>
      <c r="R104" s="33">
        <v>0</v>
      </c>
      <c r="S104" s="33">
        <v>0</v>
      </c>
      <c r="T104" s="33">
        <v>0</v>
      </c>
      <c r="U104" s="33">
        <v>0</v>
      </c>
      <c r="V104" s="33">
        <v>0</v>
      </c>
      <c r="W104" s="33" t="s">
        <v>50</v>
      </c>
      <c r="X104" s="33">
        <v>1</v>
      </c>
      <c r="Y104" s="30" t="s">
        <v>67</v>
      </c>
      <c r="Z104" s="30" t="s">
        <v>186</v>
      </c>
      <c r="AA104" s="30" t="s">
        <v>222</v>
      </c>
      <c r="AB104" s="30"/>
      <c r="AC104" s="30"/>
      <c r="AD104" s="30" t="s">
        <v>50</v>
      </c>
      <c r="AE104" s="30" t="s">
        <v>50</v>
      </c>
      <c r="AF104" s="30" t="s">
        <v>50</v>
      </c>
      <c r="AG104" s="30" t="s">
        <v>50</v>
      </c>
      <c r="AH104" s="30" t="s">
        <v>50</v>
      </c>
      <c r="AI104" s="30" t="s">
        <v>1673</v>
      </c>
      <c r="AJ104" s="30" t="s">
        <v>50</v>
      </c>
      <c r="AK104" s="30" t="s">
        <v>50</v>
      </c>
      <c r="AL104" s="30" t="s">
        <v>50</v>
      </c>
      <c r="AM104" s="30" t="s">
        <v>50</v>
      </c>
      <c r="AN104" s="30" t="s">
        <v>1681</v>
      </c>
      <c r="AO104" s="30" t="s">
        <v>50</v>
      </c>
      <c r="AP104" s="30" t="s">
        <v>50</v>
      </c>
      <c r="AQ104" s="30" t="s">
        <v>50</v>
      </c>
      <c r="AR104" s="30" t="s">
        <v>50</v>
      </c>
      <c r="AS104" s="30" t="s">
        <v>50</v>
      </c>
      <c r="AT104" s="30" t="s">
        <v>1682</v>
      </c>
      <c r="AU104" s="30" t="s">
        <v>50</v>
      </c>
      <c r="AV104" s="34">
        <v>168441750164</v>
      </c>
    </row>
    <row r="105" spans="2:48" ht="15" customHeight="1">
      <c r="B105" s="28">
        <v>99</v>
      </c>
      <c r="C105" s="29" t="s">
        <v>2045</v>
      </c>
      <c r="D105" s="30" t="s">
        <v>50</v>
      </c>
      <c r="E105" s="31" t="s">
        <v>2024</v>
      </c>
      <c r="F105" s="31" t="s">
        <v>50</v>
      </c>
      <c r="G105" s="32" t="s">
        <v>2046</v>
      </c>
      <c r="H105" s="30" t="s">
        <v>71</v>
      </c>
      <c r="I105" s="30" t="s">
        <v>395</v>
      </c>
      <c r="J105" s="32" t="s">
        <v>396</v>
      </c>
      <c r="K105" s="30" t="s">
        <v>395</v>
      </c>
      <c r="L105" s="32" t="s">
        <v>396</v>
      </c>
      <c r="M105" s="30" t="s">
        <v>1989</v>
      </c>
      <c r="N105" s="30" t="s">
        <v>1672</v>
      </c>
      <c r="O105" s="33"/>
      <c r="P105" s="33">
        <v>1427</v>
      </c>
      <c r="Q105" s="33">
        <v>1427</v>
      </c>
      <c r="R105" s="33">
        <v>0</v>
      </c>
      <c r="S105" s="33">
        <v>0</v>
      </c>
      <c r="T105" s="33">
        <v>0</v>
      </c>
      <c r="U105" s="33">
        <v>0</v>
      </c>
      <c r="V105" s="33">
        <v>0</v>
      </c>
      <c r="W105" s="33" t="s">
        <v>50</v>
      </c>
      <c r="X105" s="33">
        <v>7</v>
      </c>
      <c r="Y105" s="30" t="s">
        <v>64</v>
      </c>
      <c r="Z105" s="30" t="s">
        <v>192</v>
      </c>
      <c r="AA105" s="30" t="s">
        <v>192</v>
      </c>
      <c r="AB105" s="30"/>
      <c r="AC105" s="30"/>
      <c r="AD105" s="30" t="s">
        <v>50</v>
      </c>
      <c r="AE105" s="30" t="s">
        <v>50</v>
      </c>
      <c r="AF105" s="30" t="s">
        <v>50</v>
      </c>
      <c r="AG105" s="30" t="s">
        <v>50</v>
      </c>
      <c r="AH105" s="30" t="s">
        <v>50</v>
      </c>
      <c r="AI105" s="30" t="s">
        <v>1673</v>
      </c>
      <c r="AJ105" s="30" t="s">
        <v>946</v>
      </c>
      <c r="AK105" s="30" t="s">
        <v>2047</v>
      </c>
      <c r="AL105" s="30" t="s">
        <v>50</v>
      </c>
      <c r="AM105" s="30" t="s">
        <v>37</v>
      </c>
      <c r="AN105" s="30" t="s">
        <v>1681</v>
      </c>
      <c r="AO105" s="30" t="s">
        <v>50</v>
      </c>
      <c r="AP105" s="30" t="s">
        <v>50</v>
      </c>
      <c r="AQ105" s="30" t="s">
        <v>50</v>
      </c>
      <c r="AR105" s="30" t="s">
        <v>50</v>
      </c>
      <c r="AS105" s="30" t="s">
        <v>50</v>
      </c>
      <c r="AT105" s="30" t="s">
        <v>1711</v>
      </c>
      <c r="AU105" s="30" t="s">
        <v>50</v>
      </c>
      <c r="AV105" s="34">
        <v>168769180184</v>
      </c>
    </row>
    <row r="106" spans="2:48" ht="15" customHeight="1">
      <c r="B106" s="28">
        <v>100</v>
      </c>
      <c r="C106" s="29" t="s">
        <v>2048</v>
      </c>
      <c r="D106" s="30" t="s">
        <v>50</v>
      </c>
      <c r="E106" s="31" t="s">
        <v>2024</v>
      </c>
      <c r="F106" s="31" t="s">
        <v>50</v>
      </c>
      <c r="G106" s="32" t="s">
        <v>2049</v>
      </c>
      <c r="H106" s="30" t="s">
        <v>71</v>
      </c>
      <c r="I106" s="30" t="s">
        <v>915</v>
      </c>
      <c r="J106" s="32" t="s">
        <v>916</v>
      </c>
      <c r="K106" s="30" t="s">
        <v>264</v>
      </c>
      <c r="L106" s="32" t="s">
        <v>265</v>
      </c>
      <c r="M106" s="30" t="s">
        <v>1989</v>
      </c>
      <c r="N106" s="30" t="s">
        <v>1672</v>
      </c>
      <c r="O106" s="33"/>
      <c r="P106" s="33">
        <v>1592</v>
      </c>
      <c r="Q106" s="33">
        <v>0</v>
      </c>
      <c r="R106" s="33">
        <v>0</v>
      </c>
      <c r="S106" s="33">
        <v>0</v>
      </c>
      <c r="T106" s="33">
        <v>0</v>
      </c>
      <c r="U106" s="33">
        <v>0</v>
      </c>
      <c r="V106" s="33">
        <v>0</v>
      </c>
      <c r="W106" s="33" t="s">
        <v>50</v>
      </c>
      <c r="X106" s="33">
        <v>7</v>
      </c>
      <c r="Y106" s="30" t="s">
        <v>64</v>
      </c>
      <c r="Z106" s="30" t="s">
        <v>186</v>
      </c>
      <c r="AA106" s="30" t="s">
        <v>222</v>
      </c>
      <c r="AB106" s="30"/>
      <c r="AC106" s="30"/>
      <c r="AD106" s="30" t="s">
        <v>50</v>
      </c>
      <c r="AE106" s="30" t="s">
        <v>50</v>
      </c>
      <c r="AF106" s="30" t="s">
        <v>50</v>
      </c>
      <c r="AG106" s="30" t="s">
        <v>50</v>
      </c>
      <c r="AH106" s="30" t="s">
        <v>50</v>
      </c>
      <c r="AI106" s="30" t="s">
        <v>1673</v>
      </c>
      <c r="AJ106" s="30" t="s">
        <v>50</v>
      </c>
      <c r="AK106" s="30" t="s">
        <v>50</v>
      </c>
      <c r="AL106" s="30" t="s">
        <v>50</v>
      </c>
      <c r="AM106" s="30" t="s">
        <v>37</v>
      </c>
      <c r="AN106" s="30" t="s">
        <v>1681</v>
      </c>
      <c r="AO106" s="30" t="s">
        <v>50</v>
      </c>
      <c r="AP106" s="30" t="s">
        <v>50</v>
      </c>
      <c r="AQ106" s="30" t="s">
        <v>50</v>
      </c>
      <c r="AR106" s="30" t="s">
        <v>50</v>
      </c>
      <c r="AS106" s="30" t="s">
        <v>50</v>
      </c>
      <c r="AT106" s="30" t="s">
        <v>1711</v>
      </c>
      <c r="AU106" s="30" t="s">
        <v>50</v>
      </c>
      <c r="AV106" s="34">
        <v>168451562310</v>
      </c>
    </row>
    <row r="107" spans="2:48" ht="15" customHeight="1">
      <c r="B107" s="28">
        <v>101</v>
      </c>
      <c r="C107" s="29" t="s">
        <v>2050</v>
      </c>
      <c r="D107" s="30" t="s">
        <v>2051</v>
      </c>
      <c r="E107" s="31" t="s">
        <v>2052</v>
      </c>
      <c r="F107" s="31" t="s">
        <v>50</v>
      </c>
      <c r="G107" s="32" t="s">
        <v>2053</v>
      </c>
      <c r="H107" s="30" t="s">
        <v>68</v>
      </c>
      <c r="I107" s="30" t="s">
        <v>275</v>
      </c>
      <c r="J107" s="32" t="s">
        <v>276</v>
      </c>
      <c r="K107" s="30" t="s">
        <v>275</v>
      </c>
      <c r="L107" s="32" t="s">
        <v>276</v>
      </c>
      <c r="M107" s="30" t="s">
        <v>1671</v>
      </c>
      <c r="N107" s="30" t="s">
        <v>1672</v>
      </c>
      <c r="O107" s="33"/>
      <c r="P107" s="33">
        <v>11297</v>
      </c>
      <c r="Q107" s="33">
        <v>11296</v>
      </c>
      <c r="R107" s="33">
        <v>16</v>
      </c>
      <c r="S107" s="33">
        <v>1</v>
      </c>
      <c r="T107" s="33">
        <v>0</v>
      </c>
      <c r="U107" s="33">
        <v>1</v>
      </c>
      <c r="V107" s="33">
        <v>0</v>
      </c>
      <c r="W107" s="33" t="s">
        <v>50</v>
      </c>
      <c r="X107" s="33">
        <v>7</v>
      </c>
      <c r="Y107" s="30" t="s">
        <v>70</v>
      </c>
      <c r="Z107" s="30" t="s">
        <v>192</v>
      </c>
      <c r="AA107" s="30" t="s">
        <v>192</v>
      </c>
      <c r="AB107" s="30" t="s">
        <v>1315</v>
      </c>
      <c r="AC107" s="30"/>
      <c r="AD107" s="30" t="s">
        <v>50</v>
      </c>
      <c r="AE107" s="30" t="s">
        <v>50</v>
      </c>
      <c r="AF107" s="30" t="s">
        <v>1741</v>
      </c>
      <c r="AG107" s="30" t="s">
        <v>50</v>
      </c>
      <c r="AH107" s="30" t="s">
        <v>50</v>
      </c>
      <c r="AI107" s="30" t="s">
        <v>1673</v>
      </c>
      <c r="AJ107" s="30" t="s">
        <v>50</v>
      </c>
      <c r="AK107" s="30" t="s">
        <v>50</v>
      </c>
      <c r="AL107" s="30" t="s">
        <v>50</v>
      </c>
      <c r="AM107" s="30" t="s">
        <v>37</v>
      </c>
      <c r="AN107" s="30" t="s">
        <v>1681</v>
      </c>
      <c r="AO107" s="30" t="s">
        <v>50</v>
      </c>
      <c r="AP107" s="30" t="s">
        <v>50</v>
      </c>
      <c r="AQ107" s="30" t="s">
        <v>50</v>
      </c>
      <c r="AR107" s="30" t="s">
        <v>50</v>
      </c>
      <c r="AS107" s="30" t="s">
        <v>50</v>
      </c>
      <c r="AT107" s="30" t="s">
        <v>1711</v>
      </c>
      <c r="AU107" s="30" t="s">
        <v>50</v>
      </c>
      <c r="AV107" s="34">
        <v>168438449102</v>
      </c>
    </row>
    <row r="108" spans="2:48" ht="15" customHeight="1">
      <c r="B108" s="28">
        <v>102</v>
      </c>
      <c r="C108" s="29" t="s">
        <v>2054</v>
      </c>
      <c r="D108" s="30" t="s">
        <v>50</v>
      </c>
      <c r="E108" s="31" t="s">
        <v>2055</v>
      </c>
      <c r="F108" s="31" t="s">
        <v>50</v>
      </c>
      <c r="G108" s="32" t="s">
        <v>2056</v>
      </c>
      <c r="H108" s="30" t="s">
        <v>68</v>
      </c>
      <c r="I108" s="30" t="s">
        <v>1202</v>
      </c>
      <c r="J108" s="32" t="s">
        <v>1203</v>
      </c>
      <c r="K108" s="30" t="s">
        <v>225</v>
      </c>
      <c r="L108" s="32" t="s">
        <v>226</v>
      </c>
      <c r="M108" s="30" t="s">
        <v>1697</v>
      </c>
      <c r="N108" s="30" t="s">
        <v>1679</v>
      </c>
      <c r="O108" s="33"/>
      <c r="P108" s="33">
        <v>258004</v>
      </c>
      <c r="Q108" s="33">
        <v>1</v>
      </c>
      <c r="R108" s="33">
        <v>0</v>
      </c>
      <c r="S108" s="33">
        <v>0</v>
      </c>
      <c r="T108" s="33">
        <v>0</v>
      </c>
      <c r="U108" s="33">
        <v>0</v>
      </c>
      <c r="V108" s="33">
        <v>0</v>
      </c>
      <c r="W108" s="33" t="s">
        <v>50</v>
      </c>
      <c r="X108" s="33">
        <v>1</v>
      </c>
      <c r="Y108" s="30" t="s">
        <v>70</v>
      </c>
      <c r="Z108" s="30" t="s">
        <v>192</v>
      </c>
      <c r="AA108" s="30" t="s">
        <v>192</v>
      </c>
      <c r="AB108" s="30"/>
      <c r="AC108" s="30"/>
      <c r="AD108" s="30" t="s">
        <v>50</v>
      </c>
      <c r="AE108" s="30" t="s">
        <v>50</v>
      </c>
      <c r="AF108" s="30" t="s">
        <v>1741</v>
      </c>
      <c r="AG108" s="30" t="s">
        <v>50</v>
      </c>
      <c r="AH108" s="30" t="s">
        <v>50</v>
      </c>
      <c r="AI108" s="30" t="s">
        <v>1673</v>
      </c>
      <c r="AJ108" s="30" t="s">
        <v>50</v>
      </c>
      <c r="AK108" s="30" t="s">
        <v>50</v>
      </c>
      <c r="AL108" s="30" t="s">
        <v>50</v>
      </c>
      <c r="AM108" s="30" t="s">
        <v>50</v>
      </c>
      <c r="AN108" s="30" t="s">
        <v>1681</v>
      </c>
      <c r="AO108" s="30" t="s">
        <v>50</v>
      </c>
      <c r="AP108" s="30" t="s">
        <v>50</v>
      </c>
      <c r="AQ108" s="30" t="s">
        <v>50</v>
      </c>
      <c r="AR108" s="30" t="s">
        <v>50</v>
      </c>
      <c r="AS108" s="30" t="s">
        <v>50</v>
      </c>
      <c r="AT108" s="30" t="s">
        <v>299</v>
      </c>
      <c r="AU108" s="30" t="s">
        <v>50</v>
      </c>
      <c r="AV108" s="34">
        <v>168424086830</v>
      </c>
    </row>
    <row r="109" spans="2:48" ht="15" customHeight="1">
      <c r="B109" s="28">
        <v>103</v>
      </c>
      <c r="C109" s="29" t="s">
        <v>2057</v>
      </c>
      <c r="D109" s="30" t="s">
        <v>50</v>
      </c>
      <c r="E109" s="31" t="s">
        <v>2058</v>
      </c>
      <c r="F109" s="31" t="s">
        <v>50</v>
      </c>
      <c r="G109" s="32" t="s">
        <v>2059</v>
      </c>
      <c r="H109" s="30" t="s">
        <v>62</v>
      </c>
      <c r="I109" s="30" t="s">
        <v>1059</v>
      </c>
      <c r="J109" s="32" t="s">
        <v>1060</v>
      </c>
      <c r="K109" s="30" t="s">
        <v>214</v>
      </c>
      <c r="L109" s="32" t="s">
        <v>215</v>
      </c>
      <c r="M109" s="30" t="s">
        <v>1697</v>
      </c>
      <c r="N109" s="30" t="s">
        <v>1672</v>
      </c>
      <c r="O109" s="33">
        <v>6</v>
      </c>
      <c r="P109" s="33">
        <v>102407</v>
      </c>
      <c r="Q109" s="33">
        <v>58</v>
      </c>
      <c r="R109" s="33">
        <v>0</v>
      </c>
      <c r="S109" s="33">
        <v>5</v>
      </c>
      <c r="T109" s="33">
        <v>5</v>
      </c>
      <c r="U109" s="33">
        <v>0</v>
      </c>
      <c r="V109" s="33">
        <v>0</v>
      </c>
      <c r="W109" s="33" t="s">
        <v>50</v>
      </c>
      <c r="X109" s="33">
        <v>1</v>
      </c>
      <c r="Y109" s="30" t="s">
        <v>64</v>
      </c>
      <c r="Z109" s="30" t="s">
        <v>186</v>
      </c>
      <c r="AA109" s="30" t="s">
        <v>222</v>
      </c>
      <c r="AB109" s="30" t="s">
        <v>1316</v>
      </c>
      <c r="AC109" s="30"/>
      <c r="AD109" s="30" t="s">
        <v>50</v>
      </c>
      <c r="AE109" s="30" t="s">
        <v>50</v>
      </c>
      <c r="AF109" s="30" t="s">
        <v>50</v>
      </c>
      <c r="AG109" s="30" t="s">
        <v>50</v>
      </c>
      <c r="AH109" s="30" t="s">
        <v>50</v>
      </c>
      <c r="AI109" s="30" t="s">
        <v>1673</v>
      </c>
      <c r="AJ109" s="30" t="s">
        <v>187</v>
      </c>
      <c r="AK109" s="30" t="s">
        <v>50</v>
      </c>
      <c r="AL109" s="30" t="s">
        <v>50</v>
      </c>
      <c r="AM109" s="30" t="s">
        <v>50</v>
      </c>
      <c r="AN109" s="30" t="s">
        <v>1681</v>
      </c>
      <c r="AO109" s="30" t="s">
        <v>50</v>
      </c>
      <c r="AP109" s="30" t="s">
        <v>50</v>
      </c>
      <c r="AQ109" s="30" t="s">
        <v>50</v>
      </c>
      <c r="AR109" s="30" t="s">
        <v>50</v>
      </c>
      <c r="AS109" s="30" t="s">
        <v>50</v>
      </c>
      <c r="AT109" s="30" t="s">
        <v>1682</v>
      </c>
      <c r="AU109" s="30" t="s">
        <v>50</v>
      </c>
      <c r="AV109" s="34">
        <v>168418230511</v>
      </c>
    </row>
    <row r="110" spans="2:48" ht="15" customHeight="1">
      <c r="B110" s="28">
        <v>104</v>
      </c>
      <c r="C110" s="29" t="s">
        <v>2060</v>
      </c>
      <c r="D110" s="30" t="s">
        <v>2061</v>
      </c>
      <c r="E110" s="31" t="s">
        <v>2062</v>
      </c>
      <c r="F110" s="31" t="s">
        <v>50</v>
      </c>
      <c r="G110" s="32" t="s">
        <v>2063</v>
      </c>
      <c r="H110" s="30" t="s">
        <v>68</v>
      </c>
      <c r="I110" s="30" t="s">
        <v>776</v>
      </c>
      <c r="J110" s="32" t="s">
        <v>777</v>
      </c>
      <c r="K110" s="30" t="s">
        <v>776</v>
      </c>
      <c r="L110" s="32" t="s">
        <v>777</v>
      </c>
      <c r="M110" s="30" t="s">
        <v>1671</v>
      </c>
      <c r="N110" s="30" t="s">
        <v>1672</v>
      </c>
      <c r="O110" s="33"/>
      <c r="P110" s="33">
        <v>147</v>
      </c>
      <c r="Q110" s="33">
        <v>147</v>
      </c>
      <c r="R110" s="33">
        <v>28084</v>
      </c>
      <c r="S110" s="33">
        <v>414</v>
      </c>
      <c r="T110" s="33">
        <v>393</v>
      </c>
      <c r="U110" s="33">
        <v>21</v>
      </c>
      <c r="V110" s="33">
        <v>0</v>
      </c>
      <c r="W110" s="33" t="s">
        <v>50</v>
      </c>
      <c r="X110" s="33">
        <v>1</v>
      </c>
      <c r="Y110" s="30" t="s">
        <v>70</v>
      </c>
      <c r="Z110" s="30" t="s">
        <v>192</v>
      </c>
      <c r="AA110" s="30" t="s">
        <v>192</v>
      </c>
      <c r="AB110" s="30"/>
      <c r="AC110" s="30"/>
      <c r="AD110" s="30" t="s">
        <v>50</v>
      </c>
      <c r="AE110" s="30" t="s">
        <v>50</v>
      </c>
      <c r="AF110" s="30" t="s">
        <v>1741</v>
      </c>
      <c r="AG110" s="30" t="s">
        <v>50</v>
      </c>
      <c r="AH110" s="30" t="s">
        <v>50</v>
      </c>
      <c r="AI110" s="30" t="s">
        <v>1673</v>
      </c>
      <c r="AJ110" s="30" t="s">
        <v>50</v>
      </c>
      <c r="AK110" s="30" t="s">
        <v>50</v>
      </c>
      <c r="AL110" s="30" t="s">
        <v>50</v>
      </c>
      <c r="AM110" s="30" t="s">
        <v>50</v>
      </c>
      <c r="AN110" s="30" t="s">
        <v>50</v>
      </c>
      <c r="AO110" s="30" t="s">
        <v>50</v>
      </c>
      <c r="AP110" s="30" t="s">
        <v>50</v>
      </c>
      <c r="AQ110" s="30" t="s">
        <v>50</v>
      </c>
      <c r="AR110" s="30" t="s">
        <v>50</v>
      </c>
      <c r="AS110" s="30" t="s">
        <v>50</v>
      </c>
      <c r="AT110" s="30" t="s">
        <v>1682</v>
      </c>
      <c r="AU110" s="30" t="s">
        <v>146</v>
      </c>
      <c r="AV110" s="34">
        <v>168395610834</v>
      </c>
    </row>
    <row r="111" spans="2:48" ht="15" customHeight="1">
      <c r="B111" s="28">
        <v>105</v>
      </c>
      <c r="C111" s="29" t="s">
        <v>2064</v>
      </c>
      <c r="D111" s="30" t="s">
        <v>50</v>
      </c>
      <c r="E111" s="31" t="s">
        <v>2065</v>
      </c>
      <c r="F111" s="31" t="s">
        <v>50</v>
      </c>
      <c r="G111" s="32" t="s">
        <v>2066</v>
      </c>
      <c r="H111" s="30" t="s">
        <v>68</v>
      </c>
      <c r="I111" s="30" t="s">
        <v>860</v>
      </c>
      <c r="J111" s="32" t="s">
        <v>861</v>
      </c>
      <c r="K111" s="30" t="s">
        <v>190</v>
      </c>
      <c r="L111" s="32" t="s">
        <v>191</v>
      </c>
      <c r="M111" s="30" t="s">
        <v>1697</v>
      </c>
      <c r="N111" s="30" t="s">
        <v>1679</v>
      </c>
      <c r="O111" s="33"/>
      <c r="P111" s="33">
        <v>43179</v>
      </c>
      <c r="Q111" s="33">
        <v>0</v>
      </c>
      <c r="R111" s="33">
        <v>0</v>
      </c>
      <c r="S111" s="33">
        <v>0</v>
      </c>
      <c r="T111" s="33">
        <v>0</v>
      </c>
      <c r="U111" s="33">
        <v>0</v>
      </c>
      <c r="V111" s="33">
        <v>0</v>
      </c>
      <c r="W111" s="33" t="s">
        <v>50</v>
      </c>
      <c r="X111" s="33">
        <v>1</v>
      </c>
      <c r="Y111" s="30" t="s">
        <v>70</v>
      </c>
      <c r="Z111" s="30" t="s">
        <v>192</v>
      </c>
      <c r="AA111" s="30" t="s">
        <v>192</v>
      </c>
      <c r="AB111" s="30" t="s">
        <v>1316</v>
      </c>
      <c r="AC111" s="30"/>
      <c r="AD111" s="30" t="s">
        <v>50</v>
      </c>
      <c r="AE111" s="30" t="s">
        <v>50</v>
      </c>
      <c r="AF111" s="30" t="s">
        <v>1741</v>
      </c>
      <c r="AG111" s="30" t="s">
        <v>50</v>
      </c>
      <c r="AH111" s="30" t="s">
        <v>50</v>
      </c>
      <c r="AI111" s="30" t="s">
        <v>1673</v>
      </c>
      <c r="AJ111" s="30" t="s">
        <v>50</v>
      </c>
      <c r="AK111" s="30" t="s">
        <v>50</v>
      </c>
      <c r="AL111" s="30" t="s">
        <v>50</v>
      </c>
      <c r="AM111" s="30" t="s">
        <v>50</v>
      </c>
      <c r="AN111" s="30" t="s">
        <v>1681</v>
      </c>
      <c r="AO111" s="30" t="s">
        <v>50</v>
      </c>
      <c r="AP111" s="30" t="s">
        <v>50</v>
      </c>
      <c r="AQ111" s="30" t="s">
        <v>50</v>
      </c>
      <c r="AR111" s="30" t="s">
        <v>50</v>
      </c>
      <c r="AS111" s="30" t="s">
        <v>50</v>
      </c>
      <c r="AT111" s="30" t="s">
        <v>299</v>
      </c>
      <c r="AU111" s="30" t="s">
        <v>50</v>
      </c>
      <c r="AV111" s="34">
        <v>168390386435</v>
      </c>
    </row>
    <row r="112" spans="2:48" ht="15" customHeight="1">
      <c r="B112" s="28">
        <v>106</v>
      </c>
      <c r="C112" s="29" t="s">
        <v>2067</v>
      </c>
      <c r="D112" s="30" t="s">
        <v>50</v>
      </c>
      <c r="E112" s="31" t="s">
        <v>2068</v>
      </c>
      <c r="F112" s="31" t="s">
        <v>50</v>
      </c>
      <c r="G112" s="32" t="s">
        <v>2069</v>
      </c>
      <c r="H112" s="30" t="s">
        <v>68</v>
      </c>
      <c r="I112" s="30" t="s">
        <v>1240</v>
      </c>
      <c r="J112" s="32" t="s">
        <v>1241</v>
      </c>
      <c r="K112" s="30" t="s">
        <v>546</v>
      </c>
      <c r="L112" s="32" t="s">
        <v>547</v>
      </c>
      <c r="M112" s="30" t="s">
        <v>1697</v>
      </c>
      <c r="N112" s="30" t="s">
        <v>1672</v>
      </c>
      <c r="O112" s="33"/>
      <c r="P112" s="33">
        <v>74932</v>
      </c>
      <c r="Q112" s="33">
        <v>0</v>
      </c>
      <c r="R112" s="33">
        <v>0</v>
      </c>
      <c r="S112" s="33">
        <v>0</v>
      </c>
      <c r="T112" s="33">
        <v>0</v>
      </c>
      <c r="U112" s="33">
        <v>0</v>
      </c>
      <c r="V112" s="33">
        <v>0</v>
      </c>
      <c r="W112" s="33" t="s">
        <v>50</v>
      </c>
      <c r="X112" s="33">
        <v>1</v>
      </c>
      <c r="Y112" s="30" t="s">
        <v>70</v>
      </c>
      <c r="Z112" s="30" t="s">
        <v>192</v>
      </c>
      <c r="AA112" s="30" t="s">
        <v>192</v>
      </c>
      <c r="AB112" s="30" t="s">
        <v>1316</v>
      </c>
      <c r="AC112" s="30"/>
      <c r="AD112" s="30" t="s">
        <v>50</v>
      </c>
      <c r="AE112" s="30" t="s">
        <v>50</v>
      </c>
      <c r="AF112" s="30" t="s">
        <v>50</v>
      </c>
      <c r="AG112" s="30" t="s">
        <v>50</v>
      </c>
      <c r="AH112" s="30" t="s">
        <v>50</v>
      </c>
      <c r="AI112" s="30" t="s">
        <v>1673</v>
      </c>
      <c r="AJ112" s="30" t="s">
        <v>50</v>
      </c>
      <c r="AK112" s="30" t="s">
        <v>50</v>
      </c>
      <c r="AL112" s="30" t="s">
        <v>50</v>
      </c>
      <c r="AM112" s="30" t="s">
        <v>50</v>
      </c>
      <c r="AN112" s="30" t="s">
        <v>1681</v>
      </c>
      <c r="AO112" s="30" t="s">
        <v>50</v>
      </c>
      <c r="AP112" s="30" t="s">
        <v>50</v>
      </c>
      <c r="AQ112" s="30" t="s">
        <v>50</v>
      </c>
      <c r="AR112" s="30" t="s">
        <v>50</v>
      </c>
      <c r="AS112" s="30" t="s">
        <v>50</v>
      </c>
      <c r="AT112" s="30" t="s">
        <v>1682</v>
      </c>
      <c r="AU112" s="30" t="s">
        <v>50</v>
      </c>
      <c r="AV112" s="34">
        <v>168373703937</v>
      </c>
    </row>
    <row r="113" spans="2:48" ht="15" customHeight="1">
      <c r="B113" s="28">
        <v>107</v>
      </c>
      <c r="C113" s="29" t="s">
        <v>2070</v>
      </c>
      <c r="D113" s="30" t="s">
        <v>50</v>
      </c>
      <c r="E113" s="31" t="s">
        <v>2071</v>
      </c>
      <c r="F113" s="31" t="s">
        <v>50</v>
      </c>
      <c r="G113" s="32" t="s">
        <v>2072</v>
      </c>
      <c r="H113" s="30" t="s">
        <v>62</v>
      </c>
      <c r="I113" s="30" t="s">
        <v>1031</v>
      </c>
      <c r="J113" s="32" t="s">
        <v>1032</v>
      </c>
      <c r="K113" s="30" t="s">
        <v>198</v>
      </c>
      <c r="L113" s="32" t="s">
        <v>199</v>
      </c>
      <c r="M113" s="30" t="s">
        <v>1697</v>
      </c>
      <c r="N113" s="30" t="s">
        <v>1672</v>
      </c>
      <c r="O113" s="33">
        <v>1</v>
      </c>
      <c r="P113" s="33">
        <v>7606</v>
      </c>
      <c r="Q113" s="33">
        <v>40</v>
      </c>
      <c r="R113" s="33">
        <v>0</v>
      </c>
      <c r="S113" s="33">
        <v>0</v>
      </c>
      <c r="T113" s="33">
        <v>0</v>
      </c>
      <c r="U113" s="33">
        <v>0</v>
      </c>
      <c r="V113" s="33">
        <v>0</v>
      </c>
      <c r="W113" s="33" t="s">
        <v>50</v>
      </c>
      <c r="X113" s="33">
        <v>1</v>
      </c>
      <c r="Y113" s="30" t="s">
        <v>64</v>
      </c>
      <c r="Z113" s="30" t="s">
        <v>186</v>
      </c>
      <c r="AA113" s="30" t="s">
        <v>222</v>
      </c>
      <c r="AB113" s="30" t="s">
        <v>1316</v>
      </c>
      <c r="AC113" s="30">
        <v>52</v>
      </c>
      <c r="AD113" s="30" t="s">
        <v>50</v>
      </c>
      <c r="AE113" s="30" t="s">
        <v>50</v>
      </c>
      <c r="AF113" s="30" t="s">
        <v>50</v>
      </c>
      <c r="AG113" s="30" t="s">
        <v>50</v>
      </c>
      <c r="AH113" s="30" t="s">
        <v>50</v>
      </c>
      <c r="AI113" s="30" t="s">
        <v>1673</v>
      </c>
      <c r="AJ113" s="30" t="s">
        <v>187</v>
      </c>
      <c r="AK113" s="30" t="s">
        <v>201</v>
      </c>
      <c r="AL113" s="30" t="s">
        <v>201</v>
      </c>
      <c r="AM113" s="30" t="s">
        <v>50</v>
      </c>
      <c r="AN113" s="30" t="s">
        <v>1681</v>
      </c>
      <c r="AO113" s="30" t="s">
        <v>50</v>
      </c>
      <c r="AP113" s="30" t="s">
        <v>50</v>
      </c>
      <c r="AQ113" s="30" t="s">
        <v>50</v>
      </c>
      <c r="AR113" s="30" t="s">
        <v>50</v>
      </c>
      <c r="AS113" s="30" t="s">
        <v>50</v>
      </c>
      <c r="AT113" s="30" t="s">
        <v>299</v>
      </c>
      <c r="AU113" s="30" t="s">
        <v>50</v>
      </c>
      <c r="AV113" s="34">
        <v>168350269931</v>
      </c>
    </row>
    <row r="114" spans="2:48" ht="15" customHeight="1">
      <c r="B114" s="28">
        <v>108</v>
      </c>
      <c r="C114" s="29" t="s">
        <v>2073</v>
      </c>
      <c r="D114" s="30" t="s">
        <v>50</v>
      </c>
      <c r="E114" s="31" t="s">
        <v>2074</v>
      </c>
      <c r="F114" s="31" t="s">
        <v>50</v>
      </c>
      <c r="G114" s="32" t="s">
        <v>2075</v>
      </c>
      <c r="H114" s="30" t="s">
        <v>62</v>
      </c>
      <c r="I114" s="30" t="s">
        <v>890</v>
      </c>
      <c r="J114" s="32" t="s">
        <v>891</v>
      </c>
      <c r="K114" s="30" t="s">
        <v>198</v>
      </c>
      <c r="L114" s="32" t="s">
        <v>199</v>
      </c>
      <c r="M114" s="30" t="s">
        <v>1697</v>
      </c>
      <c r="N114" s="30" t="s">
        <v>1672</v>
      </c>
      <c r="O114" s="33">
        <v>1</v>
      </c>
      <c r="P114" s="33">
        <v>7606</v>
      </c>
      <c r="Q114" s="33">
        <v>95</v>
      </c>
      <c r="R114" s="33">
        <v>0</v>
      </c>
      <c r="S114" s="33">
        <v>0</v>
      </c>
      <c r="T114" s="33">
        <v>0</v>
      </c>
      <c r="U114" s="33">
        <v>0</v>
      </c>
      <c r="V114" s="33">
        <v>0</v>
      </c>
      <c r="W114" s="33" t="s">
        <v>50</v>
      </c>
      <c r="X114" s="33">
        <v>1</v>
      </c>
      <c r="Y114" s="30" t="s">
        <v>64</v>
      </c>
      <c r="Z114" s="30" t="s">
        <v>186</v>
      </c>
      <c r="AA114" s="30" t="s">
        <v>222</v>
      </c>
      <c r="AB114" s="30" t="s">
        <v>1316</v>
      </c>
      <c r="AC114" s="30"/>
      <c r="AD114" s="30" t="s">
        <v>50</v>
      </c>
      <c r="AE114" s="30" t="s">
        <v>50</v>
      </c>
      <c r="AF114" s="30" t="s">
        <v>50</v>
      </c>
      <c r="AG114" s="30" t="s">
        <v>50</v>
      </c>
      <c r="AH114" s="30" t="s">
        <v>50</v>
      </c>
      <c r="AI114" s="30" t="s">
        <v>1673</v>
      </c>
      <c r="AJ114" s="30" t="s">
        <v>187</v>
      </c>
      <c r="AK114" s="30" t="s">
        <v>201</v>
      </c>
      <c r="AL114" s="30" t="s">
        <v>201</v>
      </c>
      <c r="AM114" s="30" t="s">
        <v>50</v>
      </c>
      <c r="AN114" s="30" t="s">
        <v>1681</v>
      </c>
      <c r="AO114" s="30" t="s">
        <v>50</v>
      </c>
      <c r="AP114" s="30" t="s">
        <v>50</v>
      </c>
      <c r="AQ114" s="30" t="s">
        <v>50</v>
      </c>
      <c r="AR114" s="30" t="s">
        <v>50</v>
      </c>
      <c r="AS114" s="30" t="s">
        <v>50</v>
      </c>
      <c r="AT114" s="30" t="s">
        <v>299</v>
      </c>
      <c r="AU114" s="30" t="s">
        <v>50</v>
      </c>
      <c r="AV114" s="34">
        <v>168349757319</v>
      </c>
    </row>
    <row r="115" spans="2:48" ht="15" customHeight="1">
      <c r="B115" s="28">
        <v>109</v>
      </c>
      <c r="C115" s="29" t="s">
        <v>2076</v>
      </c>
      <c r="D115" s="30" t="s">
        <v>50</v>
      </c>
      <c r="E115" s="31" t="s">
        <v>2077</v>
      </c>
      <c r="F115" s="31" t="s">
        <v>50</v>
      </c>
      <c r="G115" s="32" t="s">
        <v>2078</v>
      </c>
      <c r="H115" s="30" t="s">
        <v>62</v>
      </c>
      <c r="I115" s="30" t="s">
        <v>890</v>
      </c>
      <c r="J115" s="32" t="s">
        <v>891</v>
      </c>
      <c r="K115" s="30" t="s">
        <v>198</v>
      </c>
      <c r="L115" s="32" t="s">
        <v>199</v>
      </c>
      <c r="M115" s="30" t="s">
        <v>1697</v>
      </c>
      <c r="N115" s="30" t="s">
        <v>1679</v>
      </c>
      <c r="O115" s="33">
        <v>1</v>
      </c>
      <c r="P115" s="33">
        <v>7606</v>
      </c>
      <c r="Q115" s="33">
        <v>95</v>
      </c>
      <c r="R115" s="33">
        <v>0</v>
      </c>
      <c r="S115" s="33">
        <v>0</v>
      </c>
      <c r="T115" s="33">
        <v>0</v>
      </c>
      <c r="U115" s="33">
        <v>0</v>
      </c>
      <c r="V115" s="33">
        <v>0</v>
      </c>
      <c r="W115" s="33" t="s">
        <v>50</v>
      </c>
      <c r="X115" s="33">
        <v>1</v>
      </c>
      <c r="Y115" s="30" t="s">
        <v>64</v>
      </c>
      <c r="Z115" s="30" t="s">
        <v>186</v>
      </c>
      <c r="AA115" s="30" t="s">
        <v>222</v>
      </c>
      <c r="AB115" s="30" t="s">
        <v>1316</v>
      </c>
      <c r="AC115" s="30"/>
      <c r="AD115" s="30" t="s">
        <v>50</v>
      </c>
      <c r="AE115" s="30" t="s">
        <v>50</v>
      </c>
      <c r="AF115" s="30" t="s">
        <v>50</v>
      </c>
      <c r="AG115" s="30" t="s">
        <v>50</v>
      </c>
      <c r="AH115" s="30" t="s">
        <v>50</v>
      </c>
      <c r="AI115" s="30" t="s">
        <v>1673</v>
      </c>
      <c r="AJ115" s="30" t="s">
        <v>187</v>
      </c>
      <c r="AK115" s="30" t="s">
        <v>201</v>
      </c>
      <c r="AL115" s="30" t="s">
        <v>201</v>
      </c>
      <c r="AM115" s="30" t="s">
        <v>50</v>
      </c>
      <c r="AN115" s="30" t="s">
        <v>1681</v>
      </c>
      <c r="AO115" s="30" t="s">
        <v>50</v>
      </c>
      <c r="AP115" s="30" t="s">
        <v>50</v>
      </c>
      <c r="AQ115" s="30" t="s">
        <v>50</v>
      </c>
      <c r="AR115" s="30" t="s">
        <v>50</v>
      </c>
      <c r="AS115" s="30" t="s">
        <v>50</v>
      </c>
      <c r="AT115" s="30" t="s">
        <v>299</v>
      </c>
      <c r="AU115" s="30" t="s">
        <v>50</v>
      </c>
      <c r="AV115" s="34">
        <v>168349515443</v>
      </c>
    </row>
    <row r="116" spans="2:48" ht="15" customHeight="1">
      <c r="B116" s="28">
        <v>110</v>
      </c>
      <c r="C116" s="29" t="s">
        <v>2079</v>
      </c>
      <c r="D116" s="30" t="s">
        <v>2080</v>
      </c>
      <c r="E116" s="31" t="s">
        <v>2080</v>
      </c>
      <c r="F116" s="31" t="s">
        <v>2081</v>
      </c>
      <c r="G116" s="32" t="s">
        <v>2082</v>
      </c>
      <c r="H116" s="30" t="s">
        <v>62</v>
      </c>
      <c r="I116" s="30" t="s">
        <v>198</v>
      </c>
      <c r="J116" s="32" t="s">
        <v>199</v>
      </c>
      <c r="K116" s="30" t="s">
        <v>198</v>
      </c>
      <c r="L116" s="32" t="s">
        <v>199</v>
      </c>
      <c r="M116" s="30" t="s">
        <v>1671</v>
      </c>
      <c r="N116" s="30" t="s">
        <v>1672</v>
      </c>
      <c r="O116" s="33">
        <v>47</v>
      </c>
      <c r="P116" s="33">
        <v>7606</v>
      </c>
      <c r="Q116" s="33">
        <v>7606</v>
      </c>
      <c r="R116" s="33">
        <v>223</v>
      </c>
      <c r="S116" s="33">
        <v>52</v>
      </c>
      <c r="T116" s="33">
        <v>20</v>
      </c>
      <c r="U116" s="33">
        <v>31</v>
      </c>
      <c r="V116" s="33">
        <v>1</v>
      </c>
      <c r="W116" s="33" t="s">
        <v>50</v>
      </c>
      <c r="X116" s="33">
        <v>1</v>
      </c>
      <c r="Y116" s="30" t="s">
        <v>64</v>
      </c>
      <c r="Z116" s="30" t="s">
        <v>186</v>
      </c>
      <c r="AA116" s="30" t="s">
        <v>186</v>
      </c>
      <c r="AB116" s="30"/>
      <c r="AC116" s="30"/>
      <c r="AD116" s="30" t="s">
        <v>50</v>
      </c>
      <c r="AE116" s="30" t="s">
        <v>50</v>
      </c>
      <c r="AF116" s="30" t="s">
        <v>50</v>
      </c>
      <c r="AG116" s="30" t="s">
        <v>50</v>
      </c>
      <c r="AH116" s="30" t="s">
        <v>50</v>
      </c>
      <c r="AI116" s="30" t="s">
        <v>1673</v>
      </c>
      <c r="AJ116" s="30" t="s">
        <v>187</v>
      </c>
      <c r="AK116" s="30" t="s">
        <v>201</v>
      </c>
      <c r="AL116" s="30" t="s">
        <v>201</v>
      </c>
      <c r="AM116" s="30" t="s">
        <v>50</v>
      </c>
      <c r="AN116" s="30" t="s">
        <v>50</v>
      </c>
      <c r="AO116" s="30" t="s">
        <v>50</v>
      </c>
      <c r="AP116" s="30" t="s">
        <v>50</v>
      </c>
      <c r="AQ116" s="30" t="s">
        <v>50</v>
      </c>
      <c r="AR116" s="30" t="s">
        <v>50</v>
      </c>
      <c r="AS116" s="30" t="s">
        <v>50</v>
      </c>
      <c r="AT116" s="30" t="s">
        <v>299</v>
      </c>
      <c r="AU116" s="30" t="s">
        <v>50</v>
      </c>
      <c r="AV116" s="34">
        <v>168360315715</v>
      </c>
    </row>
    <row r="117" spans="2:48" ht="15" customHeight="1">
      <c r="B117" s="28">
        <v>111</v>
      </c>
      <c r="C117" s="29" t="s">
        <v>2083</v>
      </c>
      <c r="D117" s="30" t="s">
        <v>50</v>
      </c>
      <c r="E117" s="31" t="s">
        <v>2084</v>
      </c>
      <c r="F117" s="31" t="s">
        <v>2085</v>
      </c>
      <c r="G117" s="32" t="s">
        <v>2086</v>
      </c>
      <c r="H117" s="30" t="s">
        <v>65</v>
      </c>
      <c r="I117" s="30" t="s">
        <v>238</v>
      </c>
      <c r="J117" s="32" t="s">
        <v>2087</v>
      </c>
      <c r="K117" s="30" t="s">
        <v>238</v>
      </c>
      <c r="L117" s="32" t="s">
        <v>2087</v>
      </c>
      <c r="M117" s="30" t="s">
        <v>1671</v>
      </c>
      <c r="N117" s="30" t="s">
        <v>1672</v>
      </c>
      <c r="O117" s="33">
        <v>408</v>
      </c>
      <c r="P117" s="33">
        <v>8143</v>
      </c>
      <c r="Q117" s="33">
        <v>8143</v>
      </c>
      <c r="R117" s="33">
        <v>4790</v>
      </c>
      <c r="S117" s="33">
        <v>268</v>
      </c>
      <c r="T117" s="33">
        <v>268</v>
      </c>
      <c r="U117" s="33">
        <v>0</v>
      </c>
      <c r="V117" s="33">
        <v>0</v>
      </c>
      <c r="W117" s="33" t="s">
        <v>50</v>
      </c>
      <c r="X117" s="33">
        <v>1</v>
      </c>
      <c r="Y117" s="30" t="s">
        <v>67</v>
      </c>
      <c r="Z117" s="30" t="s">
        <v>186</v>
      </c>
      <c r="AA117" s="30" t="s">
        <v>186</v>
      </c>
      <c r="AB117" s="30"/>
      <c r="AC117" s="30"/>
      <c r="AD117" s="30" t="s">
        <v>50</v>
      </c>
      <c r="AE117" s="30" t="s">
        <v>50</v>
      </c>
      <c r="AF117" s="30" t="s">
        <v>50</v>
      </c>
      <c r="AG117" s="30" t="s">
        <v>50</v>
      </c>
      <c r="AH117" s="30" t="s">
        <v>50</v>
      </c>
      <c r="AI117" s="30" t="s">
        <v>1673</v>
      </c>
      <c r="AJ117" s="30" t="s">
        <v>50</v>
      </c>
      <c r="AK117" s="30" t="s">
        <v>50</v>
      </c>
      <c r="AL117" s="30" t="s">
        <v>50</v>
      </c>
      <c r="AM117" s="30" t="s">
        <v>50</v>
      </c>
      <c r="AN117" s="30" t="s">
        <v>50</v>
      </c>
      <c r="AO117" s="30" t="s">
        <v>50</v>
      </c>
      <c r="AP117" s="30" t="s">
        <v>50</v>
      </c>
      <c r="AQ117" s="30" t="s">
        <v>50</v>
      </c>
      <c r="AR117" s="30" t="s">
        <v>50</v>
      </c>
      <c r="AS117" s="30" t="s">
        <v>50</v>
      </c>
      <c r="AT117" s="30" t="s">
        <v>1682</v>
      </c>
      <c r="AU117" s="30" t="s">
        <v>50</v>
      </c>
      <c r="AV117" s="34">
        <v>168366949492</v>
      </c>
    </row>
    <row r="118" spans="2:48" ht="15" customHeight="1">
      <c r="B118" s="28">
        <v>112</v>
      </c>
      <c r="C118" s="29" t="s">
        <v>2088</v>
      </c>
      <c r="D118" s="30" t="s">
        <v>50</v>
      </c>
      <c r="E118" s="31" t="s">
        <v>2089</v>
      </c>
      <c r="F118" s="31" t="s">
        <v>50</v>
      </c>
      <c r="G118" s="32" t="s">
        <v>2090</v>
      </c>
      <c r="H118" s="30" t="s">
        <v>62</v>
      </c>
      <c r="I118" s="30" t="s">
        <v>884</v>
      </c>
      <c r="J118" s="32" t="s">
        <v>885</v>
      </c>
      <c r="K118" s="30" t="s">
        <v>244</v>
      </c>
      <c r="L118" s="32" t="s">
        <v>245</v>
      </c>
      <c r="M118" s="30" t="s">
        <v>1697</v>
      </c>
      <c r="N118" s="30" t="s">
        <v>1672</v>
      </c>
      <c r="O118" s="33">
        <v>2</v>
      </c>
      <c r="P118" s="33">
        <v>65147</v>
      </c>
      <c r="Q118" s="33">
        <v>1366</v>
      </c>
      <c r="R118" s="33">
        <v>0</v>
      </c>
      <c r="S118" s="33">
        <v>0</v>
      </c>
      <c r="T118" s="33">
        <v>0</v>
      </c>
      <c r="U118" s="33">
        <v>0</v>
      </c>
      <c r="V118" s="33">
        <v>0</v>
      </c>
      <c r="W118" s="33" t="s">
        <v>50</v>
      </c>
      <c r="X118" s="33">
        <v>1</v>
      </c>
      <c r="Y118" s="30" t="s">
        <v>64</v>
      </c>
      <c r="Z118" s="30" t="s">
        <v>186</v>
      </c>
      <c r="AA118" s="30" t="s">
        <v>222</v>
      </c>
      <c r="AB118" s="30" t="s">
        <v>1316</v>
      </c>
      <c r="AC118" s="30"/>
      <c r="AD118" s="30" t="s">
        <v>50</v>
      </c>
      <c r="AE118" s="30" t="s">
        <v>50</v>
      </c>
      <c r="AF118" s="30" t="s">
        <v>50</v>
      </c>
      <c r="AG118" s="30" t="s">
        <v>50</v>
      </c>
      <c r="AH118" s="30" t="s">
        <v>50</v>
      </c>
      <c r="AI118" s="30" t="s">
        <v>1673</v>
      </c>
      <c r="AJ118" s="30" t="s">
        <v>187</v>
      </c>
      <c r="AK118" s="30" t="s">
        <v>201</v>
      </c>
      <c r="AL118" s="30" t="s">
        <v>201</v>
      </c>
      <c r="AM118" s="30" t="s">
        <v>50</v>
      </c>
      <c r="AN118" s="30" t="s">
        <v>1681</v>
      </c>
      <c r="AO118" s="30" t="s">
        <v>50</v>
      </c>
      <c r="AP118" s="30" t="s">
        <v>50</v>
      </c>
      <c r="AQ118" s="30" t="s">
        <v>50</v>
      </c>
      <c r="AR118" s="30" t="s">
        <v>50</v>
      </c>
      <c r="AS118" s="30" t="s">
        <v>50</v>
      </c>
      <c r="AT118" s="30" t="s">
        <v>299</v>
      </c>
      <c r="AU118" s="30" t="s">
        <v>50</v>
      </c>
      <c r="AV118" s="34">
        <v>168327299097</v>
      </c>
    </row>
    <row r="119" spans="2:48" ht="15" customHeight="1">
      <c r="B119" s="28">
        <v>113</v>
      </c>
      <c r="C119" s="29" t="s">
        <v>2091</v>
      </c>
      <c r="D119" s="30" t="s">
        <v>50</v>
      </c>
      <c r="E119" s="31" t="s">
        <v>2092</v>
      </c>
      <c r="F119" s="31" t="s">
        <v>50</v>
      </c>
      <c r="G119" s="32" t="s">
        <v>2093</v>
      </c>
      <c r="H119" s="30" t="s">
        <v>78</v>
      </c>
      <c r="I119" s="30" t="s">
        <v>1029</v>
      </c>
      <c r="J119" s="32" t="s">
        <v>1030</v>
      </c>
      <c r="K119" s="30" t="s">
        <v>202</v>
      </c>
      <c r="L119" s="32" t="s">
        <v>203</v>
      </c>
      <c r="M119" s="30" t="s">
        <v>1697</v>
      </c>
      <c r="N119" s="30" t="s">
        <v>1791</v>
      </c>
      <c r="O119" s="33">
        <v>4</v>
      </c>
      <c r="P119" s="33">
        <v>36400</v>
      </c>
      <c r="Q119" s="33">
        <v>2</v>
      </c>
      <c r="R119" s="33">
        <v>0</v>
      </c>
      <c r="S119" s="33">
        <v>0</v>
      </c>
      <c r="T119" s="33">
        <v>0</v>
      </c>
      <c r="U119" s="33">
        <v>0</v>
      </c>
      <c r="V119" s="33">
        <v>0</v>
      </c>
      <c r="W119" s="33" t="s">
        <v>50</v>
      </c>
      <c r="X119" s="33">
        <v>1</v>
      </c>
      <c r="Y119" s="30" t="s">
        <v>70</v>
      </c>
      <c r="Z119" s="30" t="s">
        <v>192</v>
      </c>
      <c r="AA119" s="30" t="s">
        <v>192</v>
      </c>
      <c r="AB119" s="30" t="s">
        <v>1315</v>
      </c>
      <c r="AC119" s="30"/>
      <c r="AD119" s="30" t="s">
        <v>50</v>
      </c>
      <c r="AE119" s="30" t="s">
        <v>50</v>
      </c>
      <c r="AF119" s="30" t="s">
        <v>50</v>
      </c>
      <c r="AG119" s="30" t="s">
        <v>50</v>
      </c>
      <c r="AH119" s="30" t="s">
        <v>50</v>
      </c>
      <c r="AI119" s="30" t="s">
        <v>1673</v>
      </c>
      <c r="AJ119" s="30" t="s">
        <v>1292</v>
      </c>
      <c r="AK119" s="30" t="s">
        <v>50</v>
      </c>
      <c r="AL119" s="30" t="s">
        <v>50</v>
      </c>
      <c r="AM119" s="30" t="s">
        <v>50</v>
      </c>
      <c r="AN119" s="30" t="s">
        <v>1681</v>
      </c>
      <c r="AO119" s="30" t="s">
        <v>50</v>
      </c>
      <c r="AP119" s="30" t="s">
        <v>50</v>
      </c>
      <c r="AQ119" s="30" t="s">
        <v>50</v>
      </c>
      <c r="AR119" s="30" t="s">
        <v>50</v>
      </c>
      <c r="AS119" s="30" t="s">
        <v>50</v>
      </c>
      <c r="AT119" s="30" t="s">
        <v>1682</v>
      </c>
      <c r="AU119" s="30" t="s">
        <v>50</v>
      </c>
      <c r="AV119" s="34">
        <v>168329110885</v>
      </c>
    </row>
    <row r="120" spans="2:48" ht="15" customHeight="1">
      <c r="B120" s="28">
        <v>114</v>
      </c>
      <c r="C120" s="29" t="s">
        <v>2094</v>
      </c>
      <c r="D120" s="30" t="s">
        <v>50</v>
      </c>
      <c r="E120" s="31" t="s">
        <v>2095</v>
      </c>
      <c r="F120" s="31" t="s">
        <v>50</v>
      </c>
      <c r="G120" s="32" t="s">
        <v>2096</v>
      </c>
      <c r="H120" s="30" t="s">
        <v>65</v>
      </c>
      <c r="I120" s="30" t="s">
        <v>1069</v>
      </c>
      <c r="J120" s="32" t="s">
        <v>2097</v>
      </c>
      <c r="K120" s="30" t="s">
        <v>656</v>
      </c>
      <c r="L120" s="32" t="s">
        <v>2098</v>
      </c>
      <c r="M120" s="30" t="s">
        <v>1671</v>
      </c>
      <c r="N120" s="30" t="s">
        <v>1672</v>
      </c>
      <c r="O120" s="33"/>
      <c r="P120" s="33">
        <v>5842</v>
      </c>
      <c r="Q120" s="33">
        <v>0</v>
      </c>
      <c r="R120" s="33">
        <v>0</v>
      </c>
      <c r="S120" s="33">
        <v>0</v>
      </c>
      <c r="T120" s="33">
        <v>0</v>
      </c>
      <c r="U120" s="33">
        <v>0</v>
      </c>
      <c r="V120" s="33">
        <v>0</v>
      </c>
      <c r="W120" s="33" t="s">
        <v>50</v>
      </c>
      <c r="X120" s="33">
        <v>1</v>
      </c>
      <c r="Y120" s="30" t="s">
        <v>67</v>
      </c>
      <c r="Z120" s="30" t="s">
        <v>186</v>
      </c>
      <c r="AA120" s="30" t="s">
        <v>222</v>
      </c>
      <c r="AB120" s="30"/>
      <c r="AC120" s="30"/>
      <c r="AD120" s="30" t="s">
        <v>50</v>
      </c>
      <c r="AE120" s="30" t="s">
        <v>50</v>
      </c>
      <c r="AF120" s="30" t="s">
        <v>50</v>
      </c>
      <c r="AG120" s="30" t="s">
        <v>50</v>
      </c>
      <c r="AH120" s="30" t="s">
        <v>50</v>
      </c>
      <c r="AI120" s="30" t="s">
        <v>1673</v>
      </c>
      <c r="AJ120" s="30" t="s">
        <v>50</v>
      </c>
      <c r="AK120" s="30" t="s">
        <v>50</v>
      </c>
      <c r="AL120" s="30" t="s">
        <v>50</v>
      </c>
      <c r="AM120" s="30" t="s">
        <v>50</v>
      </c>
      <c r="AN120" s="30" t="s">
        <v>50</v>
      </c>
      <c r="AO120" s="30" t="s">
        <v>50</v>
      </c>
      <c r="AP120" s="30" t="s">
        <v>50</v>
      </c>
      <c r="AQ120" s="30" t="s">
        <v>50</v>
      </c>
      <c r="AR120" s="30" t="s">
        <v>50</v>
      </c>
      <c r="AS120" s="30" t="s">
        <v>50</v>
      </c>
      <c r="AT120" s="30" t="s">
        <v>1682</v>
      </c>
      <c r="AU120" s="30" t="s">
        <v>50</v>
      </c>
      <c r="AV120" s="34">
        <v>168324466249</v>
      </c>
    </row>
    <row r="121" spans="2:48" ht="15" customHeight="1">
      <c r="B121" s="28">
        <v>115</v>
      </c>
      <c r="C121" s="29" t="s">
        <v>2094</v>
      </c>
      <c r="D121" s="30" t="s">
        <v>50</v>
      </c>
      <c r="E121" s="31" t="s">
        <v>2099</v>
      </c>
      <c r="F121" s="31" t="s">
        <v>50</v>
      </c>
      <c r="G121" s="32" t="s">
        <v>2100</v>
      </c>
      <c r="H121" s="30" t="s">
        <v>62</v>
      </c>
      <c r="I121" s="30" t="s">
        <v>862</v>
      </c>
      <c r="J121" s="32" t="s">
        <v>863</v>
      </c>
      <c r="K121" s="30" t="s">
        <v>437</v>
      </c>
      <c r="L121" s="32" t="s">
        <v>438</v>
      </c>
      <c r="M121" s="30" t="s">
        <v>1697</v>
      </c>
      <c r="N121" s="30" t="s">
        <v>1679</v>
      </c>
      <c r="O121" s="33">
        <v>2</v>
      </c>
      <c r="P121" s="33">
        <v>17935</v>
      </c>
      <c r="Q121" s="33">
        <v>0</v>
      </c>
      <c r="R121" s="33">
        <v>0</v>
      </c>
      <c r="S121" s="33">
        <v>0</v>
      </c>
      <c r="T121" s="33">
        <v>0</v>
      </c>
      <c r="U121" s="33">
        <v>0</v>
      </c>
      <c r="V121" s="33">
        <v>0</v>
      </c>
      <c r="W121" s="33" t="s">
        <v>50</v>
      </c>
      <c r="X121" s="33">
        <v>1</v>
      </c>
      <c r="Y121" s="30" t="s">
        <v>64</v>
      </c>
      <c r="Z121" s="30" t="s">
        <v>186</v>
      </c>
      <c r="AA121" s="30" t="s">
        <v>222</v>
      </c>
      <c r="AB121" s="30" t="s">
        <v>1316</v>
      </c>
      <c r="AC121" s="30">
        <v>38</v>
      </c>
      <c r="AD121" s="30" t="s">
        <v>1325</v>
      </c>
      <c r="AE121" s="30" t="s">
        <v>50</v>
      </c>
      <c r="AF121" s="30" t="s">
        <v>50</v>
      </c>
      <c r="AG121" s="30" t="s">
        <v>50</v>
      </c>
      <c r="AH121" s="30" t="s">
        <v>50</v>
      </c>
      <c r="AI121" s="30" t="s">
        <v>1673</v>
      </c>
      <c r="AJ121" s="30" t="s">
        <v>187</v>
      </c>
      <c r="AK121" s="30" t="s">
        <v>2101</v>
      </c>
      <c r="AL121" s="30" t="s">
        <v>440</v>
      </c>
      <c r="AM121" s="30" t="s">
        <v>50</v>
      </c>
      <c r="AN121" s="30" t="s">
        <v>1681</v>
      </c>
      <c r="AO121" s="30" t="s">
        <v>50</v>
      </c>
      <c r="AP121" s="30" t="s">
        <v>50</v>
      </c>
      <c r="AQ121" s="30" t="s">
        <v>50</v>
      </c>
      <c r="AR121" s="30" t="s">
        <v>50</v>
      </c>
      <c r="AS121" s="30" t="s">
        <v>50</v>
      </c>
      <c r="AT121" s="30" t="s">
        <v>299</v>
      </c>
      <c r="AU121" s="30" t="s">
        <v>50</v>
      </c>
      <c r="AV121" s="34">
        <v>168324495823</v>
      </c>
    </row>
    <row r="122" spans="2:48" ht="15" customHeight="1">
      <c r="B122" s="28">
        <v>116</v>
      </c>
      <c r="C122" s="29" t="s">
        <v>2102</v>
      </c>
      <c r="D122" s="30" t="s">
        <v>50</v>
      </c>
      <c r="E122" s="31" t="s">
        <v>2103</v>
      </c>
      <c r="F122" s="31" t="s">
        <v>50</v>
      </c>
      <c r="G122" s="32" t="s">
        <v>2104</v>
      </c>
      <c r="H122" s="30" t="s">
        <v>65</v>
      </c>
      <c r="I122" s="30" t="s">
        <v>865</v>
      </c>
      <c r="J122" s="32" t="s">
        <v>2105</v>
      </c>
      <c r="K122" s="30" t="s">
        <v>632</v>
      </c>
      <c r="L122" s="32" t="s">
        <v>2106</v>
      </c>
      <c r="M122" s="30" t="s">
        <v>1697</v>
      </c>
      <c r="N122" s="30" t="s">
        <v>1672</v>
      </c>
      <c r="O122" s="33">
        <v>6</v>
      </c>
      <c r="P122" s="33">
        <v>30457</v>
      </c>
      <c r="Q122" s="33">
        <v>0</v>
      </c>
      <c r="R122" s="33">
        <v>0</v>
      </c>
      <c r="S122" s="33">
        <v>0</v>
      </c>
      <c r="T122" s="33">
        <v>0</v>
      </c>
      <c r="U122" s="33">
        <v>0</v>
      </c>
      <c r="V122" s="33">
        <v>0</v>
      </c>
      <c r="W122" s="33" t="s">
        <v>50</v>
      </c>
      <c r="X122" s="33">
        <v>1</v>
      </c>
      <c r="Y122" s="30" t="s">
        <v>80</v>
      </c>
      <c r="Z122" s="30" t="s">
        <v>186</v>
      </c>
      <c r="AA122" s="30" t="s">
        <v>192</v>
      </c>
      <c r="AB122" s="30" t="s">
        <v>1316</v>
      </c>
      <c r="AC122" s="30"/>
      <c r="AD122" s="30" t="s">
        <v>50</v>
      </c>
      <c r="AE122" s="30" t="s">
        <v>50</v>
      </c>
      <c r="AF122" s="30" t="s">
        <v>50</v>
      </c>
      <c r="AG122" s="30" t="s">
        <v>50</v>
      </c>
      <c r="AH122" s="30" t="s">
        <v>50</v>
      </c>
      <c r="AI122" s="30" t="s">
        <v>1673</v>
      </c>
      <c r="AJ122" s="30" t="s">
        <v>50</v>
      </c>
      <c r="AK122" s="30" t="s">
        <v>50</v>
      </c>
      <c r="AL122" s="30" t="s">
        <v>50</v>
      </c>
      <c r="AM122" s="30" t="s">
        <v>50</v>
      </c>
      <c r="AN122" s="30" t="s">
        <v>1681</v>
      </c>
      <c r="AO122" s="30" t="s">
        <v>50</v>
      </c>
      <c r="AP122" s="30" t="s">
        <v>50</v>
      </c>
      <c r="AQ122" s="30" t="s">
        <v>50</v>
      </c>
      <c r="AR122" s="30" t="s">
        <v>50</v>
      </c>
      <c r="AS122" s="30" t="s">
        <v>50</v>
      </c>
      <c r="AT122" s="30" t="s">
        <v>299</v>
      </c>
      <c r="AU122" s="30" t="s">
        <v>50</v>
      </c>
      <c r="AV122" s="34">
        <v>168323923405</v>
      </c>
    </row>
    <row r="123" spans="2:48" ht="15" customHeight="1">
      <c r="B123" s="28">
        <v>117</v>
      </c>
      <c r="C123" s="29" t="s">
        <v>2107</v>
      </c>
      <c r="D123" s="30" t="s">
        <v>50</v>
      </c>
      <c r="E123" s="31" t="s">
        <v>2108</v>
      </c>
      <c r="F123" s="31" t="s">
        <v>50</v>
      </c>
      <c r="G123" s="32" t="s">
        <v>2109</v>
      </c>
      <c r="H123" s="30" t="s">
        <v>62</v>
      </c>
      <c r="I123" s="30" t="s">
        <v>873</v>
      </c>
      <c r="J123" s="32" t="s">
        <v>874</v>
      </c>
      <c r="K123" s="30" t="s">
        <v>233</v>
      </c>
      <c r="L123" s="32" t="s">
        <v>235</v>
      </c>
      <c r="M123" s="30" t="s">
        <v>1697</v>
      </c>
      <c r="N123" s="30" t="s">
        <v>1679</v>
      </c>
      <c r="O123" s="33">
        <v>6</v>
      </c>
      <c r="P123" s="33">
        <v>197908</v>
      </c>
      <c r="Q123" s="33">
        <v>388</v>
      </c>
      <c r="R123" s="33">
        <v>0</v>
      </c>
      <c r="S123" s="33">
        <v>0</v>
      </c>
      <c r="T123" s="33">
        <v>0</v>
      </c>
      <c r="U123" s="33">
        <v>0</v>
      </c>
      <c r="V123" s="33">
        <v>0</v>
      </c>
      <c r="W123" s="33" t="s">
        <v>50</v>
      </c>
      <c r="X123" s="33">
        <v>1</v>
      </c>
      <c r="Y123" s="30" t="s">
        <v>64</v>
      </c>
      <c r="Z123" s="30" t="s">
        <v>186</v>
      </c>
      <c r="AA123" s="30" t="s">
        <v>222</v>
      </c>
      <c r="AB123" s="30" t="s">
        <v>1315</v>
      </c>
      <c r="AC123" s="30">
        <v>42</v>
      </c>
      <c r="AD123" s="30" t="s">
        <v>876</v>
      </c>
      <c r="AE123" s="30" t="s">
        <v>869</v>
      </c>
      <c r="AF123" s="30" t="s">
        <v>50</v>
      </c>
      <c r="AG123" s="30" t="s">
        <v>50</v>
      </c>
      <c r="AH123" s="30" t="s">
        <v>50</v>
      </c>
      <c r="AI123" s="30" t="s">
        <v>1673</v>
      </c>
      <c r="AJ123" s="30" t="s">
        <v>187</v>
      </c>
      <c r="AK123" s="30" t="s">
        <v>2110</v>
      </c>
      <c r="AL123" s="30" t="s">
        <v>875</v>
      </c>
      <c r="AM123" s="30" t="s">
        <v>50</v>
      </c>
      <c r="AN123" s="30" t="s">
        <v>1681</v>
      </c>
      <c r="AO123" s="30" t="s">
        <v>50</v>
      </c>
      <c r="AP123" s="30" t="s">
        <v>50</v>
      </c>
      <c r="AQ123" s="30" t="s">
        <v>50</v>
      </c>
      <c r="AR123" s="30" t="s">
        <v>50</v>
      </c>
      <c r="AS123" s="30" t="s">
        <v>50</v>
      </c>
      <c r="AT123" s="30" t="s">
        <v>299</v>
      </c>
      <c r="AU123" s="30" t="s">
        <v>50</v>
      </c>
      <c r="AV123" s="34">
        <v>168322544006</v>
      </c>
    </row>
    <row r="124" spans="2:48" ht="15" customHeight="1">
      <c r="B124" s="28">
        <v>118</v>
      </c>
      <c r="C124" s="29" t="s">
        <v>2111</v>
      </c>
      <c r="D124" s="30" t="s">
        <v>50</v>
      </c>
      <c r="E124" s="31" t="s">
        <v>2112</v>
      </c>
      <c r="F124" s="31" t="s">
        <v>50</v>
      </c>
      <c r="G124" s="32" t="s">
        <v>2113</v>
      </c>
      <c r="H124" s="30" t="s">
        <v>62</v>
      </c>
      <c r="I124" s="30" t="s">
        <v>697</v>
      </c>
      <c r="J124" s="32" t="s">
        <v>698</v>
      </c>
      <c r="K124" s="30" t="s">
        <v>697</v>
      </c>
      <c r="L124" s="32" t="s">
        <v>698</v>
      </c>
      <c r="M124" s="30" t="s">
        <v>1671</v>
      </c>
      <c r="N124" s="30" t="s">
        <v>1672</v>
      </c>
      <c r="O124" s="33"/>
      <c r="P124" s="33">
        <v>50</v>
      </c>
      <c r="Q124" s="33">
        <v>50</v>
      </c>
      <c r="R124" s="33">
        <v>7</v>
      </c>
      <c r="S124" s="33">
        <v>0</v>
      </c>
      <c r="T124" s="33">
        <v>0</v>
      </c>
      <c r="U124" s="33">
        <v>0</v>
      </c>
      <c r="V124" s="33">
        <v>0</v>
      </c>
      <c r="W124" s="33" t="s">
        <v>50</v>
      </c>
      <c r="X124" s="33">
        <v>1</v>
      </c>
      <c r="Y124" s="30" t="s">
        <v>64</v>
      </c>
      <c r="Z124" s="30" t="s">
        <v>186</v>
      </c>
      <c r="AA124" s="30" t="s">
        <v>186</v>
      </c>
      <c r="AB124" s="30"/>
      <c r="AC124" s="30"/>
      <c r="AD124" s="30" t="s">
        <v>50</v>
      </c>
      <c r="AE124" s="30" t="s">
        <v>50</v>
      </c>
      <c r="AF124" s="30" t="s">
        <v>50</v>
      </c>
      <c r="AG124" s="30" t="s">
        <v>50</v>
      </c>
      <c r="AH124" s="30" t="s">
        <v>50</v>
      </c>
      <c r="AI124" s="30" t="s">
        <v>1673</v>
      </c>
      <c r="AJ124" s="30" t="s">
        <v>187</v>
      </c>
      <c r="AK124" s="30" t="s">
        <v>201</v>
      </c>
      <c r="AL124" s="30" t="s">
        <v>201</v>
      </c>
      <c r="AM124" s="30" t="s">
        <v>50</v>
      </c>
      <c r="AN124" s="30" t="s">
        <v>50</v>
      </c>
      <c r="AO124" s="30" t="s">
        <v>50</v>
      </c>
      <c r="AP124" s="30" t="s">
        <v>50</v>
      </c>
      <c r="AQ124" s="30" t="s">
        <v>50</v>
      </c>
      <c r="AR124" s="30" t="s">
        <v>50</v>
      </c>
      <c r="AS124" s="30" t="s">
        <v>50</v>
      </c>
      <c r="AT124" s="30" t="s">
        <v>2114</v>
      </c>
      <c r="AU124" s="30" t="s">
        <v>50</v>
      </c>
      <c r="AV124" s="34">
        <v>168316985005</v>
      </c>
    </row>
    <row r="125" spans="2:48" ht="15" customHeight="1">
      <c r="B125" s="28">
        <v>119</v>
      </c>
      <c r="C125" s="29" t="s">
        <v>2115</v>
      </c>
      <c r="D125" s="30" t="s">
        <v>50</v>
      </c>
      <c r="E125" s="31" t="s">
        <v>2116</v>
      </c>
      <c r="F125" s="31" t="s">
        <v>50</v>
      </c>
      <c r="G125" s="32" t="s">
        <v>2117</v>
      </c>
      <c r="H125" s="30" t="s">
        <v>65</v>
      </c>
      <c r="I125" s="30" t="s">
        <v>769</v>
      </c>
      <c r="J125" s="32" t="s">
        <v>2118</v>
      </c>
      <c r="K125" s="30" t="s">
        <v>618</v>
      </c>
      <c r="L125" s="32" t="s">
        <v>2119</v>
      </c>
      <c r="M125" s="30" t="s">
        <v>1697</v>
      </c>
      <c r="N125" s="30" t="s">
        <v>1672</v>
      </c>
      <c r="O125" s="33"/>
      <c r="P125" s="33">
        <v>14194</v>
      </c>
      <c r="Q125" s="33">
        <v>0</v>
      </c>
      <c r="R125" s="33">
        <v>0</v>
      </c>
      <c r="S125" s="33">
        <v>0</v>
      </c>
      <c r="T125" s="33">
        <v>0</v>
      </c>
      <c r="U125" s="33">
        <v>0</v>
      </c>
      <c r="V125" s="33">
        <v>0</v>
      </c>
      <c r="W125" s="33" t="s">
        <v>50</v>
      </c>
      <c r="X125" s="33">
        <v>1</v>
      </c>
      <c r="Y125" s="30" t="s">
        <v>67</v>
      </c>
      <c r="Z125" s="30" t="s">
        <v>186</v>
      </c>
      <c r="AA125" s="30" t="s">
        <v>222</v>
      </c>
      <c r="AB125" s="30" t="s">
        <v>1315</v>
      </c>
      <c r="AC125" s="30"/>
      <c r="AD125" s="30" t="s">
        <v>50</v>
      </c>
      <c r="AE125" s="30" t="s">
        <v>50</v>
      </c>
      <c r="AF125" s="30" t="s">
        <v>1741</v>
      </c>
      <c r="AG125" s="30" t="s">
        <v>50</v>
      </c>
      <c r="AH125" s="30" t="s">
        <v>50</v>
      </c>
      <c r="AI125" s="30" t="s">
        <v>1673</v>
      </c>
      <c r="AJ125" s="30" t="s">
        <v>50</v>
      </c>
      <c r="AK125" s="30" t="s">
        <v>50</v>
      </c>
      <c r="AL125" s="30" t="s">
        <v>50</v>
      </c>
      <c r="AM125" s="30" t="s">
        <v>50</v>
      </c>
      <c r="AN125" s="30" t="s">
        <v>1681</v>
      </c>
      <c r="AO125" s="30" t="s">
        <v>50</v>
      </c>
      <c r="AP125" s="30" t="s">
        <v>50</v>
      </c>
      <c r="AQ125" s="30" t="s">
        <v>50</v>
      </c>
      <c r="AR125" s="30" t="s">
        <v>50</v>
      </c>
      <c r="AS125" s="30" t="s">
        <v>50</v>
      </c>
      <c r="AT125" s="30" t="s">
        <v>1792</v>
      </c>
      <c r="AU125" s="30" t="s">
        <v>50</v>
      </c>
      <c r="AV125" s="34">
        <v>168316287009</v>
      </c>
    </row>
    <row r="126" spans="2:48" ht="15" customHeight="1">
      <c r="B126" s="28">
        <v>120</v>
      </c>
      <c r="C126" s="29" t="s">
        <v>2120</v>
      </c>
      <c r="D126" s="30" t="s">
        <v>50</v>
      </c>
      <c r="E126" s="31" t="s">
        <v>2121</v>
      </c>
      <c r="F126" s="31" t="s">
        <v>50</v>
      </c>
      <c r="G126" s="32" t="s">
        <v>2122</v>
      </c>
      <c r="H126" s="30" t="s">
        <v>62</v>
      </c>
      <c r="I126" s="30" t="s">
        <v>870</v>
      </c>
      <c r="J126" s="32" t="s">
        <v>871</v>
      </c>
      <c r="K126" s="30" t="s">
        <v>214</v>
      </c>
      <c r="L126" s="32" t="s">
        <v>215</v>
      </c>
      <c r="M126" s="30" t="s">
        <v>1697</v>
      </c>
      <c r="N126" s="30" t="s">
        <v>1672</v>
      </c>
      <c r="O126" s="33">
        <v>6</v>
      </c>
      <c r="P126" s="33">
        <v>102407</v>
      </c>
      <c r="Q126" s="33">
        <v>1058</v>
      </c>
      <c r="R126" s="33">
        <v>0</v>
      </c>
      <c r="S126" s="33">
        <v>0</v>
      </c>
      <c r="T126" s="33">
        <v>0</v>
      </c>
      <c r="U126" s="33">
        <v>0</v>
      </c>
      <c r="V126" s="33">
        <v>0</v>
      </c>
      <c r="W126" s="33" t="s">
        <v>50</v>
      </c>
      <c r="X126" s="33">
        <v>1</v>
      </c>
      <c r="Y126" s="30" t="s">
        <v>64</v>
      </c>
      <c r="Z126" s="30" t="s">
        <v>186</v>
      </c>
      <c r="AA126" s="30" t="s">
        <v>222</v>
      </c>
      <c r="AB126" s="30" t="s">
        <v>1316</v>
      </c>
      <c r="AC126" s="30">
        <v>39</v>
      </c>
      <c r="AD126" s="30" t="s">
        <v>50</v>
      </c>
      <c r="AE126" s="30" t="s">
        <v>50</v>
      </c>
      <c r="AF126" s="30" t="s">
        <v>50</v>
      </c>
      <c r="AG126" s="30" t="s">
        <v>50</v>
      </c>
      <c r="AH126" s="30" t="s">
        <v>50</v>
      </c>
      <c r="AI126" s="30" t="s">
        <v>1673</v>
      </c>
      <c r="AJ126" s="30" t="s">
        <v>187</v>
      </c>
      <c r="AK126" s="30" t="s">
        <v>50</v>
      </c>
      <c r="AL126" s="30" t="s">
        <v>50</v>
      </c>
      <c r="AM126" s="30" t="s">
        <v>50</v>
      </c>
      <c r="AN126" s="30" t="s">
        <v>1681</v>
      </c>
      <c r="AO126" s="30" t="s">
        <v>50</v>
      </c>
      <c r="AP126" s="30" t="s">
        <v>50</v>
      </c>
      <c r="AQ126" s="30" t="s">
        <v>50</v>
      </c>
      <c r="AR126" s="30" t="s">
        <v>50</v>
      </c>
      <c r="AS126" s="30" t="s">
        <v>50</v>
      </c>
      <c r="AT126" s="30" t="s">
        <v>1682</v>
      </c>
      <c r="AU126" s="30" t="s">
        <v>50</v>
      </c>
      <c r="AV126" s="34">
        <v>168310268826</v>
      </c>
    </row>
    <row r="127" spans="2:48" ht="15" customHeight="1">
      <c r="B127" s="28">
        <v>121</v>
      </c>
      <c r="C127" s="29" t="s">
        <v>2123</v>
      </c>
      <c r="D127" s="30" t="s">
        <v>50</v>
      </c>
      <c r="E127" s="31" t="s">
        <v>2124</v>
      </c>
      <c r="F127" s="31" t="s">
        <v>2125</v>
      </c>
      <c r="G127" s="32" t="s">
        <v>2126</v>
      </c>
      <c r="H127" s="30" t="s">
        <v>62</v>
      </c>
      <c r="I127" s="30" t="s">
        <v>884</v>
      </c>
      <c r="J127" s="32" t="s">
        <v>885</v>
      </c>
      <c r="K127" s="30" t="s">
        <v>244</v>
      </c>
      <c r="L127" s="32" t="s">
        <v>245</v>
      </c>
      <c r="M127" s="30" t="s">
        <v>1671</v>
      </c>
      <c r="N127" s="30" t="s">
        <v>1672</v>
      </c>
      <c r="O127" s="33">
        <v>88</v>
      </c>
      <c r="P127" s="33">
        <v>65147</v>
      </c>
      <c r="Q127" s="33">
        <v>1366</v>
      </c>
      <c r="R127" s="33">
        <v>0</v>
      </c>
      <c r="S127" s="33">
        <v>4</v>
      </c>
      <c r="T127" s="33">
        <v>0</v>
      </c>
      <c r="U127" s="33">
        <v>4</v>
      </c>
      <c r="V127" s="33">
        <v>0</v>
      </c>
      <c r="W127" s="33" t="s">
        <v>50</v>
      </c>
      <c r="X127" s="33">
        <v>1</v>
      </c>
      <c r="Y127" s="30" t="s">
        <v>64</v>
      </c>
      <c r="Z127" s="30" t="s">
        <v>186</v>
      </c>
      <c r="AA127" s="30" t="s">
        <v>222</v>
      </c>
      <c r="AB127" s="30" t="s">
        <v>1316</v>
      </c>
      <c r="AC127" s="30"/>
      <c r="AD127" s="30" t="s">
        <v>50</v>
      </c>
      <c r="AE127" s="30" t="s">
        <v>50</v>
      </c>
      <c r="AF127" s="30" t="s">
        <v>50</v>
      </c>
      <c r="AG127" s="30" t="s">
        <v>50</v>
      </c>
      <c r="AH127" s="30" t="s">
        <v>50</v>
      </c>
      <c r="AI127" s="30" t="s">
        <v>1673</v>
      </c>
      <c r="AJ127" s="30" t="s">
        <v>187</v>
      </c>
      <c r="AK127" s="30" t="s">
        <v>201</v>
      </c>
      <c r="AL127" s="30" t="s">
        <v>201</v>
      </c>
      <c r="AM127" s="30" t="s">
        <v>50</v>
      </c>
      <c r="AN127" s="30" t="s">
        <v>50</v>
      </c>
      <c r="AO127" s="30" t="s">
        <v>50</v>
      </c>
      <c r="AP127" s="30" t="s">
        <v>50</v>
      </c>
      <c r="AQ127" s="30" t="s">
        <v>50</v>
      </c>
      <c r="AR127" s="30" t="s">
        <v>50</v>
      </c>
      <c r="AS127" s="30" t="s">
        <v>50</v>
      </c>
      <c r="AT127" s="30" t="s">
        <v>299</v>
      </c>
      <c r="AU127" s="30" t="s">
        <v>50</v>
      </c>
      <c r="AV127" s="34">
        <v>168308470057</v>
      </c>
    </row>
    <row r="128" spans="2:48" ht="15" customHeight="1">
      <c r="B128" s="28">
        <v>122</v>
      </c>
      <c r="C128" s="29" t="s">
        <v>2127</v>
      </c>
      <c r="D128" s="30" t="s">
        <v>50</v>
      </c>
      <c r="E128" s="31" t="s">
        <v>299</v>
      </c>
      <c r="F128" s="31" t="s">
        <v>50</v>
      </c>
      <c r="G128" s="32" t="s">
        <v>2128</v>
      </c>
      <c r="H128" s="30" t="s">
        <v>78</v>
      </c>
      <c r="I128" s="30" t="s">
        <v>1236</v>
      </c>
      <c r="J128" s="32" t="s">
        <v>1237</v>
      </c>
      <c r="K128" s="30" t="s">
        <v>202</v>
      </c>
      <c r="L128" s="32" t="s">
        <v>203</v>
      </c>
      <c r="M128" s="30" t="s">
        <v>1697</v>
      </c>
      <c r="N128" s="30" t="s">
        <v>1672</v>
      </c>
      <c r="O128" s="33">
        <v>4</v>
      </c>
      <c r="P128" s="33">
        <v>36400</v>
      </c>
      <c r="Q128" s="33">
        <v>0</v>
      </c>
      <c r="R128" s="33">
        <v>0</v>
      </c>
      <c r="S128" s="33">
        <v>0</v>
      </c>
      <c r="T128" s="33">
        <v>0</v>
      </c>
      <c r="U128" s="33">
        <v>0</v>
      </c>
      <c r="V128" s="33">
        <v>0</v>
      </c>
      <c r="W128" s="33" t="s">
        <v>50</v>
      </c>
      <c r="X128" s="33">
        <v>2</v>
      </c>
      <c r="Y128" s="30" t="s">
        <v>70</v>
      </c>
      <c r="Z128" s="30" t="s">
        <v>192</v>
      </c>
      <c r="AA128" s="30" t="s">
        <v>192</v>
      </c>
      <c r="AB128" s="30" t="s">
        <v>1315</v>
      </c>
      <c r="AC128" s="30"/>
      <c r="AD128" s="30" t="s">
        <v>50</v>
      </c>
      <c r="AE128" s="30" t="s">
        <v>50</v>
      </c>
      <c r="AF128" s="30" t="s">
        <v>50</v>
      </c>
      <c r="AG128" s="30" t="s">
        <v>50</v>
      </c>
      <c r="AH128" s="30" t="s">
        <v>50</v>
      </c>
      <c r="AI128" s="30" t="s">
        <v>1673</v>
      </c>
      <c r="AJ128" s="30" t="s">
        <v>1292</v>
      </c>
      <c r="AK128" s="30" t="s">
        <v>50</v>
      </c>
      <c r="AL128" s="30" t="s">
        <v>50</v>
      </c>
      <c r="AM128" s="30" t="s">
        <v>50</v>
      </c>
      <c r="AN128" s="30" t="s">
        <v>1681</v>
      </c>
      <c r="AO128" s="30" t="s">
        <v>50</v>
      </c>
      <c r="AP128" s="30" t="s">
        <v>50</v>
      </c>
      <c r="AQ128" s="30" t="s">
        <v>50</v>
      </c>
      <c r="AR128" s="30" t="s">
        <v>50</v>
      </c>
      <c r="AS128" s="30" t="s">
        <v>50</v>
      </c>
      <c r="AT128" s="30" t="s">
        <v>299</v>
      </c>
      <c r="AU128" s="30" t="s">
        <v>50</v>
      </c>
      <c r="AV128" s="34">
        <v>168311865379</v>
      </c>
    </row>
    <row r="129" spans="2:48" ht="15" customHeight="1">
      <c r="B129" s="28">
        <v>123</v>
      </c>
      <c r="C129" s="29" t="s">
        <v>2129</v>
      </c>
      <c r="D129" s="30" t="s">
        <v>50</v>
      </c>
      <c r="E129" s="31" t="s">
        <v>2130</v>
      </c>
      <c r="F129" s="31" t="s">
        <v>50</v>
      </c>
      <c r="G129" s="32" t="s">
        <v>2131</v>
      </c>
      <c r="H129" s="30" t="s">
        <v>62</v>
      </c>
      <c r="I129" s="30" t="s">
        <v>948</v>
      </c>
      <c r="J129" s="32" t="s">
        <v>949</v>
      </c>
      <c r="K129" s="30" t="s">
        <v>233</v>
      </c>
      <c r="L129" s="32" t="s">
        <v>235</v>
      </c>
      <c r="M129" s="30" t="s">
        <v>1697</v>
      </c>
      <c r="N129" s="30" t="s">
        <v>1672</v>
      </c>
      <c r="O129" s="33">
        <v>6</v>
      </c>
      <c r="P129" s="33">
        <v>197908</v>
      </c>
      <c r="Q129" s="33">
        <v>89</v>
      </c>
      <c r="R129" s="33">
        <v>0</v>
      </c>
      <c r="S129" s="33">
        <v>0</v>
      </c>
      <c r="T129" s="33">
        <v>0</v>
      </c>
      <c r="U129" s="33">
        <v>0</v>
      </c>
      <c r="V129" s="33">
        <v>0</v>
      </c>
      <c r="W129" s="33" t="s">
        <v>50</v>
      </c>
      <c r="X129" s="33">
        <v>1</v>
      </c>
      <c r="Y129" s="30" t="s">
        <v>64</v>
      </c>
      <c r="Z129" s="30" t="s">
        <v>186</v>
      </c>
      <c r="AA129" s="30" t="s">
        <v>222</v>
      </c>
      <c r="AB129" s="30" t="s">
        <v>1316</v>
      </c>
      <c r="AC129" s="30">
        <v>27</v>
      </c>
      <c r="AD129" s="30" t="s">
        <v>50</v>
      </c>
      <c r="AE129" s="30" t="s">
        <v>50</v>
      </c>
      <c r="AF129" s="30" t="s">
        <v>50</v>
      </c>
      <c r="AG129" s="30" t="s">
        <v>50</v>
      </c>
      <c r="AH129" s="30" t="s">
        <v>50</v>
      </c>
      <c r="AI129" s="30" t="s">
        <v>1673</v>
      </c>
      <c r="AJ129" s="30" t="s">
        <v>187</v>
      </c>
      <c r="AK129" s="30" t="s">
        <v>2132</v>
      </c>
      <c r="AL129" s="30" t="s">
        <v>237</v>
      </c>
      <c r="AM129" s="30" t="s">
        <v>50</v>
      </c>
      <c r="AN129" s="30" t="s">
        <v>1681</v>
      </c>
      <c r="AO129" s="30" t="s">
        <v>50</v>
      </c>
      <c r="AP129" s="30" t="s">
        <v>50</v>
      </c>
      <c r="AQ129" s="30" t="s">
        <v>50</v>
      </c>
      <c r="AR129" s="30" t="s">
        <v>50</v>
      </c>
      <c r="AS129" s="30" t="s">
        <v>50</v>
      </c>
      <c r="AT129" s="30" t="s">
        <v>299</v>
      </c>
      <c r="AU129" s="30" t="s">
        <v>50</v>
      </c>
      <c r="AV129" s="34">
        <v>168305272875</v>
      </c>
    </row>
    <row r="130" spans="2:48" ht="15" customHeight="1">
      <c r="B130" s="28">
        <v>124</v>
      </c>
      <c r="C130" s="29" t="s">
        <v>2133</v>
      </c>
      <c r="D130" s="30" t="s">
        <v>50</v>
      </c>
      <c r="E130" s="31" t="s">
        <v>2134</v>
      </c>
      <c r="F130" s="31" t="s">
        <v>50</v>
      </c>
      <c r="G130" s="32" t="s">
        <v>2135</v>
      </c>
      <c r="H130" s="30" t="s">
        <v>62</v>
      </c>
      <c r="I130" s="30" t="s">
        <v>873</v>
      </c>
      <c r="J130" s="32" t="s">
        <v>874</v>
      </c>
      <c r="K130" s="30" t="s">
        <v>233</v>
      </c>
      <c r="L130" s="32" t="s">
        <v>235</v>
      </c>
      <c r="M130" s="30" t="s">
        <v>1697</v>
      </c>
      <c r="N130" s="30" t="s">
        <v>1679</v>
      </c>
      <c r="O130" s="33">
        <v>6</v>
      </c>
      <c r="P130" s="33">
        <v>197908</v>
      </c>
      <c r="Q130" s="33">
        <v>388</v>
      </c>
      <c r="R130" s="33">
        <v>0</v>
      </c>
      <c r="S130" s="33">
        <v>0</v>
      </c>
      <c r="T130" s="33">
        <v>0</v>
      </c>
      <c r="U130" s="33">
        <v>0</v>
      </c>
      <c r="V130" s="33">
        <v>0</v>
      </c>
      <c r="W130" s="33" t="s">
        <v>50</v>
      </c>
      <c r="X130" s="33">
        <v>1</v>
      </c>
      <c r="Y130" s="30" t="s">
        <v>64</v>
      </c>
      <c r="Z130" s="30" t="s">
        <v>186</v>
      </c>
      <c r="AA130" s="30" t="s">
        <v>222</v>
      </c>
      <c r="AB130" s="30" t="s">
        <v>1315</v>
      </c>
      <c r="AC130" s="30">
        <v>42</v>
      </c>
      <c r="AD130" s="30" t="s">
        <v>876</v>
      </c>
      <c r="AE130" s="30" t="s">
        <v>869</v>
      </c>
      <c r="AF130" s="30" t="s">
        <v>50</v>
      </c>
      <c r="AG130" s="30" t="s">
        <v>50</v>
      </c>
      <c r="AH130" s="30" t="s">
        <v>50</v>
      </c>
      <c r="AI130" s="30" t="s">
        <v>1673</v>
      </c>
      <c r="AJ130" s="30" t="s">
        <v>187</v>
      </c>
      <c r="AK130" s="30" t="s">
        <v>2110</v>
      </c>
      <c r="AL130" s="30" t="s">
        <v>875</v>
      </c>
      <c r="AM130" s="30" t="s">
        <v>50</v>
      </c>
      <c r="AN130" s="30" t="s">
        <v>1681</v>
      </c>
      <c r="AO130" s="30" t="s">
        <v>50</v>
      </c>
      <c r="AP130" s="30" t="s">
        <v>50</v>
      </c>
      <c r="AQ130" s="30" t="s">
        <v>50</v>
      </c>
      <c r="AR130" s="30" t="s">
        <v>50</v>
      </c>
      <c r="AS130" s="30" t="s">
        <v>50</v>
      </c>
      <c r="AT130" s="30" t="s">
        <v>299</v>
      </c>
      <c r="AU130" s="30" t="s">
        <v>50</v>
      </c>
      <c r="AV130" s="34">
        <v>168302118729</v>
      </c>
    </row>
    <row r="131" spans="2:48" ht="15" customHeight="1">
      <c r="B131" s="28">
        <v>125</v>
      </c>
      <c r="C131" s="29" t="s">
        <v>2136</v>
      </c>
      <c r="D131" s="30" t="s">
        <v>50</v>
      </c>
      <c r="E131" s="31" t="s">
        <v>2137</v>
      </c>
      <c r="F131" s="31" t="s">
        <v>50</v>
      </c>
      <c r="G131" s="32" t="s">
        <v>2138</v>
      </c>
      <c r="H131" s="30" t="s">
        <v>65</v>
      </c>
      <c r="I131" s="30" t="s">
        <v>1075</v>
      </c>
      <c r="J131" s="32" t="s">
        <v>2139</v>
      </c>
      <c r="K131" s="30" t="s">
        <v>674</v>
      </c>
      <c r="L131" s="32" t="s">
        <v>2140</v>
      </c>
      <c r="M131" s="30" t="s">
        <v>1697</v>
      </c>
      <c r="N131" s="30" t="s">
        <v>1672</v>
      </c>
      <c r="O131" s="33">
        <v>14</v>
      </c>
      <c r="P131" s="33">
        <v>1855990</v>
      </c>
      <c r="Q131" s="33">
        <v>0</v>
      </c>
      <c r="R131" s="33">
        <v>0</v>
      </c>
      <c r="S131" s="33">
        <v>0</v>
      </c>
      <c r="T131" s="33">
        <v>0</v>
      </c>
      <c r="U131" s="33">
        <v>0</v>
      </c>
      <c r="V131" s="33">
        <v>0</v>
      </c>
      <c r="W131" s="33" t="s">
        <v>50</v>
      </c>
      <c r="X131" s="33">
        <v>1</v>
      </c>
      <c r="Y131" s="30" t="s">
        <v>80</v>
      </c>
      <c r="Z131" s="30" t="s">
        <v>192</v>
      </c>
      <c r="AA131" s="30" t="s">
        <v>222</v>
      </c>
      <c r="AB131" s="30"/>
      <c r="AC131" s="30"/>
      <c r="AD131" s="30" t="s">
        <v>50</v>
      </c>
      <c r="AE131" s="30" t="s">
        <v>50</v>
      </c>
      <c r="AF131" s="30" t="s">
        <v>50</v>
      </c>
      <c r="AG131" s="30" t="s">
        <v>50</v>
      </c>
      <c r="AH131" s="30" t="s">
        <v>50</v>
      </c>
      <c r="AI131" s="30" t="s">
        <v>1673</v>
      </c>
      <c r="AJ131" s="30" t="s">
        <v>50</v>
      </c>
      <c r="AK131" s="30" t="s">
        <v>50</v>
      </c>
      <c r="AL131" s="30" t="s">
        <v>50</v>
      </c>
      <c r="AM131" s="30" t="s">
        <v>50</v>
      </c>
      <c r="AN131" s="30" t="s">
        <v>1681</v>
      </c>
      <c r="AO131" s="30" t="s">
        <v>50</v>
      </c>
      <c r="AP131" s="30" t="s">
        <v>50</v>
      </c>
      <c r="AQ131" s="30" t="s">
        <v>50</v>
      </c>
      <c r="AR131" s="30" t="s">
        <v>50</v>
      </c>
      <c r="AS131" s="30" t="s">
        <v>50</v>
      </c>
      <c r="AT131" s="30" t="s">
        <v>1682</v>
      </c>
      <c r="AU131" s="30" t="s">
        <v>50</v>
      </c>
      <c r="AV131" s="34">
        <v>168294770130</v>
      </c>
    </row>
    <row r="132" spans="2:48" ht="15" customHeight="1">
      <c r="B132" s="28">
        <v>126</v>
      </c>
      <c r="C132" s="29" t="s">
        <v>2141</v>
      </c>
      <c r="D132" s="30" t="s">
        <v>50</v>
      </c>
      <c r="E132" s="31" t="s">
        <v>2142</v>
      </c>
      <c r="F132" s="31" t="s">
        <v>50</v>
      </c>
      <c r="G132" s="32" t="s">
        <v>2143</v>
      </c>
      <c r="H132" s="30" t="s">
        <v>78</v>
      </c>
      <c r="I132" s="30" t="s">
        <v>1033</v>
      </c>
      <c r="J132" s="32" t="s">
        <v>1034</v>
      </c>
      <c r="K132" s="30" t="s">
        <v>793</v>
      </c>
      <c r="L132" s="32" t="s">
        <v>794</v>
      </c>
      <c r="M132" s="30" t="s">
        <v>1697</v>
      </c>
      <c r="N132" s="30" t="s">
        <v>1679</v>
      </c>
      <c r="O132" s="33">
        <v>5</v>
      </c>
      <c r="P132" s="33">
        <v>119000</v>
      </c>
      <c r="Q132" s="33">
        <v>3</v>
      </c>
      <c r="R132" s="33">
        <v>0</v>
      </c>
      <c r="S132" s="33">
        <v>0</v>
      </c>
      <c r="T132" s="33">
        <v>0</v>
      </c>
      <c r="U132" s="33">
        <v>0</v>
      </c>
      <c r="V132" s="33">
        <v>0</v>
      </c>
      <c r="W132" s="33" t="s">
        <v>50</v>
      </c>
      <c r="X132" s="33">
        <v>1</v>
      </c>
      <c r="Y132" s="30" t="s">
        <v>70</v>
      </c>
      <c r="Z132" s="30" t="s">
        <v>192</v>
      </c>
      <c r="AA132" s="30" t="s">
        <v>192</v>
      </c>
      <c r="AB132" s="30" t="s">
        <v>1315</v>
      </c>
      <c r="AC132" s="30"/>
      <c r="AD132" s="30" t="s">
        <v>50</v>
      </c>
      <c r="AE132" s="30" t="s">
        <v>50</v>
      </c>
      <c r="AF132" s="30" t="s">
        <v>50</v>
      </c>
      <c r="AG132" s="30" t="s">
        <v>50</v>
      </c>
      <c r="AH132" s="30" t="s">
        <v>50</v>
      </c>
      <c r="AI132" s="30" t="s">
        <v>1673</v>
      </c>
      <c r="AJ132" s="30" t="s">
        <v>1294</v>
      </c>
      <c r="AK132" s="30" t="s">
        <v>50</v>
      </c>
      <c r="AL132" s="30" t="s">
        <v>50</v>
      </c>
      <c r="AM132" s="30" t="s">
        <v>50</v>
      </c>
      <c r="AN132" s="30" t="s">
        <v>1681</v>
      </c>
      <c r="AO132" s="30" t="s">
        <v>50</v>
      </c>
      <c r="AP132" s="30" t="s">
        <v>50</v>
      </c>
      <c r="AQ132" s="30" t="s">
        <v>50</v>
      </c>
      <c r="AR132" s="30" t="s">
        <v>50</v>
      </c>
      <c r="AS132" s="30" t="s">
        <v>50</v>
      </c>
      <c r="AT132" s="30" t="s">
        <v>299</v>
      </c>
      <c r="AU132" s="30" t="s">
        <v>50</v>
      </c>
      <c r="AV132" s="34">
        <v>168297573644</v>
      </c>
    </row>
    <row r="133" spans="2:48" ht="15" customHeight="1">
      <c r="B133" s="28">
        <v>127</v>
      </c>
      <c r="C133" s="29" t="s">
        <v>2144</v>
      </c>
      <c r="D133" s="30" t="s">
        <v>318</v>
      </c>
      <c r="E133" s="31" t="s">
        <v>2145</v>
      </c>
      <c r="F133" s="31" t="s">
        <v>50</v>
      </c>
      <c r="G133" s="32" t="s">
        <v>2146</v>
      </c>
      <c r="H133" s="30" t="s">
        <v>73</v>
      </c>
      <c r="I133" s="30" t="s">
        <v>1250</v>
      </c>
      <c r="J133" s="32" t="s">
        <v>1251</v>
      </c>
      <c r="K133" s="30" t="s">
        <v>318</v>
      </c>
      <c r="L133" s="32" t="s">
        <v>320</v>
      </c>
      <c r="M133" s="30" t="s">
        <v>1718</v>
      </c>
      <c r="N133" s="30" t="s">
        <v>1679</v>
      </c>
      <c r="O133" s="33"/>
      <c r="P133" s="33">
        <v>0</v>
      </c>
      <c r="Q133" s="33">
        <v>0</v>
      </c>
      <c r="R133" s="33" t="s">
        <v>158</v>
      </c>
      <c r="S133" s="33">
        <v>0</v>
      </c>
      <c r="T133" s="33" t="s">
        <v>158</v>
      </c>
      <c r="U133" s="33" t="s">
        <v>158</v>
      </c>
      <c r="V133" s="33" t="s">
        <v>158</v>
      </c>
      <c r="W133" s="33" t="s">
        <v>50</v>
      </c>
      <c r="X133" s="33">
        <v>1</v>
      </c>
      <c r="Y133" s="30" t="s">
        <v>75</v>
      </c>
      <c r="Z133" s="30" t="s">
        <v>192</v>
      </c>
      <c r="AA133" s="30" t="s">
        <v>192</v>
      </c>
      <c r="AB133" s="30" t="s">
        <v>1315</v>
      </c>
      <c r="AC133" s="30"/>
      <c r="AD133" s="30" t="s">
        <v>50</v>
      </c>
      <c r="AE133" s="30" t="s">
        <v>50</v>
      </c>
      <c r="AF133" s="30" t="s">
        <v>50</v>
      </c>
      <c r="AG133" s="30" t="s">
        <v>50</v>
      </c>
      <c r="AH133" s="30" t="s">
        <v>50</v>
      </c>
      <c r="AI133" s="30" t="s">
        <v>1673</v>
      </c>
      <c r="AJ133" s="30" t="s">
        <v>50</v>
      </c>
      <c r="AK133" s="30" t="s">
        <v>50</v>
      </c>
      <c r="AL133" s="30" t="s">
        <v>50</v>
      </c>
      <c r="AM133" s="30" t="s">
        <v>50</v>
      </c>
      <c r="AN133" s="30" t="s">
        <v>1681</v>
      </c>
      <c r="AO133" s="30" t="s">
        <v>50</v>
      </c>
      <c r="AP133" s="30" t="s">
        <v>50</v>
      </c>
      <c r="AQ133" s="30" t="s">
        <v>50</v>
      </c>
      <c r="AR133" s="30" t="s">
        <v>50</v>
      </c>
      <c r="AS133" s="30" t="s">
        <v>50</v>
      </c>
      <c r="AT133" s="30" t="s">
        <v>299</v>
      </c>
      <c r="AU133" s="30" t="s">
        <v>50</v>
      </c>
      <c r="AV133" s="34">
        <v>168294702036</v>
      </c>
    </row>
    <row r="134" spans="2:48" ht="15" customHeight="1">
      <c r="B134" s="28">
        <v>128</v>
      </c>
      <c r="C134" s="29" t="s">
        <v>2147</v>
      </c>
      <c r="D134" s="30" t="s">
        <v>2148</v>
      </c>
      <c r="E134" s="31" t="s">
        <v>2149</v>
      </c>
      <c r="F134" s="31" t="s">
        <v>50</v>
      </c>
      <c r="G134" s="32" t="s">
        <v>320</v>
      </c>
      <c r="H134" s="30" t="s">
        <v>73</v>
      </c>
      <c r="I134" s="30" t="s">
        <v>1100</v>
      </c>
      <c r="J134" s="32" t="s">
        <v>1101</v>
      </c>
      <c r="K134" s="30" t="s">
        <v>318</v>
      </c>
      <c r="L134" s="32" t="s">
        <v>320</v>
      </c>
      <c r="M134" s="30" t="s">
        <v>1686</v>
      </c>
      <c r="N134" s="30" t="s">
        <v>1672</v>
      </c>
      <c r="O134" s="33"/>
      <c r="P134" s="33">
        <v>0</v>
      </c>
      <c r="Q134" s="33">
        <v>0</v>
      </c>
      <c r="R134" s="33" t="s">
        <v>158</v>
      </c>
      <c r="S134" s="33">
        <v>0</v>
      </c>
      <c r="T134" s="33" t="s">
        <v>158</v>
      </c>
      <c r="U134" s="33" t="s">
        <v>158</v>
      </c>
      <c r="V134" s="33" t="s">
        <v>158</v>
      </c>
      <c r="W134" s="33" t="s">
        <v>50</v>
      </c>
      <c r="X134" s="33">
        <v>1</v>
      </c>
      <c r="Y134" s="30" t="s">
        <v>75</v>
      </c>
      <c r="Z134" s="30" t="s">
        <v>192</v>
      </c>
      <c r="AA134" s="30" t="s">
        <v>192</v>
      </c>
      <c r="AB134" s="30" t="s">
        <v>1316</v>
      </c>
      <c r="AC134" s="30"/>
      <c r="AD134" s="30" t="s">
        <v>50</v>
      </c>
      <c r="AE134" s="30" t="s">
        <v>50</v>
      </c>
      <c r="AF134" s="30" t="s">
        <v>50</v>
      </c>
      <c r="AG134" s="30" t="s">
        <v>50</v>
      </c>
      <c r="AH134" s="30" t="s">
        <v>50</v>
      </c>
      <c r="AI134" s="30" t="s">
        <v>1673</v>
      </c>
      <c r="AJ134" s="30" t="s">
        <v>50</v>
      </c>
      <c r="AK134" s="30" t="s">
        <v>50</v>
      </c>
      <c r="AL134" s="30" t="s">
        <v>50</v>
      </c>
      <c r="AM134" s="30" t="s">
        <v>50</v>
      </c>
      <c r="AN134" s="30" t="s">
        <v>1681</v>
      </c>
      <c r="AO134" s="30" t="s">
        <v>50</v>
      </c>
      <c r="AP134" s="30" t="s">
        <v>50</v>
      </c>
      <c r="AQ134" s="30" t="s">
        <v>50</v>
      </c>
      <c r="AR134" s="30" t="s">
        <v>50</v>
      </c>
      <c r="AS134" s="30" t="s">
        <v>50</v>
      </c>
      <c r="AT134" s="30" t="s">
        <v>299</v>
      </c>
      <c r="AU134" s="30" t="s">
        <v>50</v>
      </c>
      <c r="AV134" s="34">
        <v>168299060036</v>
      </c>
    </row>
    <row r="135" spans="2:48" ht="15" customHeight="1">
      <c r="B135" s="28">
        <v>129</v>
      </c>
      <c r="C135" s="29" t="s">
        <v>2150</v>
      </c>
      <c r="D135" s="30" t="s">
        <v>50</v>
      </c>
      <c r="E135" s="31" t="s">
        <v>2151</v>
      </c>
      <c r="F135" s="31" t="s">
        <v>50</v>
      </c>
      <c r="G135" s="32" t="s">
        <v>2152</v>
      </c>
      <c r="H135" s="30" t="s">
        <v>62</v>
      </c>
      <c r="I135" s="30" t="s">
        <v>862</v>
      </c>
      <c r="J135" s="32" t="s">
        <v>863</v>
      </c>
      <c r="K135" s="30" t="s">
        <v>216</v>
      </c>
      <c r="L135" s="32" t="s">
        <v>217</v>
      </c>
      <c r="M135" s="30" t="s">
        <v>1697</v>
      </c>
      <c r="N135" s="30" t="s">
        <v>1672</v>
      </c>
      <c r="O135" s="33">
        <v>3</v>
      </c>
      <c r="P135" s="33">
        <v>66349</v>
      </c>
      <c r="Q135" s="33">
        <v>0</v>
      </c>
      <c r="R135" s="33">
        <v>0</v>
      </c>
      <c r="S135" s="33">
        <v>0</v>
      </c>
      <c r="T135" s="33">
        <v>0</v>
      </c>
      <c r="U135" s="33">
        <v>0</v>
      </c>
      <c r="V135" s="33">
        <v>0</v>
      </c>
      <c r="W135" s="33" t="s">
        <v>50</v>
      </c>
      <c r="X135" s="33">
        <v>1</v>
      </c>
      <c r="Y135" s="30" t="s">
        <v>64</v>
      </c>
      <c r="Z135" s="30" t="s">
        <v>186</v>
      </c>
      <c r="AA135" s="30" t="s">
        <v>222</v>
      </c>
      <c r="AB135" s="30" t="s">
        <v>1316</v>
      </c>
      <c r="AC135" s="30">
        <v>38</v>
      </c>
      <c r="AD135" s="30" t="s">
        <v>1325</v>
      </c>
      <c r="AE135" s="30" t="s">
        <v>50</v>
      </c>
      <c r="AF135" s="30" t="s">
        <v>50</v>
      </c>
      <c r="AG135" s="30" t="s">
        <v>50</v>
      </c>
      <c r="AH135" s="30" t="s">
        <v>50</v>
      </c>
      <c r="AI135" s="30" t="s">
        <v>1673</v>
      </c>
      <c r="AJ135" s="30" t="s">
        <v>187</v>
      </c>
      <c r="AK135" s="30" t="s">
        <v>1895</v>
      </c>
      <c r="AL135" s="30" t="s">
        <v>219</v>
      </c>
      <c r="AM135" s="30" t="s">
        <v>50</v>
      </c>
      <c r="AN135" s="30" t="s">
        <v>1681</v>
      </c>
      <c r="AO135" s="30" t="s">
        <v>50</v>
      </c>
      <c r="AP135" s="30" t="s">
        <v>50</v>
      </c>
      <c r="AQ135" s="30" t="s">
        <v>50</v>
      </c>
      <c r="AR135" s="30" t="s">
        <v>50</v>
      </c>
      <c r="AS135" s="30" t="s">
        <v>50</v>
      </c>
      <c r="AT135" s="30" t="s">
        <v>299</v>
      </c>
      <c r="AU135" s="30" t="s">
        <v>50</v>
      </c>
      <c r="AV135" s="34">
        <v>168282375712</v>
      </c>
    </row>
    <row r="136" spans="2:48" ht="15" customHeight="1">
      <c r="B136" s="28">
        <v>130</v>
      </c>
      <c r="C136" s="29" t="s">
        <v>2153</v>
      </c>
      <c r="D136" s="30" t="s">
        <v>50</v>
      </c>
      <c r="E136" s="31" t="s">
        <v>2154</v>
      </c>
      <c r="F136" s="31" t="s">
        <v>50</v>
      </c>
      <c r="G136" s="32" t="s">
        <v>2155</v>
      </c>
      <c r="H136" s="30" t="s">
        <v>68</v>
      </c>
      <c r="I136" s="30" t="s">
        <v>860</v>
      </c>
      <c r="J136" s="32" t="s">
        <v>861</v>
      </c>
      <c r="K136" s="30" t="s">
        <v>506</v>
      </c>
      <c r="L136" s="32" t="s">
        <v>507</v>
      </c>
      <c r="M136" s="30" t="s">
        <v>1697</v>
      </c>
      <c r="N136" s="30" t="s">
        <v>1672</v>
      </c>
      <c r="O136" s="33"/>
      <c r="P136" s="33">
        <v>84981</v>
      </c>
      <c r="Q136" s="33">
        <v>0</v>
      </c>
      <c r="R136" s="33">
        <v>0</v>
      </c>
      <c r="S136" s="33">
        <v>0</v>
      </c>
      <c r="T136" s="33">
        <v>0</v>
      </c>
      <c r="U136" s="33">
        <v>0</v>
      </c>
      <c r="V136" s="33">
        <v>0</v>
      </c>
      <c r="W136" s="33" t="s">
        <v>50</v>
      </c>
      <c r="X136" s="33">
        <v>1</v>
      </c>
      <c r="Y136" s="30" t="s">
        <v>70</v>
      </c>
      <c r="Z136" s="30" t="s">
        <v>192</v>
      </c>
      <c r="AA136" s="30" t="s">
        <v>192</v>
      </c>
      <c r="AB136" s="30" t="s">
        <v>1316</v>
      </c>
      <c r="AC136" s="30"/>
      <c r="AD136" s="30" t="s">
        <v>50</v>
      </c>
      <c r="AE136" s="30" t="s">
        <v>50</v>
      </c>
      <c r="AF136" s="30" t="s">
        <v>1741</v>
      </c>
      <c r="AG136" s="30" t="s">
        <v>50</v>
      </c>
      <c r="AH136" s="30" t="s">
        <v>50</v>
      </c>
      <c r="AI136" s="30" t="s">
        <v>1673</v>
      </c>
      <c r="AJ136" s="30" t="s">
        <v>50</v>
      </c>
      <c r="AK136" s="30" t="s">
        <v>50</v>
      </c>
      <c r="AL136" s="30" t="s">
        <v>50</v>
      </c>
      <c r="AM136" s="30" t="s">
        <v>50</v>
      </c>
      <c r="AN136" s="30" t="s">
        <v>1681</v>
      </c>
      <c r="AO136" s="30" t="s">
        <v>50</v>
      </c>
      <c r="AP136" s="30" t="s">
        <v>50</v>
      </c>
      <c r="AQ136" s="30" t="s">
        <v>50</v>
      </c>
      <c r="AR136" s="30" t="s">
        <v>50</v>
      </c>
      <c r="AS136" s="30" t="s">
        <v>50</v>
      </c>
      <c r="AT136" s="30" t="s">
        <v>299</v>
      </c>
      <c r="AU136" s="30" t="s">
        <v>50</v>
      </c>
      <c r="AV136" s="34">
        <v>168281744912</v>
      </c>
    </row>
    <row r="137" spans="2:48" ht="15" customHeight="1">
      <c r="B137" s="28">
        <v>131</v>
      </c>
      <c r="C137" s="29" t="s">
        <v>2156</v>
      </c>
      <c r="D137" s="30" t="s">
        <v>50</v>
      </c>
      <c r="E137" s="31" t="s">
        <v>2157</v>
      </c>
      <c r="F137" s="31" t="s">
        <v>50</v>
      </c>
      <c r="G137" s="32" t="s">
        <v>2158</v>
      </c>
      <c r="H137" s="30" t="s">
        <v>62</v>
      </c>
      <c r="I137" s="30" t="s">
        <v>862</v>
      </c>
      <c r="J137" s="32" t="s">
        <v>863</v>
      </c>
      <c r="K137" s="30" t="s">
        <v>554</v>
      </c>
      <c r="L137" s="32" t="s">
        <v>556</v>
      </c>
      <c r="M137" s="30" t="s">
        <v>1697</v>
      </c>
      <c r="N137" s="30" t="s">
        <v>1672</v>
      </c>
      <c r="O137" s="33">
        <v>3</v>
      </c>
      <c r="P137" s="33">
        <v>155465</v>
      </c>
      <c r="Q137" s="33">
        <v>0</v>
      </c>
      <c r="R137" s="33">
        <v>0</v>
      </c>
      <c r="S137" s="33">
        <v>0</v>
      </c>
      <c r="T137" s="33">
        <v>0</v>
      </c>
      <c r="U137" s="33">
        <v>0</v>
      </c>
      <c r="V137" s="33">
        <v>0</v>
      </c>
      <c r="W137" s="33" t="s">
        <v>50</v>
      </c>
      <c r="X137" s="33">
        <v>1</v>
      </c>
      <c r="Y137" s="30" t="s">
        <v>64</v>
      </c>
      <c r="Z137" s="30" t="s">
        <v>186</v>
      </c>
      <c r="AA137" s="30" t="s">
        <v>222</v>
      </c>
      <c r="AB137" s="30" t="s">
        <v>1316</v>
      </c>
      <c r="AC137" s="30">
        <v>38</v>
      </c>
      <c r="AD137" s="30" t="s">
        <v>1325</v>
      </c>
      <c r="AE137" s="30" t="s">
        <v>50</v>
      </c>
      <c r="AF137" s="30" t="s">
        <v>50</v>
      </c>
      <c r="AG137" s="30" t="s">
        <v>50</v>
      </c>
      <c r="AH137" s="30" t="s">
        <v>50</v>
      </c>
      <c r="AI137" s="30" t="s">
        <v>1673</v>
      </c>
      <c r="AJ137" s="30" t="s">
        <v>187</v>
      </c>
      <c r="AK137" s="30" t="s">
        <v>1950</v>
      </c>
      <c r="AL137" s="30" t="s">
        <v>558</v>
      </c>
      <c r="AM137" s="30" t="s">
        <v>50</v>
      </c>
      <c r="AN137" s="30" t="s">
        <v>1681</v>
      </c>
      <c r="AO137" s="30" t="s">
        <v>50</v>
      </c>
      <c r="AP137" s="30" t="s">
        <v>50</v>
      </c>
      <c r="AQ137" s="30" t="s">
        <v>50</v>
      </c>
      <c r="AR137" s="30" t="s">
        <v>50</v>
      </c>
      <c r="AS137" s="30" t="s">
        <v>50</v>
      </c>
      <c r="AT137" s="30" t="s">
        <v>299</v>
      </c>
      <c r="AU137" s="30" t="s">
        <v>50</v>
      </c>
      <c r="AV137" s="34">
        <v>168281912291</v>
      </c>
    </row>
    <row r="138" spans="2:48" ht="15" customHeight="1">
      <c r="B138" s="28">
        <v>132</v>
      </c>
      <c r="C138" s="29" t="s">
        <v>2159</v>
      </c>
      <c r="D138" s="30" t="s">
        <v>50</v>
      </c>
      <c r="E138" s="31" t="s">
        <v>2160</v>
      </c>
      <c r="F138" s="31" t="s">
        <v>2161</v>
      </c>
      <c r="G138" s="32" t="s">
        <v>2162</v>
      </c>
      <c r="H138" s="30" t="s">
        <v>62</v>
      </c>
      <c r="I138" s="30" t="s">
        <v>820</v>
      </c>
      <c r="J138" s="32" t="s">
        <v>821</v>
      </c>
      <c r="K138" s="30" t="s">
        <v>820</v>
      </c>
      <c r="L138" s="32" t="s">
        <v>821</v>
      </c>
      <c r="M138" s="30" t="s">
        <v>1671</v>
      </c>
      <c r="N138" s="30" t="s">
        <v>1672</v>
      </c>
      <c r="O138" s="33"/>
      <c r="P138" s="33">
        <v>0</v>
      </c>
      <c r="Q138" s="33">
        <v>0</v>
      </c>
      <c r="R138" s="33">
        <v>6</v>
      </c>
      <c r="S138" s="33">
        <v>0</v>
      </c>
      <c r="T138" s="33">
        <v>0</v>
      </c>
      <c r="U138" s="33">
        <v>0</v>
      </c>
      <c r="V138" s="33">
        <v>0</v>
      </c>
      <c r="W138" s="33" t="s">
        <v>50</v>
      </c>
      <c r="X138" s="33">
        <v>1</v>
      </c>
      <c r="Y138" s="30" t="s">
        <v>64</v>
      </c>
      <c r="Z138" s="30" t="s">
        <v>186</v>
      </c>
      <c r="AA138" s="30" t="s">
        <v>186</v>
      </c>
      <c r="AB138" s="30"/>
      <c r="AC138" s="30"/>
      <c r="AD138" s="30" t="s">
        <v>50</v>
      </c>
      <c r="AE138" s="30" t="s">
        <v>50</v>
      </c>
      <c r="AF138" s="30" t="s">
        <v>50</v>
      </c>
      <c r="AG138" s="30" t="s">
        <v>50</v>
      </c>
      <c r="AH138" s="30" t="s">
        <v>50</v>
      </c>
      <c r="AI138" s="30" t="s">
        <v>1673</v>
      </c>
      <c r="AJ138" s="30" t="s">
        <v>50</v>
      </c>
      <c r="AK138" s="30" t="s">
        <v>50</v>
      </c>
      <c r="AL138" s="30" t="s">
        <v>50</v>
      </c>
      <c r="AM138" s="30" t="s">
        <v>50</v>
      </c>
      <c r="AN138" s="30" t="s">
        <v>50</v>
      </c>
      <c r="AO138" s="30" t="s">
        <v>50</v>
      </c>
      <c r="AP138" s="30" t="s">
        <v>50</v>
      </c>
      <c r="AQ138" s="30" t="s">
        <v>50</v>
      </c>
      <c r="AR138" s="30" t="s">
        <v>50</v>
      </c>
      <c r="AS138" s="30" t="s">
        <v>50</v>
      </c>
      <c r="AT138" s="30" t="s">
        <v>1682</v>
      </c>
      <c r="AU138" s="30" t="s">
        <v>50</v>
      </c>
      <c r="AV138" s="34">
        <v>168265337227</v>
      </c>
    </row>
    <row r="139" spans="2:48" ht="15" customHeight="1">
      <c r="B139" s="28">
        <v>133</v>
      </c>
      <c r="C139" s="29" t="s">
        <v>2163</v>
      </c>
      <c r="D139" s="30" t="s">
        <v>318</v>
      </c>
      <c r="E139" s="31" t="s">
        <v>2164</v>
      </c>
      <c r="F139" s="31" t="s">
        <v>50</v>
      </c>
      <c r="G139" s="32" t="s">
        <v>2165</v>
      </c>
      <c r="H139" s="30" t="s">
        <v>73</v>
      </c>
      <c r="I139" s="30" t="s">
        <v>913</v>
      </c>
      <c r="J139" s="32" t="s">
        <v>914</v>
      </c>
      <c r="K139" s="30" t="s">
        <v>318</v>
      </c>
      <c r="L139" s="32" t="s">
        <v>319</v>
      </c>
      <c r="M139" s="30" t="s">
        <v>1718</v>
      </c>
      <c r="N139" s="30" t="s">
        <v>1791</v>
      </c>
      <c r="O139" s="33"/>
      <c r="P139" s="33">
        <v>0</v>
      </c>
      <c r="Q139" s="33">
        <v>0</v>
      </c>
      <c r="R139" s="33" t="s">
        <v>158</v>
      </c>
      <c r="S139" s="33">
        <v>0</v>
      </c>
      <c r="T139" s="33" t="s">
        <v>158</v>
      </c>
      <c r="U139" s="33" t="s">
        <v>158</v>
      </c>
      <c r="V139" s="33" t="s">
        <v>158</v>
      </c>
      <c r="W139" s="33" t="s">
        <v>50</v>
      </c>
      <c r="X139" s="33">
        <v>1</v>
      </c>
      <c r="Y139" s="30" t="s">
        <v>75</v>
      </c>
      <c r="Z139" s="30" t="s">
        <v>192</v>
      </c>
      <c r="AA139" s="30" t="s">
        <v>192</v>
      </c>
      <c r="AB139" s="30" t="s">
        <v>1315</v>
      </c>
      <c r="AC139" s="30"/>
      <c r="AD139" s="30" t="s">
        <v>50</v>
      </c>
      <c r="AE139" s="30" t="s">
        <v>50</v>
      </c>
      <c r="AF139" s="30" t="s">
        <v>50</v>
      </c>
      <c r="AG139" s="30" t="s">
        <v>50</v>
      </c>
      <c r="AH139" s="30" t="s">
        <v>50</v>
      </c>
      <c r="AI139" s="30" t="s">
        <v>1673</v>
      </c>
      <c r="AJ139" s="30" t="s">
        <v>50</v>
      </c>
      <c r="AK139" s="30" t="s">
        <v>50</v>
      </c>
      <c r="AL139" s="30" t="s">
        <v>50</v>
      </c>
      <c r="AM139" s="30" t="s">
        <v>50</v>
      </c>
      <c r="AN139" s="30" t="s">
        <v>1681</v>
      </c>
      <c r="AO139" s="30" t="s">
        <v>50</v>
      </c>
      <c r="AP139" s="30" t="s">
        <v>50</v>
      </c>
      <c r="AQ139" s="30" t="s">
        <v>50</v>
      </c>
      <c r="AR139" s="30" t="s">
        <v>50</v>
      </c>
      <c r="AS139" s="30" t="s">
        <v>50</v>
      </c>
      <c r="AT139" s="30" t="s">
        <v>1682</v>
      </c>
      <c r="AU139" s="30" t="s">
        <v>50</v>
      </c>
      <c r="AV139" s="34">
        <v>168285009165</v>
      </c>
    </row>
    <row r="140" spans="2:48" ht="15" customHeight="1">
      <c r="B140" s="28">
        <v>134</v>
      </c>
      <c r="C140" s="29" t="s">
        <v>2166</v>
      </c>
      <c r="D140" s="30" t="s">
        <v>2167</v>
      </c>
      <c r="E140" s="31" t="s">
        <v>2168</v>
      </c>
      <c r="F140" s="31" t="s">
        <v>50</v>
      </c>
      <c r="G140" s="32" t="s">
        <v>319</v>
      </c>
      <c r="H140" s="30" t="s">
        <v>73</v>
      </c>
      <c r="I140" s="30" t="s">
        <v>1102</v>
      </c>
      <c r="J140" s="32" t="s">
        <v>1103</v>
      </c>
      <c r="K140" s="30" t="s">
        <v>318</v>
      </c>
      <c r="L140" s="32" t="s">
        <v>319</v>
      </c>
      <c r="M140" s="30" t="s">
        <v>1686</v>
      </c>
      <c r="N140" s="30" t="s">
        <v>1791</v>
      </c>
      <c r="O140" s="33"/>
      <c r="P140" s="33">
        <v>0</v>
      </c>
      <c r="Q140" s="33">
        <v>0</v>
      </c>
      <c r="R140" s="33" t="s">
        <v>158</v>
      </c>
      <c r="S140" s="33">
        <v>0</v>
      </c>
      <c r="T140" s="33" t="s">
        <v>158</v>
      </c>
      <c r="U140" s="33" t="s">
        <v>158</v>
      </c>
      <c r="V140" s="33" t="s">
        <v>158</v>
      </c>
      <c r="W140" s="33" t="s">
        <v>50</v>
      </c>
      <c r="X140" s="33">
        <v>1</v>
      </c>
      <c r="Y140" s="30" t="s">
        <v>75</v>
      </c>
      <c r="Z140" s="30" t="s">
        <v>192</v>
      </c>
      <c r="AA140" s="30" t="s">
        <v>192</v>
      </c>
      <c r="AB140" s="30" t="s">
        <v>1316</v>
      </c>
      <c r="AC140" s="30"/>
      <c r="AD140" s="30" t="s">
        <v>50</v>
      </c>
      <c r="AE140" s="30" t="s">
        <v>50</v>
      </c>
      <c r="AF140" s="30" t="s">
        <v>50</v>
      </c>
      <c r="AG140" s="30" t="s">
        <v>50</v>
      </c>
      <c r="AH140" s="30" t="s">
        <v>50</v>
      </c>
      <c r="AI140" s="30" t="s">
        <v>1673</v>
      </c>
      <c r="AJ140" s="30" t="s">
        <v>50</v>
      </c>
      <c r="AK140" s="30" t="s">
        <v>50</v>
      </c>
      <c r="AL140" s="30" t="s">
        <v>50</v>
      </c>
      <c r="AM140" s="30" t="s">
        <v>50</v>
      </c>
      <c r="AN140" s="30" t="s">
        <v>1681</v>
      </c>
      <c r="AO140" s="30" t="s">
        <v>50</v>
      </c>
      <c r="AP140" s="30" t="s">
        <v>50</v>
      </c>
      <c r="AQ140" s="30" t="s">
        <v>50</v>
      </c>
      <c r="AR140" s="30" t="s">
        <v>50</v>
      </c>
      <c r="AS140" s="30" t="s">
        <v>50</v>
      </c>
      <c r="AT140" s="30" t="s">
        <v>1682</v>
      </c>
      <c r="AU140" s="30" t="s">
        <v>50</v>
      </c>
      <c r="AV140" s="34">
        <v>168290635050</v>
      </c>
    </row>
    <row r="141" spans="2:48" ht="15" customHeight="1">
      <c r="B141" s="28">
        <v>135</v>
      </c>
      <c r="C141" s="29" t="s">
        <v>2169</v>
      </c>
      <c r="D141" s="30" t="s">
        <v>50</v>
      </c>
      <c r="E141" s="31" t="s">
        <v>2170</v>
      </c>
      <c r="F141" s="31" t="s">
        <v>50</v>
      </c>
      <c r="G141" s="32" t="s">
        <v>2171</v>
      </c>
      <c r="H141" s="30" t="s">
        <v>62</v>
      </c>
      <c r="I141" s="30" t="s">
        <v>870</v>
      </c>
      <c r="J141" s="32" t="s">
        <v>871</v>
      </c>
      <c r="K141" s="30" t="s">
        <v>214</v>
      </c>
      <c r="L141" s="32" t="s">
        <v>215</v>
      </c>
      <c r="M141" s="30" t="s">
        <v>1697</v>
      </c>
      <c r="N141" s="30" t="s">
        <v>1791</v>
      </c>
      <c r="O141" s="33">
        <v>6</v>
      </c>
      <c r="P141" s="33">
        <v>102407</v>
      </c>
      <c r="Q141" s="33">
        <v>1058</v>
      </c>
      <c r="R141" s="33">
        <v>0</v>
      </c>
      <c r="S141" s="33">
        <v>7</v>
      </c>
      <c r="T141" s="33">
        <v>7</v>
      </c>
      <c r="U141" s="33">
        <v>0</v>
      </c>
      <c r="V141" s="33">
        <v>0</v>
      </c>
      <c r="W141" s="33" t="s">
        <v>50</v>
      </c>
      <c r="X141" s="33">
        <v>1</v>
      </c>
      <c r="Y141" s="30" t="s">
        <v>64</v>
      </c>
      <c r="Z141" s="30" t="s">
        <v>186</v>
      </c>
      <c r="AA141" s="30" t="s">
        <v>222</v>
      </c>
      <c r="AB141" s="30" t="s">
        <v>1316</v>
      </c>
      <c r="AC141" s="30">
        <v>39</v>
      </c>
      <c r="AD141" s="30" t="s">
        <v>50</v>
      </c>
      <c r="AE141" s="30" t="s">
        <v>50</v>
      </c>
      <c r="AF141" s="30" t="s">
        <v>50</v>
      </c>
      <c r="AG141" s="30" t="s">
        <v>50</v>
      </c>
      <c r="AH141" s="30" t="s">
        <v>50</v>
      </c>
      <c r="AI141" s="30" t="s">
        <v>1673</v>
      </c>
      <c r="AJ141" s="30" t="s">
        <v>187</v>
      </c>
      <c r="AK141" s="30" t="s">
        <v>50</v>
      </c>
      <c r="AL141" s="30" t="s">
        <v>50</v>
      </c>
      <c r="AM141" s="30" t="s">
        <v>50</v>
      </c>
      <c r="AN141" s="30" t="s">
        <v>1681</v>
      </c>
      <c r="AO141" s="30" t="s">
        <v>50</v>
      </c>
      <c r="AP141" s="30" t="s">
        <v>50</v>
      </c>
      <c r="AQ141" s="30" t="s">
        <v>50</v>
      </c>
      <c r="AR141" s="30" t="s">
        <v>50</v>
      </c>
      <c r="AS141" s="30" t="s">
        <v>50</v>
      </c>
      <c r="AT141" s="30" t="s">
        <v>1682</v>
      </c>
      <c r="AU141" s="30" t="s">
        <v>50</v>
      </c>
      <c r="AV141" s="34">
        <v>168244323247</v>
      </c>
    </row>
    <row r="142" spans="2:48" ht="15" customHeight="1">
      <c r="B142" s="28">
        <v>136</v>
      </c>
      <c r="C142" s="29" t="s">
        <v>2172</v>
      </c>
      <c r="D142" s="30" t="s">
        <v>318</v>
      </c>
      <c r="E142" s="31" t="s">
        <v>2173</v>
      </c>
      <c r="F142" s="31" t="s">
        <v>50</v>
      </c>
      <c r="G142" s="32" t="s">
        <v>2174</v>
      </c>
      <c r="H142" s="30" t="s">
        <v>73</v>
      </c>
      <c r="I142" s="30" t="s">
        <v>858</v>
      </c>
      <c r="J142" s="32" t="s">
        <v>859</v>
      </c>
      <c r="K142" s="30" t="s">
        <v>824</v>
      </c>
      <c r="L142" s="32" t="s">
        <v>825</v>
      </c>
      <c r="M142" s="30" t="s">
        <v>1718</v>
      </c>
      <c r="N142" s="30" t="s">
        <v>1672</v>
      </c>
      <c r="O142" s="33"/>
      <c r="P142" s="33">
        <v>0</v>
      </c>
      <c r="Q142" s="33">
        <v>0</v>
      </c>
      <c r="R142" s="33" t="s">
        <v>158</v>
      </c>
      <c r="S142" s="33">
        <v>0</v>
      </c>
      <c r="T142" s="33" t="s">
        <v>158</v>
      </c>
      <c r="U142" s="33" t="s">
        <v>158</v>
      </c>
      <c r="V142" s="33" t="s">
        <v>158</v>
      </c>
      <c r="W142" s="33" t="s">
        <v>50</v>
      </c>
      <c r="X142" s="33">
        <v>1</v>
      </c>
      <c r="Y142" s="30" t="s">
        <v>75</v>
      </c>
      <c r="Z142" s="30" t="s">
        <v>192</v>
      </c>
      <c r="AA142" s="30" t="s">
        <v>192</v>
      </c>
      <c r="AB142" s="30" t="s">
        <v>1316</v>
      </c>
      <c r="AC142" s="30"/>
      <c r="AD142" s="30" t="s">
        <v>50</v>
      </c>
      <c r="AE142" s="30" t="s">
        <v>50</v>
      </c>
      <c r="AF142" s="30" t="s">
        <v>50</v>
      </c>
      <c r="AG142" s="30" t="s">
        <v>50</v>
      </c>
      <c r="AH142" s="30" t="s">
        <v>50</v>
      </c>
      <c r="AI142" s="30" t="s">
        <v>1673</v>
      </c>
      <c r="AJ142" s="30" t="s">
        <v>50</v>
      </c>
      <c r="AK142" s="30" t="s">
        <v>50</v>
      </c>
      <c r="AL142" s="30" t="s">
        <v>50</v>
      </c>
      <c r="AM142" s="30" t="s">
        <v>50</v>
      </c>
      <c r="AN142" s="30" t="s">
        <v>1681</v>
      </c>
      <c r="AO142" s="30" t="s">
        <v>50</v>
      </c>
      <c r="AP142" s="30" t="s">
        <v>50</v>
      </c>
      <c r="AQ142" s="30" t="s">
        <v>50</v>
      </c>
      <c r="AR142" s="30" t="s">
        <v>50</v>
      </c>
      <c r="AS142" s="30" t="s">
        <v>50</v>
      </c>
      <c r="AT142" s="30" t="s">
        <v>1792</v>
      </c>
      <c r="AU142" s="30" t="s">
        <v>50</v>
      </c>
      <c r="AV142" s="34">
        <v>168242845406</v>
      </c>
    </row>
    <row r="143" spans="2:48" ht="15" customHeight="1">
      <c r="B143" s="28">
        <v>137</v>
      </c>
      <c r="C143" s="29" t="s">
        <v>2175</v>
      </c>
      <c r="D143" s="30" t="s">
        <v>50</v>
      </c>
      <c r="E143" s="31" t="s">
        <v>2176</v>
      </c>
      <c r="F143" s="31" t="s">
        <v>50</v>
      </c>
      <c r="G143" s="32" t="s">
        <v>2177</v>
      </c>
      <c r="H143" s="30" t="s">
        <v>78</v>
      </c>
      <c r="I143" s="30" t="s">
        <v>223</v>
      </c>
      <c r="J143" s="32" t="s">
        <v>224</v>
      </c>
      <c r="K143" s="30" t="s">
        <v>223</v>
      </c>
      <c r="L143" s="32" t="s">
        <v>224</v>
      </c>
      <c r="M143" s="30" t="s">
        <v>1697</v>
      </c>
      <c r="N143" s="30" t="s">
        <v>1672</v>
      </c>
      <c r="O143" s="33">
        <v>1</v>
      </c>
      <c r="P143" s="33">
        <v>12000</v>
      </c>
      <c r="Q143" s="33">
        <v>12000</v>
      </c>
      <c r="R143" s="33">
        <v>0</v>
      </c>
      <c r="S143" s="33">
        <v>1</v>
      </c>
      <c r="T143" s="33">
        <v>1</v>
      </c>
      <c r="U143" s="33">
        <v>0</v>
      </c>
      <c r="V143" s="33">
        <v>0</v>
      </c>
      <c r="W143" s="33" t="s">
        <v>50</v>
      </c>
      <c r="X143" s="33">
        <v>1</v>
      </c>
      <c r="Y143" s="30" t="s">
        <v>70</v>
      </c>
      <c r="Z143" s="30" t="s">
        <v>192</v>
      </c>
      <c r="AA143" s="30" t="s">
        <v>192</v>
      </c>
      <c r="AB143" s="30"/>
      <c r="AC143" s="30"/>
      <c r="AD143" s="30" t="s">
        <v>50</v>
      </c>
      <c r="AE143" s="30" t="s">
        <v>50</v>
      </c>
      <c r="AF143" s="30" t="s">
        <v>50</v>
      </c>
      <c r="AG143" s="30" t="s">
        <v>50</v>
      </c>
      <c r="AH143" s="30" t="s">
        <v>50</v>
      </c>
      <c r="AI143" s="30" t="s">
        <v>1673</v>
      </c>
      <c r="AJ143" s="30" t="s">
        <v>187</v>
      </c>
      <c r="AK143" s="30" t="s">
        <v>50</v>
      </c>
      <c r="AL143" s="30" t="s">
        <v>50</v>
      </c>
      <c r="AM143" s="30" t="s">
        <v>50</v>
      </c>
      <c r="AN143" s="30" t="s">
        <v>1681</v>
      </c>
      <c r="AO143" s="30" t="s">
        <v>50</v>
      </c>
      <c r="AP143" s="30" t="s">
        <v>50</v>
      </c>
      <c r="AQ143" s="30" t="s">
        <v>50</v>
      </c>
      <c r="AR143" s="30" t="s">
        <v>50</v>
      </c>
      <c r="AS143" s="30" t="s">
        <v>50</v>
      </c>
      <c r="AT143" s="30" t="s">
        <v>1682</v>
      </c>
      <c r="AU143" s="30" t="s">
        <v>50</v>
      </c>
      <c r="AV143" s="34">
        <v>168289160017</v>
      </c>
    </row>
    <row r="144" spans="2:48" ht="15" customHeight="1">
      <c r="B144" s="28">
        <v>138</v>
      </c>
      <c r="C144" s="29" t="s">
        <v>2178</v>
      </c>
      <c r="D144" s="30" t="s">
        <v>2179</v>
      </c>
      <c r="E144" s="31" t="s">
        <v>2180</v>
      </c>
      <c r="F144" s="31" t="s">
        <v>50</v>
      </c>
      <c r="G144" s="32" t="s">
        <v>2181</v>
      </c>
      <c r="H144" s="30" t="s">
        <v>76</v>
      </c>
      <c r="I144" s="30" t="s">
        <v>433</v>
      </c>
      <c r="J144" s="32" t="s">
        <v>434</v>
      </c>
      <c r="K144" s="30" t="s">
        <v>433</v>
      </c>
      <c r="L144" s="32" t="s">
        <v>434</v>
      </c>
      <c r="M144" s="30" t="s">
        <v>1671</v>
      </c>
      <c r="N144" s="30" t="s">
        <v>1672</v>
      </c>
      <c r="O144" s="33">
        <v>7</v>
      </c>
      <c r="P144" s="33">
        <v>9604</v>
      </c>
      <c r="Q144" s="33">
        <v>9604</v>
      </c>
      <c r="R144" s="33">
        <v>0</v>
      </c>
      <c r="S144" s="33">
        <v>0</v>
      </c>
      <c r="T144" s="33">
        <v>0</v>
      </c>
      <c r="U144" s="33">
        <v>0</v>
      </c>
      <c r="V144" s="33">
        <v>0</v>
      </c>
      <c r="W144" s="33" t="s">
        <v>50</v>
      </c>
      <c r="X144" s="33">
        <v>1</v>
      </c>
      <c r="Y144" s="30" t="s">
        <v>64</v>
      </c>
      <c r="Z144" s="30" t="s">
        <v>222</v>
      </c>
      <c r="AA144" s="30" t="s">
        <v>222</v>
      </c>
      <c r="AB144" s="30" t="s">
        <v>1315</v>
      </c>
      <c r="AC144" s="30">
        <v>77</v>
      </c>
      <c r="AD144" s="30" t="s">
        <v>50</v>
      </c>
      <c r="AE144" s="30" t="s">
        <v>50</v>
      </c>
      <c r="AF144" s="30" t="s">
        <v>50</v>
      </c>
      <c r="AG144" s="30" t="s">
        <v>50</v>
      </c>
      <c r="AH144" s="30" t="s">
        <v>50</v>
      </c>
      <c r="AI144" s="30" t="s">
        <v>1673</v>
      </c>
      <c r="AJ144" s="30" t="s">
        <v>187</v>
      </c>
      <c r="AK144" s="30" t="s">
        <v>2182</v>
      </c>
      <c r="AL144" s="30" t="s">
        <v>436</v>
      </c>
      <c r="AM144" s="30" t="s">
        <v>50</v>
      </c>
      <c r="AN144" s="30" t="s">
        <v>50</v>
      </c>
      <c r="AO144" s="30" t="s">
        <v>50</v>
      </c>
      <c r="AP144" s="30" t="s">
        <v>50</v>
      </c>
      <c r="AQ144" s="30" t="s">
        <v>50</v>
      </c>
      <c r="AR144" s="30" t="s">
        <v>50</v>
      </c>
      <c r="AS144" s="30" t="s">
        <v>50</v>
      </c>
      <c r="AT144" s="30" t="s">
        <v>299</v>
      </c>
      <c r="AU144" s="30" t="s">
        <v>50</v>
      </c>
      <c r="AV144" s="34">
        <v>168208826167</v>
      </c>
    </row>
    <row r="145" spans="2:48" ht="15" customHeight="1">
      <c r="B145" s="28">
        <v>139</v>
      </c>
      <c r="C145" s="29" t="s">
        <v>2183</v>
      </c>
      <c r="D145" s="30" t="s">
        <v>2184</v>
      </c>
      <c r="E145" s="31" t="s">
        <v>2185</v>
      </c>
      <c r="F145" s="31" t="s">
        <v>50</v>
      </c>
      <c r="G145" s="32" t="s">
        <v>2186</v>
      </c>
      <c r="H145" s="30" t="s">
        <v>68</v>
      </c>
      <c r="I145" s="30" t="s">
        <v>190</v>
      </c>
      <c r="J145" s="32" t="s">
        <v>191</v>
      </c>
      <c r="K145" s="30" t="s">
        <v>190</v>
      </c>
      <c r="L145" s="32" t="s">
        <v>191</v>
      </c>
      <c r="M145" s="30" t="s">
        <v>1671</v>
      </c>
      <c r="N145" s="30" t="s">
        <v>1679</v>
      </c>
      <c r="O145" s="33"/>
      <c r="P145" s="33">
        <v>43179</v>
      </c>
      <c r="Q145" s="33">
        <v>43179</v>
      </c>
      <c r="R145" s="33">
        <v>27541</v>
      </c>
      <c r="S145" s="33">
        <v>303</v>
      </c>
      <c r="T145" s="33">
        <v>254</v>
      </c>
      <c r="U145" s="33">
        <v>49</v>
      </c>
      <c r="V145" s="33">
        <v>0</v>
      </c>
      <c r="W145" s="33" t="s">
        <v>50</v>
      </c>
      <c r="X145" s="33">
        <v>1</v>
      </c>
      <c r="Y145" s="30" t="s">
        <v>70</v>
      </c>
      <c r="Z145" s="30" t="s">
        <v>192</v>
      </c>
      <c r="AA145" s="30" t="s">
        <v>192</v>
      </c>
      <c r="AB145" s="30"/>
      <c r="AC145" s="30"/>
      <c r="AD145" s="30" t="s">
        <v>50</v>
      </c>
      <c r="AE145" s="30" t="s">
        <v>50</v>
      </c>
      <c r="AF145" s="30" t="s">
        <v>1741</v>
      </c>
      <c r="AG145" s="30" t="s">
        <v>50</v>
      </c>
      <c r="AH145" s="30" t="s">
        <v>50</v>
      </c>
      <c r="AI145" s="30" t="s">
        <v>1673</v>
      </c>
      <c r="AJ145" s="30" t="s">
        <v>50</v>
      </c>
      <c r="AK145" s="30" t="s">
        <v>50</v>
      </c>
      <c r="AL145" s="30" t="s">
        <v>50</v>
      </c>
      <c r="AM145" s="30" t="s">
        <v>35</v>
      </c>
      <c r="AN145" s="30" t="s">
        <v>1681</v>
      </c>
      <c r="AO145" s="30" t="s">
        <v>50</v>
      </c>
      <c r="AP145" s="30" t="s">
        <v>50</v>
      </c>
      <c r="AQ145" s="30" t="s">
        <v>50</v>
      </c>
      <c r="AR145" s="30" t="s">
        <v>50</v>
      </c>
      <c r="AS145" s="30" t="s">
        <v>50</v>
      </c>
      <c r="AT145" s="30" t="s">
        <v>1711</v>
      </c>
      <c r="AU145" s="30" t="s">
        <v>148</v>
      </c>
      <c r="AV145" s="34">
        <v>168191961707</v>
      </c>
    </row>
    <row r="146" spans="2:48" ht="15" customHeight="1">
      <c r="B146" s="28">
        <v>140</v>
      </c>
      <c r="C146" s="29" t="s">
        <v>2187</v>
      </c>
      <c r="D146" s="30" t="s">
        <v>50</v>
      </c>
      <c r="E146" s="31" t="s">
        <v>2188</v>
      </c>
      <c r="F146" s="31" t="s">
        <v>50</v>
      </c>
      <c r="G146" s="32" t="s">
        <v>2189</v>
      </c>
      <c r="H146" s="30" t="s">
        <v>68</v>
      </c>
      <c r="I146" s="30" t="s">
        <v>860</v>
      </c>
      <c r="J146" s="32" t="s">
        <v>861</v>
      </c>
      <c r="K146" s="30" t="s">
        <v>190</v>
      </c>
      <c r="L146" s="32" t="s">
        <v>191</v>
      </c>
      <c r="M146" s="30" t="s">
        <v>1697</v>
      </c>
      <c r="N146" s="30" t="s">
        <v>1791</v>
      </c>
      <c r="O146" s="33"/>
      <c r="P146" s="33">
        <v>43179</v>
      </c>
      <c r="Q146" s="33">
        <v>0</v>
      </c>
      <c r="R146" s="33">
        <v>0</v>
      </c>
      <c r="S146" s="33">
        <v>0</v>
      </c>
      <c r="T146" s="33">
        <v>0</v>
      </c>
      <c r="U146" s="33">
        <v>0</v>
      </c>
      <c r="V146" s="33">
        <v>0</v>
      </c>
      <c r="W146" s="33" t="s">
        <v>50</v>
      </c>
      <c r="X146" s="33">
        <v>1</v>
      </c>
      <c r="Y146" s="30" t="s">
        <v>70</v>
      </c>
      <c r="Z146" s="30" t="s">
        <v>192</v>
      </c>
      <c r="AA146" s="30" t="s">
        <v>192</v>
      </c>
      <c r="AB146" s="30" t="s">
        <v>1316</v>
      </c>
      <c r="AC146" s="30"/>
      <c r="AD146" s="30" t="s">
        <v>50</v>
      </c>
      <c r="AE146" s="30" t="s">
        <v>50</v>
      </c>
      <c r="AF146" s="30" t="s">
        <v>50</v>
      </c>
      <c r="AG146" s="30" t="s">
        <v>50</v>
      </c>
      <c r="AH146" s="30" t="s">
        <v>50</v>
      </c>
      <c r="AI146" s="30" t="s">
        <v>1673</v>
      </c>
      <c r="AJ146" s="30" t="s">
        <v>50</v>
      </c>
      <c r="AK146" s="30" t="s">
        <v>50</v>
      </c>
      <c r="AL146" s="30" t="s">
        <v>50</v>
      </c>
      <c r="AM146" s="30" t="s">
        <v>50</v>
      </c>
      <c r="AN146" s="30" t="s">
        <v>1681</v>
      </c>
      <c r="AO146" s="30" t="s">
        <v>50</v>
      </c>
      <c r="AP146" s="30" t="s">
        <v>50</v>
      </c>
      <c r="AQ146" s="30" t="s">
        <v>50</v>
      </c>
      <c r="AR146" s="30" t="s">
        <v>50</v>
      </c>
      <c r="AS146" s="30" t="s">
        <v>50</v>
      </c>
      <c r="AT146" s="30" t="s">
        <v>299</v>
      </c>
      <c r="AU146" s="30" t="s">
        <v>50</v>
      </c>
      <c r="AV146" s="34">
        <v>168190711133</v>
      </c>
    </row>
    <row r="147" spans="2:48" ht="15" customHeight="1">
      <c r="B147" s="28">
        <v>141</v>
      </c>
      <c r="C147" s="29" t="s">
        <v>2190</v>
      </c>
      <c r="D147" s="30" t="s">
        <v>50</v>
      </c>
      <c r="E147" s="31" t="s">
        <v>2191</v>
      </c>
      <c r="F147" s="31" t="s">
        <v>50</v>
      </c>
      <c r="G147" s="32" t="s">
        <v>2192</v>
      </c>
      <c r="H147" s="30" t="s">
        <v>65</v>
      </c>
      <c r="I147" s="30" t="s">
        <v>903</v>
      </c>
      <c r="J147" s="32" t="s">
        <v>2193</v>
      </c>
      <c r="K147" s="30" t="s">
        <v>630</v>
      </c>
      <c r="L147" s="32" t="s">
        <v>2194</v>
      </c>
      <c r="M147" s="30" t="s">
        <v>1671</v>
      </c>
      <c r="N147" s="30" t="s">
        <v>1672</v>
      </c>
      <c r="O147" s="33"/>
      <c r="P147" s="33">
        <v>1188</v>
      </c>
      <c r="Q147" s="33">
        <v>0</v>
      </c>
      <c r="R147" s="33">
        <v>0</v>
      </c>
      <c r="S147" s="33">
        <v>0</v>
      </c>
      <c r="T147" s="33">
        <v>0</v>
      </c>
      <c r="U147" s="33">
        <v>0</v>
      </c>
      <c r="V147" s="33">
        <v>0</v>
      </c>
      <c r="W147" s="33" t="s">
        <v>50</v>
      </c>
      <c r="X147" s="33">
        <v>1</v>
      </c>
      <c r="Y147" s="30" t="s">
        <v>67</v>
      </c>
      <c r="Z147" s="30" t="s">
        <v>186</v>
      </c>
      <c r="AA147" s="30" t="s">
        <v>222</v>
      </c>
      <c r="AB147" s="30" t="s">
        <v>1316</v>
      </c>
      <c r="AC147" s="30"/>
      <c r="AD147" s="30" t="s">
        <v>50</v>
      </c>
      <c r="AE147" s="30" t="s">
        <v>50</v>
      </c>
      <c r="AF147" s="30" t="s">
        <v>1741</v>
      </c>
      <c r="AG147" s="30" t="s">
        <v>50</v>
      </c>
      <c r="AH147" s="30" t="s">
        <v>50</v>
      </c>
      <c r="AI147" s="30" t="s">
        <v>1673</v>
      </c>
      <c r="AJ147" s="30" t="s">
        <v>50</v>
      </c>
      <c r="AK147" s="30" t="s">
        <v>50</v>
      </c>
      <c r="AL147" s="30" t="s">
        <v>50</v>
      </c>
      <c r="AM147" s="30" t="s">
        <v>50</v>
      </c>
      <c r="AN147" s="30" t="s">
        <v>50</v>
      </c>
      <c r="AO147" s="30" t="s">
        <v>50</v>
      </c>
      <c r="AP147" s="30" t="s">
        <v>50</v>
      </c>
      <c r="AQ147" s="30" t="s">
        <v>50</v>
      </c>
      <c r="AR147" s="30" t="s">
        <v>50</v>
      </c>
      <c r="AS147" s="30" t="s">
        <v>50</v>
      </c>
      <c r="AT147" s="30" t="s">
        <v>1682</v>
      </c>
      <c r="AU147" s="30" t="s">
        <v>50</v>
      </c>
      <c r="AV147" s="34">
        <v>168183065803</v>
      </c>
    </row>
    <row r="148" spans="2:48" ht="15" customHeight="1">
      <c r="B148" s="28">
        <v>142</v>
      </c>
      <c r="C148" s="29" t="s">
        <v>2195</v>
      </c>
      <c r="D148" s="30" t="s">
        <v>318</v>
      </c>
      <c r="E148" s="31" t="s">
        <v>2196</v>
      </c>
      <c r="F148" s="31" t="s">
        <v>50</v>
      </c>
      <c r="G148" s="32" t="s">
        <v>2197</v>
      </c>
      <c r="H148" s="30" t="s">
        <v>73</v>
      </c>
      <c r="I148" s="30" t="s">
        <v>858</v>
      </c>
      <c r="J148" s="32" t="s">
        <v>859</v>
      </c>
      <c r="K148" s="30" t="s">
        <v>822</v>
      </c>
      <c r="L148" s="32" t="s">
        <v>823</v>
      </c>
      <c r="M148" s="30" t="s">
        <v>1718</v>
      </c>
      <c r="N148" s="30" t="s">
        <v>1672</v>
      </c>
      <c r="O148" s="33"/>
      <c r="P148" s="33">
        <v>0</v>
      </c>
      <c r="Q148" s="33">
        <v>0</v>
      </c>
      <c r="R148" s="33" t="s">
        <v>158</v>
      </c>
      <c r="S148" s="33">
        <v>0</v>
      </c>
      <c r="T148" s="33" t="s">
        <v>158</v>
      </c>
      <c r="U148" s="33" t="s">
        <v>158</v>
      </c>
      <c r="V148" s="33" t="s">
        <v>158</v>
      </c>
      <c r="W148" s="33" t="s">
        <v>50</v>
      </c>
      <c r="X148" s="33">
        <v>1</v>
      </c>
      <c r="Y148" s="30" t="s">
        <v>75</v>
      </c>
      <c r="Z148" s="30" t="s">
        <v>192</v>
      </c>
      <c r="AA148" s="30" t="s">
        <v>192</v>
      </c>
      <c r="AB148" s="30" t="s">
        <v>1316</v>
      </c>
      <c r="AC148" s="30"/>
      <c r="AD148" s="30" t="s">
        <v>50</v>
      </c>
      <c r="AE148" s="30" t="s">
        <v>50</v>
      </c>
      <c r="AF148" s="30" t="s">
        <v>50</v>
      </c>
      <c r="AG148" s="30" t="s">
        <v>50</v>
      </c>
      <c r="AH148" s="30" t="s">
        <v>50</v>
      </c>
      <c r="AI148" s="30" t="s">
        <v>1673</v>
      </c>
      <c r="AJ148" s="30" t="s">
        <v>50</v>
      </c>
      <c r="AK148" s="30" t="s">
        <v>50</v>
      </c>
      <c r="AL148" s="30" t="s">
        <v>50</v>
      </c>
      <c r="AM148" s="30" t="s">
        <v>50</v>
      </c>
      <c r="AN148" s="30" t="s">
        <v>1681</v>
      </c>
      <c r="AO148" s="30" t="s">
        <v>50</v>
      </c>
      <c r="AP148" s="30" t="s">
        <v>50</v>
      </c>
      <c r="AQ148" s="30" t="s">
        <v>50</v>
      </c>
      <c r="AR148" s="30" t="s">
        <v>50</v>
      </c>
      <c r="AS148" s="30" t="s">
        <v>50</v>
      </c>
      <c r="AT148" s="30" t="s">
        <v>1792</v>
      </c>
      <c r="AU148" s="30" t="s">
        <v>50</v>
      </c>
      <c r="AV148" s="34">
        <v>168237141312</v>
      </c>
    </row>
    <row r="149" spans="2:48" ht="15" customHeight="1">
      <c r="B149" s="28">
        <v>143</v>
      </c>
      <c r="C149" s="29" t="s">
        <v>2198</v>
      </c>
      <c r="D149" s="30" t="s">
        <v>50</v>
      </c>
      <c r="E149" s="31" t="s">
        <v>2199</v>
      </c>
      <c r="F149" s="31" t="s">
        <v>50</v>
      </c>
      <c r="G149" s="32" t="s">
        <v>2200</v>
      </c>
      <c r="H149" s="30" t="s">
        <v>65</v>
      </c>
      <c r="I149" s="30" t="s">
        <v>1277</v>
      </c>
      <c r="J149" s="32" t="s">
        <v>2201</v>
      </c>
      <c r="K149" s="30" t="s">
        <v>699</v>
      </c>
      <c r="L149" s="32" t="s">
        <v>2202</v>
      </c>
      <c r="M149" s="30" t="s">
        <v>1697</v>
      </c>
      <c r="N149" s="30" t="s">
        <v>1791</v>
      </c>
      <c r="O149" s="33"/>
      <c r="P149" s="33">
        <v>62478</v>
      </c>
      <c r="Q149" s="33">
        <v>0</v>
      </c>
      <c r="R149" s="33">
        <v>0</v>
      </c>
      <c r="S149" s="33">
        <v>0</v>
      </c>
      <c r="T149" s="33">
        <v>0</v>
      </c>
      <c r="U149" s="33">
        <v>0</v>
      </c>
      <c r="V149" s="33">
        <v>0</v>
      </c>
      <c r="W149" s="33" t="s">
        <v>50</v>
      </c>
      <c r="X149" s="33">
        <v>1</v>
      </c>
      <c r="Y149" s="30" t="s">
        <v>67</v>
      </c>
      <c r="Z149" s="30" t="s">
        <v>186</v>
      </c>
      <c r="AA149" s="30" t="s">
        <v>222</v>
      </c>
      <c r="AB149" s="30"/>
      <c r="AC149" s="30"/>
      <c r="AD149" s="30" t="s">
        <v>50</v>
      </c>
      <c r="AE149" s="30" t="s">
        <v>50</v>
      </c>
      <c r="AF149" s="30" t="s">
        <v>2203</v>
      </c>
      <c r="AG149" s="30" t="s">
        <v>50</v>
      </c>
      <c r="AH149" s="30" t="s">
        <v>50</v>
      </c>
      <c r="AI149" s="30" t="s">
        <v>1673</v>
      </c>
      <c r="AJ149" s="30" t="s">
        <v>50</v>
      </c>
      <c r="AK149" s="30" t="s">
        <v>50</v>
      </c>
      <c r="AL149" s="30" t="s">
        <v>50</v>
      </c>
      <c r="AM149" s="30" t="s">
        <v>50</v>
      </c>
      <c r="AN149" s="30" t="s">
        <v>1681</v>
      </c>
      <c r="AO149" s="30" t="s">
        <v>50</v>
      </c>
      <c r="AP149" s="30" t="s">
        <v>50</v>
      </c>
      <c r="AQ149" s="30" t="s">
        <v>50</v>
      </c>
      <c r="AR149" s="30" t="s">
        <v>1681</v>
      </c>
      <c r="AS149" s="30" t="s">
        <v>50</v>
      </c>
      <c r="AT149" s="30" t="s">
        <v>1682</v>
      </c>
      <c r="AU149" s="30" t="s">
        <v>50</v>
      </c>
      <c r="AV149" s="34">
        <v>168180932107</v>
      </c>
    </row>
    <row r="150" spans="2:48" ht="15" customHeight="1">
      <c r="B150" s="28">
        <v>144</v>
      </c>
      <c r="C150" s="29" t="s">
        <v>2204</v>
      </c>
      <c r="D150" s="30" t="s">
        <v>50</v>
      </c>
      <c r="E150" s="31" t="s">
        <v>2205</v>
      </c>
      <c r="F150" s="31" t="s">
        <v>50</v>
      </c>
      <c r="G150" s="32" t="s">
        <v>2206</v>
      </c>
      <c r="H150" s="30" t="s">
        <v>81</v>
      </c>
      <c r="I150" s="30" t="s">
        <v>2207</v>
      </c>
      <c r="J150" s="32" t="s">
        <v>993</v>
      </c>
      <c r="K150" s="30" t="s">
        <v>2208</v>
      </c>
      <c r="L150" s="32" t="s">
        <v>759</v>
      </c>
      <c r="M150" s="30" t="s">
        <v>1697</v>
      </c>
      <c r="N150" s="30" t="s">
        <v>1679</v>
      </c>
      <c r="O150" s="33">
        <v>3</v>
      </c>
      <c r="P150" s="33">
        <v>9077</v>
      </c>
      <c r="Q150" s="33">
        <v>112</v>
      </c>
      <c r="R150" s="33">
        <v>0</v>
      </c>
      <c r="S150" s="33">
        <v>0</v>
      </c>
      <c r="T150" s="33">
        <v>0</v>
      </c>
      <c r="U150" s="33">
        <v>0</v>
      </c>
      <c r="V150" s="33">
        <v>0</v>
      </c>
      <c r="W150" s="33" t="s">
        <v>50</v>
      </c>
      <c r="X150" s="33">
        <v>1</v>
      </c>
      <c r="Y150" s="30" t="s">
        <v>64</v>
      </c>
      <c r="Z150" s="30" t="s">
        <v>222</v>
      </c>
      <c r="AA150" s="30" t="s">
        <v>222</v>
      </c>
      <c r="AB150" s="30" t="s">
        <v>1315</v>
      </c>
      <c r="AC150" s="30"/>
      <c r="AD150" s="30" t="s">
        <v>50</v>
      </c>
      <c r="AE150" s="30" t="s">
        <v>50</v>
      </c>
      <c r="AF150" s="30" t="s">
        <v>50</v>
      </c>
      <c r="AG150" s="30" t="s">
        <v>50</v>
      </c>
      <c r="AH150" s="30" t="s">
        <v>50</v>
      </c>
      <c r="AI150" s="30" t="s">
        <v>1673</v>
      </c>
      <c r="AJ150" s="30" t="s">
        <v>50</v>
      </c>
      <c r="AK150" s="30" t="s">
        <v>50</v>
      </c>
      <c r="AL150" s="30" t="s">
        <v>50</v>
      </c>
      <c r="AM150" s="30" t="s">
        <v>50</v>
      </c>
      <c r="AN150" s="30" t="s">
        <v>1681</v>
      </c>
      <c r="AO150" s="30" t="s">
        <v>50</v>
      </c>
      <c r="AP150" s="30" t="s">
        <v>50</v>
      </c>
      <c r="AQ150" s="30" t="s">
        <v>50</v>
      </c>
      <c r="AR150" s="30" t="s">
        <v>50</v>
      </c>
      <c r="AS150" s="30" t="s">
        <v>50</v>
      </c>
      <c r="AT150" s="30" t="s">
        <v>1682</v>
      </c>
      <c r="AU150" s="30" t="s">
        <v>50</v>
      </c>
      <c r="AV150" s="34">
        <v>168171255357</v>
      </c>
    </row>
    <row r="151" spans="2:48" ht="15" customHeight="1">
      <c r="B151" s="28">
        <v>145</v>
      </c>
      <c r="C151" s="29" t="s">
        <v>2209</v>
      </c>
      <c r="D151" s="30" t="s">
        <v>2210</v>
      </c>
      <c r="E151" s="31" t="s">
        <v>2211</v>
      </c>
      <c r="F151" s="31" t="s">
        <v>2212</v>
      </c>
      <c r="G151" s="32" t="s">
        <v>2213</v>
      </c>
      <c r="H151" s="30" t="s">
        <v>78</v>
      </c>
      <c r="I151" s="30" t="s">
        <v>223</v>
      </c>
      <c r="J151" s="32" t="s">
        <v>224</v>
      </c>
      <c r="K151" s="30" t="s">
        <v>223</v>
      </c>
      <c r="L151" s="32" t="s">
        <v>224</v>
      </c>
      <c r="M151" s="30" t="s">
        <v>1671</v>
      </c>
      <c r="N151" s="30" t="s">
        <v>1672</v>
      </c>
      <c r="O151" s="33">
        <v>37</v>
      </c>
      <c r="P151" s="33">
        <v>12000</v>
      </c>
      <c r="Q151" s="33">
        <v>12000</v>
      </c>
      <c r="R151" s="33">
        <v>10140</v>
      </c>
      <c r="S151" s="33">
        <v>40</v>
      </c>
      <c r="T151" s="33">
        <v>35</v>
      </c>
      <c r="U151" s="33">
        <v>5</v>
      </c>
      <c r="V151" s="33">
        <v>0</v>
      </c>
      <c r="W151" s="33" t="s">
        <v>50</v>
      </c>
      <c r="X151" s="33">
        <v>1</v>
      </c>
      <c r="Y151" s="30" t="s">
        <v>70</v>
      </c>
      <c r="Z151" s="30" t="s">
        <v>192</v>
      </c>
      <c r="AA151" s="30" t="s">
        <v>192</v>
      </c>
      <c r="AB151" s="30"/>
      <c r="AC151" s="30"/>
      <c r="AD151" s="30" t="s">
        <v>50</v>
      </c>
      <c r="AE151" s="30" t="s">
        <v>50</v>
      </c>
      <c r="AF151" s="30" t="s">
        <v>50</v>
      </c>
      <c r="AG151" s="30" t="s">
        <v>50</v>
      </c>
      <c r="AH151" s="30" t="s">
        <v>50</v>
      </c>
      <c r="AI151" s="30" t="s">
        <v>1673</v>
      </c>
      <c r="AJ151" s="30" t="s">
        <v>187</v>
      </c>
      <c r="AK151" s="30" t="s">
        <v>50</v>
      </c>
      <c r="AL151" s="30" t="s">
        <v>50</v>
      </c>
      <c r="AM151" s="30" t="s">
        <v>50</v>
      </c>
      <c r="AN151" s="30" t="s">
        <v>50</v>
      </c>
      <c r="AO151" s="30" t="s">
        <v>50</v>
      </c>
      <c r="AP151" s="30" t="s">
        <v>50</v>
      </c>
      <c r="AQ151" s="30" t="s">
        <v>50</v>
      </c>
      <c r="AR151" s="30" t="s">
        <v>50</v>
      </c>
      <c r="AS151" s="30" t="s">
        <v>50</v>
      </c>
      <c r="AT151" s="30" t="s">
        <v>1682</v>
      </c>
      <c r="AU151" s="30" t="s">
        <v>50</v>
      </c>
      <c r="AV151" s="34">
        <v>168286945282</v>
      </c>
    </row>
    <row r="152" spans="2:48" ht="15" customHeight="1">
      <c r="B152" s="28">
        <v>146</v>
      </c>
      <c r="C152" s="29" t="s">
        <v>2214</v>
      </c>
      <c r="D152" s="30" t="s">
        <v>50</v>
      </c>
      <c r="E152" s="31" t="s">
        <v>2215</v>
      </c>
      <c r="F152" s="31" t="s">
        <v>50</v>
      </c>
      <c r="G152" s="32" t="s">
        <v>2216</v>
      </c>
      <c r="H152" s="30" t="s">
        <v>65</v>
      </c>
      <c r="I152" s="30" t="s">
        <v>996</v>
      </c>
      <c r="J152" s="32" t="s">
        <v>2217</v>
      </c>
      <c r="K152" s="30" t="s">
        <v>277</v>
      </c>
      <c r="L152" s="32" t="s">
        <v>2218</v>
      </c>
      <c r="M152" s="30" t="s">
        <v>1697</v>
      </c>
      <c r="N152" s="30" t="s">
        <v>1672</v>
      </c>
      <c r="O152" s="33"/>
      <c r="P152" s="33">
        <v>7355</v>
      </c>
      <c r="Q152" s="33">
        <v>0</v>
      </c>
      <c r="R152" s="33">
        <v>0</v>
      </c>
      <c r="S152" s="33">
        <v>0</v>
      </c>
      <c r="T152" s="33">
        <v>0</v>
      </c>
      <c r="U152" s="33">
        <v>0</v>
      </c>
      <c r="V152" s="33">
        <v>0</v>
      </c>
      <c r="W152" s="33" t="s">
        <v>50</v>
      </c>
      <c r="X152" s="33">
        <v>1</v>
      </c>
      <c r="Y152" s="30" t="s">
        <v>67</v>
      </c>
      <c r="Z152" s="30" t="s">
        <v>186</v>
      </c>
      <c r="AA152" s="30" t="s">
        <v>222</v>
      </c>
      <c r="AB152" s="30"/>
      <c r="AC152" s="30"/>
      <c r="AD152" s="30" t="s">
        <v>50</v>
      </c>
      <c r="AE152" s="30" t="s">
        <v>50</v>
      </c>
      <c r="AF152" s="30" t="s">
        <v>50</v>
      </c>
      <c r="AG152" s="30" t="s">
        <v>50</v>
      </c>
      <c r="AH152" s="30" t="s">
        <v>50</v>
      </c>
      <c r="AI152" s="30" t="s">
        <v>1673</v>
      </c>
      <c r="AJ152" s="30" t="s">
        <v>50</v>
      </c>
      <c r="AK152" s="30" t="s">
        <v>50</v>
      </c>
      <c r="AL152" s="30" t="s">
        <v>50</v>
      </c>
      <c r="AM152" s="30" t="s">
        <v>50</v>
      </c>
      <c r="AN152" s="30" t="s">
        <v>1681</v>
      </c>
      <c r="AO152" s="30" t="s">
        <v>50</v>
      </c>
      <c r="AP152" s="30" t="s">
        <v>50</v>
      </c>
      <c r="AQ152" s="30" t="s">
        <v>50</v>
      </c>
      <c r="AR152" s="30" t="s">
        <v>50</v>
      </c>
      <c r="AS152" s="30" t="s">
        <v>50</v>
      </c>
      <c r="AT152" s="30" t="s">
        <v>1682</v>
      </c>
      <c r="AU152" s="30" t="s">
        <v>50</v>
      </c>
      <c r="AV152" s="34">
        <v>168134004326</v>
      </c>
    </row>
    <row r="153" spans="2:48" ht="15" customHeight="1">
      <c r="B153" s="28">
        <v>147</v>
      </c>
      <c r="C153" s="29" t="s">
        <v>2219</v>
      </c>
      <c r="D153" s="30" t="s">
        <v>50</v>
      </c>
      <c r="E153" s="31" t="s">
        <v>2220</v>
      </c>
      <c r="F153" s="31" t="s">
        <v>50</v>
      </c>
      <c r="G153" s="32" t="s">
        <v>2221</v>
      </c>
      <c r="H153" s="30" t="s">
        <v>65</v>
      </c>
      <c r="I153" s="30" t="s">
        <v>903</v>
      </c>
      <c r="J153" s="32" t="s">
        <v>2193</v>
      </c>
      <c r="K153" s="30" t="s">
        <v>277</v>
      </c>
      <c r="L153" s="32" t="s">
        <v>2218</v>
      </c>
      <c r="M153" s="30" t="s">
        <v>1697</v>
      </c>
      <c r="N153" s="30" t="s">
        <v>1672</v>
      </c>
      <c r="O153" s="33"/>
      <c r="P153" s="33">
        <v>7355</v>
      </c>
      <c r="Q153" s="33">
        <v>0</v>
      </c>
      <c r="R153" s="33">
        <v>0</v>
      </c>
      <c r="S153" s="33">
        <v>0</v>
      </c>
      <c r="T153" s="33">
        <v>0</v>
      </c>
      <c r="U153" s="33">
        <v>0</v>
      </c>
      <c r="V153" s="33">
        <v>0</v>
      </c>
      <c r="W153" s="33" t="s">
        <v>50</v>
      </c>
      <c r="X153" s="33">
        <v>1</v>
      </c>
      <c r="Y153" s="30" t="s">
        <v>67</v>
      </c>
      <c r="Z153" s="30" t="s">
        <v>186</v>
      </c>
      <c r="AA153" s="30" t="s">
        <v>222</v>
      </c>
      <c r="AB153" s="30" t="s">
        <v>1316</v>
      </c>
      <c r="AC153" s="30"/>
      <c r="AD153" s="30" t="s">
        <v>50</v>
      </c>
      <c r="AE153" s="30" t="s">
        <v>50</v>
      </c>
      <c r="AF153" s="30" t="s">
        <v>1741</v>
      </c>
      <c r="AG153" s="30" t="s">
        <v>50</v>
      </c>
      <c r="AH153" s="30" t="s">
        <v>50</v>
      </c>
      <c r="AI153" s="30" t="s">
        <v>1673</v>
      </c>
      <c r="AJ153" s="30" t="s">
        <v>50</v>
      </c>
      <c r="AK153" s="30" t="s">
        <v>50</v>
      </c>
      <c r="AL153" s="30" t="s">
        <v>50</v>
      </c>
      <c r="AM153" s="30" t="s">
        <v>50</v>
      </c>
      <c r="AN153" s="30" t="s">
        <v>1681</v>
      </c>
      <c r="AO153" s="30" t="s">
        <v>50</v>
      </c>
      <c r="AP153" s="30" t="s">
        <v>50</v>
      </c>
      <c r="AQ153" s="30" t="s">
        <v>50</v>
      </c>
      <c r="AR153" s="30" t="s">
        <v>50</v>
      </c>
      <c r="AS153" s="30" t="s">
        <v>50</v>
      </c>
      <c r="AT153" s="30" t="s">
        <v>1682</v>
      </c>
      <c r="AU153" s="30" t="s">
        <v>50</v>
      </c>
      <c r="AV153" s="34">
        <v>168131032488</v>
      </c>
    </row>
    <row r="154" spans="2:48" ht="15" customHeight="1">
      <c r="B154" s="28">
        <v>148</v>
      </c>
      <c r="C154" s="29" t="s">
        <v>2222</v>
      </c>
      <c r="D154" s="30" t="s">
        <v>50</v>
      </c>
      <c r="E154" s="31" t="s">
        <v>2223</v>
      </c>
      <c r="F154" s="31" t="s">
        <v>50</v>
      </c>
      <c r="G154" s="32" t="s">
        <v>2224</v>
      </c>
      <c r="H154" s="30" t="s">
        <v>85</v>
      </c>
      <c r="I154" s="30" t="s">
        <v>1258</v>
      </c>
      <c r="J154" s="32" t="s">
        <v>1259</v>
      </c>
      <c r="K154" s="30" t="s">
        <v>689</v>
      </c>
      <c r="L154" s="32" t="s">
        <v>690</v>
      </c>
      <c r="M154" s="30" t="s">
        <v>1697</v>
      </c>
      <c r="N154" s="30" t="s">
        <v>1679</v>
      </c>
      <c r="O154" s="33"/>
      <c r="P154" s="33">
        <v>613</v>
      </c>
      <c r="Q154" s="33">
        <v>0</v>
      </c>
      <c r="R154" s="33">
        <v>0</v>
      </c>
      <c r="S154" s="33">
        <v>0</v>
      </c>
      <c r="T154" s="33">
        <v>0</v>
      </c>
      <c r="U154" s="33">
        <v>0</v>
      </c>
      <c r="V154" s="33">
        <v>0</v>
      </c>
      <c r="W154" s="33" t="s">
        <v>50</v>
      </c>
      <c r="X154" s="33">
        <v>1</v>
      </c>
      <c r="Y154" s="30" t="s">
        <v>64</v>
      </c>
      <c r="Z154" s="30" t="s">
        <v>222</v>
      </c>
      <c r="AA154" s="30" t="s">
        <v>222</v>
      </c>
      <c r="AB154" s="30" t="s">
        <v>1316</v>
      </c>
      <c r="AC154" s="30"/>
      <c r="AD154" s="30" t="s">
        <v>50</v>
      </c>
      <c r="AE154" s="30" t="s">
        <v>50</v>
      </c>
      <c r="AF154" s="30" t="s">
        <v>50</v>
      </c>
      <c r="AG154" s="30" t="s">
        <v>50</v>
      </c>
      <c r="AH154" s="30" t="s">
        <v>50</v>
      </c>
      <c r="AI154" s="30" t="s">
        <v>1673</v>
      </c>
      <c r="AJ154" s="30" t="s">
        <v>50</v>
      </c>
      <c r="AK154" s="30" t="s">
        <v>50</v>
      </c>
      <c r="AL154" s="30" t="s">
        <v>50</v>
      </c>
      <c r="AM154" s="30" t="s">
        <v>50</v>
      </c>
      <c r="AN154" s="30" t="s">
        <v>1681</v>
      </c>
      <c r="AO154" s="30" t="s">
        <v>50</v>
      </c>
      <c r="AP154" s="30" t="s">
        <v>50</v>
      </c>
      <c r="AQ154" s="30" t="s">
        <v>50</v>
      </c>
      <c r="AR154" s="30" t="s">
        <v>50</v>
      </c>
      <c r="AS154" s="30" t="s">
        <v>50</v>
      </c>
      <c r="AT154" s="30" t="s">
        <v>299</v>
      </c>
      <c r="AU154" s="30" t="s">
        <v>50</v>
      </c>
      <c r="AV154" s="34">
        <v>168225288211</v>
      </c>
    </row>
    <row r="155" spans="2:48" ht="15" customHeight="1">
      <c r="B155" s="28">
        <v>149</v>
      </c>
      <c r="C155" s="29" t="s">
        <v>2225</v>
      </c>
      <c r="D155" s="30" t="s">
        <v>50</v>
      </c>
      <c r="E155" s="31" t="s">
        <v>2226</v>
      </c>
      <c r="F155" s="31" t="s">
        <v>50</v>
      </c>
      <c r="G155" s="32" t="s">
        <v>2227</v>
      </c>
      <c r="H155" s="30" t="s">
        <v>65</v>
      </c>
      <c r="I155" s="30" t="s">
        <v>1117</v>
      </c>
      <c r="J155" s="32" t="s">
        <v>2228</v>
      </c>
      <c r="K155" s="30" t="s">
        <v>644</v>
      </c>
      <c r="L155" s="32" t="s">
        <v>2229</v>
      </c>
      <c r="M155" s="30" t="s">
        <v>1697</v>
      </c>
      <c r="N155" s="30" t="s">
        <v>1672</v>
      </c>
      <c r="O155" s="33">
        <v>5</v>
      </c>
      <c r="P155" s="33">
        <v>9370</v>
      </c>
      <c r="Q155" s="33">
        <v>0</v>
      </c>
      <c r="R155" s="33">
        <v>0</v>
      </c>
      <c r="S155" s="33">
        <v>0</v>
      </c>
      <c r="T155" s="33">
        <v>0</v>
      </c>
      <c r="U155" s="33">
        <v>0</v>
      </c>
      <c r="V155" s="33">
        <v>0</v>
      </c>
      <c r="W155" s="33" t="s">
        <v>50</v>
      </c>
      <c r="X155" s="33">
        <v>1</v>
      </c>
      <c r="Y155" s="30" t="s">
        <v>80</v>
      </c>
      <c r="Z155" s="30" t="s">
        <v>186</v>
      </c>
      <c r="AA155" s="30" t="s">
        <v>222</v>
      </c>
      <c r="AB155" s="30" t="s">
        <v>1316</v>
      </c>
      <c r="AC155" s="30"/>
      <c r="AD155" s="30" t="s">
        <v>50</v>
      </c>
      <c r="AE155" s="30" t="s">
        <v>50</v>
      </c>
      <c r="AF155" s="30" t="s">
        <v>50</v>
      </c>
      <c r="AG155" s="30" t="s">
        <v>50</v>
      </c>
      <c r="AH155" s="30" t="s">
        <v>50</v>
      </c>
      <c r="AI155" s="30" t="s">
        <v>1673</v>
      </c>
      <c r="AJ155" s="30" t="s">
        <v>50</v>
      </c>
      <c r="AK155" s="30" t="s">
        <v>50</v>
      </c>
      <c r="AL155" s="30" t="s">
        <v>50</v>
      </c>
      <c r="AM155" s="30" t="s">
        <v>50</v>
      </c>
      <c r="AN155" s="30" t="s">
        <v>1681</v>
      </c>
      <c r="AO155" s="30" t="s">
        <v>50</v>
      </c>
      <c r="AP155" s="30" t="s">
        <v>50</v>
      </c>
      <c r="AQ155" s="30" t="s">
        <v>50</v>
      </c>
      <c r="AR155" s="30" t="s">
        <v>50</v>
      </c>
      <c r="AS155" s="30" t="s">
        <v>50</v>
      </c>
      <c r="AT155" s="30" t="s">
        <v>1682</v>
      </c>
      <c r="AU155" s="30" t="s">
        <v>50</v>
      </c>
      <c r="AV155" s="34">
        <v>168118040679</v>
      </c>
    </row>
    <row r="156" spans="2:48" ht="15" customHeight="1">
      <c r="B156" s="28">
        <v>150</v>
      </c>
      <c r="C156" s="29" t="s">
        <v>2230</v>
      </c>
      <c r="D156" s="30" t="s">
        <v>50</v>
      </c>
      <c r="E156" s="31" t="s">
        <v>2231</v>
      </c>
      <c r="F156" s="31" t="s">
        <v>50</v>
      </c>
      <c r="G156" s="32" t="s">
        <v>2232</v>
      </c>
      <c r="H156" s="30" t="s">
        <v>62</v>
      </c>
      <c r="I156" s="30" t="s">
        <v>482</v>
      </c>
      <c r="J156" s="32" t="s">
        <v>483</v>
      </c>
      <c r="K156" s="30" t="s">
        <v>482</v>
      </c>
      <c r="L156" s="32" t="s">
        <v>483</v>
      </c>
      <c r="M156" s="30" t="s">
        <v>1989</v>
      </c>
      <c r="N156" s="30" t="s">
        <v>1672</v>
      </c>
      <c r="O156" s="33"/>
      <c r="P156" s="33">
        <v>1287</v>
      </c>
      <c r="Q156" s="33">
        <v>1287</v>
      </c>
      <c r="R156" s="33">
        <v>1</v>
      </c>
      <c r="S156" s="33">
        <v>0</v>
      </c>
      <c r="T156" s="33">
        <v>0</v>
      </c>
      <c r="U156" s="33">
        <v>0</v>
      </c>
      <c r="V156" s="33">
        <v>0</v>
      </c>
      <c r="W156" s="33" t="s">
        <v>50</v>
      </c>
      <c r="X156" s="33">
        <v>6</v>
      </c>
      <c r="Y156" s="30" t="s">
        <v>64</v>
      </c>
      <c r="Z156" s="30" t="s">
        <v>222</v>
      </c>
      <c r="AA156" s="30" t="s">
        <v>222</v>
      </c>
      <c r="AB156" s="30" t="s">
        <v>1316</v>
      </c>
      <c r="AC156" s="30"/>
      <c r="AD156" s="30" t="s">
        <v>876</v>
      </c>
      <c r="AE156" s="30" t="s">
        <v>50</v>
      </c>
      <c r="AF156" s="30" t="s">
        <v>50</v>
      </c>
      <c r="AG156" s="30" t="s">
        <v>50</v>
      </c>
      <c r="AH156" s="30" t="s">
        <v>50</v>
      </c>
      <c r="AI156" s="30" t="s">
        <v>1673</v>
      </c>
      <c r="AJ156" s="30" t="s">
        <v>187</v>
      </c>
      <c r="AK156" s="30" t="s">
        <v>189</v>
      </c>
      <c r="AL156" s="30" t="s">
        <v>189</v>
      </c>
      <c r="AM156" s="30" t="s">
        <v>50</v>
      </c>
      <c r="AN156" s="30" t="s">
        <v>50</v>
      </c>
      <c r="AO156" s="30" t="s">
        <v>50</v>
      </c>
      <c r="AP156" s="30" t="s">
        <v>50</v>
      </c>
      <c r="AQ156" s="30" t="s">
        <v>50</v>
      </c>
      <c r="AR156" s="30" t="s">
        <v>50</v>
      </c>
      <c r="AS156" s="30" t="s">
        <v>50</v>
      </c>
      <c r="AT156" s="30" t="s">
        <v>1682</v>
      </c>
      <c r="AU156" s="30" t="s">
        <v>50</v>
      </c>
      <c r="AV156" s="34">
        <v>168103540241</v>
      </c>
    </row>
    <row r="157" spans="2:48" ht="15" customHeight="1">
      <c r="B157" s="28">
        <v>151</v>
      </c>
      <c r="C157" s="29" t="s">
        <v>2233</v>
      </c>
      <c r="D157" s="30" t="s">
        <v>50</v>
      </c>
      <c r="E157" s="31" t="s">
        <v>2231</v>
      </c>
      <c r="F157" s="31" t="s">
        <v>50</v>
      </c>
      <c r="G157" s="32" t="s">
        <v>2234</v>
      </c>
      <c r="H157" s="30" t="s">
        <v>62</v>
      </c>
      <c r="I157" s="30" t="s">
        <v>371</v>
      </c>
      <c r="J157" s="32" t="s">
        <v>372</v>
      </c>
      <c r="K157" s="30" t="s">
        <v>371</v>
      </c>
      <c r="L157" s="32" t="s">
        <v>372</v>
      </c>
      <c r="M157" s="30" t="s">
        <v>1671</v>
      </c>
      <c r="N157" s="30" t="s">
        <v>1672</v>
      </c>
      <c r="O157" s="33">
        <v>12</v>
      </c>
      <c r="P157" s="33">
        <v>117183</v>
      </c>
      <c r="Q157" s="33">
        <v>117183</v>
      </c>
      <c r="R157" s="33">
        <v>201</v>
      </c>
      <c r="S157" s="33">
        <v>2</v>
      </c>
      <c r="T157" s="33">
        <v>1</v>
      </c>
      <c r="U157" s="33">
        <v>0</v>
      </c>
      <c r="V157" s="33">
        <v>1</v>
      </c>
      <c r="W157" s="33" t="s">
        <v>50</v>
      </c>
      <c r="X157" s="33">
        <v>6</v>
      </c>
      <c r="Y157" s="30" t="s">
        <v>64</v>
      </c>
      <c r="Z157" s="30" t="s">
        <v>186</v>
      </c>
      <c r="AA157" s="30" t="s">
        <v>186</v>
      </c>
      <c r="AB157" s="30"/>
      <c r="AC157" s="30"/>
      <c r="AD157" s="30" t="s">
        <v>50</v>
      </c>
      <c r="AE157" s="30" t="s">
        <v>50</v>
      </c>
      <c r="AF157" s="30" t="s">
        <v>50</v>
      </c>
      <c r="AG157" s="30" t="s">
        <v>50</v>
      </c>
      <c r="AH157" s="30" t="s">
        <v>50</v>
      </c>
      <c r="AI157" s="30" t="s">
        <v>1673</v>
      </c>
      <c r="AJ157" s="30" t="s">
        <v>50</v>
      </c>
      <c r="AK157" s="30" t="s">
        <v>50</v>
      </c>
      <c r="AL157" s="30" t="s">
        <v>50</v>
      </c>
      <c r="AM157" s="30" t="s">
        <v>50</v>
      </c>
      <c r="AN157" s="30" t="s">
        <v>50</v>
      </c>
      <c r="AO157" s="30" t="s">
        <v>50</v>
      </c>
      <c r="AP157" s="30" t="s">
        <v>50</v>
      </c>
      <c r="AQ157" s="30" t="s">
        <v>50</v>
      </c>
      <c r="AR157" s="30" t="s">
        <v>50</v>
      </c>
      <c r="AS157" s="30" t="s">
        <v>50</v>
      </c>
      <c r="AT157" s="30" t="s">
        <v>1682</v>
      </c>
      <c r="AU157" s="30" t="s">
        <v>50</v>
      </c>
      <c r="AV157" s="34">
        <v>168103325882</v>
      </c>
    </row>
    <row r="158" spans="2:48" ht="15" customHeight="1">
      <c r="B158" s="28">
        <v>152</v>
      </c>
      <c r="C158" s="29" t="s">
        <v>2233</v>
      </c>
      <c r="D158" s="30" t="s">
        <v>2235</v>
      </c>
      <c r="E158" s="31" t="s">
        <v>2236</v>
      </c>
      <c r="F158" s="31" t="s">
        <v>50</v>
      </c>
      <c r="G158" s="32" t="s">
        <v>2237</v>
      </c>
      <c r="H158" s="30" t="s">
        <v>76</v>
      </c>
      <c r="I158" s="30" t="s">
        <v>371</v>
      </c>
      <c r="J158" s="32" t="s">
        <v>445</v>
      </c>
      <c r="K158" s="30" t="s">
        <v>371</v>
      </c>
      <c r="L158" s="32" t="s">
        <v>445</v>
      </c>
      <c r="M158" s="30" t="s">
        <v>1671</v>
      </c>
      <c r="N158" s="30" t="s">
        <v>1672</v>
      </c>
      <c r="O158" s="33">
        <v>22</v>
      </c>
      <c r="P158" s="33">
        <v>38900</v>
      </c>
      <c r="Q158" s="33">
        <v>38900</v>
      </c>
      <c r="R158" s="33">
        <v>0</v>
      </c>
      <c r="S158" s="33">
        <v>0</v>
      </c>
      <c r="T158" s="33">
        <v>0</v>
      </c>
      <c r="U158" s="33">
        <v>0</v>
      </c>
      <c r="V158" s="33">
        <v>0</v>
      </c>
      <c r="W158" s="33" t="s">
        <v>50</v>
      </c>
      <c r="X158" s="33">
        <v>2</v>
      </c>
      <c r="Y158" s="30" t="s">
        <v>64</v>
      </c>
      <c r="Z158" s="30" t="s">
        <v>186</v>
      </c>
      <c r="AA158" s="30" t="s">
        <v>186</v>
      </c>
      <c r="AB158" s="30"/>
      <c r="AC158" s="30"/>
      <c r="AD158" s="30" t="s">
        <v>50</v>
      </c>
      <c r="AE158" s="30" t="s">
        <v>50</v>
      </c>
      <c r="AF158" s="30" t="s">
        <v>50</v>
      </c>
      <c r="AG158" s="30" t="s">
        <v>50</v>
      </c>
      <c r="AH158" s="30" t="s">
        <v>50</v>
      </c>
      <c r="AI158" s="30" t="s">
        <v>1673</v>
      </c>
      <c r="AJ158" s="30" t="s">
        <v>187</v>
      </c>
      <c r="AK158" s="30" t="s">
        <v>201</v>
      </c>
      <c r="AL158" s="30" t="s">
        <v>201</v>
      </c>
      <c r="AM158" s="30" t="s">
        <v>50</v>
      </c>
      <c r="AN158" s="30" t="s">
        <v>50</v>
      </c>
      <c r="AO158" s="30" t="s">
        <v>50</v>
      </c>
      <c r="AP158" s="30" t="s">
        <v>50</v>
      </c>
      <c r="AQ158" s="30" t="s">
        <v>50</v>
      </c>
      <c r="AR158" s="30" t="s">
        <v>50</v>
      </c>
      <c r="AS158" s="30" t="s">
        <v>50</v>
      </c>
      <c r="AT158" s="30" t="s">
        <v>1682</v>
      </c>
      <c r="AU158" s="30" t="s">
        <v>50</v>
      </c>
      <c r="AV158" s="34">
        <v>168167328377</v>
      </c>
    </row>
    <row r="159" spans="2:48" ht="15" customHeight="1">
      <c r="B159" s="28">
        <v>153</v>
      </c>
      <c r="C159" s="29" t="s">
        <v>2238</v>
      </c>
      <c r="D159" s="30" t="s">
        <v>50</v>
      </c>
      <c r="E159" s="31" t="s">
        <v>2239</v>
      </c>
      <c r="F159" s="31" t="s">
        <v>2240</v>
      </c>
      <c r="G159" s="32" t="s">
        <v>2241</v>
      </c>
      <c r="H159" s="30" t="s">
        <v>62</v>
      </c>
      <c r="I159" s="30" t="s">
        <v>771</v>
      </c>
      <c r="J159" s="32" t="s">
        <v>772</v>
      </c>
      <c r="K159" s="30" t="s">
        <v>771</v>
      </c>
      <c r="L159" s="32" t="s">
        <v>772</v>
      </c>
      <c r="M159" s="30" t="s">
        <v>1671</v>
      </c>
      <c r="N159" s="30" t="s">
        <v>1672</v>
      </c>
      <c r="O159" s="33"/>
      <c r="P159" s="33">
        <v>1</v>
      </c>
      <c r="Q159" s="33">
        <v>1</v>
      </c>
      <c r="R159" s="33">
        <v>116</v>
      </c>
      <c r="S159" s="33">
        <v>0</v>
      </c>
      <c r="T159" s="33">
        <v>0</v>
      </c>
      <c r="U159" s="33">
        <v>0</v>
      </c>
      <c r="V159" s="33">
        <v>0</v>
      </c>
      <c r="W159" s="33" t="s">
        <v>50</v>
      </c>
      <c r="X159" s="33">
        <v>1</v>
      </c>
      <c r="Y159" s="30" t="s">
        <v>64</v>
      </c>
      <c r="Z159" s="30" t="s">
        <v>186</v>
      </c>
      <c r="AA159" s="30" t="s">
        <v>186</v>
      </c>
      <c r="AB159" s="30"/>
      <c r="AC159" s="30"/>
      <c r="AD159" s="30" t="s">
        <v>50</v>
      </c>
      <c r="AE159" s="30" t="s">
        <v>50</v>
      </c>
      <c r="AF159" s="30" t="s">
        <v>50</v>
      </c>
      <c r="AG159" s="30" t="s">
        <v>50</v>
      </c>
      <c r="AH159" s="30" t="s">
        <v>50</v>
      </c>
      <c r="AI159" s="30" t="s">
        <v>1673</v>
      </c>
      <c r="AJ159" s="30" t="s">
        <v>187</v>
      </c>
      <c r="AK159" s="30" t="s">
        <v>189</v>
      </c>
      <c r="AL159" s="30" t="s">
        <v>189</v>
      </c>
      <c r="AM159" s="30" t="s">
        <v>50</v>
      </c>
      <c r="AN159" s="30" t="s">
        <v>50</v>
      </c>
      <c r="AO159" s="30" t="s">
        <v>50</v>
      </c>
      <c r="AP159" s="30" t="s">
        <v>50</v>
      </c>
      <c r="AQ159" s="30" t="s">
        <v>50</v>
      </c>
      <c r="AR159" s="30" t="s">
        <v>50</v>
      </c>
      <c r="AS159" s="30" t="s">
        <v>50</v>
      </c>
      <c r="AT159" s="30" t="s">
        <v>1682</v>
      </c>
      <c r="AU159" s="30" t="s">
        <v>50</v>
      </c>
      <c r="AV159" s="34">
        <v>168089572416</v>
      </c>
    </row>
    <row r="160" spans="2:48" ht="15" customHeight="1">
      <c r="B160" s="28">
        <v>154</v>
      </c>
      <c r="C160" s="29" t="s">
        <v>2242</v>
      </c>
      <c r="D160" s="30" t="s">
        <v>2243</v>
      </c>
      <c r="E160" s="31" t="s">
        <v>2211</v>
      </c>
      <c r="F160" s="31" t="s">
        <v>2244</v>
      </c>
      <c r="G160" s="32" t="s">
        <v>2245</v>
      </c>
      <c r="H160" s="30" t="s">
        <v>78</v>
      </c>
      <c r="I160" s="30" t="s">
        <v>223</v>
      </c>
      <c r="J160" s="32" t="s">
        <v>224</v>
      </c>
      <c r="K160" s="30" t="s">
        <v>223</v>
      </c>
      <c r="L160" s="32" t="s">
        <v>224</v>
      </c>
      <c r="M160" s="30" t="s">
        <v>1671</v>
      </c>
      <c r="N160" s="30" t="s">
        <v>1672</v>
      </c>
      <c r="O160" s="33">
        <v>39</v>
      </c>
      <c r="P160" s="33">
        <v>12000</v>
      </c>
      <c r="Q160" s="33">
        <v>12000</v>
      </c>
      <c r="R160" s="33">
        <v>1934</v>
      </c>
      <c r="S160" s="33">
        <v>57</v>
      </c>
      <c r="T160" s="33">
        <v>48</v>
      </c>
      <c r="U160" s="33">
        <v>9</v>
      </c>
      <c r="V160" s="33">
        <v>0</v>
      </c>
      <c r="W160" s="33" t="s">
        <v>50</v>
      </c>
      <c r="X160" s="33">
        <v>1</v>
      </c>
      <c r="Y160" s="30" t="s">
        <v>70</v>
      </c>
      <c r="Z160" s="30" t="s">
        <v>192</v>
      </c>
      <c r="AA160" s="30" t="s">
        <v>192</v>
      </c>
      <c r="AB160" s="30"/>
      <c r="AC160" s="30"/>
      <c r="AD160" s="30" t="s">
        <v>50</v>
      </c>
      <c r="AE160" s="30" t="s">
        <v>50</v>
      </c>
      <c r="AF160" s="30" t="s">
        <v>50</v>
      </c>
      <c r="AG160" s="30" t="s">
        <v>50</v>
      </c>
      <c r="AH160" s="30" t="s">
        <v>50</v>
      </c>
      <c r="AI160" s="30" t="s">
        <v>1673</v>
      </c>
      <c r="AJ160" s="30" t="s">
        <v>187</v>
      </c>
      <c r="AK160" s="30" t="s">
        <v>50</v>
      </c>
      <c r="AL160" s="30" t="s">
        <v>50</v>
      </c>
      <c r="AM160" s="30" t="s">
        <v>50</v>
      </c>
      <c r="AN160" s="30" t="s">
        <v>50</v>
      </c>
      <c r="AO160" s="30" t="s">
        <v>50</v>
      </c>
      <c r="AP160" s="30" t="s">
        <v>50</v>
      </c>
      <c r="AQ160" s="30" t="s">
        <v>50</v>
      </c>
      <c r="AR160" s="30" t="s">
        <v>50</v>
      </c>
      <c r="AS160" s="30" t="s">
        <v>50</v>
      </c>
      <c r="AT160" s="30" t="s">
        <v>1682</v>
      </c>
      <c r="AU160" s="30" t="s">
        <v>50</v>
      </c>
      <c r="AV160" s="34">
        <v>168288765866</v>
      </c>
    </row>
    <row r="161" spans="2:48" ht="15" customHeight="1">
      <c r="B161" s="28">
        <v>155</v>
      </c>
      <c r="C161" s="29" t="s">
        <v>2246</v>
      </c>
      <c r="D161" s="30" t="s">
        <v>50</v>
      </c>
      <c r="E161" s="31" t="s">
        <v>2247</v>
      </c>
      <c r="F161" s="31" t="s">
        <v>50</v>
      </c>
      <c r="G161" s="32" t="s">
        <v>2248</v>
      </c>
      <c r="H161" s="30" t="s">
        <v>65</v>
      </c>
      <c r="I161" s="30" t="s">
        <v>1114</v>
      </c>
      <c r="J161" s="32" t="s">
        <v>2249</v>
      </c>
      <c r="K161" s="30" t="s">
        <v>640</v>
      </c>
      <c r="L161" s="32" t="s">
        <v>2250</v>
      </c>
      <c r="M161" s="30" t="s">
        <v>1697</v>
      </c>
      <c r="N161" s="30" t="s">
        <v>1672</v>
      </c>
      <c r="O161" s="33"/>
      <c r="P161" s="33">
        <v>77731</v>
      </c>
      <c r="Q161" s="33">
        <v>0</v>
      </c>
      <c r="R161" s="33">
        <v>0</v>
      </c>
      <c r="S161" s="33">
        <v>0</v>
      </c>
      <c r="T161" s="33">
        <v>0</v>
      </c>
      <c r="U161" s="33">
        <v>0</v>
      </c>
      <c r="V161" s="33">
        <v>0</v>
      </c>
      <c r="W161" s="33" t="s">
        <v>50</v>
      </c>
      <c r="X161" s="33">
        <v>1</v>
      </c>
      <c r="Y161" s="30" t="s">
        <v>67</v>
      </c>
      <c r="Z161" s="30" t="s">
        <v>186</v>
      </c>
      <c r="AA161" s="30" t="s">
        <v>222</v>
      </c>
      <c r="AB161" s="30" t="s">
        <v>1316</v>
      </c>
      <c r="AC161" s="30"/>
      <c r="AD161" s="30" t="s">
        <v>50</v>
      </c>
      <c r="AE161" s="30" t="s">
        <v>50</v>
      </c>
      <c r="AF161" s="30" t="s">
        <v>50</v>
      </c>
      <c r="AG161" s="30" t="s">
        <v>50</v>
      </c>
      <c r="AH161" s="30" t="s">
        <v>50</v>
      </c>
      <c r="AI161" s="30" t="s">
        <v>1673</v>
      </c>
      <c r="AJ161" s="30" t="s">
        <v>50</v>
      </c>
      <c r="AK161" s="30" t="s">
        <v>50</v>
      </c>
      <c r="AL161" s="30" t="s">
        <v>50</v>
      </c>
      <c r="AM161" s="30" t="s">
        <v>50</v>
      </c>
      <c r="AN161" s="30" t="s">
        <v>1681</v>
      </c>
      <c r="AO161" s="30" t="s">
        <v>50</v>
      </c>
      <c r="AP161" s="30" t="s">
        <v>50</v>
      </c>
      <c r="AQ161" s="30" t="s">
        <v>50</v>
      </c>
      <c r="AR161" s="30" t="s">
        <v>50</v>
      </c>
      <c r="AS161" s="30" t="s">
        <v>50</v>
      </c>
      <c r="AT161" s="30" t="s">
        <v>1711</v>
      </c>
      <c r="AU161" s="30" t="s">
        <v>50</v>
      </c>
      <c r="AV161" s="34">
        <v>168082071427</v>
      </c>
    </row>
    <row r="162" spans="2:48" ht="15" customHeight="1">
      <c r="B162" s="28">
        <v>156</v>
      </c>
      <c r="C162" s="29" t="s">
        <v>2251</v>
      </c>
      <c r="D162" s="30" t="s">
        <v>50</v>
      </c>
      <c r="E162" s="31" t="s">
        <v>2252</v>
      </c>
      <c r="F162" s="31" t="s">
        <v>50</v>
      </c>
      <c r="G162" s="32" t="s">
        <v>2253</v>
      </c>
      <c r="H162" s="30" t="s">
        <v>62</v>
      </c>
      <c r="I162" s="30" t="s">
        <v>1220</v>
      </c>
      <c r="J162" s="32" t="s">
        <v>1221</v>
      </c>
      <c r="K162" s="30" t="s">
        <v>258</v>
      </c>
      <c r="L162" s="32" t="s">
        <v>259</v>
      </c>
      <c r="M162" s="30" t="s">
        <v>1697</v>
      </c>
      <c r="N162" s="30" t="s">
        <v>1791</v>
      </c>
      <c r="O162" s="33">
        <v>1</v>
      </c>
      <c r="P162" s="33">
        <v>68708</v>
      </c>
      <c r="Q162" s="33">
        <v>22</v>
      </c>
      <c r="R162" s="33">
        <v>0</v>
      </c>
      <c r="S162" s="33">
        <v>1</v>
      </c>
      <c r="T162" s="33">
        <v>1</v>
      </c>
      <c r="U162" s="33">
        <v>0</v>
      </c>
      <c r="V162" s="33">
        <v>0</v>
      </c>
      <c r="W162" s="33" t="s">
        <v>50</v>
      </c>
      <c r="X162" s="33">
        <v>1</v>
      </c>
      <c r="Y162" s="30" t="s">
        <v>64</v>
      </c>
      <c r="Z162" s="30" t="s">
        <v>186</v>
      </c>
      <c r="AA162" s="30" t="s">
        <v>222</v>
      </c>
      <c r="AB162" s="30" t="s">
        <v>1315</v>
      </c>
      <c r="AC162" s="30">
        <v>66</v>
      </c>
      <c r="AD162" s="30" t="s">
        <v>1325</v>
      </c>
      <c r="AE162" s="30" t="s">
        <v>50</v>
      </c>
      <c r="AF162" s="30" t="s">
        <v>50</v>
      </c>
      <c r="AG162" s="30" t="s">
        <v>50</v>
      </c>
      <c r="AH162" s="30" t="s">
        <v>50</v>
      </c>
      <c r="AI162" s="30" t="s">
        <v>1673</v>
      </c>
      <c r="AJ162" s="30" t="s">
        <v>50</v>
      </c>
      <c r="AK162" s="30" t="s">
        <v>50</v>
      </c>
      <c r="AL162" s="30" t="s">
        <v>50</v>
      </c>
      <c r="AM162" s="30" t="s">
        <v>50</v>
      </c>
      <c r="AN162" s="30" t="s">
        <v>1681</v>
      </c>
      <c r="AO162" s="30" t="s">
        <v>50</v>
      </c>
      <c r="AP162" s="30" t="s">
        <v>50</v>
      </c>
      <c r="AQ162" s="30" t="s">
        <v>50</v>
      </c>
      <c r="AR162" s="30" t="s">
        <v>50</v>
      </c>
      <c r="AS162" s="30" t="s">
        <v>50</v>
      </c>
      <c r="AT162" s="30" t="s">
        <v>1682</v>
      </c>
      <c r="AU162" s="30" t="s">
        <v>50</v>
      </c>
      <c r="AV162" s="34">
        <v>168081004644</v>
      </c>
    </row>
    <row r="163" spans="2:48" ht="15" customHeight="1">
      <c r="B163" s="28">
        <v>157</v>
      </c>
      <c r="C163" s="29" t="s">
        <v>2254</v>
      </c>
      <c r="D163" s="30" t="s">
        <v>50</v>
      </c>
      <c r="E163" s="31" t="s">
        <v>2255</v>
      </c>
      <c r="F163" s="31" t="s">
        <v>2256</v>
      </c>
      <c r="G163" s="32" t="s">
        <v>2257</v>
      </c>
      <c r="H163" s="30" t="s">
        <v>62</v>
      </c>
      <c r="I163" s="30" t="s">
        <v>412</v>
      </c>
      <c r="J163" s="32" t="s">
        <v>414</v>
      </c>
      <c r="K163" s="30" t="s">
        <v>412</v>
      </c>
      <c r="L163" s="32" t="s">
        <v>414</v>
      </c>
      <c r="M163" s="30" t="s">
        <v>1671</v>
      </c>
      <c r="N163" s="30" t="s">
        <v>1791</v>
      </c>
      <c r="O163" s="33">
        <v>112</v>
      </c>
      <c r="P163" s="33">
        <v>55177</v>
      </c>
      <c r="Q163" s="33">
        <v>55177</v>
      </c>
      <c r="R163" s="33">
        <v>8468</v>
      </c>
      <c r="S163" s="33">
        <v>17</v>
      </c>
      <c r="T163" s="33">
        <v>3</v>
      </c>
      <c r="U163" s="33">
        <v>11</v>
      </c>
      <c r="V163" s="33">
        <v>3</v>
      </c>
      <c r="W163" s="33" t="s">
        <v>50</v>
      </c>
      <c r="X163" s="33">
        <v>1</v>
      </c>
      <c r="Y163" s="30" t="s">
        <v>64</v>
      </c>
      <c r="Z163" s="30" t="s">
        <v>186</v>
      </c>
      <c r="AA163" s="30" t="s">
        <v>186</v>
      </c>
      <c r="AB163" s="30"/>
      <c r="AC163" s="30"/>
      <c r="AD163" s="30" t="s">
        <v>50</v>
      </c>
      <c r="AE163" s="30" t="s">
        <v>50</v>
      </c>
      <c r="AF163" s="30" t="s">
        <v>50</v>
      </c>
      <c r="AG163" s="30" t="s">
        <v>50</v>
      </c>
      <c r="AH163" s="30" t="s">
        <v>50</v>
      </c>
      <c r="AI163" s="30" t="s">
        <v>1673</v>
      </c>
      <c r="AJ163" s="30" t="s">
        <v>187</v>
      </c>
      <c r="AK163" s="30" t="s">
        <v>2258</v>
      </c>
      <c r="AL163" s="30" t="s">
        <v>416</v>
      </c>
      <c r="AM163" s="30" t="s">
        <v>50</v>
      </c>
      <c r="AN163" s="30" t="s">
        <v>50</v>
      </c>
      <c r="AO163" s="30" t="s">
        <v>50</v>
      </c>
      <c r="AP163" s="30" t="s">
        <v>50</v>
      </c>
      <c r="AQ163" s="30" t="s">
        <v>50</v>
      </c>
      <c r="AR163" s="30" t="s">
        <v>50</v>
      </c>
      <c r="AS163" s="30" t="s">
        <v>50</v>
      </c>
      <c r="AT163" s="30" t="s">
        <v>1682</v>
      </c>
      <c r="AU163" s="30" t="s">
        <v>50</v>
      </c>
      <c r="AV163" s="34">
        <v>168079170482</v>
      </c>
    </row>
    <row r="164" spans="2:48" ht="15" customHeight="1">
      <c r="B164" s="28">
        <v>158</v>
      </c>
      <c r="C164" s="29" t="s">
        <v>2259</v>
      </c>
      <c r="D164" s="30" t="s">
        <v>50</v>
      </c>
      <c r="E164" s="31" t="s">
        <v>2260</v>
      </c>
      <c r="F164" s="31" t="s">
        <v>50</v>
      </c>
      <c r="G164" s="32" t="s">
        <v>2261</v>
      </c>
      <c r="H164" s="30" t="s">
        <v>62</v>
      </c>
      <c r="I164" s="30" t="s">
        <v>258</v>
      </c>
      <c r="J164" s="32" t="s">
        <v>259</v>
      </c>
      <c r="K164" s="30" t="s">
        <v>258</v>
      </c>
      <c r="L164" s="32" t="s">
        <v>259</v>
      </c>
      <c r="M164" s="30" t="s">
        <v>1671</v>
      </c>
      <c r="N164" s="30" t="s">
        <v>1672</v>
      </c>
      <c r="O164" s="33">
        <v>8</v>
      </c>
      <c r="P164" s="33">
        <v>68708</v>
      </c>
      <c r="Q164" s="33">
        <v>68708</v>
      </c>
      <c r="R164" s="33">
        <v>2831</v>
      </c>
      <c r="S164" s="33">
        <v>8</v>
      </c>
      <c r="T164" s="33">
        <v>2</v>
      </c>
      <c r="U164" s="33">
        <v>5</v>
      </c>
      <c r="V164" s="33">
        <v>1</v>
      </c>
      <c r="W164" s="33" t="s">
        <v>50</v>
      </c>
      <c r="X164" s="33">
        <v>6</v>
      </c>
      <c r="Y164" s="30" t="s">
        <v>64</v>
      </c>
      <c r="Z164" s="30" t="s">
        <v>186</v>
      </c>
      <c r="AA164" s="30" t="s">
        <v>186</v>
      </c>
      <c r="AB164" s="30"/>
      <c r="AC164" s="30"/>
      <c r="AD164" s="30" t="s">
        <v>50</v>
      </c>
      <c r="AE164" s="30" t="s">
        <v>50</v>
      </c>
      <c r="AF164" s="30" t="s">
        <v>50</v>
      </c>
      <c r="AG164" s="30" t="s">
        <v>50</v>
      </c>
      <c r="AH164" s="30" t="s">
        <v>50</v>
      </c>
      <c r="AI164" s="30" t="s">
        <v>1673</v>
      </c>
      <c r="AJ164" s="30" t="s">
        <v>50</v>
      </c>
      <c r="AK164" s="30" t="s">
        <v>50</v>
      </c>
      <c r="AL164" s="30" t="s">
        <v>50</v>
      </c>
      <c r="AM164" s="30" t="s">
        <v>50</v>
      </c>
      <c r="AN164" s="30" t="s">
        <v>50</v>
      </c>
      <c r="AO164" s="30" t="s">
        <v>50</v>
      </c>
      <c r="AP164" s="30" t="s">
        <v>50</v>
      </c>
      <c r="AQ164" s="30" t="s">
        <v>50</v>
      </c>
      <c r="AR164" s="30" t="s">
        <v>50</v>
      </c>
      <c r="AS164" s="30" t="s">
        <v>50</v>
      </c>
      <c r="AT164" s="30" t="s">
        <v>1682</v>
      </c>
      <c r="AU164" s="30" t="s">
        <v>50</v>
      </c>
      <c r="AV164" s="34">
        <v>168073745187</v>
      </c>
    </row>
    <row r="165" spans="2:48" ht="15" customHeight="1">
      <c r="B165" s="28">
        <v>159</v>
      </c>
      <c r="C165" s="29" t="s">
        <v>2262</v>
      </c>
      <c r="D165" s="30" t="s">
        <v>816</v>
      </c>
      <c r="E165" s="31" t="s">
        <v>2263</v>
      </c>
      <c r="F165" s="31" t="s">
        <v>50</v>
      </c>
      <c r="G165" s="32" t="s">
        <v>2264</v>
      </c>
      <c r="H165" s="30" t="s">
        <v>136</v>
      </c>
      <c r="I165" s="30" t="s">
        <v>1017</v>
      </c>
      <c r="J165" s="32" t="s">
        <v>1018</v>
      </c>
      <c r="K165" s="30" t="s">
        <v>816</v>
      </c>
      <c r="L165" s="32" t="s">
        <v>817</v>
      </c>
      <c r="M165" s="30" t="s">
        <v>1718</v>
      </c>
      <c r="N165" s="30" t="s">
        <v>1679</v>
      </c>
      <c r="O165" s="33"/>
      <c r="P165" s="33">
        <v>0</v>
      </c>
      <c r="Q165" s="33">
        <v>0</v>
      </c>
      <c r="R165" s="33" t="s">
        <v>158</v>
      </c>
      <c r="S165" s="33">
        <v>0</v>
      </c>
      <c r="T165" s="33" t="s">
        <v>158</v>
      </c>
      <c r="U165" s="33" t="s">
        <v>158</v>
      </c>
      <c r="V165" s="33" t="s">
        <v>158</v>
      </c>
      <c r="W165" s="33" t="s">
        <v>50</v>
      </c>
      <c r="X165" s="33">
        <v>1</v>
      </c>
      <c r="Y165" s="30" t="s">
        <v>75</v>
      </c>
      <c r="Z165" s="30" t="s">
        <v>192</v>
      </c>
      <c r="AA165" s="30" t="s">
        <v>192</v>
      </c>
      <c r="AB165" s="30"/>
      <c r="AC165" s="30"/>
      <c r="AD165" s="30" t="s">
        <v>50</v>
      </c>
      <c r="AE165" s="30" t="s">
        <v>50</v>
      </c>
      <c r="AF165" s="30" t="s">
        <v>50</v>
      </c>
      <c r="AG165" s="30" t="s">
        <v>50</v>
      </c>
      <c r="AH165" s="30" t="s">
        <v>50</v>
      </c>
      <c r="AI165" s="30" t="s">
        <v>1673</v>
      </c>
      <c r="AJ165" s="30" t="s">
        <v>187</v>
      </c>
      <c r="AK165" s="30" t="s">
        <v>50</v>
      </c>
      <c r="AL165" s="30" t="s">
        <v>50</v>
      </c>
      <c r="AM165" s="30" t="s">
        <v>50</v>
      </c>
      <c r="AN165" s="30" t="s">
        <v>1681</v>
      </c>
      <c r="AO165" s="30" t="s">
        <v>50</v>
      </c>
      <c r="AP165" s="30" t="s">
        <v>50</v>
      </c>
      <c r="AQ165" s="30" t="s">
        <v>50</v>
      </c>
      <c r="AR165" s="30" t="s">
        <v>50</v>
      </c>
      <c r="AS165" s="30" t="s">
        <v>50</v>
      </c>
      <c r="AT165" s="30" t="s">
        <v>299</v>
      </c>
      <c r="AU165" s="30" t="s">
        <v>50</v>
      </c>
      <c r="AV165" s="34">
        <v>168073373882</v>
      </c>
    </row>
    <row r="166" spans="2:48" ht="15" customHeight="1">
      <c r="B166" s="28">
        <v>160</v>
      </c>
      <c r="C166" s="29" t="s">
        <v>2265</v>
      </c>
      <c r="D166" s="30" t="s">
        <v>50</v>
      </c>
      <c r="E166" s="31" t="s">
        <v>2266</v>
      </c>
      <c r="F166" s="31" t="s">
        <v>50</v>
      </c>
      <c r="G166" s="32" t="s">
        <v>2267</v>
      </c>
      <c r="H166" s="30" t="s">
        <v>97</v>
      </c>
      <c r="I166" s="30" t="s">
        <v>1216</v>
      </c>
      <c r="J166" s="32" t="s">
        <v>1217</v>
      </c>
      <c r="K166" s="30" t="s">
        <v>818</v>
      </c>
      <c r="L166" s="32" t="s">
        <v>819</v>
      </c>
      <c r="M166" s="30" t="s">
        <v>1697</v>
      </c>
      <c r="N166" s="30" t="s">
        <v>1672</v>
      </c>
      <c r="O166" s="33"/>
      <c r="P166" s="33">
        <v>0</v>
      </c>
      <c r="Q166" s="33">
        <v>0</v>
      </c>
      <c r="R166" s="33" t="s">
        <v>158</v>
      </c>
      <c r="S166" s="33">
        <v>0</v>
      </c>
      <c r="T166" s="33" t="s">
        <v>158</v>
      </c>
      <c r="U166" s="33" t="s">
        <v>158</v>
      </c>
      <c r="V166" s="33" t="s">
        <v>158</v>
      </c>
      <c r="W166" s="33" t="s">
        <v>50</v>
      </c>
      <c r="X166" s="33">
        <v>1</v>
      </c>
      <c r="Y166" s="30" t="s">
        <v>75</v>
      </c>
      <c r="Z166" s="30" t="s">
        <v>192</v>
      </c>
      <c r="AA166" s="30" t="s">
        <v>192</v>
      </c>
      <c r="AB166" s="30"/>
      <c r="AC166" s="30"/>
      <c r="AD166" s="30" t="s">
        <v>50</v>
      </c>
      <c r="AE166" s="30" t="s">
        <v>50</v>
      </c>
      <c r="AF166" s="30" t="s">
        <v>50</v>
      </c>
      <c r="AG166" s="30" t="s">
        <v>50</v>
      </c>
      <c r="AH166" s="30" t="s">
        <v>50</v>
      </c>
      <c r="AI166" s="30" t="s">
        <v>1673</v>
      </c>
      <c r="AJ166" s="30" t="s">
        <v>187</v>
      </c>
      <c r="AK166" s="30" t="s">
        <v>50</v>
      </c>
      <c r="AL166" s="30" t="s">
        <v>50</v>
      </c>
      <c r="AM166" s="30" t="s">
        <v>35</v>
      </c>
      <c r="AN166" s="30" t="s">
        <v>1681</v>
      </c>
      <c r="AO166" s="30" t="s">
        <v>50</v>
      </c>
      <c r="AP166" s="30" t="s">
        <v>50</v>
      </c>
      <c r="AQ166" s="30" t="s">
        <v>50</v>
      </c>
      <c r="AR166" s="30" t="s">
        <v>50</v>
      </c>
      <c r="AS166" s="30" t="s">
        <v>50</v>
      </c>
      <c r="AT166" s="30" t="s">
        <v>1711</v>
      </c>
      <c r="AU166" s="30" t="s">
        <v>50</v>
      </c>
      <c r="AV166" s="34">
        <v>168072019845</v>
      </c>
    </row>
    <row r="167" spans="2:48" ht="15" customHeight="1">
      <c r="B167" s="28">
        <v>161</v>
      </c>
      <c r="C167" s="29" t="s">
        <v>2268</v>
      </c>
      <c r="D167" s="30" t="s">
        <v>50</v>
      </c>
      <c r="E167" s="31" t="s">
        <v>2269</v>
      </c>
      <c r="F167" s="31" t="s">
        <v>50</v>
      </c>
      <c r="G167" s="32" t="s">
        <v>2270</v>
      </c>
      <c r="H167" s="30" t="s">
        <v>62</v>
      </c>
      <c r="I167" s="30" t="s">
        <v>373</v>
      </c>
      <c r="J167" s="32" t="s">
        <v>374</v>
      </c>
      <c r="K167" s="30" t="s">
        <v>373</v>
      </c>
      <c r="L167" s="32" t="s">
        <v>374</v>
      </c>
      <c r="M167" s="30" t="s">
        <v>1671</v>
      </c>
      <c r="N167" s="30" t="s">
        <v>1672</v>
      </c>
      <c r="O167" s="33">
        <v>5</v>
      </c>
      <c r="P167" s="33">
        <v>106361</v>
      </c>
      <c r="Q167" s="33">
        <v>106361</v>
      </c>
      <c r="R167" s="33">
        <v>255</v>
      </c>
      <c r="S167" s="33">
        <v>0</v>
      </c>
      <c r="T167" s="33">
        <v>0</v>
      </c>
      <c r="U167" s="33">
        <v>0</v>
      </c>
      <c r="V167" s="33">
        <v>0</v>
      </c>
      <c r="W167" s="33" t="s">
        <v>50</v>
      </c>
      <c r="X167" s="33">
        <v>6</v>
      </c>
      <c r="Y167" s="30" t="s">
        <v>64</v>
      </c>
      <c r="Z167" s="30" t="s">
        <v>186</v>
      </c>
      <c r="AA167" s="30" t="s">
        <v>186</v>
      </c>
      <c r="AB167" s="30"/>
      <c r="AC167" s="30"/>
      <c r="AD167" s="30" t="s">
        <v>50</v>
      </c>
      <c r="AE167" s="30" t="s">
        <v>50</v>
      </c>
      <c r="AF167" s="30" t="s">
        <v>50</v>
      </c>
      <c r="AG167" s="30" t="s">
        <v>50</v>
      </c>
      <c r="AH167" s="30" t="s">
        <v>50</v>
      </c>
      <c r="AI167" s="30" t="s">
        <v>1673</v>
      </c>
      <c r="AJ167" s="30" t="s">
        <v>50</v>
      </c>
      <c r="AK167" s="30" t="s">
        <v>50</v>
      </c>
      <c r="AL167" s="30" t="s">
        <v>50</v>
      </c>
      <c r="AM167" s="30" t="s">
        <v>50</v>
      </c>
      <c r="AN167" s="30" t="s">
        <v>50</v>
      </c>
      <c r="AO167" s="30" t="s">
        <v>50</v>
      </c>
      <c r="AP167" s="30" t="s">
        <v>50</v>
      </c>
      <c r="AQ167" s="30" t="s">
        <v>50</v>
      </c>
      <c r="AR167" s="30" t="s">
        <v>50</v>
      </c>
      <c r="AS167" s="30" t="s">
        <v>50</v>
      </c>
      <c r="AT167" s="30" t="s">
        <v>1682</v>
      </c>
      <c r="AU167" s="30" t="s">
        <v>50</v>
      </c>
      <c r="AV167" s="34">
        <v>168061909106</v>
      </c>
    </row>
    <row r="168" spans="2:48" ht="15" customHeight="1">
      <c r="B168" s="28">
        <v>162</v>
      </c>
      <c r="C168" s="29" t="s">
        <v>2271</v>
      </c>
      <c r="D168" s="30" t="s">
        <v>50</v>
      </c>
      <c r="E168" s="31" t="s">
        <v>2272</v>
      </c>
      <c r="F168" s="31" t="s">
        <v>50</v>
      </c>
      <c r="G168" s="32" t="s">
        <v>2273</v>
      </c>
      <c r="H168" s="30" t="s">
        <v>62</v>
      </c>
      <c r="I168" s="30" t="s">
        <v>345</v>
      </c>
      <c r="J168" s="32" t="s">
        <v>346</v>
      </c>
      <c r="K168" s="30" t="s">
        <v>345</v>
      </c>
      <c r="L168" s="32" t="s">
        <v>346</v>
      </c>
      <c r="M168" s="30" t="s">
        <v>1671</v>
      </c>
      <c r="N168" s="30" t="s">
        <v>1672</v>
      </c>
      <c r="O168" s="33">
        <v>12</v>
      </c>
      <c r="P168" s="33">
        <v>202696</v>
      </c>
      <c r="Q168" s="33">
        <v>202696</v>
      </c>
      <c r="R168" s="33">
        <v>312</v>
      </c>
      <c r="S168" s="33">
        <v>1</v>
      </c>
      <c r="T168" s="33">
        <v>1</v>
      </c>
      <c r="U168" s="33">
        <v>0</v>
      </c>
      <c r="V168" s="33">
        <v>0</v>
      </c>
      <c r="W168" s="33" t="s">
        <v>50</v>
      </c>
      <c r="X168" s="33">
        <v>6</v>
      </c>
      <c r="Y168" s="30" t="s">
        <v>64</v>
      </c>
      <c r="Z168" s="30" t="s">
        <v>186</v>
      </c>
      <c r="AA168" s="30" t="s">
        <v>186</v>
      </c>
      <c r="AB168" s="30"/>
      <c r="AC168" s="30"/>
      <c r="AD168" s="30" t="s">
        <v>50</v>
      </c>
      <c r="AE168" s="30" t="s">
        <v>50</v>
      </c>
      <c r="AF168" s="30" t="s">
        <v>50</v>
      </c>
      <c r="AG168" s="30" t="s">
        <v>50</v>
      </c>
      <c r="AH168" s="30" t="s">
        <v>50</v>
      </c>
      <c r="AI168" s="30" t="s">
        <v>1673</v>
      </c>
      <c r="AJ168" s="30" t="s">
        <v>187</v>
      </c>
      <c r="AK168" s="30" t="s">
        <v>50</v>
      </c>
      <c r="AL168" s="30" t="s">
        <v>50</v>
      </c>
      <c r="AM168" s="30" t="s">
        <v>50</v>
      </c>
      <c r="AN168" s="30" t="s">
        <v>50</v>
      </c>
      <c r="AO168" s="30" t="s">
        <v>50</v>
      </c>
      <c r="AP168" s="30" t="s">
        <v>50</v>
      </c>
      <c r="AQ168" s="30" t="s">
        <v>50</v>
      </c>
      <c r="AR168" s="30" t="s">
        <v>50</v>
      </c>
      <c r="AS168" s="30" t="s">
        <v>50</v>
      </c>
      <c r="AT168" s="30" t="s">
        <v>1682</v>
      </c>
      <c r="AU168" s="30" t="s">
        <v>50</v>
      </c>
      <c r="AV168" s="34">
        <v>168060518933</v>
      </c>
    </row>
    <row r="169" spans="2:48" ht="15" customHeight="1">
      <c r="B169" s="28">
        <v>163</v>
      </c>
      <c r="C169" s="29" t="s">
        <v>2271</v>
      </c>
      <c r="D169" s="30" t="s">
        <v>2235</v>
      </c>
      <c r="E169" s="31" t="s">
        <v>2274</v>
      </c>
      <c r="F169" s="31" t="s">
        <v>50</v>
      </c>
      <c r="G169" s="32" t="s">
        <v>2275</v>
      </c>
      <c r="H169" s="30" t="s">
        <v>76</v>
      </c>
      <c r="I169" s="30" t="s">
        <v>345</v>
      </c>
      <c r="J169" s="32" t="s">
        <v>397</v>
      </c>
      <c r="K169" s="30" t="s">
        <v>345</v>
      </c>
      <c r="L169" s="32" t="s">
        <v>397</v>
      </c>
      <c r="M169" s="30" t="s">
        <v>1671</v>
      </c>
      <c r="N169" s="30" t="s">
        <v>1672</v>
      </c>
      <c r="O169" s="33">
        <v>15</v>
      </c>
      <c r="P169" s="33">
        <v>18503</v>
      </c>
      <c r="Q169" s="33">
        <v>18503</v>
      </c>
      <c r="R169" s="33">
        <v>0</v>
      </c>
      <c r="S169" s="33">
        <v>0</v>
      </c>
      <c r="T169" s="33">
        <v>0</v>
      </c>
      <c r="U169" s="33">
        <v>0</v>
      </c>
      <c r="V169" s="33">
        <v>0</v>
      </c>
      <c r="W169" s="33" t="s">
        <v>50</v>
      </c>
      <c r="X169" s="33">
        <v>2</v>
      </c>
      <c r="Y169" s="30" t="s">
        <v>64</v>
      </c>
      <c r="Z169" s="30" t="s">
        <v>186</v>
      </c>
      <c r="AA169" s="30" t="s">
        <v>186</v>
      </c>
      <c r="AB169" s="30"/>
      <c r="AC169" s="30"/>
      <c r="AD169" s="30" t="s">
        <v>50</v>
      </c>
      <c r="AE169" s="30" t="s">
        <v>50</v>
      </c>
      <c r="AF169" s="30" t="s">
        <v>50</v>
      </c>
      <c r="AG169" s="30" t="s">
        <v>50</v>
      </c>
      <c r="AH169" s="30" t="s">
        <v>50</v>
      </c>
      <c r="AI169" s="30" t="s">
        <v>1673</v>
      </c>
      <c r="AJ169" s="30" t="s">
        <v>187</v>
      </c>
      <c r="AK169" s="30" t="s">
        <v>201</v>
      </c>
      <c r="AL169" s="30" t="s">
        <v>201</v>
      </c>
      <c r="AM169" s="30" t="s">
        <v>50</v>
      </c>
      <c r="AN169" s="30" t="s">
        <v>50</v>
      </c>
      <c r="AO169" s="30" t="s">
        <v>50</v>
      </c>
      <c r="AP169" s="30" t="s">
        <v>50</v>
      </c>
      <c r="AQ169" s="30" t="s">
        <v>50</v>
      </c>
      <c r="AR169" s="30" t="s">
        <v>50</v>
      </c>
      <c r="AS169" s="30" t="s">
        <v>50</v>
      </c>
      <c r="AT169" s="30" t="s">
        <v>1682</v>
      </c>
      <c r="AU169" s="30" t="s">
        <v>50</v>
      </c>
      <c r="AV169" s="34">
        <v>168060673608</v>
      </c>
    </row>
    <row r="170" spans="2:48" ht="15" customHeight="1">
      <c r="B170" s="28">
        <v>164</v>
      </c>
      <c r="C170" s="29" t="s">
        <v>2276</v>
      </c>
      <c r="D170" s="30" t="s">
        <v>50</v>
      </c>
      <c r="E170" s="31" t="s">
        <v>2277</v>
      </c>
      <c r="F170" s="31" t="s">
        <v>50</v>
      </c>
      <c r="G170" s="32" t="s">
        <v>2278</v>
      </c>
      <c r="H170" s="30" t="s">
        <v>62</v>
      </c>
      <c r="I170" s="30" t="s">
        <v>377</v>
      </c>
      <c r="J170" s="32" t="s">
        <v>378</v>
      </c>
      <c r="K170" s="30" t="s">
        <v>377</v>
      </c>
      <c r="L170" s="32" t="s">
        <v>378</v>
      </c>
      <c r="M170" s="30" t="s">
        <v>1671</v>
      </c>
      <c r="N170" s="30" t="s">
        <v>1672</v>
      </c>
      <c r="O170" s="33">
        <v>12</v>
      </c>
      <c r="P170" s="33">
        <v>53847</v>
      </c>
      <c r="Q170" s="33">
        <v>53847</v>
      </c>
      <c r="R170" s="33">
        <v>72</v>
      </c>
      <c r="S170" s="33">
        <v>0</v>
      </c>
      <c r="T170" s="33">
        <v>0</v>
      </c>
      <c r="U170" s="33">
        <v>0</v>
      </c>
      <c r="V170" s="33">
        <v>0</v>
      </c>
      <c r="W170" s="33" t="s">
        <v>50</v>
      </c>
      <c r="X170" s="33">
        <v>6</v>
      </c>
      <c r="Y170" s="30" t="s">
        <v>64</v>
      </c>
      <c r="Z170" s="30" t="s">
        <v>186</v>
      </c>
      <c r="AA170" s="30" t="s">
        <v>186</v>
      </c>
      <c r="AB170" s="30"/>
      <c r="AC170" s="30"/>
      <c r="AD170" s="30" t="s">
        <v>50</v>
      </c>
      <c r="AE170" s="30" t="s">
        <v>50</v>
      </c>
      <c r="AF170" s="30" t="s">
        <v>50</v>
      </c>
      <c r="AG170" s="30" t="s">
        <v>50</v>
      </c>
      <c r="AH170" s="30" t="s">
        <v>50</v>
      </c>
      <c r="AI170" s="30" t="s">
        <v>1673</v>
      </c>
      <c r="AJ170" s="30" t="s">
        <v>50</v>
      </c>
      <c r="AK170" s="30" t="s">
        <v>50</v>
      </c>
      <c r="AL170" s="30" t="s">
        <v>50</v>
      </c>
      <c r="AM170" s="30" t="s">
        <v>50</v>
      </c>
      <c r="AN170" s="30" t="s">
        <v>50</v>
      </c>
      <c r="AO170" s="30" t="s">
        <v>50</v>
      </c>
      <c r="AP170" s="30" t="s">
        <v>50</v>
      </c>
      <c r="AQ170" s="30" t="s">
        <v>50</v>
      </c>
      <c r="AR170" s="30" t="s">
        <v>50</v>
      </c>
      <c r="AS170" s="30" t="s">
        <v>50</v>
      </c>
      <c r="AT170" s="30" t="s">
        <v>1682</v>
      </c>
      <c r="AU170" s="30" t="s">
        <v>50</v>
      </c>
      <c r="AV170" s="34">
        <v>168059738760</v>
      </c>
    </row>
    <row r="171" spans="2:48" ht="15" customHeight="1">
      <c r="B171" s="28">
        <v>165</v>
      </c>
      <c r="C171" s="29" t="s">
        <v>2279</v>
      </c>
      <c r="D171" s="30" t="s">
        <v>50</v>
      </c>
      <c r="E171" s="31" t="s">
        <v>2280</v>
      </c>
      <c r="F171" s="31" t="s">
        <v>50</v>
      </c>
      <c r="G171" s="32" t="s">
        <v>2281</v>
      </c>
      <c r="H171" s="30" t="s">
        <v>62</v>
      </c>
      <c r="I171" s="30" t="s">
        <v>853</v>
      </c>
      <c r="J171" s="32" t="s">
        <v>854</v>
      </c>
      <c r="K171" s="30" t="s">
        <v>183</v>
      </c>
      <c r="L171" s="32" t="s">
        <v>185</v>
      </c>
      <c r="M171" s="30" t="s">
        <v>1697</v>
      </c>
      <c r="N171" s="30" t="s">
        <v>1679</v>
      </c>
      <c r="O171" s="33">
        <v>2</v>
      </c>
      <c r="P171" s="33">
        <v>3138</v>
      </c>
      <c r="Q171" s="33">
        <v>303</v>
      </c>
      <c r="R171" s="33">
        <v>0</v>
      </c>
      <c r="S171" s="33">
        <v>0</v>
      </c>
      <c r="T171" s="33">
        <v>0</v>
      </c>
      <c r="U171" s="33">
        <v>0</v>
      </c>
      <c r="V171" s="33">
        <v>0</v>
      </c>
      <c r="W171" s="33" t="s">
        <v>50</v>
      </c>
      <c r="X171" s="33">
        <v>1</v>
      </c>
      <c r="Y171" s="30" t="s">
        <v>64</v>
      </c>
      <c r="Z171" s="30" t="s">
        <v>186</v>
      </c>
      <c r="AA171" s="30" t="s">
        <v>222</v>
      </c>
      <c r="AB171" s="30" t="s">
        <v>1315</v>
      </c>
      <c r="AC171" s="30"/>
      <c r="AD171" s="30" t="s">
        <v>50</v>
      </c>
      <c r="AE171" s="30" t="s">
        <v>50</v>
      </c>
      <c r="AF171" s="30" t="s">
        <v>50</v>
      </c>
      <c r="AG171" s="30" t="s">
        <v>50</v>
      </c>
      <c r="AH171" s="30" t="s">
        <v>50</v>
      </c>
      <c r="AI171" s="30" t="s">
        <v>1673</v>
      </c>
      <c r="AJ171" s="30" t="s">
        <v>187</v>
      </c>
      <c r="AK171" s="30" t="s">
        <v>189</v>
      </c>
      <c r="AL171" s="30" t="s">
        <v>189</v>
      </c>
      <c r="AM171" s="30" t="s">
        <v>50</v>
      </c>
      <c r="AN171" s="30" t="s">
        <v>1681</v>
      </c>
      <c r="AO171" s="30" t="s">
        <v>50</v>
      </c>
      <c r="AP171" s="30" t="s">
        <v>50</v>
      </c>
      <c r="AQ171" s="30" t="s">
        <v>50</v>
      </c>
      <c r="AR171" s="30" t="s">
        <v>50</v>
      </c>
      <c r="AS171" s="30" t="s">
        <v>50</v>
      </c>
      <c r="AT171" s="30" t="s">
        <v>1682</v>
      </c>
      <c r="AU171" s="30" t="s">
        <v>50</v>
      </c>
      <c r="AV171" s="34">
        <v>168033446576</v>
      </c>
    </row>
    <row r="172" spans="2:48" ht="15" customHeight="1">
      <c r="B172" s="28">
        <v>166</v>
      </c>
      <c r="C172" s="29" t="s">
        <v>2282</v>
      </c>
      <c r="D172" s="30" t="s">
        <v>50</v>
      </c>
      <c r="E172" s="31" t="s">
        <v>2283</v>
      </c>
      <c r="F172" s="31" t="s">
        <v>2284</v>
      </c>
      <c r="G172" s="32" t="s">
        <v>2285</v>
      </c>
      <c r="H172" s="30" t="s">
        <v>65</v>
      </c>
      <c r="I172" s="30" t="s">
        <v>710</v>
      </c>
      <c r="J172" s="32" t="s">
        <v>2286</v>
      </c>
      <c r="K172" s="30" t="s">
        <v>710</v>
      </c>
      <c r="L172" s="32" t="s">
        <v>2286</v>
      </c>
      <c r="M172" s="30" t="s">
        <v>1671</v>
      </c>
      <c r="N172" s="30" t="s">
        <v>1672</v>
      </c>
      <c r="O172" s="33">
        <v>162</v>
      </c>
      <c r="P172" s="33">
        <v>1853</v>
      </c>
      <c r="Q172" s="33">
        <v>1853</v>
      </c>
      <c r="R172" s="33">
        <v>520</v>
      </c>
      <c r="S172" s="33">
        <v>44</v>
      </c>
      <c r="T172" s="33">
        <v>19</v>
      </c>
      <c r="U172" s="33">
        <v>25</v>
      </c>
      <c r="V172" s="33">
        <v>0</v>
      </c>
      <c r="W172" s="33" t="s">
        <v>50</v>
      </c>
      <c r="X172" s="33">
        <v>1</v>
      </c>
      <c r="Y172" s="30" t="s">
        <v>67</v>
      </c>
      <c r="Z172" s="30" t="s">
        <v>186</v>
      </c>
      <c r="AA172" s="30" t="s">
        <v>186</v>
      </c>
      <c r="AB172" s="30"/>
      <c r="AC172" s="30"/>
      <c r="AD172" s="30" t="s">
        <v>50</v>
      </c>
      <c r="AE172" s="30" t="s">
        <v>50</v>
      </c>
      <c r="AF172" s="30" t="s">
        <v>50</v>
      </c>
      <c r="AG172" s="30" t="s">
        <v>50</v>
      </c>
      <c r="AH172" s="30" t="s">
        <v>50</v>
      </c>
      <c r="AI172" s="30" t="s">
        <v>1673</v>
      </c>
      <c r="AJ172" s="30" t="s">
        <v>50</v>
      </c>
      <c r="AK172" s="30" t="s">
        <v>50</v>
      </c>
      <c r="AL172" s="30" t="s">
        <v>50</v>
      </c>
      <c r="AM172" s="30" t="s">
        <v>50</v>
      </c>
      <c r="AN172" s="30" t="s">
        <v>50</v>
      </c>
      <c r="AO172" s="30" t="s">
        <v>50</v>
      </c>
      <c r="AP172" s="30" t="s">
        <v>50</v>
      </c>
      <c r="AQ172" s="30" t="s">
        <v>50</v>
      </c>
      <c r="AR172" s="30" t="s">
        <v>50</v>
      </c>
      <c r="AS172" s="30" t="s">
        <v>50</v>
      </c>
      <c r="AT172" s="30" t="s">
        <v>1682</v>
      </c>
      <c r="AU172" s="30" t="s">
        <v>50</v>
      </c>
      <c r="AV172" s="34">
        <v>168034905814</v>
      </c>
    </row>
    <row r="173" spans="2:48" ht="15" customHeight="1">
      <c r="B173" s="28">
        <v>167</v>
      </c>
      <c r="C173" s="29" t="s">
        <v>2287</v>
      </c>
      <c r="D173" s="30" t="s">
        <v>50</v>
      </c>
      <c r="E173" s="31" t="s">
        <v>2288</v>
      </c>
      <c r="F173" s="31" t="s">
        <v>50</v>
      </c>
      <c r="G173" s="32" t="s">
        <v>2289</v>
      </c>
      <c r="H173" s="30" t="s">
        <v>81</v>
      </c>
      <c r="I173" s="30" t="s">
        <v>2290</v>
      </c>
      <c r="J173" s="32" t="s">
        <v>1020</v>
      </c>
      <c r="K173" s="30" t="s">
        <v>2291</v>
      </c>
      <c r="L173" s="32" t="s">
        <v>221</v>
      </c>
      <c r="M173" s="30" t="s">
        <v>1697</v>
      </c>
      <c r="N173" s="30" t="s">
        <v>1672</v>
      </c>
      <c r="O173" s="33">
        <v>5</v>
      </c>
      <c r="P173" s="33">
        <v>47551</v>
      </c>
      <c r="Q173" s="33">
        <v>388</v>
      </c>
      <c r="R173" s="33">
        <v>0</v>
      </c>
      <c r="S173" s="33">
        <v>0</v>
      </c>
      <c r="T173" s="33">
        <v>0</v>
      </c>
      <c r="U173" s="33">
        <v>0</v>
      </c>
      <c r="V173" s="33">
        <v>0</v>
      </c>
      <c r="W173" s="33" t="s">
        <v>50</v>
      </c>
      <c r="X173" s="33">
        <v>1</v>
      </c>
      <c r="Y173" s="30" t="s">
        <v>64</v>
      </c>
      <c r="Z173" s="30" t="s">
        <v>222</v>
      </c>
      <c r="AA173" s="30" t="s">
        <v>222</v>
      </c>
      <c r="AB173" s="30" t="s">
        <v>1315</v>
      </c>
      <c r="AC173" s="30"/>
      <c r="AD173" s="30" t="s">
        <v>50</v>
      </c>
      <c r="AE173" s="30" t="s">
        <v>50</v>
      </c>
      <c r="AF173" s="30" t="s">
        <v>50</v>
      </c>
      <c r="AG173" s="30" t="s">
        <v>50</v>
      </c>
      <c r="AH173" s="30" t="s">
        <v>50</v>
      </c>
      <c r="AI173" s="30" t="s">
        <v>1673</v>
      </c>
      <c r="AJ173" s="30" t="s">
        <v>50</v>
      </c>
      <c r="AK173" s="30" t="s">
        <v>50</v>
      </c>
      <c r="AL173" s="30" t="s">
        <v>50</v>
      </c>
      <c r="AM173" s="30" t="s">
        <v>50</v>
      </c>
      <c r="AN173" s="30" t="s">
        <v>1681</v>
      </c>
      <c r="AO173" s="30" t="s">
        <v>50</v>
      </c>
      <c r="AP173" s="30" t="s">
        <v>50</v>
      </c>
      <c r="AQ173" s="30" t="s">
        <v>50</v>
      </c>
      <c r="AR173" s="30" t="s">
        <v>50</v>
      </c>
      <c r="AS173" s="30" t="s">
        <v>50</v>
      </c>
      <c r="AT173" s="30" t="s">
        <v>1682</v>
      </c>
      <c r="AU173" s="30" t="s">
        <v>50</v>
      </c>
      <c r="AV173" s="34">
        <v>168055262119</v>
      </c>
    </row>
    <row r="174" spans="2:48" ht="15" customHeight="1">
      <c r="B174" s="28">
        <v>168</v>
      </c>
      <c r="C174" s="29" t="s">
        <v>2292</v>
      </c>
      <c r="D174" s="30" t="s">
        <v>50</v>
      </c>
      <c r="E174" s="31" t="s">
        <v>2293</v>
      </c>
      <c r="F174" s="31" t="s">
        <v>50</v>
      </c>
      <c r="G174" s="32" t="s">
        <v>2294</v>
      </c>
      <c r="H174" s="30" t="s">
        <v>81</v>
      </c>
      <c r="I174" s="30" t="s">
        <v>2295</v>
      </c>
      <c r="J174" s="32" t="s">
        <v>920</v>
      </c>
      <c r="K174" s="30" t="s">
        <v>2291</v>
      </c>
      <c r="L174" s="32" t="s">
        <v>221</v>
      </c>
      <c r="M174" s="30" t="s">
        <v>1697</v>
      </c>
      <c r="N174" s="30" t="s">
        <v>1672</v>
      </c>
      <c r="O174" s="33">
        <v>5</v>
      </c>
      <c r="P174" s="33">
        <v>47551</v>
      </c>
      <c r="Q174" s="33">
        <v>0</v>
      </c>
      <c r="R174" s="33">
        <v>0</v>
      </c>
      <c r="S174" s="33">
        <v>0</v>
      </c>
      <c r="T174" s="33">
        <v>0</v>
      </c>
      <c r="U174" s="33">
        <v>0</v>
      </c>
      <c r="V174" s="33">
        <v>0</v>
      </c>
      <c r="W174" s="33" t="s">
        <v>50</v>
      </c>
      <c r="X174" s="33">
        <v>1</v>
      </c>
      <c r="Y174" s="30" t="s">
        <v>64</v>
      </c>
      <c r="Z174" s="30" t="s">
        <v>222</v>
      </c>
      <c r="AA174" s="30" t="s">
        <v>222</v>
      </c>
      <c r="AB174" s="30"/>
      <c r="AC174" s="30"/>
      <c r="AD174" s="30" t="s">
        <v>50</v>
      </c>
      <c r="AE174" s="30" t="s">
        <v>50</v>
      </c>
      <c r="AF174" s="30" t="s">
        <v>50</v>
      </c>
      <c r="AG174" s="30" t="s">
        <v>50</v>
      </c>
      <c r="AH174" s="30" t="s">
        <v>50</v>
      </c>
      <c r="AI174" s="30" t="s">
        <v>1673</v>
      </c>
      <c r="AJ174" s="30" t="s">
        <v>50</v>
      </c>
      <c r="AK174" s="30" t="s">
        <v>50</v>
      </c>
      <c r="AL174" s="30" t="s">
        <v>50</v>
      </c>
      <c r="AM174" s="30" t="s">
        <v>50</v>
      </c>
      <c r="AN174" s="30" t="s">
        <v>1681</v>
      </c>
      <c r="AO174" s="30" t="s">
        <v>50</v>
      </c>
      <c r="AP174" s="30" t="s">
        <v>50</v>
      </c>
      <c r="AQ174" s="30" t="s">
        <v>50</v>
      </c>
      <c r="AR174" s="30" t="s">
        <v>50</v>
      </c>
      <c r="AS174" s="30" t="s">
        <v>50</v>
      </c>
      <c r="AT174" s="30" t="s">
        <v>1682</v>
      </c>
      <c r="AU174" s="30" t="s">
        <v>50</v>
      </c>
      <c r="AV174" s="34">
        <v>168022748348</v>
      </c>
    </row>
    <row r="175" spans="2:48" ht="15" customHeight="1">
      <c r="B175" s="28">
        <v>169</v>
      </c>
      <c r="C175" s="29" t="s">
        <v>2296</v>
      </c>
      <c r="D175" s="30" t="s">
        <v>50</v>
      </c>
      <c r="E175" s="31" t="s">
        <v>2297</v>
      </c>
      <c r="F175" s="31" t="s">
        <v>50</v>
      </c>
      <c r="G175" s="32" t="s">
        <v>2298</v>
      </c>
      <c r="H175" s="30" t="s">
        <v>81</v>
      </c>
      <c r="I175" s="30" t="s">
        <v>2295</v>
      </c>
      <c r="J175" s="32" t="s">
        <v>920</v>
      </c>
      <c r="K175" s="30" t="s">
        <v>2291</v>
      </c>
      <c r="L175" s="32" t="s">
        <v>221</v>
      </c>
      <c r="M175" s="30" t="s">
        <v>1697</v>
      </c>
      <c r="N175" s="30" t="s">
        <v>1672</v>
      </c>
      <c r="O175" s="33">
        <v>5</v>
      </c>
      <c r="P175" s="33">
        <v>47551</v>
      </c>
      <c r="Q175" s="33">
        <v>0</v>
      </c>
      <c r="R175" s="33">
        <v>0</v>
      </c>
      <c r="S175" s="33">
        <v>0</v>
      </c>
      <c r="T175" s="33">
        <v>0</v>
      </c>
      <c r="U175" s="33">
        <v>0</v>
      </c>
      <c r="V175" s="33">
        <v>0</v>
      </c>
      <c r="W175" s="33" t="s">
        <v>50</v>
      </c>
      <c r="X175" s="33">
        <v>1</v>
      </c>
      <c r="Y175" s="30" t="s">
        <v>64</v>
      </c>
      <c r="Z175" s="30" t="s">
        <v>222</v>
      </c>
      <c r="AA175" s="30" t="s">
        <v>222</v>
      </c>
      <c r="AB175" s="30"/>
      <c r="AC175" s="30"/>
      <c r="AD175" s="30" t="s">
        <v>50</v>
      </c>
      <c r="AE175" s="30" t="s">
        <v>50</v>
      </c>
      <c r="AF175" s="30" t="s">
        <v>50</v>
      </c>
      <c r="AG175" s="30" t="s">
        <v>50</v>
      </c>
      <c r="AH175" s="30" t="s">
        <v>50</v>
      </c>
      <c r="AI175" s="30" t="s">
        <v>1673</v>
      </c>
      <c r="AJ175" s="30" t="s">
        <v>50</v>
      </c>
      <c r="AK175" s="30" t="s">
        <v>50</v>
      </c>
      <c r="AL175" s="30" t="s">
        <v>50</v>
      </c>
      <c r="AM175" s="30" t="s">
        <v>50</v>
      </c>
      <c r="AN175" s="30" t="s">
        <v>1681</v>
      </c>
      <c r="AO175" s="30" t="s">
        <v>50</v>
      </c>
      <c r="AP175" s="30" t="s">
        <v>50</v>
      </c>
      <c r="AQ175" s="30" t="s">
        <v>50</v>
      </c>
      <c r="AR175" s="30" t="s">
        <v>50</v>
      </c>
      <c r="AS175" s="30" t="s">
        <v>50</v>
      </c>
      <c r="AT175" s="30" t="s">
        <v>1682</v>
      </c>
      <c r="AU175" s="30" t="s">
        <v>50</v>
      </c>
      <c r="AV175" s="34">
        <v>168022702098</v>
      </c>
    </row>
    <row r="176" spans="2:48" ht="15" customHeight="1">
      <c r="B176" s="28">
        <v>170</v>
      </c>
      <c r="C176" s="29" t="s">
        <v>2299</v>
      </c>
      <c r="D176" s="30" t="s">
        <v>50</v>
      </c>
      <c r="E176" s="31" t="s">
        <v>2300</v>
      </c>
      <c r="F176" s="31" t="s">
        <v>50</v>
      </c>
      <c r="G176" s="32" t="s">
        <v>2301</v>
      </c>
      <c r="H176" s="30" t="s">
        <v>65</v>
      </c>
      <c r="I176" s="30" t="s">
        <v>1055</v>
      </c>
      <c r="J176" s="32" t="s">
        <v>2302</v>
      </c>
      <c r="K176" s="30" t="s">
        <v>285</v>
      </c>
      <c r="L176" s="32" t="s">
        <v>2303</v>
      </c>
      <c r="M176" s="30" t="s">
        <v>1671</v>
      </c>
      <c r="N176" s="30" t="s">
        <v>1672</v>
      </c>
      <c r="O176" s="33"/>
      <c r="P176" s="33">
        <v>132830</v>
      </c>
      <c r="Q176" s="33">
        <v>0</v>
      </c>
      <c r="R176" s="33">
        <v>0</v>
      </c>
      <c r="S176" s="33">
        <v>0</v>
      </c>
      <c r="T176" s="33">
        <v>0</v>
      </c>
      <c r="U176" s="33">
        <v>0</v>
      </c>
      <c r="V176" s="33">
        <v>0</v>
      </c>
      <c r="W176" s="33" t="s">
        <v>50</v>
      </c>
      <c r="X176" s="33">
        <v>1</v>
      </c>
      <c r="Y176" s="30" t="s">
        <v>67</v>
      </c>
      <c r="Z176" s="30" t="s">
        <v>186</v>
      </c>
      <c r="AA176" s="30" t="s">
        <v>222</v>
      </c>
      <c r="AB176" s="30"/>
      <c r="AC176" s="30"/>
      <c r="AD176" s="30" t="s">
        <v>50</v>
      </c>
      <c r="AE176" s="30" t="s">
        <v>50</v>
      </c>
      <c r="AF176" s="30" t="s">
        <v>1741</v>
      </c>
      <c r="AG176" s="30" t="s">
        <v>50</v>
      </c>
      <c r="AH176" s="30" t="s">
        <v>50</v>
      </c>
      <c r="AI176" s="30" t="s">
        <v>1673</v>
      </c>
      <c r="AJ176" s="30" t="s">
        <v>50</v>
      </c>
      <c r="AK176" s="30" t="s">
        <v>50</v>
      </c>
      <c r="AL176" s="30" t="s">
        <v>50</v>
      </c>
      <c r="AM176" s="30" t="s">
        <v>50</v>
      </c>
      <c r="AN176" s="30" t="s">
        <v>50</v>
      </c>
      <c r="AO176" s="30" t="s">
        <v>50</v>
      </c>
      <c r="AP176" s="30" t="s">
        <v>50</v>
      </c>
      <c r="AQ176" s="30" t="s">
        <v>50</v>
      </c>
      <c r="AR176" s="30" t="s">
        <v>50</v>
      </c>
      <c r="AS176" s="30" t="s">
        <v>50</v>
      </c>
      <c r="AT176" s="30" t="s">
        <v>1711</v>
      </c>
      <c r="AU176" s="30" t="s">
        <v>50</v>
      </c>
      <c r="AV176" s="34">
        <v>168010462661</v>
      </c>
    </row>
    <row r="177" spans="2:48" ht="15" customHeight="1">
      <c r="B177" s="28">
        <v>171</v>
      </c>
      <c r="C177" s="29" t="s">
        <v>2304</v>
      </c>
      <c r="D177" s="30" t="s">
        <v>50</v>
      </c>
      <c r="E177" s="31" t="s">
        <v>2305</v>
      </c>
      <c r="F177" s="31" t="s">
        <v>50</v>
      </c>
      <c r="G177" s="32" t="s">
        <v>2306</v>
      </c>
      <c r="H177" s="30" t="s">
        <v>89</v>
      </c>
      <c r="I177" s="30" t="s">
        <v>905</v>
      </c>
      <c r="J177" s="32" t="s">
        <v>906</v>
      </c>
      <c r="K177" s="30" t="s">
        <v>210</v>
      </c>
      <c r="L177" s="32" t="s">
        <v>211</v>
      </c>
      <c r="M177" s="30" t="s">
        <v>1697</v>
      </c>
      <c r="N177" s="30" t="s">
        <v>1672</v>
      </c>
      <c r="O177" s="33"/>
      <c r="P177" s="33">
        <v>0</v>
      </c>
      <c r="Q177" s="33">
        <v>0</v>
      </c>
      <c r="R177" s="33" t="s">
        <v>158</v>
      </c>
      <c r="S177" s="33">
        <v>0</v>
      </c>
      <c r="T177" s="33" t="s">
        <v>158</v>
      </c>
      <c r="U177" s="33" t="s">
        <v>158</v>
      </c>
      <c r="V177" s="33" t="s">
        <v>158</v>
      </c>
      <c r="W177" s="33" t="s">
        <v>50</v>
      </c>
      <c r="X177" s="33">
        <v>1</v>
      </c>
      <c r="Y177" s="30" t="s">
        <v>75</v>
      </c>
      <c r="Z177" s="30" t="s">
        <v>192</v>
      </c>
      <c r="AA177" s="30" t="s">
        <v>192</v>
      </c>
      <c r="AB177" s="30" t="s">
        <v>1315</v>
      </c>
      <c r="AC177" s="30"/>
      <c r="AD177" s="30" t="s">
        <v>50</v>
      </c>
      <c r="AE177" s="30" t="s">
        <v>50</v>
      </c>
      <c r="AF177" s="30" t="s">
        <v>50</v>
      </c>
      <c r="AG177" s="30" t="s">
        <v>50</v>
      </c>
      <c r="AH177" s="30" t="s">
        <v>50</v>
      </c>
      <c r="AI177" s="30" t="s">
        <v>1673</v>
      </c>
      <c r="AJ177" s="30" t="s">
        <v>50</v>
      </c>
      <c r="AK177" s="30" t="s">
        <v>50</v>
      </c>
      <c r="AL177" s="30" t="s">
        <v>50</v>
      </c>
      <c r="AM177" s="30" t="s">
        <v>50</v>
      </c>
      <c r="AN177" s="30" t="s">
        <v>1681</v>
      </c>
      <c r="AO177" s="30" t="s">
        <v>50</v>
      </c>
      <c r="AP177" s="30" t="s">
        <v>50</v>
      </c>
      <c r="AQ177" s="30" t="s">
        <v>50</v>
      </c>
      <c r="AR177" s="30" t="s">
        <v>50</v>
      </c>
      <c r="AS177" s="30" t="s">
        <v>50</v>
      </c>
      <c r="AT177" s="30" t="s">
        <v>1682</v>
      </c>
      <c r="AU177" s="30" t="s">
        <v>50</v>
      </c>
      <c r="AV177" s="34">
        <v>167997958879</v>
      </c>
    </row>
    <row r="178" spans="2:48" ht="15" customHeight="1">
      <c r="B178" s="28">
        <v>172</v>
      </c>
      <c r="C178" s="29" t="s">
        <v>2307</v>
      </c>
      <c r="D178" s="30" t="s">
        <v>50</v>
      </c>
      <c r="E178" s="31" t="s">
        <v>2308</v>
      </c>
      <c r="F178" s="31" t="s">
        <v>50</v>
      </c>
      <c r="G178" s="32" t="s">
        <v>2309</v>
      </c>
      <c r="H178" s="30" t="s">
        <v>93</v>
      </c>
      <c r="I178" s="30" t="s">
        <v>1127</v>
      </c>
      <c r="J178" s="32" t="s">
        <v>1128</v>
      </c>
      <c r="K178" s="30" t="s">
        <v>229</v>
      </c>
      <c r="L178" s="32" t="s">
        <v>230</v>
      </c>
      <c r="M178" s="30" t="s">
        <v>1697</v>
      </c>
      <c r="N178" s="30" t="s">
        <v>1679</v>
      </c>
      <c r="O178" s="33"/>
      <c r="P178" s="33">
        <v>116110</v>
      </c>
      <c r="Q178" s="33">
        <v>5</v>
      </c>
      <c r="R178" s="33" t="s">
        <v>158</v>
      </c>
      <c r="S178" s="33">
        <v>2</v>
      </c>
      <c r="T178" s="33">
        <v>2</v>
      </c>
      <c r="U178" s="33" t="s">
        <v>158</v>
      </c>
      <c r="V178" s="33" t="s">
        <v>158</v>
      </c>
      <c r="W178" s="33" t="s">
        <v>50</v>
      </c>
      <c r="X178" s="33">
        <v>1</v>
      </c>
      <c r="Y178" s="30" t="s">
        <v>75</v>
      </c>
      <c r="Z178" s="30" t="s">
        <v>186</v>
      </c>
      <c r="AA178" s="30" t="s">
        <v>222</v>
      </c>
      <c r="AB178" s="30" t="s">
        <v>1316</v>
      </c>
      <c r="AC178" s="30">
        <v>36</v>
      </c>
      <c r="AD178" s="30" t="s">
        <v>50</v>
      </c>
      <c r="AE178" s="30" t="s">
        <v>50</v>
      </c>
      <c r="AF178" s="30" t="s">
        <v>50</v>
      </c>
      <c r="AG178" s="30" t="s">
        <v>50</v>
      </c>
      <c r="AH178" s="30" t="s">
        <v>50</v>
      </c>
      <c r="AI178" s="30" t="s">
        <v>1673</v>
      </c>
      <c r="AJ178" s="30" t="s">
        <v>187</v>
      </c>
      <c r="AK178" s="30" t="s">
        <v>50</v>
      </c>
      <c r="AL178" s="30" t="s">
        <v>50</v>
      </c>
      <c r="AM178" s="30" t="s">
        <v>35</v>
      </c>
      <c r="AN178" s="30" t="s">
        <v>1681</v>
      </c>
      <c r="AO178" s="30" t="s">
        <v>50</v>
      </c>
      <c r="AP178" s="30" t="s">
        <v>50</v>
      </c>
      <c r="AQ178" s="30" t="s">
        <v>50</v>
      </c>
      <c r="AR178" s="30" t="s">
        <v>50</v>
      </c>
      <c r="AS178" s="30" t="s">
        <v>50</v>
      </c>
      <c r="AT178" s="30" t="s">
        <v>299</v>
      </c>
      <c r="AU178" s="30" t="s">
        <v>50</v>
      </c>
      <c r="AV178" s="34">
        <v>167988456708</v>
      </c>
    </row>
    <row r="179" spans="2:48" ht="15" customHeight="1">
      <c r="B179" s="28">
        <v>173</v>
      </c>
      <c r="C179" s="29" t="s">
        <v>2310</v>
      </c>
      <c r="D179" s="30" t="s">
        <v>50</v>
      </c>
      <c r="E179" s="31" t="s">
        <v>2311</v>
      </c>
      <c r="F179" s="31" t="s">
        <v>50</v>
      </c>
      <c r="G179" s="32" t="s">
        <v>2312</v>
      </c>
      <c r="H179" s="30" t="s">
        <v>89</v>
      </c>
      <c r="I179" s="30" t="s">
        <v>1214</v>
      </c>
      <c r="J179" s="32" t="s">
        <v>1215</v>
      </c>
      <c r="K179" s="30" t="s">
        <v>210</v>
      </c>
      <c r="L179" s="32" t="s">
        <v>211</v>
      </c>
      <c r="M179" s="30" t="s">
        <v>1697</v>
      </c>
      <c r="N179" s="30" t="s">
        <v>1679</v>
      </c>
      <c r="O179" s="33"/>
      <c r="P179" s="33">
        <v>0</v>
      </c>
      <c r="Q179" s="33">
        <v>0</v>
      </c>
      <c r="R179" s="33" t="s">
        <v>158</v>
      </c>
      <c r="S179" s="33">
        <v>0</v>
      </c>
      <c r="T179" s="33" t="s">
        <v>158</v>
      </c>
      <c r="U179" s="33" t="s">
        <v>158</v>
      </c>
      <c r="V179" s="33" t="s">
        <v>158</v>
      </c>
      <c r="W179" s="33" t="s">
        <v>50</v>
      </c>
      <c r="X179" s="33">
        <v>1</v>
      </c>
      <c r="Y179" s="30" t="s">
        <v>75</v>
      </c>
      <c r="Z179" s="30" t="s">
        <v>192</v>
      </c>
      <c r="AA179" s="30" t="s">
        <v>192</v>
      </c>
      <c r="AB179" s="30"/>
      <c r="AC179" s="30"/>
      <c r="AD179" s="30" t="s">
        <v>50</v>
      </c>
      <c r="AE179" s="30" t="s">
        <v>50</v>
      </c>
      <c r="AF179" s="30" t="s">
        <v>50</v>
      </c>
      <c r="AG179" s="30" t="s">
        <v>50</v>
      </c>
      <c r="AH179" s="30" t="s">
        <v>50</v>
      </c>
      <c r="AI179" s="30" t="s">
        <v>1673</v>
      </c>
      <c r="AJ179" s="30" t="s">
        <v>50</v>
      </c>
      <c r="AK179" s="30" t="s">
        <v>50</v>
      </c>
      <c r="AL179" s="30" t="s">
        <v>50</v>
      </c>
      <c r="AM179" s="30" t="s">
        <v>50</v>
      </c>
      <c r="AN179" s="30" t="s">
        <v>1681</v>
      </c>
      <c r="AO179" s="30" t="s">
        <v>50</v>
      </c>
      <c r="AP179" s="30" t="s">
        <v>50</v>
      </c>
      <c r="AQ179" s="30" t="s">
        <v>50</v>
      </c>
      <c r="AR179" s="30" t="s">
        <v>50</v>
      </c>
      <c r="AS179" s="30" t="s">
        <v>50</v>
      </c>
      <c r="AT179" s="30" t="s">
        <v>1682</v>
      </c>
      <c r="AU179" s="30" t="s">
        <v>50</v>
      </c>
      <c r="AV179" s="34">
        <v>167995872023</v>
      </c>
    </row>
    <row r="180" spans="2:48" ht="15" customHeight="1">
      <c r="B180" s="28">
        <v>174</v>
      </c>
      <c r="C180" s="29" t="s">
        <v>2313</v>
      </c>
      <c r="D180" s="30" t="s">
        <v>50</v>
      </c>
      <c r="E180" s="31" t="s">
        <v>2314</v>
      </c>
      <c r="F180" s="31" t="s">
        <v>50</v>
      </c>
      <c r="G180" s="32" t="s">
        <v>2315</v>
      </c>
      <c r="H180" s="30" t="s">
        <v>68</v>
      </c>
      <c r="I180" s="30" t="s">
        <v>634</v>
      </c>
      <c r="J180" s="32" t="s">
        <v>635</v>
      </c>
      <c r="K180" s="30" t="s">
        <v>634</v>
      </c>
      <c r="L180" s="32" t="s">
        <v>635</v>
      </c>
      <c r="M180" s="30" t="s">
        <v>1697</v>
      </c>
      <c r="N180" s="30" t="s">
        <v>1679</v>
      </c>
      <c r="O180" s="33"/>
      <c r="P180" s="33">
        <v>19747</v>
      </c>
      <c r="Q180" s="33">
        <v>19747</v>
      </c>
      <c r="R180" s="33">
        <v>0</v>
      </c>
      <c r="S180" s="33">
        <v>0</v>
      </c>
      <c r="T180" s="33">
        <v>0</v>
      </c>
      <c r="U180" s="33">
        <v>0</v>
      </c>
      <c r="V180" s="33">
        <v>0</v>
      </c>
      <c r="W180" s="33" t="s">
        <v>50</v>
      </c>
      <c r="X180" s="33">
        <v>1</v>
      </c>
      <c r="Y180" s="30" t="s">
        <v>70</v>
      </c>
      <c r="Z180" s="30" t="s">
        <v>192</v>
      </c>
      <c r="AA180" s="30" t="s">
        <v>192</v>
      </c>
      <c r="AB180" s="30"/>
      <c r="AC180" s="30"/>
      <c r="AD180" s="30" t="s">
        <v>50</v>
      </c>
      <c r="AE180" s="30" t="s">
        <v>50</v>
      </c>
      <c r="AF180" s="30" t="s">
        <v>50</v>
      </c>
      <c r="AG180" s="30" t="s">
        <v>50</v>
      </c>
      <c r="AH180" s="30" t="s">
        <v>50</v>
      </c>
      <c r="AI180" s="30" t="s">
        <v>1673</v>
      </c>
      <c r="AJ180" s="30" t="s">
        <v>50</v>
      </c>
      <c r="AK180" s="30" t="s">
        <v>50</v>
      </c>
      <c r="AL180" s="30" t="s">
        <v>50</v>
      </c>
      <c r="AM180" s="30" t="s">
        <v>50</v>
      </c>
      <c r="AN180" s="30" t="s">
        <v>1681</v>
      </c>
      <c r="AO180" s="30" t="s">
        <v>50</v>
      </c>
      <c r="AP180" s="30" t="s">
        <v>50</v>
      </c>
      <c r="AQ180" s="30" t="s">
        <v>50</v>
      </c>
      <c r="AR180" s="30" t="s">
        <v>50</v>
      </c>
      <c r="AS180" s="30" t="s">
        <v>50</v>
      </c>
      <c r="AT180" s="30" t="s">
        <v>1682</v>
      </c>
      <c r="AU180" s="30" t="s">
        <v>50</v>
      </c>
      <c r="AV180" s="34">
        <v>167987823429</v>
      </c>
    </row>
    <row r="181" spans="2:48" ht="15" customHeight="1">
      <c r="B181" s="28">
        <v>175</v>
      </c>
      <c r="C181" s="29" t="s">
        <v>2316</v>
      </c>
      <c r="D181" s="30" t="s">
        <v>50</v>
      </c>
      <c r="E181" s="31" t="s">
        <v>2317</v>
      </c>
      <c r="F181" s="31" t="s">
        <v>50</v>
      </c>
      <c r="G181" s="32" t="s">
        <v>2318</v>
      </c>
      <c r="H181" s="30" t="s">
        <v>89</v>
      </c>
      <c r="I181" s="30" t="s">
        <v>1177</v>
      </c>
      <c r="J181" s="32" t="s">
        <v>1178</v>
      </c>
      <c r="K181" s="30" t="s">
        <v>210</v>
      </c>
      <c r="L181" s="32" t="s">
        <v>211</v>
      </c>
      <c r="M181" s="30" t="s">
        <v>1697</v>
      </c>
      <c r="N181" s="30" t="s">
        <v>1672</v>
      </c>
      <c r="O181" s="33"/>
      <c r="P181" s="33">
        <v>0</v>
      </c>
      <c r="Q181" s="33">
        <v>0</v>
      </c>
      <c r="R181" s="33" t="s">
        <v>158</v>
      </c>
      <c r="S181" s="33">
        <v>0</v>
      </c>
      <c r="T181" s="33" t="s">
        <v>158</v>
      </c>
      <c r="U181" s="33" t="s">
        <v>158</v>
      </c>
      <c r="V181" s="33" t="s">
        <v>158</v>
      </c>
      <c r="W181" s="33" t="s">
        <v>50</v>
      </c>
      <c r="X181" s="33">
        <v>1</v>
      </c>
      <c r="Y181" s="30" t="s">
        <v>75</v>
      </c>
      <c r="Z181" s="30" t="s">
        <v>192</v>
      </c>
      <c r="AA181" s="30" t="s">
        <v>192</v>
      </c>
      <c r="AB181" s="30"/>
      <c r="AC181" s="30"/>
      <c r="AD181" s="30" t="s">
        <v>50</v>
      </c>
      <c r="AE181" s="30" t="s">
        <v>50</v>
      </c>
      <c r="AF181" s="30" t="s">
        <v>50</v>
      </c>
      <c r="AG181" s="30" t="s">
        <v>50</v>
      </c>
      <c r="AH181" s="30" t="s">
        <v>50</v>
      </c>
      <c r="AI181" s="30" t="s">
        <v>1673</v>
      </c>
      <c r="AJ181" s="30" t="s">
        <v>50</v>
      </c>
      <c r="AK181" s="30" t="s">
        <v>50</v>
      </c>
      <c r="AL181" s="30" t="s">
        <v>50</v>
      </c>
      <c r="AM181" s="30" t="s">
        <v>50</v>
      </c>
      <c r="AN181" s="30" t="s">
        <v>1681</v>
      </c>
      <c r="AO181" s="30" t="s">
        <v>50</v>
      </c>
      <c r="AP181" s="30" t="s">
        <v>50</v>
      </c>
      <c r="AQ181" s="30" t="s">
        <v>50</v>
      </c>
      <c r="AR181" s="30" t="s">
        <v>50</v>
      </c>
      <c r="AS181" s="30" t="s">
        <v>50</v>
      </c>
      <c r="AT181" s="30" t="s">
        <v>1682</v>
      </c>
      <c r="AU181" s="30" t="s">
        <v>50</v>
      </c>
      <c r="AV181" s="34">
        <v>167989442231</v>
      </c>
    </row>
    <row r="182" spans="2:48" ht="15" customHeight="1">
      <c r="B182" s="28">
        <v>176</v>
      </c>
      <c r="C182" s="29" t="s">
        <v>2319</v>
      </c>
      <c r="D182" s="30" t="s">
        <v>50</v>
      </c>
      <c r="E182" s="31" t="s">
        <v>2320</v>
      </c>
      <c r="F182" s="31" t="s">
        <v>50</v>
      </c>
      <c r="G182" s="32" t="s">
        <v>2321</v>
      </c>
      <c r="H182" s="30" t="s">
        <v>89</v>
      </c>
      <c r="I182" s="30" t="s">
        <v>905</v>
      </c>
      <c r="J182" s="32" t="s">
        <v>906</v>
      </c>
      <c r="K182" s="30" t="s">
        <v>210</v>
      </c>
      <c r="L182" s="32" t="s">
        <v>211</v>
      </c>
      <c r="M182" s="30" t="s">
        <v>1697</v>
      </c>
      <c r="N182" s="30" t="s">
        <v>1672</v>
      </c>
      <c r="O182" s="33"/>
      <c r="P182" s="33">
        <v>0</v>
      </c>
      <c r="Q182" s="33">
        <v>0</v>
      </c>
      <c r="R182" s="33" t="s">
        <v>158</v>
      </c>
      <c r="S182" s="33">
        <v>0</v>
      </c>
      <c r="T182" s="33" t="s">
        <v>158</v>
      </c>
      <c r="U182" s="33" t="s">
        <v>158</v>
      </c>
      <c r="V182" s="33" t="s">
        <v>158</v>
      </c>
      <c r="W182" s="33" t="s">
        <v>50</v>
      </c>
      <c r="X182" s="33">
        <v>1</v>
      </c>
      <c r="Y182" s="30" t="s">
        <v>75</v>
      </c>
      <c r="Z182" s="30" t="s">
        <v>192</v>
      </c>
      <c r="AA182" s="30" t="s">
        <v>192</v>
      </c>
      <c r="AB182" s="30" t="s">
        <v>1315</v>
      </c>
      <c r="AC182" s="30"/>
      <c r="AD182" s="30" t="s">
        <v>50</v>
      </c>
      <c r="AE182" s="30" t="s">
        <v>50</v>
      </c>
      <c r="AF182" s="30" t="s">
        <v>50</v>
      </c>
      <c r="AG182" s="30" t="s">
        <v>50</v>
      </c>
      <c r="AH182" s="30" t="s">
        <v>50</v>
      </c>
      <c r="AI182" s="30" t="s">
        <v>1673</v>
      </c>
      <c r="AJ182" s="30" t="s">
        <v>50</v>
      </c>
      <c r="AK182" s="30" t="s">
        <v>50</v>
      </c>
      <c r="AL182" s="30" t="s">
        <v>50</v>
      </c>
      <c r="AM182" s="30" t="s">
        <v>50</v>
      </c>
      <c r="AN182" s="30" t="s">
        <v>1681</v>
      </c>
      <c r="AO182" s="30" t="s">
        <v>50</v>
      </c>
      <c r="AP182" s="30" t="s">
        <v>50</v>
      </c>
      <c r="AQ182" s="30" t="s">
        <v>50</v>
      </c>
      <c r="AR182" s="30" t="s">
        <v>50</v>
      </c>
      <c r="AS182" s="30" t="s">
        <v>50</v>
      </c>
      <c r="AT182" s="30" t="s">
        <v>1682</v>
      </c>
      <c r="AU182" s="30" t="s">
        <v>50</v>
      </c>
      <c r="AV182" s="34">
        <v>167976811595</v>
      </c>
    </row>
    <row r="183" spans="2:48" ht="15" customHeight="1">
      <c r="B183" s="28">
        <v>177</v>
      </c>
      <c r="C183" s="29" t="s">
        <v>2322</v>
      </c>
      <c r="D183" s="30" t="s">
        <v>50</v>
      </c>
      <c r="E183" s="31" t="s">
        <v>2323</v>
      </c>
      <c r="F183" s="31" t="s">
        <v>50</v>
      </c>
      <c r="G183" s="32" t="s">
        <v>2324</v>
      </c>
      <c r="H183" s="30" t="s">
        <v>65</v>
      </c>
      <c r="I183" s="30" t="s">
        <v>1065</v>
      </c>
      <c r="J183" s="32" t="s">
        <v>2325</v>
      </c>
      <c r="K183" s="30" t="s">
        <v>268</v>
      </c>
      <c r="L183" s="32" t="s">
        <v>2326</v>
      </c>
      <c r="M183" s="30" t="s">
        <v>1697</v>
      </c>
      <c r="N183" s="30" t="s">
        <v>1672</v>
      </c>
      <c r="O183" s="33">
        <v>8</v>
      </c>
      <c r="P183" s="33">
        <v>48555</v>
      </c>
      <c r="Q183" s="33">
        <v>0</v>
      </c>
      <c r="R183" s="33">
        <v>0</v>
      </c>
      <c r="S183" s="33">
        <v>0</v>
      </c>
      <c r="T183" s="33">
        <v>0</v>
      </c>
      <c r="U183" s="33">
        <v>0</v>
      </c>
      <c r="V183" s="33">
        <v>0</v>
      </c>
      <c r="W183" s="33" t="s">
        <v>50</v>
      </c>
      <c r="X183" s="33">
        <v>1</v>
      </c>
      <c r="Y183" s="30" t="s">
        <v>80</v>
      </c>
      <c r="Z183" s="30" t="s">
        <v>192</v>
      </c>
      <c r="AA183" s="30" t="s">
        <v>222</v>
      </c>
      <c r="AB183" s="30" t="s">
        <v>1315</v>
      </c>
      <c r="AC183" s="30"/>
      <c r="AD183" s="30" t="s">
        <v>50</v>
      </c>
      <c r="AE183" s="30" t="s">
        <v>50</v>
      </c>
      <c r="AF183" s="30" t="s">
        <v>50</v>
      </c>
      <c r="AG183" s="30" t="s">
        <v>50</v>
      </c>
      <c r="AH183" s="30" t="s">
        <v>50</v>
      </c>
      <c r="AI183" s="30" t="s">
        <v>1673</v>
      </c>
      <c r="AJ183" s="30" t="s">
        <v>50</v>
      </c>
      <c r="AK183" s="30" t="s">
        <v>50</v>
      </c>
      <c r="AL183" s="30" t="s">
        <v>50</v>
      </c>
      <c r="AM183" s="30" t="s">
        <v>50</v>
      </c>
      <c r="AN183" s="30" t="s">
        <v>1681</v>
      </c>
      <c r="AO183" s="30" t="s">
        <v>50</v>
      </c>
      <c r="AP183" s="30" t="s">
        <v>50</v>
      </c>
      <c r="AQ183" s="30" t="s">
        <v>50</v>
      </c>
      <c r="AR183" s="30" t="s">
        <v>50</v>
      </c>
      <c r="AS183" s="30" t="s">
        <v>50</v>
      </c>
      <c r="AT183" s="30" t="s">
        <v>1792</v>
      </c>
      <c r="AU183" s="30" t="s">
        <v>50</v>
      </c>
      <c r="AV183" s="34">
        <v>167960312639</v>
      </c>
    </row>
    <row r="184" spans="2:48" ht="15" customHeight="1">
      <c r="B184" s="28">
        <v>178</v>
      </c>
      <c r="C184" s="29" t="s">
        <v>2327</v>
      </c>
      <c r="D184" s="30" t="s">
        <v>50</v>
      </c>
      <c r="E184" s="31" t="s">
        <v>2328</v>
      </c>
      <c r="F184" s="31" t="s">
        <v>50</v>
      </c>
      <c r="G184" s="32" t="s">
        <v>2329</v>
      </c>
      <c r="H184" s="30" t="s">
        <v>78</v>
      </c>
      <c r="I184" s="30" t="s">
        <v>1252</v>
      </c>
      <c r="J184" s="32" t="s">
        <v>1253</v>
      </c>
      <c r="K184" s="30" t="s">
        <v>719</v>
      </c>
      <c r="L184" s="32" t="s">
        <v>720</v>
      </c>
      <c r="M184" s="30" t="s">
        <v>1697</v>
      </c>
      <c r="N184" s="30" t="s">
        <v>1672</v>
      </c>
      <c r="O184" s="33"/>
      <c r="P184" s="33">
        <v>8130</v>
      </c>
      <c r="Q184" s="33">
        <v>0</v>
      </c>
      <c r="R184" s="33">
        <v>0</v>
      </c>
      <c r="S184" s="33">
        <v>0</v>
      </c>
      <c r="T184" s="33">
        <v>0</v>
      </c>
      <c r="U184" s="33">
        <v>0</v>
      </c>
      <c r="V184" s="33">
        <v>0</v>
      </c>
      <c r="W184" s="33" t="s">
        <v>50</v>
      </c>
      <c r="X184" s="33">
        <v>1</v>
      </c>
      <c r="Y184" s="30" t="s">
        <v>70</v>
      </c>
      <c r="Z184" s="30" t="s">
        <v>192</v>
      </c>
      <c r="AA184" s="30" t="s">
        <v>192</v>
      </c>
      <c r="AB184" s="30" t="s">
        <v>1316</v>
      </c>
      <c r="AC184" s="30"/>
      <c r="AD184" s="30" t="s">
        <v>50</v>
      </c>
      <c r="AE184" s="30" t="s">
        <v>50</v>
      </c>
      <c r="AF184" s="30" t="s">
        <v>50</v>
      </c>
      <c r="AG184" s="30" t="s">
        <v>50</v>
      </c>
      <c r="AH184" s="30" t="s">
        <v>50</v>
      </c>
      <c r="AI184" s="30" t="s">
        <v>1673</v>
      </c>
      <c r="AJ184" s="30" t="s">
        <v>50</v>
      </c>
      <c r="AK184" s="30" t="s">
        <v>50</v>
      </c>
      <c r="AL184" s="30" t="s">
        <v>50</v>
      </c>
      <c r="AM184" s="30" t="s">
        <v>50</v>
      </c>
      <c r="AN184" s="30" t="s">
        <v>1681</v>
      </c>
      <c r="AO184" s="30" t="s">
        <v>50</v>
      </c>
      <c r="AP184" s="30" t="s">
        <v>50</v>
      </c>
      <c r="AQ184" s="30" t="s">
        <v>50</v>
      </c>
      <c r="AR184" s="30" t="s">
        <v>50</v>
      </c>
      <c r="AS184" s="30" t="s">
        <v>50</v>
      </c>
      <c r="AT184" s="30" t="s">
        <v>299</v>
      </c>
      <c r="AU184" s="30" t="s">
        <v>50</v>
      </c>
      <c r="AV184" s="34">
        <v>167940853429</v>
      </c>
    </row>
    <row r="185" spans="2:48" ht="15" customHeight="1">
      <c r="B185" s="28">
        <v>179</v>
      </c>
      <c r="C185" s="29" t="s">
        <v>2330</v>
      </c>
      <c r="D185" s="30" t="s">
        <v>50</v>
      </c>
      <c r="E185" s="31" t="s">
        <v>2331</v>
      </c>
      <c r="F185" s="31" t="s">
        <v>50</v>
      </c>
      <c r="G185" s="32" t="s">
        <v>2332</v>
      </c>
      <c r="H185" s="30" t="s">
        <v>65</v>
      </c>
      <c r="I185" s="30" t="s">
        <v>1119</v>
      </c>
      <c r="J185" s="32" t="s">
        <v>2333</v>
      </c>
      <c r="K185" s="30" t="s">
        <v>268</v>
      </c>
      <c r="L185" s="32" t="s">
        <v>2326</v>
      </c>
      <c r="M185" s="30" t="s">
        <v>1697</v>
      </c>
      <c r="N185" s="30" t="s">
        <v>1672</v>
      </c>
      <c r="O185" s="33">
        <v>8</v>
      </c>
      <c r="P185" s="33">
        <v>48548</v>
      </c>
      <c r="Q185" s="33">
        <v>0</v>
      </c>
      <c r="R185" s="33">
        <v>0</v>
      </c>
      <c r="S185" s="33">
        <v>0</v>
      </c>
      <c r="T185" s="33">
        <v>0</v>
      </c>
      <c r="U185" s="33">
        <v>0</v>
      </c>
      <c r="V185" s="33">
        <v>0</v>
      </c>
      <c r="W185" s="33" t="s">
        <v>50</v>
      </c>
      <c r="X185" s="33">
        <v>1</v>
      </c>
      <c r="Y185" s="30" t="s">
        <v>80</v>
      </c>
      <c r="Z185" s="30" t="s">
        <v>192</v>
      </c>
      <c r="AA185" s="30" t="s">
        <v>222</v>
      </c>
      <c r="AB185" s="30" t="s">
        <v>1316</v>
      </c>
      <c r="AC185" s="30"/>
      <c r="AD185" s="30" t="s">
        <v>50</v>
      </c>
      <c r="AE185" s="30" t="s">
        <v>50</v>
      </c>
      <c r="AF185" s="30" t="s">
        <v>50</v>
      </c>
      <c r="AG185" s="30" t="s">
        <v>50</v>
      </c>
      <c r="AH185" s="30" t="s">
        <v>50</v>
      </c>
      <c r="AI185" s="30" t="s">
        <v>1673</v>
      </c>
      <c r="AJ185" s="30" t="s">
        <v>50</v>
      </c>
      <c r="AK185" s="30" t="s">
        <v>50</v>
      </c>
      <c r="AL185" s="30" t="s">
        <v>50</v>
      </c>
      <c r="AM185" s="30" t="s">
        <v>50</v>
      </c>
      <c r="AN185" s="30" t="s">
        <v>1681</v>
      </c>
      <c r="AO185" s="30" t="s">
        <v>50</v>
      </c>
      <c r="AP185" s="30" t="s">
        <v>50</v>
      </c>
      <c r="AQ185" s="30" t="s">
        <v>50</v>
      </c>
      <c r="AR185" s="30" t="s">
        <v>50</v>
      </c>
      <c r="AS185" s="30" t="s">
        <v>50</v>
      </c>
      <c r="AT185" s="30" t="s">
        <v>1725</v>
      </c>
      <c r="AU185" s="30" t="s">
        <v>50</v>
      </c>
      <c r="AV185" s="34">
        <v>167935326838</v>
      </c>
    </row>
    <row r="186" spans="2:48" ht="15" customHeight="1">
      <c r="B186" s="28">
        <v>180</v>
      </c>
      <c r="C186" s="29" t="s">
        <v>2334</v>
      </c>
      <c r="D186" s="30" t="s">
        <v>50</v>
      </c>
      <c r="E186" s="31" t="s">
        <v>2335</v>
      </c>
      <c r="F186" s="31" t="s">
        <v>50</v>
      </c>
      <c r="G186" s="32" t="s">
        <v>2336</v>
      </c>
      <c r="H186" s="30" t="s">
        <v>62</v>
      </c>
      <c r="I186" s="30" t="s">
        <v>850</v>
      </c>
      <c r="J186" s="32" t="s">
        <v>851</v>
      </c>
      <c r="K186" s="30" t="s">
        <v>531</v>
      </c>
      <c r="L186" s="32" t="s">
        <v>532</v>
      </c>
      <c r="M186" s="30" t="s">
        <v>1697</v>
      </c>
      <c r="N186" s="30" t="s">
        <v>1672</v>
      </c>
      <c r="O186" s="33">
        <v>3</v>
      </c>
      <c r="P186" s="33">
        <v>45396</v>
      </c>
      <c r="Q186" s="33">
        <v>0</v>
      </c>
      <c r="R186" s="33">
        <v>0</v>
      </c>
      <c r="S186" s="33">
        <v>0</v>
      </c>
      <c r="T186" s="33">
        <v>0</v>
      </c>
      <c r="U186" s="33">
        <v>0</v>
      </c>
      <c r="V186" s="33">
        <v>0</v>
      </c>
      <c r="W186" s="33" t="s">
        <v>50</v>
      </c>
      <c r="X186" s="33">
        <v>1</v>
      </c>
      <c r="Y186" s="30" t="s">
        <v>64</v>
      </c>
      <c r="Z186" s="30" t="s">
        <v>186</v>
      </c>
      <c r="AA186" s="30" t="s">
        <v>222</v>
      </c>
      <c r="AB186" s="30" t="s">
        <v>1316</v>
      </c>
      <c r="AC186" s="30">
        <v>39</v>
      </c>
      <c r="AD186" s="30" t="s">
        <v>50</v>
      </c>
      <c r="AE186" s="30" t="s">
        <v>50</v>
      </c>
      <c r="AF186" s="30" t="s">
        <v>2203</v>
      </c>
      <c r="AG186" s="30" t="s">
        <v>50</v>
      </c>
      <c r="AH186" s="30" t="s">
        <v>50</v>
      </c>
      <c r="AI186" s="30" t="s">
        <v>1673</v>
      </c>
      <c r="AJ186" s="30" t="s">
        <v>187</v>
      </c>
      <c r="AK186" s="30" t="s">
        <v>201</v>
      </c>
      <c r="AL186" s="30" t="s">
        <v>201</v>
      </c>
      <c r="AM186" s="30" t="s">
        <v>50</v>
      </c>
      <c r="AN186" s="30" t="s">
        <v>1681</v>
      </c>
      <c r="AO186" s="30" t="s">
        <v>50</v>
      </c>
      <c r="AP186" s="30" t="s">
        <v>50</v>
      </c>
      <c r="AQ186" s="30" t="s">
        <v>50</v>
      </c>
      <c r="AR186" s="30" t="s">
        <v>50</v>
      </c>
      <c r="AS186" s="30" t="s">
        <v>50</v>
      </c>
      <c r="AT186" s="30" t="s">
        <v>299</v>
      </c>
      <c r="AU186" s="30" t="s">
        <v>50</v>
      </c>
      <c r="AV186" s="34">
        <v>167934803088</v>
      </c>
    </row>
    <row r="187" spans="2:48" ht="15" customHeight="1">
      <c r="B187" s="28">
        <v>181</v>
      </c>
      <c r="C187" s="29" t="s">
        <v>2337</v>
      </c>
      <c r="D187" s="30" t="s">
        <v>50</v>
      </c>
      <c r="E187" s="31" t="s">
        <v>2338</v>
      </c>
      <c r="F187" s="31" t="s">
        <v>50</v>
      </c>
      <c r="G187" s="32" t="s">
        <v>2339</v>
      </c>
      <c r="H187" s="30" t="s">
        <v>65</v>
      </c>
      <c r="I187" s="30" t="s">
        <v>531</v>
      </c>
      <c r="J187" s="32" t="s">
        <v>2340</v>
      </c>
      <c r="K187" s="30" t="s">
        <v>531</v>
      </c>
      <c r="L187" s="32" t="s">
        <v>2340</v>
      </c>
      <c r="M187" s="30" t="s">
        <v>1671</v>
      </c>
      <c r="N187" s="30" t="s">
        <v>1672</v>
      </c>
      <c r="O187" s="33">
        <v>356</v>
      </c>
      <c r="P187" s="33">
        <v>15009</v>
      </c>
      <c r="Q187" s="33">
        <v>15009</v>
      </c>
      <c r="R187" s="33">
        <v>2680</v>
      </c>
      <c r="S187" s="33">
        <v>75</v>
      </c>
      <c r="T187" s="33">
        <v>25</v>
      </c>
      <c r="U187" s="33">
        <v>1</v>
      </c>
      <c r="V187" s="33">
        <v>49</v>
      </c>
      <c r="W187" s="33" t="s">
        <v>50</v>
      </c>
      <c r="X187" s="33">
        <v>1</v>
      </c>
      <c r="Y187" s="30" t="s">
        <v>67</v>
      </c>
      <c r="Z187" s="30" t="s">
        <v>186</v>
      </c>
      <c r="AA187" s="30" t="s">
        <v>186</v>
      </c>
      <c r="AB187" s="30"/>
      <c r="AC187" s="30"/>
      <c r="AD187" s="30" t="s">
        <v>50</v>
      </c>
      <c r="AE187" s="30" t="s">
        <v>50</v>
      </c>
      <c r="AF187" s="30" t="s">
        <v>50</v>
      </c>
      <c r="AG187" s="30" t="s">
        <v>50</v>
      </c>
      <c r="AH187" s="30" t="s">
        <v>50</v>
      </c>
      <c r="AI187" s="30" t="s">
        <v>1673</v>
      </c>
      <c r="AJ187" s="30" t="s">
        <v>50</v>
      </c>
      <c r="AK187" s="30" t="s">
        <v>50</v>
      </c>
      <c r="AL187" s="30" t="s">
        <v>50</v>
      </c>
      <c r="AM187" s="30" t="s">
        <v>50</v>
      </c>
      <c r="AN187" s="30" t="s">
        <v>50</v>
      </c>
      <c r="AO187" s="30" t="s">
        <v>50</v>
      </c>
      <c r="AP187" s="30" t="s">
        <v>50</v>
      </c>
      <c r="AQ187" s="30" t="s">
        <v>50</v>
      </c>
      <c r="AR187" s="30" t="s">
        <v>50</v>
      </c>
      <c r="AS187" s="30" t="s">
        <v>50</v>
      </c>
      <c r="AT187" s="30" t="s">
        <v>1682</v>
      </c>
      <c r="AU187" s="30" t="s">
        <v>50</v>
      </c>
      <c r="AV187" s="34">
        <v>167929383723</v>
      </c>
    </row>
    <row r="188" spans="2:48" ht="15" customHeight="1">
      <c r="B188" s="28">
        <v>182</v>
      </c>
      <c r="C188" s="29" t="s">
        <v>2341</v>
      </c>
      <c r="D188" s="30" t="s">
        <v>50</v>
      </c>
      <c r="E188" s="31" t="s">
        <v>2342</v>
      </c>
      <c r="F188" s="31" t="s">
        <v>50</v>
      </c>
      <c r="G188" s="32" t="s">
        <v>2343</v>
      </c>
      <c r="H188" s="30" t="s">
        <v>83</v>
      </c>
      <c r="I188" s="30" t="s">
        <v>750</v>
      </c>
      <c r="J188" s="32" t="s">
        <v>751</v>
      </c>
      <c r="K188" s="30" t="s">
        <v>750</v>
      </c>
      <c r="L188" s="32" t="s">
        <v>751</v>
      </c>
      <c r="M188" s="30" t="s">
        <v>1697</v>
      </c>
      <c r="N188" s="30" t="s">
        <v>1672</v>
      </c>
      <c r="O188" s="33"/>
      <c r="P188" s="33">
        <v>90</v>
      </c>
      <c r="Q188" s="33">
        <v>90</v>
      </c>
      <c r="R188" s="33">
        <v>0</v>
      </c>
      <c r="S188" s="33">
        <v>2</v>
      </c>
      <c r="T188" s="33">
        <v>1</v>
      </c>
      <c r="U188" s="33">
        <v>1</v>
      </c>
      <c r="V188" s="33">
        <v>0</v>
      </c>
      <c r="W188" s="33" t="s">
        <v>50</v>
      </c>
      <c r="X188" s="33">
        <v>1</v>
      </c>
      <c r="Y188" s="30" t="s">
        <v>70</v>
      </c>
      <c r="Z188" s="30" t="s">
        <v>222</v>
      </c>
      <c r="AA188" s="30" t="s">
        <v>222</v>
      </c>
      <c r="AB188" s="30" t="s">
        <v>1316</v>
      </c>
      <c r="AC188" s="30"/>
      <c r="AD188" s="30" t="s">
        <v>50</v>
      </c>
      <c r="AE188" s="30" t="s">
        <v>50</v>
      </c>
      <c r="AF188" s="30" t="s">
        <v>50</v>
      </c>
      <c r="AG188" s="30" t="s">
        <v>50</v>
      </c>
      <c r="AH188" s="30" t="s">
        <v>50</v>
      </c>
      <c r="AI188" s="30" t="s">
        <v>1673</v>
      </c>
      <c r="AJ188" s="30" t="s">
        <v>50</v>
      </c>
      <c r="AK188" s="30" t="s">
        <v>50</v>
      </c>
      <c r="AL188" s="30" t="s">
        <v>50</v>
      </c>
      <c r="AM188" s="30" t="s">
        <v>50</v>
      </c>
      <c r="AN188" s="30" t="s">
        <v>1681</v>
      </c>
      <c r="AO188" s="30" t="s">
        <v>50</v>
      </c>
      <c r="AP188" s="30" t="s">
        <v>50</v>
      </c>
      <c r="AQ188" s="30" t="s">
        <v>50</v>
      </c>
      <c r="AR188" s="30" t="s">
        <v>50</v>
      </c>
      <c r="AS188" s="30" t="s">
        <v>50</v>
      </c>
      <c r="AT188" s="30" t="s">
        <v>299</v>
      </c>
      <c r="AU188" s="30" t="s">
        <v>50</v>
      </c>
      <c r="AV188" s="34">
        <v>167895199363</v>
      </c>
    </row>
    <row r="189" spans="2:48" ht="15" customHeight="1">
      <c r="B189" s="28">
        <v>183</v>
      </c>
      <c r="C189" s="29" t="s">
        <v>2344</v>
      </c>
      <c r="D189" s="30" t="s">
        <v>50</v>
      </c>
      <c r="E189" s="31" t="s">
        <v>2345</v>
      </c>
      <c r="F189" s="31" t="s">
        <v>2346</v>
      </c>
      <c r="G189" s="32" t="s">
        <v>2347</v>
      </c>
      <c r="H189" s="30" t="s">
        <v>62</v>
      </c>
      <c r="I189" s="30" t="s">
        <v>360</v>
      </c>
      <c r="J189" s="32" t="s">
        <v>361</v>
      </c>
      <c r="K189" s="30" t="s">
        <v>360</v>
      </c>
      <c r="L189" s="32" t="s">
        <v>361</v>
      </c>
      <c r="M189" s="30" t="s">
        <v>1671</v>
      </c>
      <c r="N189" s="30" t="s">
        <v>1679</v>
      </c>
      <c r="O189" s="33">
        <v>44</v>
      </c>
      <c r="P189" s="33">
        <v>7422</v>
      </c>
      <c r="Q189" s="33">
        <v>7422</v>
      </c>
      <c r="R189" s="33">
        <v>0</v>
      </c>
      <c r="S189" s="33">
        <v>0</v>
      </c>
      <c r="T189" s="33">
        <v>0</v>
      </c>
      <c r="U189" s="33">
        <v>0</v>
      </c>
      <c r="V189" s="33">
        <v>0</v>
      </c>
      <c r="W189" s="33" t="s">
        <v>50</v>
      </c>
      <c r="X189" s="33">
        <v>1</v>
      </c>
      <c r="Y189" s="30" t="s">
        <v>64</v>
      </c>
      <c r="Z189" s="30" t="s">
        <v>222</v>
      </c>
      <c r="AA189" s="30" t="s">
        <v>222</v>
      </c>
      <c r="AB189" s="30" t="s">
        <v>1315</v>
      </c>
      <c r="AC189" s="30"/>
      <c r="AD189" s="30" t="s">
        <v>876</v>
      </c>
      <c r="AE189" s="30" t="s">
        <v>50</v>
      </c>
      <c r="AF189" s="30" t="s">
        <v>50</v>
      </c>
      <c r="AG189" s="30" t="s">
        <v>50</v>
      </c>
      <c r="AH189" s="30" t="s">
        <v>50</v>
      </c>
      <c r="AI189" s="30" t="s">
        <v>1673</v>
      </c>
      <c r="AJ189" s="30" t="s">
        <v>187</v>
      </c>
      <c r="AK189" s="30" t="s">
        <v>201</v>
      </c>
      <c r="AL189" s="30" t="s">
        <v>201</v>
      </c>
      <c r="AM189" s="30" t="s">
        <v>50</v>
      </c>
      <c r="AN189" s="30" t="s">
        <v>50</v>
      </c>
      <c r="AO189" s="30" t="s">
        <v>50</v>
      </c>
      <c r="AP189" s="30" t="s">
        <v>50</v>
      </c>
      <c r="AQ189" s="30" t="s">
        <v>50</v>
      </c>
      <c r="AR189" s="30" t="s">
        <v>50</v>
      </c>
      <c r="AS189" s="30" t="s">
        <v>50</v>
      </c>
      <c r="AT189" s="30" t="s">
        <v>1682</v>
      </c>
      <c r="AU189" s="30" t="s">
        <v>50</v>
      </c>
      <c r="AV189" s="34">
        <v>165798588410</v>
      </c>
    </row>
    <row r="190" spans="2:48" ht="15" customHeight="1">
      <c r="B190" s="28">
        <v>184</v>
      </c>
      <c r="C190" s="29" t="s">
        <v>2348</v>
      </c>
      <c r="D190" s="30" t="s">
        <v>50</v>
      </c>
      <c r="E190" s="31" t="s">
        <v>2349</v>
      </c>
      <c r="F190" s="31" t="s">
        <v>50</v>
      </c>
      <c r="G190" s="32" t="s">
        <v>2350</v>
      </c>
      <c r="H190" s="30" t="s">
        <v>62</v>
      </c>
      <c r="I190" s="30" t="s">
        <v>853</v>
      </c>
      <c r="J190" s="32" t="s">
        <v>854</v>
      </c>
      <c r="K190" s="30" t="s">
        <v>183</v>
      </c>
      <c r="L190" s="32" t="s">
        <v>185</v>
      </c>
      <c r="M190" s="30" t="s">
        <v>1697</v>
      </c>
      <c r="N190" s="30" t="s">
        <v>1679</v>
      </c>
      <c r="O190" s="33">
        <v>2</v>
      </c>
      <c r="P190" s="33">
        <v>3138</v>
      </c>
      <c r="Q190" s="33">
        <v>303</v>
      </c>
      <c r="R190" s="33">
        <v>0</v>
      </c>
      <c r="S190" s="33">
        <v>0</v>
      </c>
      <c r="T190" s="33">
        <v>0</v>
      </c>
      <c r="U190" s="33">
        <v>0</v>
      </c>
      <c r="V190" s="33">
        <v>0</v>
      </c>
      <c r="W190" s="33" t="s">
        <v>50</v>
      </c>
      <c r="X190" s="33">
        <v>1</v>
      </c>
      <c r="Y190" s="30" t="s">
        <v>64</v>
      </c>
      <c r="Z190" s="30" t="s">
        <v>186</v>
      </c>
      <c r="AA190" s="30" t="s">
        <v>222</v>
      </c>
      <c r="AB190" s="30" t="s">
        <v>1315</v>
      </c>
      <c r="AC190" s="30"/>
      <c r="AD190" s="30" t="s">
        <v>50</v>
      </c>
      <c r="AE190" s="30" t="s">
        <v>50</v>
      </c>
      <c r="AF190" s="30" t="s">
        <v>1741</v>
      </c>
      <c r="AG190" s="30" t="s">
        <v>50</v>
      </c>
      <c r="AH190" s="30" t="s">
        <v>50</v>
      </c>
      <c r="AI190" s="30" t="s">
        <v>1673</v>
      </c>
      <c r="AJ190" s="30" t="s">
        <v>187</v>
      </c>
      <c r="AK190" s="30" t="s">
        <v>189</v>
      </c>
      <c r="AL190" s="30" t="s">
        <v>189</v>
      </c>
      <c r="AM190" s="30" t="s">
        <v>50</v>
      </c>
      <c r="AN190" s="30" t="s">
        <v>1681</v>
      </c>
      <c r="AO190" s="30" t="s">
        <v>50</v>
      </c>
      <c r="AP190" s="30" t="s">
        <v>50</v>
      </c>
      <c r="AQ190" s="30" t="s">
        <v>50</v>
      </c>
      <c r="AR190" s="30" t="s">
        <v>50</v>
      </c>
      <c r="AS190" s="30" t="s">
        <v>50</v>
      </c>
      <c r="AT190" s="30" t="s">
        <v>1682</v>
      </c>
      <c r="AU190" s="30" t="s">
        <v>50</v>
      </c>
      <c r="AV190" s="34">
        <v>167878765600</v>
      </c>
    </row>
    <row r="191" spans="2:48" ht="15" customHeight="1">
      <c r="B191" s="28">
        <v>185</v>
      </c>
      <c r="C191" s="29" t="s">
        <v>2351</v>
      </c>
      <c r="D191" s="30" t="s">
        <v>50</v>
      </c>
      <c r="E191" s="31" t="s">
        <v>2352</v>
      </c>
      <c r="F191" s="31" t="s">
        <v>50</v>
      </c>
      <c r="G191" s="32" t="s">
        <v>2353</v>
      </c>
      <c r="H191" s="30" t="s">
        <v>65</v>
      </c>
      <c r="I191" s="30" t="s">
        <v>1173</v>
      </c>
      <c r="J191" s="32" t="s">
        <v>2354</v>
      </c>
      <c r="K191" s="30" t="s">
        <v>285</v>
      </c>
      <c r="L191" s="32" t="s">
        <v>2303</v>
      </c>
      <c r="M191" s="30" t="s">
        <v>1671</v>
      </c>
      <c r="N191" s="30" t="s">
        <v>1672</v>
      </c>
      <c r="O191" s="33"/>
      <c r="P191" s="33">
        <v>135196</v>
      </c>
      <c r="Q191" s="33">
        <v>0</v>
      </c>
      <c r="R191" s="33">
        <v>0</v>
      </c>
      <c r="S191" s="33">
        <v>0</v>
      </c>
      <c r="T191" s="33">
        <v>0</v>
      </c>
      <c r="U191" s="33">
        <v>0</v>
      </c>
      <c r="V191" s="33">
        <v>0</v>
      </c>
      <c r="W191" s="33" t="s">
        <v>50</v>
      </c>
      <c r="X191" s="33">
        <v>1</v>
      </c>
      <c r="Y191" s="30" t="s">
        <v>67</v>
      </c>
      <c r="Z191" s="30" t="s">
        <v>186</v>
      </c>
      <c r="AA191" s="30" t="s">
        <v>222</v>
      </c>
      <c r="AB191" s="30" t="s">
        <v>1316</v>
      </c>
      <c r="AC191" s="30"/>
      <c r="AD191" s="30" t="s">
        <v>50</v>
      </c>
      <c r="AE191" s="30" t="s">
        <v>50</v>
      </c>
      <c r="AF191" s="30" t="s">
        <v>50</v>
      </c>
      <c r="AG191" s="30" t="s">
        <v>50</v>
      </c>
      <c r="AH191" s="30" t="s">
        <v>50</v>
      </c>
      <c r="AI191" s="30" t="s">
        <v>1673</v>
      </c>
      <c r="AJ191" s="30" t="s">
        <v>50</v>
      </c>
      <c r="AK191" s="30" t="s">
        <v>50</v>
      </c>
      <c r="AL191" s="30" t="s">
        <v>50</v>
      </c>
      <c r="AM191" s="30" t="s">
        <v>50</v>
      </c>
      <c r="AN191" s="30" t="s">
        <v>50</v>
      </c>
      <c r="AO191" s="30" t="s">
        <v>50</v>
      </c>
      <c r="AP191" s="30" t="s">
        <v>50</v>
      </c>
      <c r="AQ191" s="30" t="s">
        <v>50</v>
      </c>
      <c r="AR191" s="30" t="s">
        <v>50</v>
      </c>
      <c r="AS191" s="30" t="s">
        <v>50</v>
      </c>
      <c r="AT191" s="30" t="s">
        <v>1792</v>
      </c>
      <c r="AU191" s="30" t="s">
        <v>50</v>
      </c>
      <c r="AV191" s="34">
        <v>167875299483</v>
      </c>
    </row>
    <row r="192" spans="2:48" ht="15" customHeight="1">
      <c r="B192" s="28">
        <v>186</v>
      </c>
      <c r="C192" s="29" t="s">
        <v>2355</v>
      </c>
      <c r="D192" s="30" t="s">
        <v>50</v>
      </c>
      <c r="E192" s="31" t="s">
        <v>2356</v>
      </c>
      <c r="F192" s="31" t="s">
        <v>2357</v>
      </c>
      <c r="G192" s="32" t="s">
        <v>2358</v>
      </c>
      <c r="H192" s="30" t="s">
        <v>62</v>
      </c>
      <c r="I192" s="30" t="s">
        <v>773</v>
      </c>
      <c r="J192" s="32" t="s">
        <v>774</v>
      </c>
      <c r="K192" s="30" t="s">
        <v>773</v>
      </c>
      <c r="L192" s="32" t="s">
        <v>774</v>
      </c>
      <c r="M192" s="30" t="s">
        <v>1671</v>
      </c>
      <c r="N192" s="30" t="s">
        <v>1672</v>
      </c>
      <c r="O192" s="33"/>
      <c r="P192" s="33">
        <v>21</v>
      </c>
      <c r="Q192" s="33">
        <v>21</v>
      </c>
      <c r="R192" s="33">
        <v>67</v>
      </c>
      <c r="S192" s="33">
        <v>2</v>
      </c>
      <c r="T192" s="33">
        <v>1</v>
      </c>
      <c r="U192" s="33">
        <v>0</v>
      </c>
      <c r="V192" s="33">
        <v>1</v>
      </c>
      <c r="W192" s="33" t="s">
        <v>50</v>
      </c>
      <c r="X192" s="33">
        <v>1</v>
      </c>
      <c r="Y192" s="30" t="s">
        <v>64</v>
      </c>
      <c r="Z192" s="30" t="s">
        <v>186</v>
      </c>
      <c r="AA192" s="30" t="s">
        <v>186</v>
      </c>
      <c r="AB192" s="30"/>
      <c r="AC192" s="30"/>
      <c r="AD192" s="30" t="s">
        <v>50</v>
      </c>
      <c r="AE192" s="30" t="s">
        <v>50</v>
      </c>
      <c r="AF192" s="30" t="s">
        <v>50</v>
      </c>
      <c r="AG192" s="30" t="s">
        <v>50</v>
      </c>
      <c r="AH192" s="30" t="s">
        <v>50</v>
      </c>
      <c r="AI192" s="30" t="s">
        <v>1673</v>
      </c>
      <c r="AJ192" s="30" t="s">
        <v>187</v>
      </c>
      <c r="AK192" s="30" t="s">
        <v>2101</v>
      </c>
      <c r="AL192" s="30" t="s">
        <v>775</v>
      </c>
      <c r="AM192" s="30" t="s">
        <v>50</v>
      </c>
      <c r="AN192" s="30" t="s">
        <v>50</v>
      </c>
      <c r="AO192" s="30" t="s">
        <v>50</v>
      </c>
      <c r="AP192" s="30" t="s">
        <v>50</v>
      </c>
      <c r="AQ192" s="30" t="s">
        <v>50</v>
      </c>
      <c r="AR192" s="30" t="s">
        <v>50</v>
      </c>
      <c r="AS192" s="30" t="s">
        <v>50</v>
      </c>
      <c r="AT192" s="30" t="s">
        <v>299</v>
      </c>
      <c r="AU192" s="30" t="s">
        <v>50</v>
      </c>
      <c r="AV192" s="34">
        <v>167875039263</v>
      </c>
    </row>
    <row r="193" spans="2:48" ht="15" customHeight="1">
      <c r="B193" s="28">
        <v>187</v>
      </c>
      <c r="C193" s="29" t="s">
        <v>2359</v>
      </c>
      <c r="D193" s="30" t="s">
        <v>50</v>
      </c>
      <c r="E193" s="31" t="s">
        <v>2360</v>
      </c>
      <c r="F193" s="31" t="s">
        <v>50</v>
      </c>
      <c r="G193" s="32" t="s">
        <v>2361</v>
      </c>
      <c r="H193" s="30" t="s">
        <v>62</v>
      </c>
      <c r="I193" s="30" t="s">
        <v>850</v>
      </c>
      <c r="J193" s="32" t="s">
        <v>851</v>
      </c>
      <c r="K193" s="30" t="s">
        <v>260</v>
      </c>
      <c r="L193" s="32" t="s">
        <v>261</v>
      </c>
      <c r="M193" s="30" t="s">
        <v>1697</v>
      </c>
      <c r="N193" s="30" t="s">
        <v>1672</v>
      </c>
      <c r="O193" s="33">
        <v>4</v>
      </c>
      <c r="P193" s="33">
        <v>84954</v>
      </c>
      <c r="Q193" s="33">
        <v>0</v>
      </c>
      <c r="R193" s="33">
        <v>0</v>
      </c>
      <c r="S193" s="33">
        <v>0</v>
      </c>
      <c r="T193" s="33">
        <v>0</v>
      </c>
      <c r="U193" s="33">
        <v>0</v>
      </c>
      <c r="V193" s="33">
        <v>0</v>
      </c>
      <c r="W193" s="33" t="s">
        <v>50</v>
      </c>
      <c r="X193" s="33">
        <v>2</v>
      </c>
      <c r="Y193" s="30" t="s">
        <v>64</v>
      </c>
      <c r="Z193" s="30" t="s">
        <v>186</v>
      </c>
      <c r="AA193" s="30" t="s">
        <v>222</v>
      </c>
      <c r="AB193" s="30" t="s">
        <v>1316</v>
      </c>
      <c r="AC193" s="30">
        <v>39</v>
      </c>
      <c r="AD193" s="30" t="s">
        <v>50</v>
      </c>
      <c r="AE193" s="30" t="s">
        <v>50</v>
      </c>
      <c r="AF193" s="30" t="s">
        <v>2203</v>
      </c>
      <c r="AG193" s="30" t="s">
        <v>50</v>
      </c>
      <c r="AH193" s="30" t="s">
        <v>50</v>
      </c>
      <c r="AI193" s="30" t="s">
        <v>1673</v>
      </c>
      <c r="AJ193" s="30" t="s">
        <v>187</v>
      </c>
      <c r="AK193" s="30" t="s">
        <v>2362</v>
      </c>
      <c r="AL193" s="30" t="s">
        <v>263</v>
      </c>
      <c r="AM193" s="30" t="s">
        <v>50</v>
      </c>
      <c r="AN193" s="30" t="s">
        <v>1681</v>
      </c>
      <c r="AO193" s="30" t="s">
        <v>50</v>
      </c>
      <c r="AP193" s="30" t="s">
        <v>50</v>
      </c>
      <c r="AQ193" s="30" t="s">
        <v>50</v>
      </c>
      <c r="AR193" s="30" t="s">
        <v>50</v>
      </c>
      <c r="AS193" s="30" t="s">
        <v>50</v>
      </c>
      <c r="AT193" s="30" t="s">
        <v>299</v>
      </c>
      <c r="AU193" s="30" t="s">
        <v>50</v>
      </c>
      <c r="AV193" s="34">
        <v>167874407257</v>
      </c>
    </row>
    <row r="194" spans="2:48" ht="15" customHeight="1">
      <c r="B194" s="28">
        <v>188</v>
      </c>
      <c r="C194" s="29" t="s">
        <v>2359</v>
      </c>
      <c r="D194" s="30" t="s">
        <v>50</v>
      </c>
      <c r="E194" s="31" t="s">
        <v>2360</v>
      </c>
      <c r="F194" s="31" t="s">
        <v>50</v>
      </c>
      <c r="G194" s="32" t="s">
        <v>2363</v>
      </c>
      <c r="H194" s="30" t="s">
        <v>62</v>
      </c>
      <c r="I194" s="30" t="s">
        <v>850</v>
      </c>
      <c r="J194" s="32" t="s">
        <v>851</v>
      </c>
      <c r="K194" s="30" t="s">
        <v>260</v>
      </c>
      <c r="L194" s="32" t="s">
        <v>261</v>
      </c>
      <c r="M194" s="30" t="s">
        <v>1697</v>
      </c>
      <c r="N194" s="30" t="s">
        <v>1672</v>
      </c>
      <c r="O194" s="33">
        <v>4</v>
      </c>
      <c r="P194" s="33">
        <v>84954</v>
      </c>
      <c r="Q194" s="33">
        <v>0</v>
      </c>
      <c r="R194" s="33">
        <v>0</v>
      </c>
      <c r="S194" s="33">
        <v>0</v>
      </c>
      <c r="T194" s="33">
        <v>0</v>
      </c>
      <c r="U194" s="33">
        <v>0</v>
      </c>
      <c r="V194" s="33">
        <v>0</v>
      </c>
      <c r="W194" s="33" t="s">
        <v>50</v>
      </c>
      <c r="X194" s="33">
        <v>2</v>
      </c>
      <c r="Y194" s="30" t="s">
        <v>64</v>
      </c>
      <c r="Z194" s="30" t="s">
        <v>186</v>
      </c>
      <c r="AA194" s="30" t="s">
        <v>222</v>
      </c>
      <c r="AB194" s="30" t="s">
        <v>1316</v>
      </c>
      <c r="AC194" s="30">
        <v>39</v>
      </c>
      <c r="AD194" s="30" t="s">
        <v>50</v>
      </c>
      <c r="AE194" s="30" t="s">
        <v>50</v>
      </c>
      <c r="AF194" s="30" t="s">
        <v>2203</v>
      </c>
      <c r="AG194" s="30" t="s">
        <v>50</v>
      </c>
      <c r="AH194" s="30" t="s">
        <v>50</v>
      </c>
      <c r="AI194" s="30" t="s">
        <v>1673</v>
      </c>
      <c r="AJ194" s="30" t="s">
        <v>187</v>
      </c>
      <c r="AK194" s="30" t="s">
        <v>2362</v>
      </c>
      <c r="AL194" s="30" t="s">
        <v>263</v>
      </c>
      <c r="AM194" s="30" t="s">
        <v>50</v>
      </c>
      <c r="AN194" s="30" t="s">
        <v>1681</v>
      </c>
      <c r="AO194" s="30" t="s">
        <v>50</v>
      </c>
      <c r="AP194" s="30" t="s">
        <v>50</v>
      </c>
      <c r="AQ194" s="30" t="s">
        <v>50</v>
      </c>
      <c r="AR194" s="30" t="s">
        <v>50</v>
      </c>
      <c r="AS194" s="30" t="s">
        <v>50</v>
      </c>
      <c r="AT194" s="30" t="s">
        <v>299</v>
      </c>
      <c r="AU194" s="30" t="s">
        <v>50</v>
      </c>
      <c r="AV194" s="34">
        <v>167874466285</v>
      </c>
    </row>
    <row r="195" spans="2:48" ht="15" customHeight="1">
      <c r="B195" s="28">
        <v>189</v>
      </c>
      <c r="C195" s="29" t="s">
        <v>2364</v>
      </c>
      <c r="D195" s="30" t="s">
        <v>50</v>
      </c>
      <c r="E195" s="31" t="s">
        <v>2365</v>
      </c>
      <c r="F195" s="31" t="s">
        <v>50</v>
      </c>
      <c r="G195" s="32" t="s">
        <v>2366</v>
      </c>
      <c r="H195" s="30" t="s">
        <v>68</v>
      </c>
      <c r="I195" s="30" t="s">
        <v>923</v>
      </c>
      <c r="J195" s="32" t="s">
        <v>1266</v>
      </c>
      <c r="K195" s="30" t="s">
        <v>683</v>
      </c>
      <c r="L195" s="32" t="s">
        <v>684</v>
      </c>
      <c r="M195" s="30" t="s">
        <v>1697</v>
      </c>
      <c r="N195" s="30" t="s">
        <v>1679</v>
      </c>
      <c r="O195" s="33"/>
      <c r="P195" s="33">
        <v>6698</v>
      </c>
      <c r="Q195" s="33">
        <v>0</v>
      </c>
      <c r="R195" s="33">
        <v>0</v>
      </c>
      <c r="S195" s="33">
        <v>2</v>
      </c>
      <c r="T195" s="33">
        <v>2</v>
      </c>
      <c r="U195" s="33">
        <v>0</v>
      </c>
      <c r="V195" s="33">
        <v>0</v>
      </c>
      <c r="W195" s="33" t="s">
        <v>50</v>
      </c>
      <c r="X195" s="33">
        <v>1</v>
      </c>
      <c r="Y195" s="30" t="s">
        <v>70</v>
      </c>
      <c r="Z195" s="30" t="s">
        <v>192</v>
      </c>
      <c r="AA195" s="30" t="s">
        <v>222</v>
      </c>
      <c r="AB195" s="30" t="s">
        <v>1316</v>
      </c>
      <c r="AC195" s="30"/>
      <c r="AD195" s="30" t="s">
        <v>50</v>
      </c>
      <c r="AE195" s="30" t="s">
        <v>50</v>
      </c>
      <c r="AF195" s="30" t="s">
        <v>50</v>
      </c>
      <c r="AG195" s="30" t="s">
        <v>50</v>
      </c>
      <c r="AH195" s="30" t="s">
        <v>50</v>
      </c>
      <c r="AI195" s="30" t="s">
        <v>1673</v>
      </c>
      <c r="AJ195" s="30" t="s">
        <v>50</v>
      </c>
      <c r="AK195" s="30" t="s">
        <v>50</v>
      </c>
      <c r="AL195" s="30" t="s">
        <v>50</v>
      </c>
      <c r="AM195" s="30" t="s">
        <v>50</v>
      </c>
      <c r="AN195" s="30" t="s">
        <v>1681</v>
      </c>
      <c r="AO195" s="30" t="s">
        <v>50</v>
      </c>
      <c r="AP195" s="30" t="s">
        <v>50</v>
      </c>
      <c r="AQ195" s="30" t="s">
        <v>50</v>
      </c>
      <c r="AR195" s="30" t="s">
        <v>50</v>
      </c>
      <c r="AS195" s="30" t="s">
        <v>50</v>
      </c>
      <c r="AT195" s="30" t="s">
        <v>299</v>
      </c>
      <c r="AU195" s="30" t="s">
        <v>50</v>
      </c>
      <c r="AV195" s="34">
        <v>167874097427</v>
      </c>
    </row>
    <row r="196" spans="2:48" ht="15" customHeight="1">
      <c r="B196" s="28">
        <v>190</v>
      </c>
      <c r="C196" s="29" t="s">
        <v>2367</v>
      </c>
      <c r="D196" s="30" t="s">
        <v>50</v>
      </c>
      <c r="E196" s="31" t="s">
        <v>2368</v>
      </c>
      <c r="F196" s="31" t="s">
        <v>50</v>
      </c>
      <c r="G196" s="32" t="s">
        <v>2369</v>
      </c>
      <c r="H196" s="30" t="s">
        <v>62</v>
      </c>
      <c r="I196" s="30" t="s">
        <v>850</v>
      </c>
      <c r="J196" s="32" t="s">
        <v>851</v>
      </c>
      <c r="K196" s="30" t="s">
        <v>252</v>
      </c>
      <c r="L196" s="32" t="s">
        <v>253</v>
      </c>
      <c r="M196" s="30" t="s">
        <v>1697</v>
      </c>
      <c r="N196" s="30" t="s">
        <v>1672</v>
      </c>
      <c r="O196" s="33"/>
      <c r="P196" s="33">
        <v>18226</v>
      </c>
      <c r="Q196" s="33">
        <v>0</v>
      </c>
      <c r="R196" s="33">
        <v>0</v>
      </c>
      <c r="S196" s="33">
        <v>0</v>
      </c>
      <c r="T196" s="33">
        <v>0</v>
      </c>
      <c r="U196" s="33">
        <v>0</v>
      </c>
      <c r="V196" s="33">
        <v>0</v>
      </c>
      <c r="W196" s="33" t="s">
        <v>50</v>
      </c>
      <c r="X196" s="33">
        <v>1</v>
      </c>
      <c r="Y196" s="30" t="s">
        <v>64</v>
      </c>
      <c r="Z196" s="30" t="s">
        <v>186</v>
      </c>
      <c r="AA196" s="30" t="s">
        <v>222</v>
      </c>
      <c r="AB196" s="30" t="s">
        <v>1316</v>
      </c>
      <c r="AC196" s="30">
        <v>39</v>
      </c>
      <c r="AD196" s="30" t="s">
        <v>50</v>
      </c>
      <c r="AE196" s="30" t="s">
        <v>50</v>
      </c>
      <c r="AF196" s="30" t="s">
        <v>2203</v>
      </c>
      <c r="AG196" s="30" t="s">
        <v>50</v>
      </c>
      <c r="AH196" s="30" t="s">
        <v>50</v>
      </c>
      <c r="AI196" s="30" t="s">
        <v>1673</v>
      </c>
      <c r="AJ196" s="30" t="s">
        <v>50</v>
      </c>
      <c r="AK196" s="30" t="s">
        <v>50</v>
      </c>
      <c r="AL196" s="30" t="s">
        <v>50</v>
      </c>
      <c r="AM196" s="30" t="s">
        <v>50</v>
      </c>
      <c r="AN196" s="30" t="s">
        <v>1681</v>
      </c>
      <c r="AO196" s="30" t="s">
        <v>50</v>
      </c>
      <c r="AP196" s="30" t="s">
        <v>50</v>
      </c>
      <c r="AQ196" s="30" t="s">
        <v>50</v>
      </c>
      <c r="AR196" s="30" t="s">
        <v>50</v>
      </c>
      <c r="AS196" s="30" t="s">
        <v>50</v>
      </c>
      <c r="AT196" s="30" t="s">
        <v>299</v>
      </c>
      <c r="AU196" s="30" t="s">
        <v>50</v>
      </c>
      <c r="AV196" s="34">
        <v>167873657409</v>
      </c>
    </row>
    <row r="197" spans="2:48" ht="15" customHeight="1">
      <c r="B197" s="28">
        <v>191</v>
      </c>
      <c r="C197" s="29" t="s">
        <v>2370</v>
      </c>
      <c r="D197" s="30" t="s">
        <v>50</v>
      </c>
      <c r="E197" s="31" t="s">
        <v>2371</v>
      </c>
      <c r="F197" s="31" t="s">
        <v>50</v>
      </c>
      <c r="G197" s="32" t="s">
        <v>2372</v>
      </c>
      <c r="H197" s="30" t="s">
        <v>62</v>
      </c>
      <c r="I197" s="30" t="s">
        <v>941</v>
      </c>
      <c r="J197" s="32" t="s">
        <v>942</v>
      </c>
      <c r="K197" s="30" t="s">
        <v>366</v>
      </c>
      <c r="L197" s="32" t="s">
        <v>368</v>
      </c>
      <c r="M197" s="30" t="s">
        <v>1697</v>
      </c>
      <c r="N197" s="30" t="s">
        <v>1679</v>
      </c>
      <c r="O197" s="33">
        <v>8</v>
      </c>
      <c r="P197" s="33">
        <v>9871561</v>
      </c>
      <c r="Q197" s="33">
        <v>287</v>
      </c>
      <c r="R197" s="33">
        <v>0</v>
      </c>
      <c r="S197" s="33">
        <v>0</v>
      </c>
      <c r="T197" s="33">
        <v>0</v>
      </c>
      <c r="U197" s="33">
        <v>0</v>
      </c>
      <c r="V197" s="33">
        <v>0</v>
      </c>
      <c r="W197" s="33" t="s">
        <v>50</v>
      </c>
      <c r="X197" s="33">
        <v>1</v>
      </c>
      <c r="Y197" s="30" t="s">
        <v>64</v>
      </c>
      <c r="Z197" s="30" t="s">
        <v>186</v>
      </c>
      <c r="AA197" s="30" t="s">
        <v>222</v>
      </c>
      <c r="AB197" s="30" t="s">
        <v>1316</v>
      </c>
      <c r="AC197" s="30"/>
      <c r="AD197" s="30" t="s">
        <v>876</v>
      </c>
      <c r="AE197" s="30" t="s">
        <v>883</v>
      </c>
      <c r="AF197" s="30" t="s">
        <v>50</v>
      </c>
      <c r="AG197" s="30" t="s">
        <v>50</v>
      </c>
      <c r="AH197" s="30" t="s">
        <v>50</v>
      </c>
      <c r="AI197" s="30" t="s">
        <v>1673</v>
      </c>
      <c r="AJ197" s="30" t="s">
        <v>187</v>
      </c>
      <c r="AK197" s="30" t="s">
        <v>1309</v>
      </c>
      <c r="AL197" s="30" t="s">
        <v>370</v>
      </c>
      <c r="AM197" s="30" t="s">
        <v>50</v>
      </c>
      <c r="AN197" s="30" t="s">
        <v>1681</v>
      </c>
      <c r="AO197" s="30" t="s">
        <v>50</v>
      </c>
      <c r="AP197" s="30" t="s">
        <v>50</v>
      </c>
      <c r="AQ197" s="30" t="s">
        <v>50</v>
      </c>
      <c r="AR197" s="30" t="s">
        <v>50</v>
      </c>
      <c r="AS197" s="30" t="s">
        <v>50</v>
      </c>
      <c r="AT197" s="30" t="s">
        <v>299</v>
      </c>
      <c r="AU197" s="30" t="s">
        <v>50</v>
      </c>
      <c r="AV197" s="34">
        <v>167870525835</v>
      </c>
    </row>
    <row r="198" spans="2:48" ht="15" customHeight="1">
      <c r="B198" s="28">
        <v>192</v>
      </c>
      <c r="C198" s="29" t="s">
        <v>2373</v>
      </c>
      <c r="D198" s="30" t="s">
        <v>50</v>
      </c>
      <c r="E198" s="31" t="s">
        <v>2374</v>
      </c>
      <c r="F198" s="31" t="s">
        <v>50</v>
      </c>
      <c r="G198" s="32" t="s">
        <v>2375</v>
      </c>
      <c r="H198" s="30" t="s">
        <v>62</v>
      </c>
      <c r="I198" s="30" t="s">
        <v>950</v>
      </c>
      <c r="J198" s="32" t="s">
        <v>951</v>
      </c>
      <c r="K198" s="30" t="s">
        <v>279</v>
      </c>
      <c r="L198" s="32" t="s">
        <v>280</v>
      </c>
      <c r="M198" s="30" t="s">
        <v>1697</v>
      </c>
      <c r="N198" s="30" t="s">
        <v>1672</v>
      </c>
      <c r="O198" s="33">
        <v>4</v>
      </c>
      <c r="P198" s="33">
        <v>35853</v>
      </c>
      <c r="Q198" s="33">
        <v>95</v>
      </c>
      <c r="R198" s="33">
        <v>0</v>
      </c>
      <c r="S198" s="33">
        <v>0</v>
      </c>
      <c r="T198" s="33">
        <v>0</v>
      </c>
      <c r="U198" s="33">
        <v>0</v>
      </c>
      <c r="V198" s="33">
        <v>0</v>
      </c>
      <c r="W198" s="33" t="s">
        <v>50</v>
      </c>
      <c r="X198" s="33">
        <v>1</v>
      </c>
      <c r="Y198" s="30" t="s">
        <v>64</v>
      </c>
      <c r="Z198" s="30" t="s">
        <v>186</v>
      </c>
      <c r="AA198" s="30" t="s">
        <v>222</v>
      </c>
      <c r="AB198" s="30" t="s">
        <v>1315</v>
      </c>
      <c r="AC198" s="30"/>
      <c r="AD198" s="30" t="s">
        <v>1325</v>
      </c>
      <c r="AE198" s="30" t="s">
        <v>883</v>
      </c>
      <c r="AF198" s="30" t="s">
        <v>50</v>
      </c>
      <c r="AG198" s="30" t="s">
        <v>50</v>
      </c>
      <c r="AH198" s="30" t="s">
        <v>50</v>
      </c>
      <c r="AI198" s="30" t="s">
        <v>1673</v>
      </c>
      <c r="AJ198" s="30" t="s">
        <v>187</v>
      </c>
      <c r="AK198" s="30" t="s">
        <v>201</v>
      </c>
      <c r="AL198" s="30" t="s">
        <v>201</v>
      </c>
      <c r="AM198" s="30" t="s">
        <v>50</v>
      </c>
      <c r="AN198" s="30" t="s">
        <v>1681</v>
      </c>
      <c r="AO198" s="30" t="s">
        <v>50</v>
      </c>
      <c r="AP198" s="30" t="s">
        <v>50</v>
      </c>
      <c r="AQ198" s="30" t="s">
        <v>50</v>
      </c>
      <c r="AR198" s="30" t="s">
        <v>1681</v>
      </c>
      <c r="AS198" s="30" t="s">
        <v>50</v>
      </c>
      <c r="AT198" s="30" t="s">
        <v>1682</v>
      </c>
      <c r="AU198" s="30" t="s">
        <v>50</v>
      </c>
      <c r="AV198" s="34">
        <v>167869077651</v>
      </c>
    </row>
    <row r="199" spans="2:48" ht="15" customHeight="1">
      <c r="B199" s="28">
        <v>193</v>
      </c>
      <c r="C199" s="29" t="s">
        <v>2376</v>
      </c>
      <c r="D199" s="30" t="s">
        <v>50</v>
      </c>
      <c r="E199" s="31" t="s">
        <v>2377</v>
      </c>
      <c r="F199" s="31" t="s">
        <v>50</v>
      </c>
      <c r="G199" s="32" t="s">
        <v>2378</v>
      </c>
      <c r="H199" s="30" t="s">
        <v>62</v>
      </c>
      <c r="I199" s="30" t="s">
        <v>1063</v>
      </c>
      <c r="J199" s="32" t="s">
        <v>1064</v>
      </c>
      <c r="K199" s="30" t="s">
        <v>279</v>
      </c>
      <c r="L199" s="32" t="s">
        <v>280</v>
      </c>
      <c r="M199" s="30" t="s">
        <v>1697</v>
      </c>
      <c r="N199" s="30" t="s">
        <v>1672</v>
      </c>
      <c r="O199" s="33">
        <v>4</v>
      </c>
      <c r="P199" s="33">
        <v>35853</v>
      </c>
      <c r="Q199" s="33">
        <v>35</v>
      </c>
      <c r="R199" s="33">
        <v>0</v>
      </c>
      <c r="S199" s="33">
        <v>0</v>
      </c>
      <c r="T199" s="33">
        <v>0</v>
      </c>
      <c r="U199" s="33">
        <v>0</v>
      </c>
      <c r="V199" s="33">
        <v>0</v>
      </c>
      <c r="W199" s="33" t="s">
        <v>50</v>
      </c>
      <c r="X199" s="33">
        <v>1</v>
      </c>
      <c r="Y199" s="30" t="s">
        <v>64</v>
      </c>
      <c r="Z199" s="30" t="s">
        <v>186</v>
      </c>
      <c r="AA199" s="30" t="s">
        <v>222</v>
      </c>
      <c r="AB199" s="30" t="s">
        <v>1316</v>
      </c>
      <c r="AC199" s="30">
        <v>44</v>
      </c>
      <c r="AD199" s="30" t="s">
        <v>50</v>
      </c>
      <c r="AE199" s="30" t="s">
        <v>50</v>
      </c>
      <c r="AF199" s="30" t="s">
        <v>50</v>
      </c>
      <c r="AG199" s="30" t="s">
        <v>50</v>
      </c>
      <c r="AH199" s="30" t="s">
        <v>50</v>
      </c>
      <c r="AI199" s="30" t="s">
        <v>1673</v>
      </c>
      <c r="AJ199" s="30" t="s">
        <v>187</v>
      </c>
      <c r="AK199" s="30" t="s">
        <v>201</v>
      </c>
      <c r="AL199" s="30" t="s">
        <v>201</v>
      </c>
      <c r="AM199" s="30" t="s">
        <v>50</v>
      </c>
      <c r="AN199" s="30" t="s">
        <v>1681</v>
      </c>
      <c r="AO199" s="30" t="s">
        <v>50</v>
      </c>
      <c r="AP199" s="30" t="s">
        <v>50</v>
      </c>
      <c r="AQ199" s="30" t="s">
        <v>50</v>
      </c>
      <c r="AR199" s="30" t="s">
        <v>50</v>
      </c>
      <c r="AS199" s="30" t="s">
        <v>50</v>
      </c>
      <c r="AT199" s="30" t="s">
        <v>1682</v>
      </c>
      <c r="AU199" s="30" t="s">
        <v>50</v>
      </c>
      <c r="AV199" s="34">
        <v>167859789507</v>
      </c>
    </row>
    <row r="200" spans="2:48" ht="15" customHeight="1">
      <c r="B200" s="28">
        <v>194</v>
      </c>
      <c r="C200" s="29" t="s">
        <v>2379</v>
      </c>
      <c r="D200" s="30" t="s">
        <v>2380</v>
      </c>
      <c r="E200" s="31" t="s">
        <v>2381</v>
      </c>
      <c r="F200" s="31" t="s">
        <v>50</v>
      </c>
      <c r="G200" s="32" t="s">
        <v>2382</v>
      </c>
      <c r="H200" s="30" t="s">
        <v>120</v>
      </c>
      <c r="I200" s="30" t="s">
        <v>958</v>
      </c>
      <c r="J200" s="32" t="s">
        <v>959</v>
      </c>
      <c r="K200" s="30" t="s">
        <v>729</v>
      </c>
      <c r="L200" s="32" t="s">
        <v>730</v>
      </c>
      <c r="M200" s="30" t="s">
        <v>1718</v>
      </c>
      <c r="N200" s="30" t="s">
        <v>1672</v>
      </c>
      <c r="O200" s="33"/>
      <c r="P200" s="33">
        <v>0</v>
      </c>
      <c r="Q200" s="33">
        <v>67</v>
      </c>
      <c r="R200" s="33" t="s">
        <v>158</v>
      </c>
      <c r="S200" s="33">
        <v>0</v>
      </c>
      <c r="T200" s="33" t="s">
        <v>158</v>
      </c>
      <c r="U200" s="33" t="s">
        <v>158</v>
      </c>
      <c r="V200" s="33" t="s">
        <v>158</v>
      </c>
      <c r="W200" s="33" t="s">
        <v>50</v>
      </c>
      <c r="X200" s="33">
        <v>1</v>
      </c>
      <c r="Y200" s="30" t="s">
        <v>75</v>
      </c>
      <c r="Z200" s="30" t="s">
        <v>222</v>
      </c>
      <c r="AA200" s="30" t="s">
        <v>222</v>
      </c>
      <c r="AB200" s="30"/>
      <c r="AC200" s="30"/>
      <c r="AD200" s="30" t="s">
        <v>50</v>
      </c>
      <c r="AE200" s="30" t="s">
        <v>50</v>
      </c>
      <c r="AF200" s="30" t="s">
        <v>50</v>
      </c>
      <c r="AG200" s="30" t="s">
        <v>50</v>
      </c>
      <c r="AH200" s="30" t="s">
        <v>50</v>
      </c>
      <c r="AI200" s="30" t="s">
        <v>1673</v>
      </c>
      <c r="AJ200" s="30" t="s">
        <v>50</v>
      </c>
      <c r="AK200" s="30" t="s">
        <v>50</v>
      </c>
      <c r="AL200" s="30" t="s">
        <v>50</v>
      </c>
      <c r="AM200" s="30" t="s">
        <v>50</v>
      </c>
      <c r="AN200" s="30" t="s">
        <v>1681</v>
      </c>
      <c r="AO200" s="30" t="s">
        <v>50</v>
      </c>
      <c r="AP200" s="30" t="s">
        <v>50</v>
      </c>
      <c r="AQ200" s="30" t="s">
        <v>50</v>
      </c>
      <c r="AR200" s="30" t="s">
        <v>50</v>
      </c>
      <c r="AS200" s="30" t="s">
        <v>50</v>
      </c>
      <c r="AT200" s="30" t="s">
        <v>1682</v>
      </c>
      <c r="AU200" s="30" t="s">
        <v>50</v>
      </c>
      <c r="AV200" s="34">
        <v>167850247210</v>
      </c>
    </row>
    <row r="201" spans="2:48" ht="15" customHeight="1">
      <c r="B201" s="28">
        <v>195</v>
      </c>
      <c r="C201" s="29" t="s">
        <v>2383</v>
      </c>
      <c r="D201" s="30" t="s">
        <v>50</v>
      </c>
      <c r="E201" s="31" t="s">
        <v>2384</v>
      </c>
      <c r="F201" s="31" t="s">
        <v>2385</v>
      </c>
      <c r="G201" s="32" t="s">
        <v>2386</v>
      </c>
      <c r="H201" s="30" t="s">
        <v>81</v>
      </c>
      <c r="I201" s="30" t="s">
        <v>2387</v>
      </c>
      <c r="J201" s="32" t="s">
        <v>444</v>
      </c>
      <c r="K201" s="30" t="s">
        <v>2387</v>
      </c>
      <c r="L201" s="32" t="s">
        <v>444</v>
      </c>
      <c r="M201" s="30" t="s">
        <v>1671</v>
      </c>
      <c r="N201" s="30" t="s">
        <v>1672</v>
      </c>
      <c r="O201" s="33"/>
      <c r="P201" s="33">
        <v>654</v>
      </c>
      <c r="Q201" s="33">
        <v>654</v>
      </c>
      <c r="R201" s="33">
        <v>0</v>
      </c>
      <c r="S201" s="33">
        <v>1</v>
      </c>
      <c r="T201" s="33">
        <v>1</v>
      </c>
      <c r="U201" s="33">
        <v>0</v>
      </c>
      <c r="V201" s="33">
        <v>0</v>
      </c>
      <c r="W201" s="33" t="s">
        <v>50</v>
      </c>
      <c r="X201" s="33">
        <v>1</v>
      </c>
      <c r="Y201" s="30" t="s">
        <v>64</v>
      </c>
      <c r="Z201" s="30" t="s">
        <v>222</v>
      </c>
      <c r="AA201" s="30" t="s">
        <v>222</v>
      </c>
      <c r="AB201" s="30"/>
      <c r="AC201" s="30"/>
      <c r="AD201" s="30" t="s">
        <v>50</v>
      </c>
      <c r="AE201" s="30" t="s">
        <v>50</v>
      </c>
      <c r="AF201" s="30" t="s">
        <v>50</v>
      </c>
      <c r="AG201" s="30" t="s">
        <v>50</v>
      </c>
      <c r="AH201" s="30" t="s">
        <v>50</v>
      </c>
      <c r="AI201" s="30" t="s">
        <v>1673</v>
      </c>
      <c r="AJ201" s="30" t="s">
        <v>50</v>
      </c>
      <c r="AK201" s="30" t="s">
        <v>50</v>
      </c>
      <c r="AL201" s="30" t="s">
        <v>50</v>
      </c>
      <c r="AM201" s="30" t="s">
        <v>50</v>
      </c>
      <c r="AN201" s="30" t="s">
        <v>50</v>
      </c>
      <c r="AO201" s="30" t="s">
        <v>50</v>
      </c>
      <c r="AP201" s="30" t="s">
        <v>50</v>
      </c>
      <c r="AQ201" s="30" t="s">
        <v>50</v>
      </c>
      <c r="AR201" s="30" t="s">
        <v>50</v>
      </c>
      <c r="AS201" s="30" t="s">
        <v>50</v>
      </c>
      <c r="AT201" s="30" t="s">
        <v>1682</v>
      </c>
      <c r="AU201" s="30" t="s">
        <v>50</v>
      </c>
      <c r="AV201" s="34">
        <v>167958611913</v>
      </c>
    </row>
    <row r="202" spans="2:48" ht="15" customHeight="1">
      <c r="B202" s="28">
        <v>196</v>
      </c>
      <c r="C202" s="29" t="s">
        <v>2388</v>
      </c>
      <c r="D202" s="30" t="s">
        <v>50</v>
      </c>
      <c r="E202" s="31" t="s">
        <v>2389</v>
      </c>
      <c r="F202" s="31" t="s">
        <v>50</v>
      </c>
      <c r="G202" s="32" t="s">
        <v>2390</v>
      </c>
      <c r="H202" s="30" t="s">
        <v>62</v>
      </c>
      <c r="I202" s="30" t="s">
        <v>927</v>
      </c>
      <c r="J202" s="32" t="s">
        <v>928</v>
      </c>
      <c r="K202" s="30" t="s">
        <v>512</v>
      </c>
      <c r="L202" s="32" t="s">
        <v>514</v>
      </c>
      <c r="M202" s="30" t="s">
        <v>1697</v>
      </c>
      <c r="N202" s="30" t="s">
        <v>1672</v>
      </c>
      <c r="O202" s="33">
        <v>6</v>
      </c>
      <c r="P202" s="33">
        <v>1770722</v>
      </c>
      <c r="Q202" s="33">
        <v>162</v>
      </c>
      <c r="R202" s="33">
        <v>0</v>
      </c>
      <c r="S202" s="33">
        <v>0</v>
      </c>
      <c r="T202" s="33">
        <v>0</v>
      </c>
      <c r="U202" s="33">
        <v>0</v>
      </c>
      <c r="V202" s="33">
        <v>0</v>
      </c>
      <c r="W202" s="33" t="s">
        <v>50</v>
      </c>
      <c r="X202" s="33">
        <v>1</v>
      </c>
      <c r="Y202" s="30" t="s">
        <v>64</v>
      </c>
      <c r="Z202" s="30" t="s">
        <v>186</v>
      </c>
      <c r="AA202" s="30" t="s">
        <v>222</v>
      </c>
      <c r="AB202" s="30" t="s">
        <v>1316</v>
      </c>
      <c r="AC202" s="30"/>
      <c r="AD202" s="30" t="s">
        <v>50</v>
      </c>
      <c r="AE202" s="30" t="s">
        <v>50</v>
      </c>
      <c r="AF202" s="30" t="s">
        <v>50</v>
      </c>
      <c r="AG202" s="30" t="s">
        <v>50</v>
      </c>
      <c r="AH202" s="30" t="s">
        <v>50</v>
      </c>
      <c r="AI202" s="30" t="s">
        <v>1673</v>
      </c>
      <c r="AJ202" s="30" t="s">
        <v>187</v>
      </c>
      <c r="AK202" s="30" t="s">
        <v>2391</v>
      </c>
      <c r="AL202" s="30" t="s">
        <v>516</v>
      </c>
      <c r="AM202" s="30" t="s">
        <v>50</v>
      </c>
      <c r="AN202" s="30" t="s">
        <v>1681</v>
      </c>
      <c r="AO202" s="30" t="s">
        <v>50</v>
      </c>
      <c r="AP202" s="30" t="s">
        <v>50</v>
      </c>
      <c r="AQ202" s="30" t="s">
        <v>50</v>
      </c>
      <c r="AR202" s="30" t="s">
        <v>50</v>
      </c>
      <c r="AS202" s="30" t="s">
        <v>50</v>
      </c>
      <c r="AT202" s="30" t="s">
        <v>299</v>
      </c>
      <c r="AU202" s="30" t="s">
        <v>50</v>
      </c>
      <c r="AV202" s="34">
        <v>167823532087</v>
      </c>
    </row>
    <row r="203" spans="2:48" ht="15" customHeight="1">
      <c r="B203" s="28">
        <v>197</v>
      </c>
      <c r="C203" s="29" t="s">
        <v>2392</v>
      </c>
      <c r="D203" s="30" t="s">
        <v>50</v>
      </c>
      <c r="E203" s="31" t="s">
        <v>2393</v>
      </c>
      <c r="F203" s="31" t="s">
        <v>50</v>
      </c>
      <c r="G203" s="32" t="s">
        <v>2394</v>
      </c>
      <c r="H203" s="30" t="s">
        <v>78</v>
      </c>
      <c r="I203" s="30" t="s">
        <v>972</v>
      </c>
      <c r="J203" s="32" t="s">
        <v>973</v>
      </c>
      <c r="K203" s="30" t="s">
        <v>227</v>
      </c>
      <c r="L203" s="32" t="s">
        <v>228</v>
      </c>
      <c r="M203" s="30" t="s">
        <v>1697</v>
      </c>
      <c r="N203" s="30" t="s">
        <v>1791</v>
      </c>
      <c r="O203" s="33">
        <v>4</v>
      </c>
      <c r="P203" s="33">
        <v>88100</v>
      </c>
      <c r="Q203" s="33">
        <v>5</v>
      </c>
      <c r="R203" s="33">
        <v>0</v>
      </c>
      <c r="S203" s="33">
        <v>0</v>
      </c>
      <c r="T203" s="33">
        <v>0</v>
      </c>
      <c r="U203" s="33">
        <v>0</v>
      </c>
      <c r="V203" s="33">
        <v>0</v>
      </c>
      <c r="W203" s="33" t="s">
        <v>50</v>
      </c>
      <c r="X203" s="33">
        <v>1</v>
      </c>
      <c r="Y203" s="30" t="s">
        <v>70</v>
      </c>
      <c r="Z203" s="30" t="s">
        <v>192</v>
      </c>
      <c r="AA203" s="30" t="s">
        <v>192</v>
      </c>
      <c r="AB203" s="30" t="s">
        <v>1315</v>
      </c>
      <c r="AC203" s="30"/>
      <c r="AD203" s="30" t="s">
        <v>50</v>
      </c>
      <c r="AE203" s="30" t="s">
        <v>50</v>
      </c>
      <c r="AF203" s="30" t="s">
        <v>50</v>
      </c>
      <c r="AG203" s="30" t="s">
        <v>50</v>
      </c>
      <c r="AH203" s="30" t="s">
        <v>50</v>
      </c>
      <c r="AI203" s="30" t="s">
        <v>1673</v>
      </c>
      <c r="AJ203" s="30" t="s">
        <v>991</v>
      </c>
      <c r="AK203" s="30" t="s">
        <v>50</v>
      </c>
      <c r="AL203" s="30" t="s">
        <v>50</v>
      </c>
      <c r="AM203" s="30" t="s">
        <v>50</v>
      </c>
      <c r="AN203" s="30" t="s">
        <v>1681</v>
      </c>
      <c r="AO203" s="30" t="s">
        <v>50</v>
      </c>
      <c r="AP203" s="30" t="s">
        <v>50</v>
      </c>
      <c r="AQ203" s="30" t="s">
        <v>50</v>
      </c>
      <c r="AR203" s="30" t="s">
        <v>50</v>
      </c>
      <c r="AS203" s="30" t="s">
        <v>50</v>
      </c>
      <c r="AT203" s="30" t="s">
        <v>1682</v>
      </c>
      <c r="AU203" s="30" t="s">
        <v>50</v>
      </c>
      <c r="AV203" s="34">
        <v>167822248575</v>
      </c>
    </row>
    <row r="204" spans="2:48" ht="15" customHeight="1">
      <c r="B204" s="28">
        <v>198</v>
      </c>
      <c r="C204" s="29" t="s">
        <v>2395</v>
      </c>
      <c r="D204" s="30" t="s">
        <v>50</v>
      </c>
      <c r="E204" s="31" t="s">
        <v>2396</v>
      </c>
      <c r="F204" s="31" t="s">
        <v>50</v>
      </c>
      <c r="G204" s="32" t="s">
        <v>2397</v>
      </c>
      <c r="H204" s="30" t="s">
        <v>85</v>
      </c>
      <c r="I204" s="30" t="s">
        <v>1275</v>
      </c>
      <c r="J204" s="32" t="s">
        <v>1276</v>
      </c>
      <c r="K204" s="30" t="s">
        <v>727</v>
      </c>
      <c r="L204" s="32" t="s">
        <v>728</v>
      </c>
      <c r="M204" s="30" t="s">
        <v>1697</v>
      </c>
      <c r="N204" s="30" t="s">
        <v>1679</v>
      </c>
      <c r="O204" s="33"/>
      <c r="P204" s="33">
        <v>0</v>
      </c>
      <c r="Q204" s="33">
        <v>0</v>
      </c>
      <c r="R204" s="33">
        <v>0</v>
      </c>
      <c r="S204" s="33">
        <v>0</v>
      </c>
      <c r="T204" s="33">
        <v>0</v>
      </c>
      <c r="U204" s="33">
        <v>0</v>
      </c>
      <c r="V204" s="33">
        <v>0</v>
      </c>
      <c r="W204" s="33" t="s">
        <v>50</v>
      </c>
      <c r="X204" s="33">
        <v>1</v>
      </c>
      <c r="Y204" s="30" t="s">
        <v>64</v>
      </c>
      <c r="Z204" s="30" t="s">
        <v>186</v>
      </c>
      <c r="AA204" s="30" t="s">
        <v>222</v>
      </c>
      <c r="AB204" s="30"/>
      <c r="AC204" s="30"/>
      <c r="AD204" s="30" t="s">
        <v>50</v>
      </c>
      <c r="AE204" s="30" t="s">
        <v>50</v>
      </c>
      <c r="AF204" s="30" t="s">
        <v>50</v>
      </c>
      <c r="AG204" s="30" t="s">
        <v>50</v>
      </c>
      <c r="AH204" s="30" t="s">
        <v>50</v>
      </c>
      <c r="AI204" s="30" t="s">
        <v>1673</v>
      </c>
      <c r="AJ204" s="30" t="s">
        <v>50</v>
      </c>
      <c r="AK204" s="30" t="s">
        <v>50</v>
      </c>
      <c r="AL204" s="30" t="s">
        <v>50</v>
      </c>
      <c r="AM204" s="30" t="s">
        <v>50</v>
      </c>
      <c r="AN204" s="30" t="s">
        <v>1681</v>
      </c>
      <c r="AO204" s="30" t="s">
        <v>50</v>
      </c>
      <c r="AP204" s="30" t="s">
        <v>50</v>
      </c>
      <c r="AQ204" s="30" t="s">
        <v>50</v>
      </c>
      <c r="AR204" s="30" t="s">
        <v>50</v>
      </c>
      <c r="AS204" s="30" t="s">
        <v>50</v>
      </c>
      <c r="AT204" s="30" t="s">
        <v>299</v>
      </c>
      <c r="AU204" s="30" t="s">
        <v>50</v>
      </c>
      <c r="AV204" s="34">
        <v>167862582485</v>
      </c>
    </row>
    <row r="205" spans="2:48" ht="15" customHeight="1">
      <c r="B205" s="28">
        <v>199</v>
      </c>
      <c r="C205" s="29" t="s">
        <v>2398</v>
      </c>
      <c r="D205" s="30" t="s">
        <v>50</v>
      </c>
      <c r="E205" s="31" t="s">
        <v>2399</v>
      </c>
      <c r="F205" s="31" t="s">
        <v>50</v>
      </c>
      <c r="G205" s="32" t="s">
        <v>2400</v>
      </c>
      <c r="H205" s="30" t="s">
        <v>68</v>
      </c>
      <c r="I205" s="30" t="s">
        <v>1279</v>
      </c>
      <c r="J205" s="32" t="s">
        <v>1280</v>
      </c>
      <c r="K205" s="30" t="s">
        <v>677</v>
      </c>
      <c r="L205" s="32" t="s">
        <v>678</v>
      </c>
      <c r="M205" s="30" t="s">
        <v>1697</v>
      </c>
      <c r="N205" s="30" t="s">
        <v>1672</v>
      </c>
      <c r="O205" s="33"/>
      <c r="P205" s="33">
        <v>30837</v>
      </c>
      <c r="Q205" s="33">
        <v>0</v>
      </c>
      <c r="R205" s="33">
        <v>0</v>
      </c>
      <c r="S205" s="33">
        <v>23</v>
      </c>
      <c r="T205" s="33">
        <v>23</v>
      </c>
      <c r="U205" s="33">
        <v>0</v>
      </c>
      <c r="V205" s="33">
        <v>0</v>
      </c>
      <c r="W205" s="33" t="s">
        <v>50</v>
      </c>
      <c r="X205" s="33">
        <v>1</v>
      </c>
      <c r="Y205" s="30" t="s">
        <v>70</v>
      </c>
      <c r="Z205" s="30" t="s">
        <v>192</v>
      </c>
      <c r="AA205" s="30" t="s">
        <v>222</v>
      </c>
      <c r="AB205" s="30" t="s">
        <v>1316</v>
      </c>
      <c r="AC205" s="30"/>
      <c r="AD205" s="30" t="s">
        <v>50</v>
      </c>
      <c r="AE205" s="30" t="s">
        <v>50</v>
      </c>
      <c r="AF205" s="30" t="s">
        <v>50</v>
      </c>
      <c r="AG205" s="30" t="s">
        <v>50</v>
      </c>
      <c r="AH205" s="30" t="s">
        <v>50</v>
      </c>
      <c r="AI205" s="30" t="s">
        <v>1673</v>
      </c>
      <c r="AJ205" s="30" t="s">
        <v>50</v>
      </c>
      <c r="AK205" s="30" t="s">
        <v>50</v>
      </c>
      <c r="AL205" s="30" t="s">
        <v>50</v>
      </c>
      <c r="AM205" s="30" t="s">
        <v>50</v>
      </c>
      <c r="AN205" s="30" t="s">
        <v>1681</v>
      </c>
      <c r="AO205" s="30" t="s">
        <v>50</v>
      </c>
      <c r="AP205" s="30" t="s">
        <v>50</v>
      </c>
      <c r="AQ205" s="30" t="s">
        <v>50</v>
      </c>
      <c r="AR205" s="30" t="s">
        <v>50</v>
      </c>
      <c r="AS205" s="30" t="s">
        <v>50</v>
      </c>
      <c r="AT205" s="30" t="s">
        <v>299</v>
      </c>
      <c r="AU205" s="30" t="s">
        <v>50</v>
      </c>
      <c r="AV205" s="34">
        <v>167819021721</v>
      </c>
    </row>
    <row r="206" spans="2:48" ht="15" customHeight="1">
      <c r="B206" s="28">
        <v>200</v>
      </c>
      <c r="C206" s="29" t="s">
        <v>2401</v>
      </c>
      <c r="D206" s="30" t="s">
        <v>50</v>
      </c>
      <c r="E206" s="31" t="s">
        <v>2402</v>
      </c>
      <c r="F206" s="31" t="s">
        <v>50</v>
      </c>
      <c r="G206" s="32" t="s">
        <v>2403</v>
      </c>
      <c r="H206" s="30" t="s">
        <v>62</v>
      </c>
      <c r="I206" s="30" t="s">
        <v>856</v>
      </c>
      <c r="J206" s="32" t="s">
        <v>857</v>
      </c>
      <c r="K206" s="30" t="s">
        <v>469</v>
      </c>
      <c r="L206" s="32" t="s">
        <v>470</v>
      </c>
      <c r="M206" s="30" t="s">
        <v>1697</v>
      </c>
      <c r="N206" s="30" t="s">
        <v>1679</v>
      </c>
      <c r="O206" s="33">
        <v>2</v>
      </c>
      <c r="P206" s="33">
        <v>13750</v>
      </c>
      <c r="Q206" s="33">
        <v>0</v>
      </c>
      <c r="R206" s="33">
        <v>0</v>
      </c>
      <c r="S206" s="33">
        <v>0</v>
      </c>
      <c r="T206" s="33">
        <v>0</v>
      </c>
      <c r="U206" s="33">
        <v>0</v>
      </c>
      <c r="V206" s="33">
        <v>0</v>
      </c>
      <c r="W206" s="33" t="s">
        <v>50</v>
      </c>
      <c r="X206" s="33">
        <v>1</v>
      </c>
      <c r="Y206" s="30" t="s">
        <v>64</v>
      </c>
      <c r="Z206" s="30" t="s">
        <v>186</v>
      </c>
      <c r="AA206" s="30" t="s">
        <v>222</v>
      </c>
      <c r="AB206" s="30" t="s">
        <v>1316</v>
      </c>
      <c r="AC206" s="30">
        <v>36</v>
      </c>
      <c r="AD206" s="30" t="s">
        <v>50</v>
      </c>
      <c r="AE206" s="30" t="s">
        <v>50</v>
      </c>
      <c r="AF206" s="30" t="s">
        <v>2203</v>
      </c>
      <c r="AG206" s="30" t="s">
        <v>50</v>
      </c>
      <c r="AH206" s="30" t="s">
        <v>50</v>
      </c>
      <c r="AI206" s="30" t="s">
        <v>1673</v>
      </c>
      <c r="AJ206" s="30" t="s">
        <v>187</v>
      </c>
      <c r="AK206" s="30" t="s">
        <v>2404</v>
      </c>
      <c r="AL206" s="30" t="s">
        <v>469</v>
      </c>
      <c r="AM206" s="30" t="s">
        <v>50</v>
      </c>
      <c r="AN206" s="30" t="s">
        <v>1681</v>
      </c>
      <c r="AO206" s="30" t="s">
        <v>50</v>
      </c>
      <c r="AP206" s="30" t="s">
        <v>50</v>
      </c>
      <c r="AQ206" s="30" t="s">
        <v>50</v>
      </c>
      <c r="AR206" s="30" t="s">
        <v>50</v>
      </c>
      <c r="AS206" s="30" t="s">
        <v>50</v>
      </c>
      <c r="AT206" s="30" t="s">
        <v>299</v>
      </c>
      <c r="AU206" s="30" t="s">
        <v>50</v>
      </c>
      <c r="AV206" s="34">
        <v>167817987347</v>
      </c>
    </row>
    <row r="207" spans="2:48" ht="15" customHeight="1">
      <c r="B207" s="28">
        <v>201</v>
      </c>
      <c r="C207" s="29" t="s">
        <v>2405</v>
      </c>
      <c r="D207" s="30" t="s">
        <v>50</v>
      </c>
      <c r="E207" s="31" t="s">
        <v>2406</v>
      </c>
      <c r="F207" s="31" t="s">
        <v>50</v>
      </c>
      <c r="G207" s="32" t="s">
        <v>2407</v>
      </c>
      <c r="H207" s="30" t="s">
        <v>81</v>
      </c>
      <c r="I207" s="30" t="s">
        <v>2408</v>
      </c>
      <c r="J207" s="32" t="s">
        <v>1168</v>
      </c>
      <c r="K207" s="30" t="s">
        <v>2409</v>
      </c>
      <c r="L207" s="32" t="s">
        <v>442</v>
      </c>
      <c r="M207" s="30" t="s">
        <v>1697</v>
      </c>
      <c r="N207" s="30" t="s">
        <v>1679</v>
      </c>
      <c r="O207" s="33">
        <v>5</v>
      </c>
      <c r="P207" s="33">
        <v>85540</v>
      </c>
      <c r="Q207" s="33">
        <v>1277</v>
      </c>
      <c r="R207" s="33">
        <v>0</v>
      </c>
      <c r="S207" s="33">
        <v>0</v>
      </c>
      <c r="T207" s="33">
        <v>0</v>
      </c>
      <c r="U207" s="33">
        <v>0</v>
      </c>
      <c r="V207" s="33">
        <v>0</v>
      </c>
      <c r="W207" s="33" t="s">
        <v>50</v>
      </c>
      <c r="X207" s="33">
        <v>1</v>
      </c>
      <c r="Y207" s="30" t="s">
        <v>64</v>
      </c>
      <c r="Z207" s="30" t="s">
        <v>222</v>
      </c>
      <c r="AA207" s="30" t="s">
        <v>222</v>
      </c>
      <c r="AB207" s="30"/>
      <c r="AC207" s="30"/>
      <c r="AD207" s="30" t="s">
        <v>50</v>
      </c>
      <c r="AE207" s="30" t="s">
        <v>50</v>
      </c>
      <c r="AF207" s="30" t="s">
        <v>50</v>
      </c>
      <c r="AG207" s="30" t="s">
        <v>50</v>
      </c>
      <c r="AH207" s="30" t="s">
        <v>50</v>
      </c>
      <c r="AI207" s="30" t="s">
        <v>1673</v>
      </c>
      <c r="AJ207" s="30" t="s">
        <v>50</v>
      </c>
      <c r="AK207" s="30" t="s">
        <v>50</v>
      </c>
      <c r="AL207" s="30" t="s">
        <v>50</v>
      </c>
      <c r="AM207" s="30" t="s">
        <v>50</v>
      </c>
      <c r="AN207" s="30" t="s">
        <v>1681</v>
      </c>
      <c r="AO207" s="30" t="s">
        <v>50</v>
      </c>
      <c r="AP207" s="30" t="s">
        <v>50</v>
      </c>
      <c r="AQ207" s="30" t="s">
        <v>50</v>
      </c>
      <c r="AR207" s="30" t="s">
        <v>50</v>
      </c>
      <c r="AS207" s="30" t="s">
        <v>50</v>
      </c>
      <c r="AT207" s="30" t="s">
        <v>299</v>
      </c>
      <c r="AU207" s="30" t="s">
        <v>50</v>
      </c>
      <c r="AV207" s="34">
        <v>167817306769</v>
      </c>
    </row>
    <row r="208" spans="2:48" ht="15" customHeight="1">
      <c r="B208" s="28">
        <v>202</v>
      </c>
      <c r="C208" s="29" t="s">
        <v>2410</v>
      </c>
      <c r="D208" s="30" t="s">
        <v>50</v>
      </c>
      <c r="E208" s="31" t="s">
        <v>2411</v>
      </c>
      <c r="F208" s="31" t="s">
        <v>2412</v>
      </c>
      <c r="G208" s="32" t="s">
        <v>2413</v>
      </c>
      <c r="H208" s="30" t="s">
        <v>62</v>
      </c>
      <c r="I208" s="30" t="s">
        <v>691</v>
      </c>
      <c r="J208" s="32" t="s">
        <v>692</v>
      </c>
      <c r="K208" s="30" t="s">
        <v>691</v>
      </c>
      <c r="L208" s="32" t="s">
        <v>692</v>
      </c>
      <c r="M208" s="30" t="s">
        <v>1989</v>
      </c>
      <c r="N208" s="30" t="s">
        <v>1679</v>
      </c>
      <c r="O208" s="33"/>
      <c r="P208" s="33">
        <v>28</v>
      </c>
      <c r="Q208" s="33">
        <v>28</v>
      </c>
      <c r="R208" s="33">
        <v>1</v>
      </c>
      <c r="S208" s="33">
        <v>0</v>
      </c>
      <c r="T208" s="33">
        <v>0</v>
      </c>
      <c r="U208" s="33">
        <v>0</v>
      </c>
      <c r="V208" s="33">
        <v>0</v>
      </c>
      <c r="W208" s="33" t="s">
        <v>50</v>
      </c>
      <c r="X208" s="33">
        <v>3</v>
      </c>
      <c r="Y208" s="30" t="s">
        <v>64</v>
      </c>
      <c r="Z208" s="30" t="s">
        <v>186</v>
      </c>
      <c r="AA208" s="30" t="s">
        <v>186</v>
      </c>
      <c r="AB208" s="30"/>
      <c r="AC208" s="30"/>
      <c r="AD208" s="30" t="s">
        <v>50</v>
      </c>
      <c r="AE208" s="30" t="s">
        <v>50</v>
      </c>
      <c r="AF208" s="30" t="s">
        <v>50</v>
      </c>
      <c r="AG208" s="30" t="s">
        <v>50</v>
      </c>
      <c r="AH208" s="30" t="s">
        <v>50</v>
      </c>
      <c r="AI208" s="30" t="s">
        <v>1673</v>
      </c>
      <c r="AJ208" s="30" t="s">
        <v>187</v>
      </c>
      <c r="AK208" s="30" t="s">
        <v>2132</v>
      </c>
      <c r="AL208" s="30" t="s">
        <v>237</v>
      </c>
      <c r="AM208" s="30" t="s">
        <v>50</v>
      </c>
      <c r="AN208" s="30" t="s">
        <v>50</v>
      </c>
      <c r="AO208" s="30" t="s">
        <v>50</v>
      </c>
      <c r="AP208" s="30" t="s">
        <v>50</v>
      </c>
      <c r="AQ208" s="30" t="s">
        <v>50</v>
      </c>
      <c r="AR208" s="30" t="s">
        <v>50</v>
      </c>
      <c r="AS208" s="30" t="s">
        <v>50</v>
      </c>
      <c r="AT208" s="30" t="s">
        <v>1711</v>
      </c>
      <c r="AU208" s="30" t="s">
        <v>148</v>
      </c>
      <c r="AV208" s="34">
        <v>167816534547</v>
      </c>
    </row>
    <row r="209" spans="2:48" ht="15" customHeight="1">
      <c r="B209" s="28">
        <v>203</v>
      </c>
      <c r="C209" s="29" t="s">
        <v>2410</v>
      </c>
      <c r="D209" s="30" t="s">
        <v>50</v>
      </c>
      <c r="E209" s="31" t="s">
        <v>2411</v>
      </c>
      <c r="F209" s="31" t="s">
        <v>2412</v>
      </c>
      <c r="G209" s="32" t="s">
        <v>2414</v>
      </c>
      <c r="H209" s="30" t="s">
        <v>62</v>
      </c>
      <c r="I209" s="30" t="s">
        <v>381</v>
      </c>
      <c r="J209" s="32" t="s">
        <v>382</v>
      </c>
      <c r="K209" s="30" t="s">
        <v>381</v>
      </c>
      <c r="L209" s="32" t="s">
        <v>382</v>
      </c>
      <c r="M209" s="30" t="s">
        <v>1989</v>
      </c>
      <c r="N209" s="30" t="s">
        <v>1679</v>
      </c>
      <c r="O209" s="33"/>
      <c r="P209" s="33">
        <v>330</v>
      </c>
      <c r="Q209" s="33">
        <v>330</v>
      </c>
      <c r="R209" s="33">
        <v>47</v>
      </c>
      <c r="S209" s="33">
        <v>1</v>
      </c>
      <c r="T209" s="33">
        <v>1</v>
      </c>
      <c r="U209" s="33">
        <v>0</v>
      </c>
      <c r="V209" s="33">
        <v>0</v>
      </c>
      <c r="W209" s="33" t="s">
        <v>50</v>
      </c>
      <c r="X209" s="33">
        <v>3</v>
      </c>
      <c r="Y209" s="30" t="s">
        <v>64</v>
      </c>
      <c r="Z209" s="30" t="s">
        <v>222</v>
      </c>
      <c r="AA209" s="30" t="s">
        <v>222</v>
      </c>
      <c r="AB209" s="30" t="s">
        <v>1316</v>
      </c>
      <c r="AC209" s="30"/>
      <c r="AD209" s="30" t="s">
        <v>1325</v>
      </c>
      <c r="AE209" s="30" t="s">
        <v>883</v>
      </c>
      <c r="AF209" s="30" t="s">
        <v>50</v>
      </c>
      <c r="AG209" s="30" t="s">
        <v>50</v>
      </c>
      <c r="AH209" s="30" t="s">
        <v>50</v>
      </c>
      <c r="AI209" s="30" t="s">
        <v>1673</v>
      </c>
      <c r="AJ209" s="30" t="s">
        <v>187</v>
      </c>
      <c r="AK209" s="30" t="s">
        <v>2132</v>
      </c>
      <c r="AL209" s="30" t="s">
        <v>237</v>
      </c>
      <c r="AM209" s="30" t="s">
        <v>50</v>
      </c>
      <c r="AN209" s="30" t="s">
        <v>50</v>
      </c>
      <c r="AO209" s="30" t="s">
        <v>50</v>
      </c>
      <c r="AP209" s="30" t="s">
        <v>50</v>
      </c>
      <c r="AQ209" s="30" t="s">
        <v>50</v>
      </c>
      <c r="AR209" s="30" t="s">
        <v>50</v>
      </c>
      <c r="AS209" s="30" t="s">
        <v>50</v>
      </c>
      <c r="AT209" s="30" t="s">
        <v>1711</v>
      </c>
      <c r="AU209" s="30" t="s">
        <v>148</v>
      </c>
      <c r="AV209" s="34">
        <v>167816276146</v>
      </c>
    </row>
    <row r="210" spans="2:48" ht="15" customHeight="1">
      <c r="B210" s="28">
        <v>204</v>
      </c>
      <c r="C210" s="29" t="s">
        <v>2415</v>
      </c>
      <c r="D210" s="30" t="s">
        <v>50</v>
      </c>
      <c r="E210" s="31" t="s">
        <v>2416</v>
      </c>
      <c r="F210" s="31" t="s">
        <v>50</v>
      </c>
      <c r="G210" s="32" t="s">
        <v>2417</v>
      </c>
      <c r="H210" s="30" t="s">
        <v>68</v>
      </c>
      <c r="I210" s="30" t="s">
        <v>1163</v>
      </c>
      <c r="J210" s="32" t="s">
        <v>1164</v>
      </c>
      <c r="K210" s="30" t="s">
        <v>574</v>
      </c>
      <c r="L210" s="32" t="s">
        <v>575</v>
      </c>
      <c r="M210" s="30" t="s">
        <v>1697</v>
      </c>
      <c r="N210" s="30" t="s">
        <v>1672</v>
      </c>
      <c r="O210" s="33"/>
      <c r="P210" s="33">
        <v>17394</v>
      </c>
      <c r="Q210" s="33">
        <v>1</v>
      </c>
      <c r="R210" s="33">
        <v>0</v>
      </c>
      <c r="S210" s="33">
        <v>4</v>
      </c>
      <c r="T210" s="33">
        <v>4</v>
      </c>
      <c r="U210" s="33">
        <v>0</v>
      </c>
      <c r="V210" s="33">
        <v>0</v>
      </c>
      <c r="W210" s="33" t="s">
        <v>50</v>
      </c>
      <c r="X210" s="33">
        <v>1</v>
      </c>
      <c r="Y210" s="30" t="s">
        <v>70</v>
      </c>
      <c r="Z210" s="30" t="s">
        <v>192</v>
      </c>
      <c r="AA210" s="30" t="s">
        <v>192</v>
      </c>
      <c r="AB210" s="30" t="s">
        <v>1316</v>
      </c>
      <c r="AC210" s="30"/>
      <c r="AD210" s="30" t="s">
        <v>50</v>
      </c>
      <c r="AE210" s="30" t="s">
        <v>50</v>
      </c>
      <c r="AF210" s="30" t="s">
        <v>50</v>
      </c>
      <c r="AG210" s="30" t="s">
        <v>50</v>
      </c>
      <c r="AH210" s="30" t="s">
        <v>50</v>
      </c>
      <c r="AI210" s="30" t="s">
        <v>1673</v>
      </c>
      <c r="AJ210" s="30" t="s">
        <v>187</v>
      </c>
      <c r="AK210" s="30" t="s">
        <v>2418</v>
      </c>
      <c r="AL210" s="30" t="s">
        <v>50</v>
      </c>
      <c r="AM210" s="30" t="s">
        <v>50</v>
      </c>
      <c r="AN210" s="30" t="s">
        <v>1681</v>
      </c>
      <c r="AO210" s="30" t="s">
        <v>50</v>
      </c>
      <c r="AP210" s="30" t="s">
        <v>50</v>
      </c>
      <c r="AQ210" s="30" t="s">
        <v>50</v>
      </c>
      <c r="AR210" s="30" t="s">
        <v>50</v>
      </c>
      <c r="AS210" s="30" t="s">
        <v>50</v>
      </c>
      <c r="AT210" s="30" t="s">
        <v>299</v>
      </c>
      <c r="AU210" s="30" t="s">
        <v>50</v>
      </c>
      <c r="AV210" s="34">
        <v>167801915571</v>
      </c>
    </row>
    <row r="211" spans="2:48" ht="15" customHeight="1">
      <c r="B211" s="28">
        <v>205</v>
      </c>
      <c r="C211" s="29" t="s">
        <v>2419</v>
      </c>
      <c r="D211" s="30" t="s">
        <v>50</v>
      </c>
      <c r="E211" s="31" t="s">
        <v>2420</v>
      </c>
      <c r="F211" s="31" t="s">
        <v>50</v>
      </c>
      <c r="G211" s="32" t="s">
        <v>2421</v>
      </c>
      <c r="H211" s="30" t="s">
        <v>122</v>
      </c>
      <c r="I211" s="30" t="s">
        <v>1273</v>
      </c>
      <c r="J211" s="32" t="s">
        <v>1274</v>
      </c>
      <c r="K211" s="30" t="s">
        <v>588</v>
      </c>
      <c r="L211" s="32" t="s">
        <v>589</v>
      </c>
      <c r="M211" s="30" t="s">
        <v>1697</v>
      </c>
      <c r="N211" s="30" t="s">
        <v>1672</v>
      </c>
      <c r="O211" s="33"/>
      <c r="P211" s="33">
        <v>0</v>
      </c>
      <c r="Q211" s="33">
        <v>0</v>
      </c>
      <c r="R211" s="33" t="s">
        <v>158</v>
      </c>
      <c r="S211" s="33">
        <v>0</v>
      </c>
      <c r="T211" s="33" t="s">
        <v>158</v>
      </c>
      <c r="U211" s="33" t="s">
        <v>158</v>
      </c>
      <c r="V211" s="33" t="s">
        <v>158</v>
      </c>
      <c r="W211" s="33" t="s">
        <v>50</v>
      </c>
      <c r="X211" s="33">
        <v>1</v>
      </c>
      <c r="Y211" s="30" t="s">
        <v>75</v>
      </c>
      <c r="Z211" s="30" t="s">
        <v>192</v>
      </c>
      <c r="AA211" s="30" t="s">
        <v>192</v>
      </c>
      <c r="AB211" s="30"/>
      <c r="AC211" s="30"/>
      <c r="AD211" s="30" t="s">
        <v>50</v>
      </c>
      <c r="AE211" s="30" t="s">
        <v>50</v>
      </c>
      <c r="AF211" s="30" t="s">
        <v>50</v>
      </c>
      <c r="AG211" s="30" t="s">
        <v>50</v>
      </c>
      <c r="AH211" s="30" t="s">
        <v>50</v>
      </c>
      <c r="AI211" s="30" t="s">
        <v>1673</v>
      </c>
      <c r="AJ211" s="30" t="s">
        <v>187</v>
      </c>
      <c r="AK211" s="30" t="s">
        <v>50</v>
      </c>
      <c r="AL211" s="30" t="s">
        <v>50</v>
      </c>
      <c r="AM211" s="30" t="s">
        <v>35</v>
      </c>
      <c r="AN211" s="30" t="s">
        <v>1681</v>
      </c>
      <c r="AO211" s="30" t="s">
        <v>50</v>
      </c>
      <c r="AP211" s="30" t="s">
        <v>50</v>
      </c>
      <c r="AQ211" s="30" t="s">
        <v>50</v>
      </c>
      <c r="AR211" s="30" t="s">
        <v>50</v>
      </c>
      <c r="AS211" s="30" t="s">
        <v>50</v>
      </c>
      <c r="AT211" s="30" t="s">
        <v>1682</v>
      </c>
      <c r="AU211" s="30" t="s">
        <v>50</v>
      </c>
      <c r="AV211" s="34">
        <v>167813420428</v>
      </c>
    </row>
    <row r="212" spans="2:48" ht="15" customHeight="1">
      <c r="B212" s="28">
        <v>206</v>
      </c>
      <c r="C212" s="29" t="s">
        <v>2422</v>
      </c>
      <c r="D212" s="30" t="s">
        <v>50</v>
      </c>
      <c r="E212" s="31" t="s">
        <v>2423</v>
      </c>
      <c r="F212" s="31" t="s">
        <v>50</v>
      </c>
      <c r="G212" s="32" t="s">
        <v>2424</v>
      </c>
      <c r="H212" s="30" t="s">
        <v>62</v>
      </c>
      <c r="I212" s="30" t="s">
        <v>721</v>
      </c>
      <c r="J212" s="32" t="s">
        <v>722</v>
      </c>
      <c r="K212" s="30" t="s">
        <v>721</v>
      </c>
      <c r="L212" s="32" t="s">
        <v>722</v>
      </c>
      <c r="M212" s="30" t="s">
        <v>1989</v>
      </c>
      <c r="N212" s="30" t="s">
        <v>1679</v>
      </c>
      <c r="O212" s="33"/>
      <c r="P212" s="33">
        <v>9</v>
      </c>
      <c r="Q212" s="33">
        <v>9</v>
      </c>
      <c r="R212" s="33">
        <v>2</v>
      </c>
      <c r="S212" s="33">
        <v>0</v>
      </c>
      <c r="T212" s="33">
        <v>0</v>
      </c>
      <c r="U212" s="33">
        <v>0</v>
      </c>
      <c r="V212" s="33">
        <v>0</v>
      </c>
      <c r="W212" s="33" t="s">
        <v>50</v>
      </c>
      <c r="X212" s="33">
        <v>1</v>
      </c>
      <c r="Y212" s="30" t="s">
        <v>64</v>
      </c>
      <c r="Z212" s="30" t="s">
        <v>186</v>
      </c>
      <c r="AA212" s="30" t="s">
        <v>186</v>
      </c>
      <c r="AB212" s="30"/>
      <c r="AC212" s="30"/>
      <c r="AD212" s="30" t="s">
        <v>50</v>
      </c>
      <c r="AE212" s="30" t="s">
        <v>50</v>
      </c>
      <c r="AF212" s="30" t="s">
        <v>50</v>
      </c>
      <c r="AG212" s="30" t="s">
        <v>50</v>
      </c>
      <c r="AH212" s="30" t="s">
        <v>50</v>
      </c>
      <c r="AI212" s="30" t="s">
        <v>1673</v>
      </c>
      <c r="AJ212" s="30" t="s">
        <v>187</v>
      </c>
      <c r="AK212" s="30" t="s">
        <v>1934</v>
      </c>
      <c r="AL212" s="30" t="s">
        <v>401</v>
      </c>
      <c r="AM212" s="30" t="s">
        <v>50</v>
      </c>
      <c r="AN212" s="30" t="s">
        <v>50</v>
      </c>
      <c r="AO212" s="30" t="s">
        <v>50</v>
      </c>
      <c r="AP212" s="30" t="s">
        <v>50</v>
      </c>
      <c r="AQ212" s="30" t="s">
        <v>50</v>
      </c>
      <c r="AR212" s="30" t="s">
        <v>50</v>
      </c>
      <c r="AS212" s="30" t="s">
        <v>50</v>
      </c>
      <c r="AT212" s="30" t="s">
        <v>1682</v>
      </c>
      <c r="AU212" s="30" t="s">
        <v>50</v>
      </c>
      <c r="AV212" s="34">
        <v>167772252905</v>
      </c>
    </row>
    <row r="213" spans="2:48" ht="15" customHeight="1">
      <c r="B213" s="28">
        <v>207</v>
      </c>
      <c r="C213" s="29" t="s">
        <v>2425</v>
      </c>
      <c r="D213" s="30" t="s">
        <v>50</v>
      </c>
      <c r="E213" s="31" t="s">
        <v>2426</v>
      </c>
      <c r="F213" s="31" t="s">
        <v>50</v>
      </c>
      <c r="G213" s="32" t="s">
        <v>2427</v>
      </c>
      <c r="H213" s="30" t="s">
        <v>65</v>
      </c>
      <c r="I213" s="30" t="s">
        <v>1254</v>
      </c>
      <c r="J213" s="32" t="s">
        <v>2428</v>
      </c>
      <c r="K213" s="30" t="s">
        <v>287</v>
      </c>
      <c r="L213" s="32" t="s">
        <v>2012</v>
      </c>
      <c r="M213" s="30" t="s">
        <v>1697</v>
      </c>
      <c r="N213" s="30" t="s">
        <v>1672</v>
      </c>
      <c r="O213" s="33"/>
      <c r="P213" s="33">
        <v>5873</v>
      </c>
      <c r="Q213" s="33">
        <v>0</v>
      </c>
      <c r="R213" s="33">
        <v>0</v>
      </c>
      <c r="S213" s="33">
        <v>0</v>
      </c>
      <c r="T213" s="33">
        <v>0</v>
      </c>
      <c r="U213" s="33">
        <v>0</v>
      </c>
      <c r="V213" s="33">
        <v>0</v>
      </c>
      <c r="W213" s="33" t="s">
        <v>50</v>
      </c>
      <c r="X213" s="33">
        <v>1</v>
      </c>
      <c r="Y213" s="30" t="s">
        <v>67</v>
      </c>
      <c r="Z213" s="30" t="s">
        <v>186</v>
      </c>
      <c r="AA213" s="30" t="s">
        <v>222</v>
      </c>
      <c r="AB213" s="30" t="s">
        <v>1315</v>
      </c>
      <c r="AC213" s="30"/>
      <c r="AD213" s="30" t="s">
        <v>50</v>
      </c>
      <c r="AE213" s="30" t="s">
        <v>50</v>
      </c>
      <c r="AF213" s="30" t="s">
        <v>50</v>
      </c>
      <c r="AG213" s="30" t="s">
        <v>50</v>
      </c>
      <c r="AH213" s="30" t="s">
        <v>50</v>
      </c>
      <c r="AI213" s="30" t="s">
        <v>1673</v>
      </c>
      <c r="AJ213" s="30" t="s">
        <v>50</v>
      </c>
      <c r="AK213" s="30" t="s">
        <v>50</v>
      </c>
      <c r="AL213" s="30" t="s">
        <v>50</v>
      </c>
      <c r="AM213" s="30" t="s">
        <v>50</v>
      </c>
      <c r="AN213" s="30" t="s">
        <v>1681</v>
      </c>
      <c r="AO213" s="30" t="s">
        <v>50</v>
      </c>
      <c r="AP213" s="30" t="s">
        <v>50</v>
      </c>
      <c r="AQ213" s="30" t="s">
        <v>50</v>
      </c>
      <c r="AR213" s="30" t="s">
        <v>50</v>
      </c>
      <c r="AS213" s="30" t="s">
        <v>50</v>
      </c>
      <c r="AT213" s="30" t="s">
        <v>1682</v>
      </c>
      <c r="AU213" s="30" t="s">
        <v>50</v>
      </c>
      <c r="AV213" s="34">
        <v>167771561684</v>
      </c>
    </row>
    <row r="214" spans="2:48" ht="15" customHeight="1">
      <c r="B214" s="28">
        <v>208</v>
      </c>
      <c r="C214" s="29" t="s">
        <v>2429</v>
      </c>
      <c r="D214" s="30" t="s">
        <v>50</v>
      </c>
      <c r="E214" s="31" t="s">
        <v>2430</v>
      </c>
      <c r="F214" s="31" t="s">
        <v>50</v>
      </c>
      <c r="G214" s="32" t="s">
        <v>2431</v>
      </c>
      <c r="H214" s="30" t="s">
        <v>62</v>
      </c>
      <c r="I214" s="30" t="s">
        <v>1021</v>
      </c>
      <c r="J214" s="32" t="s">
        <v>1022</v>
      </c>
      <c r="K214" s="30" t="s">
        <v>535</v>
      </c>
      <c r="L214" s="32" t="s">
        <v>537</v>
      </c>
      <c r="M214" s="30" t="s">
        <v>1697</v>
      </c>
      <c r="N214" s="30" t="s">
        <v>1791</v>
      </c>
      <c r="O214" s="33">
        <v>2</v>
      </c>
      <c r="P214" s="33">
        <v>27983</v>
      </c>
      <c r="Q214" s="33">
        <v>43</v>
      </c>
      <c r="R214" s="33">
        <v>0</v>
      </c>
      <c r="S214" s="33">
        <v>0</v>
      </c>
      <c r="T214" s="33">
        <v>0</v>
      </c>
      <c r="U214" s="33">
        <v>0</v>
      </c>
      <c r="V214" s="33">
        <v>0</v>
      </c>
      <c r="W214" s="33" t="s">
        <v>50</v>
      </c>
      <c r="X214" s="33">
        <v>1</v>
      </c>
      <c r="Y214" s="30" t="s">
        <v>64</v>
      </c>
      <c r="Z214" s="30" t="s">
        <v>186</v>
      </c>
      <c r="AA214" s="30" t="s">
        <v>222</v>
      </c>
      <c r="AB214" s="30" t="s">
        <v>1316</v>
      </c>
      <c r="AC214" s="30">
        <v>59</v>
      </c>
      <c r="AD214" s="30" t="s">
        <v>876</v>
      </c>
      <c r="AE214" s="30" t="s">
        <v>50</v>
      </c>
      <c r="AF214" s="30" t="s">
        <v>50</v>
      </c>
      <c r="AG214" s="30" t="s">
        <v>50</v>
      </c>
      <c r="AH214" s="30" t="s">
        <v>50</v>
      </c>
      <c r="AI214" s="30" t="s">
        <v>1673</v>
      </c>
      <c r="AJ214" s="30" t="s">
        <v>187</v>
      </c>
      <c r="AK214" s="30" t="s">
        <v>2432</v>
      </c>
      <c r="AL214" s="30" t="s">
        <v>539</v>
      </c>
      <c r="AM214" s="30" t="s">
        <v>50</v>
      </c>
      <c r="AN214" s="30" t="s">
        <v>1681</v>
      </c>
      <c r="AO214" s="30" t="s">
        <v>50</v>
      </c>
      <c r="AP214" s="30" t="s">
        <v>50</v>
      </c>
      <c r="AQ214" s="30" t="s">
        <v>50</v>
      </c>
      <c r="AR214" s="30" t="s">
        <v>50</v>
      </c>
      <c r="AS214" s="30" t="s">
        <v>50</v>
      </c>
      <c r="AT214" s="30" t="s">
        <v>1682</v>
      </c>
      <c r="AU214" s="30" t="s">
        <v>50</v>
      </c>
      <c r="AV214" s="34">
        <v>167770609757</v>
      </c>
    </row>
    <row r="215" spans="2:48" ht="15" customHeight="1">
      <c r="B215" s="28">
        <v>209</v>
      </c>
      <c r="C215" s="29" t="s">
        <v>2433</v>
      </c>
      <c r="D215" s="30" t="s">
        <v>50</v>
      </c>
      <c r="E215" s="31" t="s">
        <v>2434</v>
      </c>
      <c r="F215" s="31" t="s">
        <v>50</v>
      </c>
      <c r="G215" s="32" t="s">
        <v>2435</v>
      </c>
      <c r="H215" s="30" t="s">
        <v>93</v>
      </c>
      <c r="I215" s="30" t="s">
        <v>1132</v>
      </c>
      <c r="J215" s="32" t="s">
        <v>1133</v>
      </c>
      <c r="K215" s="30" t="s">
        <v>229</v>
      </c>
      <c r="L215" s="32" t="s">
        <v>230</v>
      </c>
      <c r="M215" s="30" t="s">
        <v>1697</v>
      </c>
      <c r="N215" s="30" t="s">
        <v>1672</v>
      </c>
      <c r="O215" s="33"/>
      <c r="P215" s="33">
        <v>116110</v>
      </c>
      <c r="Q215" s="33">
        <v>53</v>
      </c>
      <c r="R215" s="33" t="s">
        <v>158</v>
      </c>
      <c r="S215" s="33">
        <v>0</v>
      </c>
      <c r="T215" s="33" t="s">
        <v>158</v>
      </c>
      <c r="U215" s="33" t="s">
        <v>158</v>
      </c>
      <c r="V215" s="33" t="s">
        <v>158</v>
      </c>
      <c r="W215" s="33" t="s">
        <v>50</v>
      </c>
      <c r="X215" s="33">
        <v>1</v>
      </c>
      <c r="Y215" s="30" t="s">
        <v>75</v>
      </c>
      <c r="Z215" s="30" t="s">
        <v>186</v>
      </c>
      <c r="AA215" s="30" t="s">
        <v>222</v>
      </c>
      <c r="AB215" s="30" t="s">
        <v>1316</v>
      </c>
      <c r="AC215" s="30">
        <v>36</v>
      </c>
      <c r="AD215" s="30" t="s">
        <v>50</v>
      </c>
      <c r="AE215" s="30" t="s">
        <v>50</v>
      </c>
      <c r="AF215" s="30" t="s">
        <v>50</v>
      </c>
      <c r="AG215" s="30" t="s">
        <v>50</v>
      </c>
      <c r="AH215" s="30" t="s">
        <v>50</v>
      </c>
      <c r="AI215" s="30" t="s">
        <v>1673</v>
      </c>
      <c r="AJ215" s="30" t="s">
        <v>187</v>
      </c>
      <c r="AK215" s="30" t="s">
        <v>50</v>
      </c>
      <c r="AL215" s="30" t="s">
        <v>50</v>
      </c>
      <c r="AM215" s="30" t="s">
        <v>50</v>
      </c>
      <c r="AN215" s="30" t="s">
        <v>1681</v>
      </c>
      <c r="AO215" s="30" t="s">
        <v>50</v>
      </c>
      <c r="AP215" s="30" t="s">
        <v>50</v>
      </c>
      <c r="AQ215" s="30" t="s">
        <v>50</v>
      </c>
      <c r="AR215" s="30" t="s">
        <v>50</v>
      </c>
      <c r="AS215" s="30" t="s">
        <v>50</v>
      </c>
      <c r="AT215" s="30" t="s">
        <v>1682</v>
      </c>
      <c r="AU215" s="30" t="s">
        <v>50</v>
      </c>
      <c r="AV215" s="34">
        <v>167769594199</v>
      </c>
    </row>
    <row r="216" spans="2:48" ht="15" customHeight="1">
      <c r="B216" s="28">
        <v>210</v>
      </c>
      <c r="C216" s="29" t="s">
        <v>2436</v>
      </c>
      <c r="D216" s="30" t="s">
        <v>50</v>
      </c>
      <c r="E216" s="31" t="s">
        <v>2437</v>
      </c>
      <c r="F216" s="31" t="s">
        <v>50</v>
      </c>
      <c r="G216" s="32" t="s">
        <v>2438</v>
      </c>
      <c r="H216" s="30" t="s">
        <v>62</v>
      </c>
      <c r="I216" s="30" t="s">
        <v>853</v>
      </c>
      <c r="J216" s="32" t="s">
        <v>854</v>
      </c>
      <c r="K216" s="30" t="s">
        <v>183</v>
      </c>
      <c r="L216" s="32" t="s">
        <v>185</v>
      </c>
      <c r="M216" s="30" t="s">
        <v>1697</v>
      </c>
      <c r="N216" s="30" t="s">
        <v>1679</v>
      </c>
      <c r="O216" s="33">
        <v>2</v>
      </c>
      <c r="P216" s="33">
        <v>3138</v>
      </c>
      <c r="Q216" s="33">
        <v>303</v>
      </c>
      <c r="R216" s="33">
        <v>0</v>
      </c>
      <c r="S216" s="33">
        <v>0</v>
      </c>
      <c r="T216" s="33">
        <v>0</v>
      </c>
      <c r="U216" s="33">
        <v>0</v>
      </c>
      <c r="V216" s="33">
        <v>0</v>
      </c>
      <c r="W216" s="33" t="s">
        <v>50</v>
      </c>
      <c r="X216" s="33">
        <v>1</v>
      </c>
      <c r="Y216" s="30" t="s">
        <v>64</v>
      </c>
      <c r="Z216" s="30" t="s">
        <v>186</v>
      </c>
      <c r="AA216" s="30" t="s">
        <v>222</v>
      </c>
      <c r="AB216" s="30" t="s">
        <v>1315</v>
      </c>
      <c r="AC216" s="30"/>
      <c r="AD216" s="30" t="s">
        <v>50</v>
      </c>
      <c r="AE216" s="30" t="s">
        <v>50</v>
      </c>
      <c r="AF216" s="30" t="s">
        <v>50</v>
      </c>
      <c r="AG216" s="30" t="s">
        <v>50</v>
      </c>
      <c r="AH216" s="30" t="s">
        <v>50</v>
      </c>
      <c r="AI216" s="30" t="s">
        <v>1673</v>
      </c>
      <c r="AJ216" s="30" t="s">
        <v>187</v>
      </c>
      <c r="AK216" s="30" t="s">
        <v>189</v>
      </c>
      <c r="AL216" s="30" t="s">
        <v>189</v>
      </c>
      <c r="AM216" s="30" t="s">
        <v>50</v>
      </c>
      <c r="AN216" s="30" t="s">
        <v>1681</v>
      </c>
      <c r="AO216" s="30" t="s">
        <v>50</v>
      </c>
      <c r="AP216" s="30" t="s">
        <v>50</v>
      </c>
      <c r="AQ216" s="30" t="s">
        <v>50</v>
      </c>
      <c r="AR216" s="30" t="s">
        <v>50</v>
      </c>
      <c r="AS216" s="30" t="s">
        <v>50</v>
      </c>
      <c r="AT216" s="30" t="s">
        <v>1682</v>
      </c>
      <c r="AU216" s="30" t="s">
        <v>50</v>
      </c>
      <c r="AV216" s="34">
        <v>167769036824</v>
      </c>
    </row>
    <row r="217" spans="2:48" ht="15" customHeight="1">
      <c r="B217" s="28">
        <v>211</v>
      </c>
      <c r="C217" s="29" t="s">
        <v>2439</v>
      </c>
      <c r="D217" s="30" t="s">
        <v>50</v>
      </c>
      <c r="E217" s="31" t="s">
        <v>2440</v>
      </c>
      <c r="F217" s="31" t="s">
        <v>50</v>
      </c>
      <c r="G217" s="32" t="s">
        <v>2441</v>
      </c>
      <c r="H217" s="30" t="s">
        <v>81</v>
      </c>
      <c r="I217" s="30" t="s">
        <v>2442</v>
      </c>
      <c r="J217" s="32" t="s">
        <v>1043</v>
      </c>
      <c r="K217" s="30" t="s">
        <v>2443</v>
      </c>
      <c r="L217" s="32" t="s">
        <v>757</v>
      </c>
      <c r="M217" s="30" t="s">
        <v>1697</v>
      </c>
      <c r="N217" s="30" t="s">
        <v>1672</v>
      </c>
      <c r="O217" s="33">
        <v>5</v>
      </c>
      <c r="P217" s="33">
        <v>46218</v>
      </c>
      <c r="Q217" s="33">
        <v>104</v>
      </c>
      <c r="R217" s="33">
        <v>0</v>
      </c>
      <c r="S217" s="33">
        <v>0</v>
      </c>
      <c r="T217" s="33">
        <v>0</v>
      </c>
      <c r="U217" s="33">
        <v>0</v>
      </c>
      <c r="V217" s="33">
        <v>0</v>
      </c>
      <c r="W217" s="33" t="s">
        <v>50</v>
      </c>
      <c r="X217" s="33">
        <v>1</v>
      </c>
      <c r="Y217" s="30" t="s">
        <v>64</v>
      </c>
      <c r="Z217" s="30" t="s">
        <v>222</v>
      </c>
      <c r="AA217" s="30" t="s">
        <v>222</v>
      </c>
      <c r="AB217" s="30"/>
      <c r="AC217" s="30"/>
      <c r="AD217" s="30" t="s">
        <v>50</v>
      </c>
      <c r="AE217" s="30" t="s">
        <v>50</v>
      </c>
      <c r="AF217" s="30" t="s">
        <v>50</v>
      </c>
      <c r="AG217" s="30" t="s">
        <v>50</v>
      </c>
      <c r="AH217" s="30" t="s">
        <v>50</v>
      </c>
      <c r="AI217" s="30" t="s">
        <v>1673</v>
      </c>
      <c r="AJ217" s="30" t="s">
        <v>50</v>
      </c>
      <c r="AK217" s="30" t="s">
        <v>50</v>
      </c>
      <c r="AL217" s="30" t="s">
        <v>50</v>
      </c>
      <c r="AM217" s="30" t="s">
        <v>50</v>
      </c>
      <c r="AN217" s="30" t="s">
        <v>1681</v>
      </c>
      <c r="AO217" s="30" t="s">
        <v>50</v>
      </c>
      <c r="AP217" s="30" t="s">
        <v>50</v>
      </c>
      <c r="AQ217" s="30" t="s">
        <v>50</v>
      </c>
      <c r="AR217" s="30" t="s">
        <v>50</v>
      </c>
      <c r="AS217" s="30" t="s">
        <v>50</v>
      </c>
      <c r="AT217" s="30" t="s">
        <v>1682</v>
      </c>
      <c r="AU217" s="30" t="s">
        <v>50</v>
      </c>
      <c r="AV217" s="34">
        <v>167781440725</v>
      </c>
    </row>
    <row r="218" spans="2:48" ht="15" customHeight="1">
      <c r="B218" s="28">
        <v>212</v>
      </c>
      <c r="C218" s="29" t="s">
        <v>2444</v>
      </c>
      <c r="D218" s="30" t="s">
        <v>50</v>
      </c>
      <c r="E218" s="31" t="s">
        <v>2445</v>
      </c>
      <c r="F218" s="31" t="s">
        <v>50</v>
      </c>
      <c r="G218" s="32" t="s">
        <v>2446</v>
      </c>
      <c r="H218" s="30" t="s">
        <v>62</v>
      </c>
      <c r="I218" s="30" t="s">
        <v>901</v>
      </c>
      <c r="J218" s="32" t="s">
        <v>902</v>
      </c>
      <c r="K218" s="30" t="s">
        <v>183</v>
      </c>
      <c r="L218" s="32" t="s">
        <v>185</v>
      </c>
      <c r="M218" s="30" t="s">
        <v>1697</v>
      </c>
      <c r="N218" s="30" t="s">
        <v>1679</v>
      </c>
      <c r="O218" s="33">
        <v>2</v>
      </c>
      <c r="P218" s="33">
        <v>3138</v>
      </c>
      <c r="Q218" s="33">
        <v>30</v>
      </c>
      <c r="R218" s="33">
        <v>0</v>
      </c>
      <c r="S218" s="33">
        <v>0</v>
      </c>
      <c r="T218" s="33">
        <v>0</v>
      </c>
      <c r="U218" s="33">
        <v>0</v>
      </c>
      <c r="V218" s="33">
        <v>0</v>
      </c>
      <c r="W218" s="33" t="s">
        <v>50</v>
      </c>
      <c r="X218" s="33">
        <v>1</v>
      </c>
      <c r="Y218" s="30" t="s">
        <v>64</v>
      </c>
      <c r="Z218" s="30" t="s">
        <v>186</v>
      </c>
      <c r="AA218" s="30" t="s">
        <v>222</v>
      </c>
      <c r="AB218" s="30" t="s">
        <v>1316</v>
      </c>
      <c r="AC218" s="30">
        <v>91</v>
      </c>
      <c r="AD218" s="30" t="s">
        <v>1325</v>
      </c>
      <c r="AE218" s="30" t="s">
        <v>50</v>
      </c>
      <c r="AF218" s="30" t="s">
        <v>50</v>
      </c>
      <c r="AG218" s="30" t="s">
        <v>50</v>
      </c>
      <c r="AH218" s="30" t="s">
        <v>50</v>
      </c>
      <c r="AI218" s="30" t="s">
        <v>1673</v>
      </c>
      <c r="AJ218" s="30" t="s">
        <v>187</v>
      </c>
      <c r="AK218" s="30" t="s">
        <v>189</v>
      </c>
      <c r="AL218" s="30" t="s">
        <v>189</v>
      </c>
      <c r="AM218" s="30" t="s">
        <v>50</v>
      </c>
      <c r="AN218" s="30" t="s">
        <v>1681</v>
      </c>
      <c r="AO218" s="30" t="s">
        <v>50</v>
      </c>
      <c r="AP218" s="30" t="s">
        <v>50</v>
      </c>
      <c r="AQ218" s="30" t="s">
        <v>50</v>
      </c>
      <c r="AR218" s="30" t="s">
        <v>50</v>
      </c>
      <c r="AS218" s="30" t="s">
        <v>50</v>
      </c>
      <c r="AT218" s="30" t="s">
        <v>1725</v>
      </c>
      <c r="AU218" s="30" t="s">
        <v>50</v>
      </c>
      <c r="AV218" s="34">
        <v>167763744568</v>
      </c>
    </row>
    <row r="219" spans="2:48" ht="15" customHeight="1">
      <c r="B219" s="28">
        <v>213</v>
      </c>
      <c r="C219" s="29" t="s">
        <v>2447</v>
      </c>
      <c r="D219" s="30" t="s">
        <v>50</v>
      </c>
      <c r="E219" s="31" t="s">
        <v>2448</v>
      </c>
      <c r="F219" s="31" t="s">
        <v>50</v>
      </c>
      <c r="G219" s="32" t="s">
        <v>2449</v>
      </c>
      <c r="H219" s="30" t="s">
        <v>62</v>
      </c>
      <c r="I219" s="30" t="s">
        <v>943</v>
      </c>
      <c r="J219" s="32" t="s">
        <v>944</v>
      </c>
      <c r="K219" s="30" t="s">
        <v>183</v>
      </c>
      <c r="L219" s="32" t="s">
        <v>185</v>
      </c>
      <c r="M219" s="30" t="s">
        <v>1697</v>
      </c>
      <c r="N219" s="30" t="s">
        <v>1791</v>
      </c>
      <c r="O219" s="33">
        <v>2</v>
      </c>
      <c r="P219" s="33">
        <v>3138</v>
      </c>
      <c r="Q219" s="33">
        <v>511</v>
      </c>
      <c r="R219" s="33">
        <v>0</v>
      </c>
      <c r="S219" s="33">
        <v>0</v>
      </c>
      <c r="T219" s="33">
        <v>0</v>
      </c>
      <c r="U219" s="33">
        <v>0</v>
      </c>
      <c r="V219" s="33">
        <v>0</v>
      </c>
      <c r="W219" s="33" t="s">
        <v>50</v>
      </c>
      <c r="X219" s="33">
        <v>1</v>
      </c>
      <c r="Y219" s="30" t="s">
        <v>64</v>
      </c>
      <c r="Z219" s="30" t="s">
        <v>186</v>
      </c>
      <c r="AA219" s="30" t="s">
        <v>222</v>
      </c>
      <c r="AB219" s="30" t="s">
        <v>1316</v>
      </c>
      <c r="AC219" s="30">
        <v>35</v>
      </c>
      <c r="AD219" s="30" t="s">
        <v>50</v>
      </c>
      <c r="AE219" s="30" t="s">
        <v>50</v>
      </c>
      <c r="AF219" s="30" t="s">
        <v>50</v>
      </c>
      <c r="AG219" s="30" t="s">
        <v>50</v>
      </c>
      <c r="AH219" s="30" t="s">
        <v>50</v>
      </c>
      <c r="AI219" s="30" t="s">
        <v>1673</v>
      </c>
      <c r="AJ219" s="30" t="s">
        <v>187</v>
      </c>
      <c r="AK219" s="30" t="s">
        <v>189</v>
      </c>
      <c r="AL219" s="30" t="s">
        <v>189</v>
      </c>
      <c r="AM219" s="30" t="s">
        <v>50</v>
      </c>
      <c r="AN219" s="30" t="s">
        <v>1681</v>
      </c>
      <c r="AO219" s="30" t="s">
        <v>50</v>
      </c>
      <c r="AP219" s="30" t="s">
        <v>50</v>
      </c>
      <c r="AQ219" s="30" t="s">
        <v>50</v>
      </c>
      <c r="AR219" s="30" t="s">
        <v>50</v>
      </c>
      <c r="AS219" s="30" t="s">
        <v>50</v>
      </c>
      <c r="AT219" s="30" t="s">
        <v>1682</v>
      </c>
      <c r="AU219" s="30" t="s">
        <v>50</v>
      </c>
      <c r="AV219" s="34">
        <v>167759226805</v>
      </c>
    </row>
    <row r="220" spans="2:48" ht="15" customHeight="1">
      <c r="B220" s="28">
        <v>214</v>
      </c>
      <c r="C220" s="29" t="s">
        <v>2450</v>
      </c>
      <c r="D220" s="30" t="s">
        <v>50</v>
      </c>
      <c r="E220" s="31" t="s">
        <v>2451</v>
      </c>
      <c r="F220" s="31" t="s">
        <v>50</v>
      </c>
      <c r="G220" s="32" t="s">
        <v>2452</v>
      </c>
      <c r="H220" s="30" t="s">
        <v>65</v>
      </c>
      <c r="I220" s="30" t="s">
        <v>1248</v>
      </c>
      <c r="J220" s="32" t="s">
        <v>2453</v>
      </c>
      <c r="K220" s="30" t="s">
        <v>206</v>
      </c>
      <c r="L220" s="32" t="s">
        <v>2454</v>
      </c>
      <c r="M220" s="30" t="s">
        <v>1697</v>
      </c>
      <c r="N220" s="30" t="s">
        <v>1672</v>
      </c>
      <c r="O220" s="33"/>
      <c r="P220" s="33">
        <v>3826</v>
      </c>
      <c r="Q220" s="33">
        <v>0</v>
      </c>
      <c r="R220" s="33">
        <v>0</v>
      </c>
      <c r="S220" s="33">
        <v>0</v>
      </c>
      <c r="T220" s="33">
        <v>0</v>
      </c>
      <c r="U220" s="33">
        <v>0</v>
      </c>
      <c r="V220" s="33">
        <v>0</v>
      </c>
      <c r="W220" s="33" t="s">
        <v>50</v>
      </c>
      <c r="X220" s="33">
        <v>1</v>
      </c>
      <c r="Y220" s="30" t="s">
        <v>67</v>
      </c>
      <c r="Z220" s="30" t="s">
        <v>186</v>
      </c>
      <c r="AA220" s="30" t="s">
        <v>222</v>
      </c>
      <c r="AB220" s="30" t="s">
        <v>1315</v>
      </c>
      <c r="AC220" s="30"/>
      <c r="AD220" s="30" t="s">
        <v>50</v>
      </c>
      <c r="AE220" s="30" t="s">
        <v>50</v>
      </c>
      <c r="AF220" s="30" t="s">
        <v>50</v>
      </c>
      <c r="AG220" s="30" t="s">
        <v>50</v>
      </c>
      <c r="AH220" s="30" t="s">
        <v>50</v>
      </c>
      <c r="AI220" s="30" t="s">
        <v>1673</v>
      </c>
      <c r="AJ220" s="30" t="s">
        <v>50</v>
      </c>
      <c r="AK220" s="30" t="s">
        <v>50</v>
      </c>
      <c r="AL220" s="30" t="s">
        <v>50</v>
      </c>
      <c r="AM220" s="30" t="s">
        <v>50</v>
      </c>
      <c r="AN220" s="30" t="s">
        <v>1681</v>
      </c>
      <c r="AO220" s="30" t="s">
        <v>50</v>
      </c>
      <c r="AP220" s="30" t="s">
        <v>50</v>
      </c>
      <c r="AQ220" s="30" t="s">
        <v>50</v>
      </c>
      <c r="AR220" s="30" t="s">
        <v>50</v>
      </c>
      <c r="AS220" s="30" t="s">
        <v>50</v>
      </c>
      <c r="AT220" s="30" t="s">
        <v>299</v>
      </c>
      <c r="AU220" s="30" t="s">
        <v>50</v>
      </c>
      <c r="AV220" s="34">
        <v>167758250107</v>
      </c>
    </row>
    <row r="221" spans="2:48" ht="15" customHeight="1">
      <c r="B221" s="28">
        <v>215</v>
      </c>
      <c r="C221" s="29" t="s">
        <v>2455</v>
      </c>
      <c r="D221" s="30" t="s">
        <v>2456</v>
      </c>
      <c r="E221" s="31" t="s">
        <v>2457</v>
      </c>
      <c r="F221" s="31" t="s">
        <v>50</v>
      </c>
      <c r="G221" s="32" t="s">
        <v>2458</v>
      </c>
      <c r="H221" s="30" t="s">
        <v>91</v>
      </c>
      <c r="I221" s="30" t="s">
        <v>1175</v>
      </c>
      <c r="J221" s="32" t="s">
        <v>1176</v>
      </c>
      <c r="K221" s="30" t="s">
        <v>208</v>
      </c>
      <c r="L221" s="32" t="s">
        <v>209</v>
      </c>
      <c r="M221" s="30" t="s">
        <v>1671</v>
      </c>
      <c r="N221" s="30" t="s">
        <v>1672</v>
      </c>
      <c r="O221" s="33"/>
      <c r="P221" s="33">
        <v>0</v>
      </c>
      <c r="Q221" s="33">
        <v>0</v>
      </c>
      <c r="R221" s="33">
        <v>0</v>
      </c>
      <c r="S221" s="33">
        <v>0</v>
      </c>
      <c r="T221" s="33">
        <v>0</v>
      </c>
      <c r="U221" s="33">
        <v>0</v>
      </c>
      <c r="V221" s="33">
        <v>0</v>
      </c>
      <c r="W221" s="33" t="s">
        <v>50</v>
      </c>
      <c r="X221" s="33">
        <v>1</v>
      </c>
      <c r="Y221" s="30" t="s">
        <v>70</v>
      </c>
      <c r="Z221" s="30" t="s">
        <v>192</v>
      </c>
      <c r="AA221" s="30" t="s">
        <v>192</v>
      </c>
      <c r="AB221" s="30"/>
      <c r="AC221" s="30"/>
      <c r="AD221" s="30" t="s">
        <v>50</v>
      </c>
      <c r="AE221" s="30" t="s">
        <v>50</v>
      </c>
      <c r="AF221" s="30" t="s">
        <v>50</v>
      </c>
      <c r="AG221" s="30" t="s">
        <v>50</v>
      </c>
      <c r="AH221" s="30" t="s">
        <v>50</v>
      </c>
      <c r="AI221" s="30" t="s">
        <v>1673</v>
      </c>
      <c r="AJ221" s="30" t="s">
        <v>50</v>
      </c>
      <c r="AK221" s="30" t="s">
        <v>50</v>
      </c>
      <c r="AL221" s="30" t="s">
        <v>50</v>
      </c>
      <c r="AM221" s="30" t="s">
        <v>50</v>
      </c>
      <c r="AN221" s="30" t="s">
        <v>50</v>
      </c>
      <c r="AO221" s="30" t="s">
        <v>50</v>
      </c>
      <c r="AP221" s="30" t="s">
        <v>50</v>
      </c>
      <c r="AQ221" s="30" t="s">
        <v>50</v>
      </c>
      <c r="AR221" s="30" t="s">
        <v>50</v>
      </c>
      <c r="AS221" s="30" t="s">
        <v>50</v>
      </c>
      <c r="AT221" s="30" t="s">
        <v>299</v>
      </c>
      <c r="AU221" s="30" t="s">
        <v>50</v>
      </c>
      <c r="AV221" s="34">
        <v>167757856976</v>
      </c>
    </row>
    <row r="222" spans="2:48" ht="15" customHeight="1">
      <c r="B222" s="28">
        <v>216</v>
      </c>
      <c r="C222" s="29" t="s">
        <v>2459</v>
      </c>
      <c r="D222" s="30" t="s">
        <v>50</v>
      </c>
      <c r="E222" s="31" t="s">
        <v>2460</v>
      </c>
      <c r="F222" s="31" t="s">
        <v>50</v>
      </c>
      <c r="G222" s="32" t="s">
        <v>2461</v>
      </c>
      <c r="H222" s="30" t="s">
        <v>65</v>
      </c>
      <c r="I222" s="30" t="s">
        <v>238</v>
      </c>
      <c r="J222" s="32" t="s">
        <v>2087</v>
      </c>
      <c r="K222" s="30" t="s">
        <v>238</v>
      </c>
      <c r="L222" s="32" t="s">
        <v>2087</v>
      </c>
      <c r="M222" s="30" t="s">
        <v>1671</v>
      </c>
      <c r="N222" s="30" t="s">
        <v>1672</v>
      </c>
      <c r="O222" s="33">
        <v>408</v>
      </c>
      <c r="P222" s="33">
        <v>8149</v>
      </c>
      <c r="Q222" s="33">
        <v>8149</v>
      </c>
      <c r="R222" s="33">
        <v>4960</v>
      </c>
      <c r="S222" s="33">
        <v>164</v>
      </c>
      <c r="T222" s="33">
        <v>164</v>
      </c>
      <c r="U222" s="33">
        <v>0</v>
      </c>
      <c r="V222" s="33">
        <v>0</v>
      </c>
      <c r="W222" s="33" t="s">
        <v>50</v>
      </c>
      <c r="X222" s="33">
        <v>1</v>
      </c>
      <c r="Y222" s="30" t="s">
        <v>67</v>
      </c>
      <c r="Z222" s="30" t="s">
        <v>186</v>
      </c>
      <c r="AA222" s="30" t="s">
        <v>186</v>
      </c>
      <c r="AB222" s="30"/>
      <c r="AC222" s="30"/>
      <c r="AD222" s="30" t="s">
        <v>50</v>
      </c>
      <c r="AE222" s="30" t="s">
        <v>50</v>
      </c>
      <c r="AF222" s="30" t="s">
        <v>50</v>
      </c>
      <c r="AG222" s="30" t="s">
        <v>50</v>
      </c>
      <c r="AH222" s="30" t="s">
        <v>50</v>
      </c>
      <c r="AI222" s="30" t="s">
        <v>1673</v>
      </c>
      <c r="AJ222" s="30" t="s">
        <v>50</v>
      </c>
      <c r="AK222" s="30" t="s">
        <v>50</v>
      </c>
      <c r="AL222" s="30" t="s">
        <v>50</v>
      </c>
      <c r="AM222" s="30" t="s">
        <v>50</v>
      </c>
      <c r="AN222" s="30" t="s">
        <v>50</v>
      </c>
      <c r="AO222" s="30" t="s">
        <v>50</v>
      </c>
      <c r="AP222" s="30" t="s">
        <v>50</v>
      </c>
      <c r="AQ222" s="30" t="s">
        <v>50</v>
      </c>
      <c r="AR222" s="30" t="s">
        <v>50</v>
      </c>
      <c r="AS222" s="30" t="s">
        <v>50</v>
      </c>
      <c r="AT222" s="30" t="s">
        <v>1682</v>
      </c>
      <c r="AU222" s="30" t="s">
        <v>50</v>
      </c>
      <c r="AV222" s="34">
        <v>167775233890</v>
      </c>
    </row>
    <row r="223" spans="2:48" ht="15" customHeight="1">
      <c r="B223" s="28">
        <v>217</v>
      </c>
      <c r="C223" s="29" t="s">
        <v>2462</v>
      </c>
      <c r="D223" s="30" t="s">
        <v>50</v>
      </c>
      <c r="E223" s="31" t="s">
        <v>2411</v>
      </c>
      <c r="F223" s="31" t="s">
        <v>2412</v>
      </c>
      <c r="G223" s="32" t="s">
        <v>2463</v>
      </c>
      <c r="H223" s="30" t="s">
        <v>62</v>
      </c>
      <c r="I223" s="30" t="s">
        <v>787</v>
      </c>
      <c r="J223" s="32" t="s">
        <v>788</v>
      </c>
      <c r="K223" s="30" t="s">
        <v>787</v>
      </c>
      <c r="L223" s="32" t="s">
        <v>788</v>
      </c>
      <c r="M223" s="30" t="s">
        <v>1671</v>
      </c>
      <c r="N223" s="30" t="s">
        <v>1679</v>
      </c>
      <c r="O223" s="33"/>
      <c r="P223" s="33">
        <v>0</v>
      </c>
      <c r="Q223" s="33">
        <v>0</v>
      </c>
      <c r="R223" s="33">
        <v>119</v>
      </c>
      <c r="S223" s="33">
        <v>5</v>
      </c>
      <c r="T223" s="33">
        <v>2</v>
      </c>
      <c r="U223" s="33">
        <v>0</v>
      </c>
      <c r="V223" s="33">
        <v>3</v>
      </c>
      <c r="W223" s="33" t="s">
        <v>50</v>
      </c>
      <c r="X223" s="33">
        <v>3</v>
      </c>
      <c r="Y223" s="30" t="s">
        <v>64</v>
      </c>
      <c r="Z223" s="30" t="s">
        <v>186</v>
      </c>
      <c r="AA223" s="30" t="s">
        <v>186</v>
      </c>
      <c r="AB223" s="30"/>
      <c r="AC223" s="30"/>
      <c r="AD223" s="30" t="s">
        <v>50</v>
      </c>
      <c r="AE223" s="30" t="s">
        <v>50</v>
      </c>
      <c r="AF223" s="30" t="s">
        <v>50</v>
      </c>
      <c r="AG223" s="30" t="s">
        <v>50</v>
      </c>
      <c r="AH223" s="30" t="s">
        <v>50</v>
      </c>
      <c r="AI223" s="30" t="s">
        <v>1673</v>
      </c>
      <c r="AJ223" s="30" t="s">
        <v>50</v>
      </c>
      <c r="AK223" s="30" t="s">
        <v>50</v>
      </c>
      <c r="AL223" s="30" t="s">
        <v>50</v>
      </c>
      <c r="AM223" s="30" t="s">
        <v>50</v>
      </c>
      <c r="AN223" s="30" t="s">
        <v>50</v>
      </c>
      <c r="AO223" s="30" t="s">
        <v>50</v>
      </c>
      <c r="AP223" s="30" t="s">
        <v>50</v>
      </c>
      <c r="AQ223" s="30" t="s">
        <v>50</v>
      </c>
      <c r="AR223" s="30" t="s">
        <v>50</v>
      </c>
      <c r="AS223" s="30" t="s">
        <v>50</v>
      </c>
      <c r="AT223" s="30" t="s">
        <v>1711</v>
      </c>
      <c r="AU223" s="30" t="s">
        <v>148</v>
      </c>
      <c r="AV223" s="34">
        <v>167743318833</v>
      </c>
    </row>
    <row r="224" spans="2:48" ht="15" customHeight="1">
      <c r="B224" s="28">
        <v>218</v>
      </c>
      <c r="C224" s="29" t="s">
        <v>2464</v>
      </c>
      <c r="D224" s="30" t="s">
        <v>50</v>
      </c>
      <c r="E224" s="31" t="s">
        <v>2465</v>
      </c>
      <c r="F224" s="31" t="s">
        <v>50</v>
      </c>
      <c r="G224" s="32" t="s">
        <v>2466</v>
      </c>
      <c r="H224" s="30" t="s">
        <v>65</v>
      </c>
      <c r="I224" s="30" t="s">
        <v>865</v>
      </c>
      <c r="J224" s="32" t="s">
        <v>2105</v>
      </c>
      <c r="K224" s="30" t="s">
        <v>206</v>
      </c>
      <c r="L224" s="32" t="s">
        <v>2454</v>
      </c>
      <c r="M224" s="30" t="s">
        <v>1697</v>
      </c>
      <c r="N224" s="30" t="s">
        <v>1791</v>
      </c>
      <c r="O224" s="33"/>
      <c r="P224" s="33">
        <v>3826</v>
      </c>
      <c r="Q224" s="33">
        <v>0</v>
      </c>
      <c r="R224" s="33">
        <v>0</v>
      </c>
      <c r="S224" s="33">
        <v>0</v>
      </c>
      <c r="T224" s="33">
        <v>0</v>
      </c>
      <c r="U224" s="33">
        <v>0</v>
      </c>
      <c r="V224" s="33">
        <v>0</v>
      </c>
      <c r="W224" s="33" t="s">
        <v>50</v>
      </c>
      <c r="X224" s="33">
        <v>2</v>
      </c>
      <c r="Y224" s="30" t="s">
        <v>67</v>
      </c>
      <c r="Z224" s="30" t="s">
        <v>186</v>
      </c>
      <c r="AA224" s="30" t="s">
        <v>222</v>
      </c>
      <c r="AB224" s="30" t="s">
        <v>1316</v>
      </c>
      <c r="AC224" s="30"/>
      <c r="AD224" s="30" t="s">
        <v>50</v>
      </c>
      <c r="AE224" s="30" t="s">
        <v>50</v>
      </c>
      <c r="AF224" s="30" t="s">
        <v>50</v>
      </c>
      <c r="AG224" s="30" t="s">
        <v>50</v>
      </c>
      <c r="AH224" s="30" t="s">
        <v>50</v>
      </c>
      <c r="AI224" s="30" t="s">
        <v>1673</v>
      </c>
      <c r="AJ224" s="30" t="s">
        <v>50</v>
      </c>
      <c r="AK224" s="30" t="s">
        <v>50</v>
      </c>
      <c r="AL224" s="30" t="s">
        <v>50</v>
      </c>
      <c r="AM224" s="30" t="s">
        <v>50</v>
      </c>
      <c r="AN224" s="30" t="s">
        <v>1681</v>
      </c>
      <c r="AO224" s="30" t="s">
        <v>50</v>
      </c>
      <c r="AP224" s="30" t="s">
        <v>50</v>
      </c>
      <c r="AQ224" s="30" t="s">
        <v>50</v>
      </c>
      <c r="AR224" s="30" t="s">
        <v>50</v>
      </c>
      <c r="AS224" s="30" t="s">
        <v>50</v>
      </c>
      <c r="AT224" s="30" t="s">
        <v>299</v>
      </c>
      <c r="AU224" s="30" t="s">
        <v>50</v>
      </c>
      <c r="AV224" s="34">
        <v>167742448353</v>
      </c>
    </row>
    <row r="225" spans="2:48" ht="15" customHeight="1">
      <c r="B225" s="28">
        <v>219</v>
      </c>
      <c r="C225" s="29" t="s">
        <v>2467</v>
      </c>
      <c r="D225" s="30" t="s">
        <v>50</v>
      </c>
      <c r="E225" s="31" t="s">
        <v>2465</v>
      </c>
      <c r="F225" s="31" t="s">
        <v>50</v>
      </c>
      <c r="G225" s="32" t="s">
        <v>2468</v>
      </c>
      <c r="H225" s="30" t="s">
        <v>65</v>
      </c>
      <c r="I225" s="30" t="s">
        <v>865</v>
      </c>
      <c r="J225" s="32" t="s">
        <v>2105</v>
      </c>
      <c r="K225" s="30" t="s">
        <v>206</v>
      </c>
      <c r="L225" s="32" t="s">
        <v>2454</v>
      </c>
      <c r="M225" s="30" t="s">
        <v>1671</v>
      </c>
      <c r="N225" s="30" t="s">
        <v>1791</v>
      </c>
      <c r="O225" s="33"/>
      <c r="P225" s="33">
        <v>3826</v>
      </c>
      <c r="Q225" s="33">
        <v>0</v>
      </c>
      <c r="R225" s="33">
        <v>0</v>
      </c>
      <c r="S225" s="33">
        <v>0</v>
      </c>
      <c r="T225" s="33">
        <v>0</v>
      </c>
      <c r="U225" s="33">
        <v>0</v>
      </c>
      <c r="V225" s="33">
        <v>0</v>
      </c>
      <c r="W225" s="33" t="s">
        <v>50</v>
      </c>
      <c r="X225" s="33">
        <v>2</v>
      </c>
      <c r="Y225" s="30" t="s">
        <v>67</v>
      </c>
      <c r="Z225" s="30" t="s">
        <v>186</v>
      </c>
      <c r="AA225" s="30" t="s">
        <v>222</v>
      </c>
      <c r="AB225" s="30" t="s">
        <v>1316</v>
      </c>
      <c r="AC225" s="30"/>
      <c r="AD225" s="30" t="s">
        <v>50</v>
      </c>
      <c r="AE225" s="30" t="s">
        <v>50</v>
      </c>
      <c r="AF225" s="30" t="s">
        <v>2203</v>
      </c>
      <c r="AG225" s="30" t="s">
        <v>50</v>
      </c>
      <c r="AH225" s="30" t="s">
        <v>50</v>
      </c>
      <c r="AI225" s="30" t="s">
        <v>1673</v>
      </c>
      <c r="AJ225" s="30" t="s">
        <v>50</v>
      </c>
      <c r="AK225" s="30" t="s">
        <v>50</v>
      </c>
      <c r="AL225" s="30" t="s">
        <v>50</v>
      </c>
      <c r="AM225" s="30" t="s">
        <v>50</v>
      </c>
      <c r="AN225" s="30" t="s">
        <v>50</v>
      </c>
      <c r="AO225" s="30" t="s">
        <v>50</v>
      </c>
      <c r="AP225" s="30" t="s">
        <v>50</v>
      </c>
      <c r="AQ225" s="30" t="s">
        <v>50</v>
      </c>
      <c r="AR225" s="30" t="s">
        <v>50</v>
      </c>
      <c r="AS225" s="30" t="s">
        <v>50</v>
      </c>
      <c r="AT225" s="30" t="s">
        <v>299</v>
      </c>
      <c r="AU225" s="30" t="s">
        <v>50</v>
      </c>
      <c r="AV225" s="34">
        <v>167742416725</v>
      </c>
    </row>
    <row r="226" spans="2:48" ht="15" customHeight="1">
      <c r="B226" s="28">
        <v>220</v>
      </c>
      <c r="C226" s="29" t="s">
        <v>2469</v>
      </c>
      <c r="D226" s="30" t="s">
        <v>50</v>
      </c>
      <c r="E226" s="31" t="s">
        <v>2470</v>
      </c>
      <c r="F226" s="31" t="s">
        <v>50</v>
      </c>
      <c r="G226" s="32" t="s">
        <v>2471</v>
      </c>
      <c r="H226" s="30" t="s">
        <v>68</v>
      </c>
      <c r="I226" s="30" t="s">
        <v>923</v>
      </c>
      <c r="J226" s="32" t="s">
        <v>924</v>
      </c>
      <c r="K226" s="30" t="s">
        <v>190</v>
      </c>
      <c r="L226" s="32" t="s">
        <v>191</v>
      </c>
      <c r="M226" s="30" t="s">
        <v>1697</v>
      </c>
      <c r="N226" s="30" t="s">
        <v>1679</v>
      </c>
      <c r="O226" s="33"/>
      <c r="P226" s="33">
        <v>42508</v>
      </c>
      <c r="Q226" s="33">
        <v>0</v>
      </c>
      <c r="R226" s="33">
        <v>0</v>
      </c>
      <c r="S226" s="33">
        <v>0</v>
      </c>
      <c r="T226" s="33">
        <v>0</v>
      </c>
      <c r="U226" s="33">
        <v>0</v>
      </c>
      <c r="V226" s="33">
        <v>0</v>
      </c>
      <c r="W226" s="33" t="s">
        <v>50</v>
      </c>
      <c r="X226" s="33">
        <v>1</v>
      </c>
      <c r="Y226" s="30" t="s">
        <v>70</v>
      </c>
      <c r="Z226" s="30" t="s">
        <v>192</v>
      </c>
      <c r="AA226" s="30" t="s">
        <v>192</v>
      </c>
      <c r="AB226" s="30"/>
      <c r="AC226" s="30"/>
      <c r="AD226" s="30" t="s">
        <v>50</v>
      </c>
      <c r="AE226" s="30" t="s">
        <v>50</v>
      </c>
      <c r="AF226" s="30" t="s">
        <v>50</v>
      </c>
      <c r="AG226" s="30" t="s">
        <v>50</v>
      </c>
      <c r="AH226" s="30" t="s">
        <v>50</v>
      </c>
      <c r="AI226" s="30" t="s">
        <v>1673</v>
      </c>
      <c r="AJ226" s="30" t="s">
        <v>50</v>
      </c>
      <c r="AK226" s="30" t="s">
        <v>50</v>
      </c>
      <c r="AL226" s="30" t="s">
        <v>50</v>
      </c>
      <c r="AM226" s="30" t="s">
        <v>50</v>
      </c>
      <c r="AN226" s="30" t="s">
        <v>1681</v>
      </c>
      <c r="AO226" s="30" t="s">
        <v>50</v>
      </c>
      <c r="AP226" s="30" t="s">
        <v>50</v>
      </c>
      <c r="AQ226" s="30" t="s">
        <v>50</v>
      </c>
      <c r="AR226" s="30" t="s">
        <v>50</v>
      </c>
      <c r="AS226" s="30" t="s">
        <v>50</v>
      </c>
      <c r="AT226" s="30" t="s">
        <v>299</v>
      </c>
      <c r="AU226" s="30" t="s">
        <v>50</v>
      </c>
      <c r="AV226" s="34">
        <v>167739323285</v>
      </c>
    </row>
    <row r="227" spans="2:48" ht="15" customHeight="1">
      <c r="B227" s="28">
        <v>221</v>
      </c>
      <c r="C227" s="29" t="s">
        <v>2472</v>
      </c>
      <c r="D227" s="30" t="s">
        <v>50</v>
      </c>
      <c r="E227" s="31" t="s">
        <v>2473</v>
      </c>
      <c r="F227" s="31" t="s">
        <v>50</v>
      </c>
      <c r="G227" s="32" t="s">
        <v>2474</v>
      </c>
      <c r="H227" s="30" t="s">
        <v>62</v>
      </c>
      <c r="I227" s="30" t="s">
        <v>850</v>
      </c>
      <c r="J227" s="32" t="s">
        <v>851</v>
      </c>
      <c r="K227" s="30" t="s">
        <v>521</v>
      </c>
      <c r="L227" s="32" t="s">
        <v>522</v>
      </c>
      <c r="M227" s="30" t="s">
        <v>1697</v>
      </c>
      <c r="N227" s="30" t="s">
        <v>1679</v>
      </c>
      <c r="O227" s="33">
        <v>2</v>
      </c>
      <c r="P227" s="33">
        <v>28622</v>
      </c>
      <c r="Q227" s="33">
        <v>0</v>
      </c>
      <c r="R227" s="33">
        <v>0</v>
      </c>
      <c r="S227" s="33">
        <v>0</v>
      </c>
      <c r="T227" s="33">
        <v>0</v>
      </c>
      <c r="U227" s="33">
        <v>0</v>
      </c>
      <c r="V227" s="33">
        <v>0</v>
      </c>
      <c r="W227" s="33" t="s">
        <v>50</v>
      </c>
      <c r="X227" s="33">
        <v>1</v>
      </c>
      <c r="Y227" s="30" t="s">
        <v>64</v>
      </c>
      <c r="Z227" s="30" t="s">
        <v>186</v>
      </c>
      <c r="AA227" s="30" t="s">
        <v>222</v>
      </c>
      <c r="AB227" s="30" t="s">
        <v>1316</v>
      </c>
      <c r="AC227" s="30">
        <v>39</v>
      </c>
      <c r="AD227" s="30" t="s">
        <v>50</v>
      </c>
      <c r="AE227" s="30" t="s">
        <v>50</v>
      </c>
      <c r="AF227" s="30" t="s">
        <v>2203</v>
      </c>
      <c r="AG227" s="30" t="s">
        <v>50</v>
      </c>
      <c r="AH227" s="30" t="s">
        <v>50</v>
      </c>
      <c r="AI227" s="30" t="s">
        <v>1673</v>
      </c>
      <c r="AJ227" s="30" t="s">
        <v>187</v>
      </c>
      <c r="AK227" s="30" t="s">
        <v>2475</v>
      </c>
      <c r="AL227" s="30" t="s">
        <v>524</v>
      </c>
      <c r="AM227" s="30" t="s">
        <v>50</v>
      </c>
      <c r="AN227" s="30" t="s">
        <v>1681</v>
      </c>
      <c r="AO227" s="30" t="s">
        <v>50</v>
      </c>
      <c r="AP227" s="30" t="s">
        <v>50</v>
      </c>
      <c r="AQ227" s="30" t="s">
        <v>50</v>
      </c>
      <c r="AR227" s="30" t="s">
        <v>50</v>
      </c>
      <c r="AS227" s="30" t="s">
        <v>50</v>
      </c>
      <c r="AT227" s="30" t="s">
        <v>299</v>
      </c>
      <c r="AU227" s="30" t="s">
        <v>50</v>
      </c>
      <c r="AV227" s="34">
        <v>167738437233</v>
      </c>
    </row>
    <row r="228" spans="2:48" ht="15" customHeight="1">
      <c r="B228" s="28">
        <v>222</v>
      </c>
      <c r="C228" s="29" t="s">
        <v>2476</v>
      </c>
      <c r="D228" s="30" t="s">
        <v>50</v>
      </c>
      <c r="E228" s="31" t="s">
        <v>2477</v>
      </c>
      <c r="F228" s="31" t="s">
        <v>50</v>
      </c>
      <c r="G228" s="32" t="s">
        <v>2478</v>
      </c>
      <c r="H228" s="30" t="s">
        <v>83</v>
      </c>
      <c r="I228" s="30" t="s">
        <v>748</v>
      </c>
      <c r="J228" s="32" t="s">
        <v>749</v>
      </c>
      <c r="K228" s="30" t="s">
        <v>748</v>
      </c>
      <c r="L228" s="32" t="s">
        <v>749</v>
      </c>
      <c r="M228" s="30" t="s">
        <v>1697</v>
      </c>
      <c r="N228" s="30" t="s">
        <v>1679</v>
      </c>
      <c r="O228" s="33"/>
      <c r="P228" s="33">
        <v>1705</v>
      </c>
      <c r="Q228" s="33">
        <v>1705</v>
      </c>
      <c r="R228" s="33">
        <v>0</v>
      </c>
      <c r="S228" s="33">
        <v>0</v>
      </c>
      <c r="T228" s="33">
        <v>0</v>
      </c>
      <c r="U228" s="33">
        <v>0</v>
      </c>
      <c r="V228" s="33">
        <v>0</v>
      </c>
      <c r="W228" s="33" t="s">
        <v>50</v>
      </c>
      <c r="X228" s="33">
        <v>1</v>
      </c>
      <c r="Y228" s="30" t="s">
        <v>70</v>
      </c>
      <c r="Z228" s="30" t="s">
        <v>222</v>
      </c>
      <c r="AA228" s="30" t="s">
        <v>222</v>
      </c>
      <c r="AB228" s="30" t="s">
        <v>1315</v>
      </c>
      <c r="AC228" s="30"/>
      <c r="AD228" s="30" t="s">
        <v>50</v>
      </c>
      <c r="AE228" s="30" t="s">
        <v>50</v>
      </c>
      <c r="AF228" s="30" t="s">
        <v>50</v>
      </c>
      <c r="AG228" s="30" t="s">
        <v>50</v>
      </c>
      <c r="AH228" s="30" t="s">
        <v>50</v>
      </c>
      <c r="AI228" s="30" t="s">
        <v>1673</v>
      </c>
      <c r="AJ228" s="30" t="s">
        <v>50</v>
      </c>
      <c r="AK228" s="30" t="s">
        <v>50</v>
      </c>
      <c r="AL228" s="30" t="s">
        <v>50</v>
      </c>
      <c r="AM228" s="30" t="s">
        <v>50</v>
      </c>
      <c r="AN228" s="30" t="s">
        <v>1681</v>
      </c>
      <c r="AO228" s="30" t="s">
        <v>50</v>
      </c>
      <c r="AP228" s="30" t="s">
        <v>50</v>
      </c>
      <c r="AQ228" s="30" t="s">
        <v>50</v>
      </c>
      <c r="AR228" s="30" t="s">
        <v>50</v>
      </c>
      <c r="AS228" s="30" t="s">
        <v>50</v>
      </c>
      <c r="AT228" s="30" t="s">
        <v>1682</v>
      </c>
      <c r="AU228" s="30" t="s">
        <v>50</v>
      </c>
      <c r="AV228" s="34">
        <v>167865883709</v>
      </c>
    </row>
    <row r="229" spans="2:48" ht="15" customHeight="1">
      <c r="B229" s="28">
        <v>223</v>
      </c>
      <c r="C229" s="29" t="s">
        <v>2479</v>
      </c>
      <c r="D229" s="30" t="s">
        <v>50</v>
      </c>
      <c r="E229" s="31" t="s">
        <v>2480</v>
      </c>
      <c r="F229" s="31" t="s">
        <v>50</v>
      </c>
      <c r="G229" s="32" t="s">
        <v>2481</v>
      </c>
      <c r="H229" s="30" t="s">
        <v>83</v>
      </c>
      <c r="I229" s="30" t="s">
        <v>740</v>
      </c>
      <c r="J229" s="32" t="s">
        <v>741</v>
      </c>
      <c r="K229" s="30" t="s">
        <v>740</v>
      </c>
      <c r="L229" s="32" t="s">
        <v>741</v>
      </c>
      <c r="M229" s="30" t="s">
        <v>1697</v>
      </c>
      <c r="N229" s="30" t="s">
        <v>1672</v>
      </c>
      <c r="O229" s="33"/>
      <c r="P229" s="33">
        <v>32</v>
      </c>
      <c r="Q229" s="33">
        <v>32</v>
      </c>
      <c r="R229" s="33">
        <v>0</v>
      </c>
      <c r="S229" s="33">
        <v>0</v>
      </c>
      <c r="T229" s="33">
        <v>0</v>
      </c>
      <c r="U229" s="33">
        <v>0</v>
      </c>
      <c r="V229" s="33">
        <v>0</v>
      </c>
      <c r="W229" s="33" t="s">
        <v>50</v>
      </c>
      <c r="X229" s="33">
        <v>1</v>
      </c>
      <c r="Y229" s="30" t="s">
        <v>70</v>
      </c>
      <c r="Z229" s="30" t="s">
        <v>222</v>
      </c>
      <c r="AA229" s="30" t="s">
        <v>222</v>
      </c>
      <c r="AB229" s="30" t="s">
        <v>1315</v>
      </c>
      <c r="AC229" s="30"/>
      <c r="AD229" s="30" t="s">
        <v>50</v>
      </c>
      <c r="AE229" s="30" t="s">
        <v>50</v>
      </c>
      <c r="AF229" s="30" t="s">
        <v>50</v>
      </c>
      <c r="AG229" s="30" t="s">
        <v>50</v>
      </c>
      <c r="AH229" s="30" t="s">
        <v>50</v>
      </c>
      <c r="AI229" s="30" t="s">
        <v>1673</v>
      </c>
      <c r="AJ229" s="30" t="s">
        <v>50</v>
      </c>
      <c r="AK229" s="30" t="s">
        <v>50</v>
      </c>
      <c r="AL229" s="30" t="s">
        <v>50</v>
      </c>
      <c r="AM229" s="30" t="s">
        <v>50</v>
      </c>
      <c r="AN229" s="30" t="s">
        <v>1681</v>
      </c>
      <c r="AO229" s="30" t="s">
        <v>50</v>
      </c>
      <c r="AP229" s="30" t="s">
        <v>50</v>
      </c>
      <c r="AQ229" s="30" t="s">
        <v>50</v>
      </c>
      <c r="AR229" s="30" t="s">
        <v>50</v>
      </c>
      <c r="AS229" s="30" t="s">
        <v>50</v>
      </c>
      <c r="AT229" s="30" t="s">
        <v>1682</v>
      </c>
      <c r="AU229" s="30" t="s">
        <v>50</v>
      </c>
      <c r="AV229" s="34">
        <v>167728308976</v>
      </c>
    </row>
    <row r="230" spans="2:48" ht="15" customHeight="1">
      <c r="B230" s="28">
        <v>224</v>
      </c>
      <c r="C230" s="29" t="s">
        <v>2482</v>
      </c>
      <c r="D230" s="30" t="s">
        <v>50</v>
      </c>
      <c r="E230" s="31" t="s">
        <v>2483</v>
      </c>
      <c r="F230" s="31" t="s">
        <v>50</v>
      </c>
      <c r="G230" s="32" t="s">
        <v>2484</v>
      </c>
      <c r="H230" s="30" t="s">
        <v>68</v>
      </c>
      <c r="I230" s="30" t="s">
        <v>1210</v>
      </c>
      <c r="J230" s="32" t="s">
        <v>1211</v>
      </c>
      <c r="K230" s="30" t="s">
        <v>542</v>
      </c>
      <c r="L230" s="32" t="s">
        <v>543</v>
      </c>
      <c r="M230" s="30" t="s">
        <v>1697</v>
      </c>
      <c r="N230" s="30" t="s">
        <v>1791</v>
      </c>
      <c r="O230" s="33"/>
      <c r="P230" s="33">
        <v>722014</v>
      </c>
      <c r="Q230" s="33">
        <v>1</v>
      </c>
      <c r="R230" s="33">
        <v>0</v>
      </c>
      <c r="S230" s="33">
        <v>0</v>
      </c>
      <c r="T230" s="33">
        <v>0</v>
      </c>
      <c r="U230" s="33">
        <v>0</v>
      </c>
      <c r="V230" s="33">
        <v>0</v>
      </c>
      <c r="W230" s="33" t="s">
        <v>50</v>
      </c>
      <c r="X230" s="33">
        <v>1</v>
      </c>
      <c r="Y230" s="30" t="s">
        <v>70</v>
      </c>
      <c r="Z230" s="30" t="s">
        <v>192</v>
      </c>
      <c r="AA230" s="30" t="s">
        <v>192</v>
      </c>
      <c r="AB230" s="30" t="s">
        <v>1316</v>
      </c>
      <c r="AC230" s="30"/>
      <c r="AD230" s="30" t="s">
        <v>50</v>
      </c>
      <c r="AE230" s="30" t="s">
        <v>50</v>
      </c>
      <c r="AF230" s="30" t="s">
        <v>1741</v>
      </c>
      <c r="AG230" s="30" t="s">
        <v>50</v>
      </c>
      <c r="AH230" s="30" t="s">
        <v>50</v>
      </c>
      <c r="AI230" s="30" t="s">
        <v>1673</v>
      </c>
      <c r="AJ230" s="30" t="s">
        <v>50</v>
      </c>
      <c r="AK230" s="30" t="s">
        <v>50</v>
      </c>
      <c r="AL230" s="30" t="s">
        <v>50</v>
      </c>
      <c r="AM230" s="30" t="s">
        <v>50</v>
      </c>
      <c r="AN230" s="30" t="s">
        <v>1681</v>
      </c>
      <c r="AO230" s="30" t="s">
        <v>50</v>
      </c>
      <c r="AP230" s="30" t="s">
        <v>50</v>
      </c>
      <c r="AQ230" s="30" t="s">
        <v>50</v>
      </c>
      <c r="AR230" s="30" t="s">
        <v>1681</v>
      </c>
      <c r="AS230" s="30" t="s">
        <v>50</v>
      </c>
      <c r="AT230" s="30" t="s">
        <v>1682</v>
      </c>
      <c r="AU230" s="30" t="s">
        <v>50</v>
      </c>
      <c r="AV230" s="34">
        <v>167725187525</v>
      </c>
    </row>
    <row r="231" spans="2:48" ht="15" customHeight="1">
      <c r="B231" s="28">
        <v>225</v>
      </c>
      <c r="C231" s="29" t="s">
        <v>2485</v>
      </c>
      <c r="D231" s="30" t="s">
        <v>50</v>
      </c>
      <c r="E231" s="31" t="s">
        <v>2486</v>
      </c>
      <c r="F231" s="31" t="s">
        <v>50</v>
      </c>
      <c r="G231" s="32" t="s">
        <v>2487</v>
      </c>
      <c r="H231" s="30" t="s">
        <v>62</v>
      </c>
      <c r="I231" s="30" t="s">
        <v>1238</v>
      </c>
      <c r="J231" s="32" t="s">
        <v>1239</v>
      </c>
      <c r="K231" s="30" t="s">
        <v>593</v>
      </c>
      <c r="L231" s="32" t="s">
        <v>594</v>
      </c>
      <c r="M231" s="30" t="s">
        <v>1697</v>
      </c>
      <c r="N231" s="30" t="s">
        <v>1672</v>
      </c>
      <c r="O231" s="33">
        <v>3</v>
      </c>
      <c r="P231" s="33">
        <v>13564</v>
      </c>
      <c r="Q231" s="33">
        <v>0</v>
      </c>
      <c r="R231" s="33">
        <v>0</v>
      </c>
      <c r="S231" s="33">
        <v>0</v>
      </c>
      <c r="T231" s="33">
        <v>0</v>
      </c>
      <c r="U231" s="33">
        <v>0</v>
      </c>
      <c r="V231" s="33">
        <v>0</v>
      </c>
      <c r="W231" s="33" t="s">
        <v>50</v>
      </c>
      <c r="X231" s="33">
        <v>1</v>
      </c>
      <c r="Y231" s="30" t="s">
        <v>64</v>
      </c>
      <c r="Z231" s="30" t="s">
        <v>186</v>
      </c>
      <c r="AA231" s="30" t="s">
        <v>222</v>
      </c>
      <c r="AB231" s="30" t="s">
        <v>1315</v>
      </c>
      <c r="AC231" s="30">
        <v>43</v>
      </c>
      <c r="AD231" s="30" t="s">
        <v>1325</v>
      </c>
      <c r="AE231" s="30" t="s">
        <v>50</v>
      </c>
      <c r="AF231" s="30" t="s">
        <v>50</v>
      </c>
      <c r="AG231" s="30" t="s">
        <v>50</v>
      </c>
      <c r="AH231" s="30" t="s">
        <v>50</v>
      </c>
      <c r="AI231" s="30" t="s">
        <v>1673</v>
      </c>
      <c r="AJ231" s="30" t="s">
        <v>187</v>
      </c>
      <c r="AK231" s="30" t="s">
        <v>201</v>
      </c>
      <c r="AL231" s="30" t="s">
        <v>201</v>
      </c>
      <c r="AM231" s="30" t="s">
        <v>50</v>
      </c>
      <c r="AN231" s="30" t="s">
        <v>1681</v>
      </c>
      <c r="AO231" s="30" t="s">
        <v>50</v>
      </c>
      <c r="AP231" s="30" t="s">
        <v>50</v>
      </c>
      <c r="AQ231" s="30" t="s">
        <v>50</v>
      </c>
      <c r="AR231" s="30" t="s">
        <v>50</v>
      </c>
      <c r="AS231" s="30" t="s">
        <v>50</v>
      </c>
      <c r="AT231" s="30" t="s">
        <v>1682</v>
      </c>
      <c r="AU231" s="30" t="s">
        <v>50</v>
      </c>
      <c r="AV231" s="34">
        <v>167720056053</v>
      </c>
    </row>
    <row r="232" spans="2:48" ht="15" customHeight="1">
      <c r="B232" s="28">
        <v>226</v>
      </c>
      <c r="C232" s="29" t="s">
        <v>2488</v>
      </c>
      <c r="D232" s="30" t="s">
        <v>50</v>
      </c>
      <c r="E232" s="31" t="s">
        <v>2489</v>
      </c>
      <c r="F232" s="31" t="s">
        <v>50</v>
      </c>
      <c r="G232" s="32" t="s">
        <v>2490</v>
      </c>
      <c r="H232" s="30" t="s">
        <v>65</v>
      </c>
      <c r="I232" s="30" t="s">
        <v>1212</v>
      </c>
      <c r="J232" s="32" t="s">
        <v>2491</v>
      </c>
      <c r="K232" s="30" t="s">
        <v>206</v>
      </c>
      <c r="L232" s="32" t="s">
        <v>2454</v>
      </c>
      <c r="M232" s="30" t="s">
        <v>1697</v>
      </c>
      <c r="N232" s="30" t="s">
        <v>1672</v>
      </c>
      <c r="O232" s="33"/>
      <c r="P232" s="33">
        <v>3831</v>
      </c>
      <c r="Q232" s="33">
        <v>0</v>
      </c>
      <c r="R232" s="33">
        <v>0</v>
      </c>
      <c r="S232" s="33">
        <v>0</v>
      </c>
      <c r="T232" s="33">
        <v>0</v>
      </c>
      <c r="U232" s="33">
        <v>0</v>
      </c>
      <c r="V232" s="33">
        <v>0</v>
      </c>
      <c r="W232" s="33" t="s">
        <v>50</v>
      </c>
      <c r="X232" s="33">
        <v>1</v>
      </c>
      <c r="Y232" s="30" t="s">
        <v>67</v>
      </c>
      <c r="Z232" s="30" t="s">
        <v>186</v>
      </c>
      <c r="AA232" s="30" t="s">
        <v>222</v>
      </c>
      <c r="AB232" s="30"/>
      <c r="AC232" s="30"/>
      <c r="AD232" s="30" t="s">
        <v>50</v>
      </c>
      <c r="AE232" s="30" t="s">
        <v>50</v>
      </c>
      <c r="AF232" s="30" t="s">
        <v>1741</v>
      </c>
      <c r="AG232" s="30" t="s">
        <v>50</v>
      </c>
      <c r="AH232" s="30" t="s">
        <v>50</v>
      </c>
      <c r="AI232" s="30" t="s">
        <v>1673</v>
      </c>
      <c r="AJ232" s="30" t="s">
        <v>50</v>
      </c>
      <c r="AK232" s="30" t="s">
        <v>50</v>
      </c>
      <c r="AL232" s="30" t="s">
        <v>50</v>
      </c>
      <c r="AM232" s="30" t="s">
        <v>50</v>
      </c>
      <c r="AN232" s="30" t="s">
        <v>1681</v>
      </c>
      <c r="AO232" s="30" t="s">
        <v>50</v>
      </c>
      <c r="AP232" s="30" t="s">
        <v>50</v>
      </c>
      <c r="AQ232" s="30" t="s">
        <v>50</v>
      </c>
      <c r="AR232" s="30" t="s">
        <v>50</v>
      </c>
      <c r="AS232" s="30" t="s">
        <v>50</v>
      </c>
      <c r="AT232" s="30" t="s">
        <v>299</v>
      </c>
      <c r="AU232" s="30" t="s">
        <v>50</v>
      </c>
      <c r="AV232" s="34">
        <v>167707975810</v>
      </c>
    </row>
    <row r="233" spans="2:48" ht="15" customHeight="1">
      <c r="B233" s="28">
        <v>227</v>
      </c>
      <c r="C233" s="29" t="s">
        <v>2492</v>
      </c>
      <c r="D233" s="30" t="s">
        <v>50</v>
      </c>
      <c r="E233" s="31" t="s">
        <v>2493</v>
      </c>
      <c r="F233" s="31" t="s">
        <v>50</v>
      </c>
      <c r="G233" s="32" t="s">
        <v>2494</v>
      </c>
      <c r="H233" s="30" t="s">
        <v>62</v>
      </c>
      <c r="I233" s="30" t="s">
        <v>609</v>
      </c>
      <c r="J233" s="32" t="s">
        <v>610</v>
      </c>
      <c r="K233" s="30" t="s">
        <v>609</v>
      </c>
      <c r="L233" s="32" t="s">
        <v>610</v>
      </c>
      <c r="M233" s="30" t="s">
        <v>1671</v>
      </c>
      <c r="N233" s="30" t="s">
        <v>1672</v>
      </c>
      <c r="O233" s="33"/>
      <c r="P233" s="33">
        <v>86</v>
      </c>
      <c r="Q233" s="33">
        <v>86</v>
      </c>
      <c r="R233" s="33">
        <v>57</v>
      </c>
      <c r="S233" s="33">
        <v>1</v>
      </c>
      <c r="T233" s="33">
        <v>1</v>
      </c>
      <c r="U233" s="33">
        <v>0</v>
      </c>
      <c r="V233" s="33">
        <v>0</v>
      </c>
      <c r="W233" s="33" t="s">
        <v>50</v>
      </c>
      <c r="X233" s="33">
        <v>19</v>
      </c>
      <c r="Y233" s="30" t="s">
        <v>64</v>
      </c>
      <c r="Z233" s="30" t="s">
        <v>222</v>
      </c>
      <c r="AA233" s="30" t="s">
        <v>222</v>
      </c>
      <c r="AB233" s="30" t="s">
        <v>1315</v>
      </c>
      <c r="AC233" s="30"/>
      <c r="AD233" s="30" t="s">
        <v>50</v>
      </c>
      <c r="AE233" s="30" t="s">
        <v>50</v>
      </c>
      <c r="AF233" s="30" t="s">
        <v>50</v>
      </c>
      <c r="AG233" s="30" t="s">
        <v>50</v>
      </c>
      <c r="AH233" s="30" t="s">
        <v>50</v>
      </c>
      <c r="AI233" s="30" t="s">
        <v>1673</v>
      </c>
      <c r="AJ233" s="30" t="s">
        <v>187</v>
      </c>
      <c r="AK233" s="30" t="s">
        <v>189</v>
      </c>
      <c r="AL233" s="30" t="s">
        <v>189</v>
      </c>
      <c r="AM233" s="30" t="s">
        <v>35</v>
      </c>
      <c r="AN233" s="30" t="s">
        <v>1681</v>
      </c>
      <c r="AO233" s="30" t="s">
        <v>50</v>
      </c>
      <c r="AP233" s="30" t="s">
        <v>50</v>
      </c>
      <c r="AQ233" s="30" t="s">
        <v>50</v>
      </c>
      <c r="AR233" s="30" t="s">
        <v>50</v>
      </c>
      <c r="AS233" s="30" t="s">
        <v>50</v>
      </c>
      <c r="AT233" s="30" t="s">
        <v>299</v>
      </c>
      <c r="AU233" s="30" t="s">
        <v>50</v>
      </c>
      <c r="AV233" s="34">
        <v>167909885519</v>
      </c>
    </row>
    <row r="234" spans="2:48" ht="15" customHeight="1">
      <c r="B234" s="28">
        <v>228</v>
      </c>
      <c r="C234" s="29" t="s">
        <v>2495</v>
      </c>
      <c r="D234" s="30" t="s">
        <v>318</v>
      </c>
      <c r="E234" s="31" t="s">
        <v>2496</v>
      </c>
      <c r="F234" s="31" t="s">
        <v>50</v>
      </c>
      <c r="G234" s="32" t="s">
        <v>2497</v>
      </c>
      <c r="H234" s="30" t="s">
        <v>73</v>
      </c>
      <c r="I234" s="30" t="s">
        <v>858</v>
      </c>
      <c r="J234" s="32" t="s">
        <v>859</v>
      </c>
      <c r="K234" s="30" t="s">
        <v>814</v>
      </c>
      <c r="L234" s="32" t="s">
        <v>815</v>
      </c>
      <c r="M234" s="30" t="s">
        <v>1718</v>
      </c>
      <c r="N234" s="30" t="s">
        <v>1672</v>
      </c>
      <c r="O234" s="33"/>
      <c r="P234" s="33">
        <v>0</v>
      </c>
      <c r="Q234" s="33">
        <v>0</v>
      </c>
      <c r="R234" s="33" t="s">
        <v>158</v>
      </c>
      <c r="S234" s="33">
        <v>0</v>
      </c>
      <c r="T234" s="33" t="s">
        <v>158</v>
      </c>
      <c r="U234" s="33" t="s">
        <v>158</v>
      </c>
      <c r="V234" s="33" t="s">
        <v>158</v>
      </c>
      <c r="W234" s="33" t="s">
        <v>50</v>
      </c>
      <c r="X234" s="33">
        <v>1</v>
      </c>
      <c r="Y234" s="30" t="s">
        <v>75</v>
      </c>
      <c r="Z234" s="30" t="s">
        <v>192</v>
      </c>
      <c r="AA234" s="30" t="s">
        <v>192</v>
      </c>
      <c r="AB234" s="30" t="s">
        <v>1316</v>
      </c>
      <c r="AC234" s="30"/>
      <c r="AD234" s="30" t="s">
        <v>50</v>
      </c>
      <c r="AE234" s="30" t="s">
        <v>50</v>
      </c>
      <c r="AF234" s="30" t="s">
        <v>50</v>
      </c>
      <c r="AG234" s="30" t="s">
        <v>50</v>
      </c>
      <c r="AH234" s="30" t="s">
        <v>50</v>
      </c>
      <c r="AI234" s="30" t="s">
        <v>1673</v>
      </c>
      <c r="AJ234" s="30" t="s">
        <v>50</v>
      </c>
      <c r="AK234" s="30" t="s">
        <v>50</v>
      </c>
      <c r="AL234" s="30" t="s">
        <v>50</v>
      </c>
      <c r="AM234" s="30" t="s">
        <v>50</v>
      </c>
      <c r="AN234" s="30" t="s">
        <v>1681</v>
      </c>
      <c r="AO234" s="30" t="s">
        <v>50</v>
      </c>
      <c r="AP234" s="30" t="s">
        <v>50</v>
      </c>
      <c r="AQ234" s="30" t="s">
        <v>50</v>
      </c>
      <c r="AR234" s="30" t="s">
        <v>50</v>
      </c>
      <c r="AS234" s="30" t="s">
        <v>50</v>
      </c>
      <c r="AT234" s="30" t="s">
        <v>1792</v>
      </c>
      <c r="AU234" s="30" t="s">
        <v>50</v>
      </c>
      <c r="AV234" s="34">
        <v>167704638035</v>
      </c>
    </row>
    <row r="235" spans="2:48" ht="15" customHeight="1">
      <c r="B235" s="28">
        <v>229</v>
      </c>
      <c r="C235" s="29" t="s">
        <v>2498</v>
      </c>
      <c r="D235" s="30" t="s">
        <v>50</v>
      </c>
      <c r="E235" s="31" t="s">
        <v>1682</v>
      </c>
      <c r="F235" s="31" t="s">
        <v>50</v>
      </c>
      <c r="G235" s="32" t="s">
        <v>2499</v>
      </c>
      <c r="H235" s="30" t="s">
        <v>81</v>
      </c>
      <c r="I235" s="30" t="s">
        <v>2500</v>
      </c>
      <c r="J235" s="32" t="s">
        <v>987</v>
      </c>
      <c r="K235" s="30" t="s">
        <v>2501</v>
      </c>
      <c r="L235" s="32" t="s">
        <v>520</v>
      </c>
      <c r="M235" s="30" t="s">
        <v>1697</v>
      </c>
      <c r="N235" s="30" t="s">
        <v>1672</v>
      </c>
      <c r="O235" s="33">
        <v>6</v>
      </c>
      <c r="P235" s="33">
        <v>153034</v>
      </c>
      <c r="Q235" s="33">
        <v>121</v>
      </c>
      <c r="R235" s="33">
        <v>0</v>
      </c>
      <c r="S235" s="33">
        <v>0</v>
      </c>
      <c r="T235" s="33">
        <v>0</v>
      </c>
      <c r="U235" s="33">
        <v>0</v>
      </c>
      <c r="V235" s="33">
        <v>0</v>
      </c>
      <c r="W235" s="33" t="s">
        <v>50</v>
      </c>
      <c r="X235" s="33">
        <v>1</v>
      </c>
      <c r="Y235" s="30" t="s">
        <v>64</v>
      </c>
      <c r="Z235" s="30" t="s">
        <v>222</v>
      </c>
      <c r="AA235" s="30" t="s">
        <v>222</v>
      </c>
      <c r="AB235" s="30"/>
      <c r="AC235" s="30"/>
      <c r="AD235" s="30" t="s">
        <v>50</v>
      </c>
      <c r="AE235" s="30" t="s">
        <v>50</v>
      </c>
      <c r="AF235" s="30" t="s">
        <v>50</v>
      </c>
      <c r="AG235" s="30" t="s">
        <v>50</v>
      </c>
      <c r="AH235" s="30" t="s">
        <v>50</v>
      </c>
      <c r="AI235" s="30" t="s">
        <v>2502</v>
      </c>
      <c r="AJ235" s="30" t="s">
        <v>50</v>
      </c>
      <c r="AK235" s="30" t="s">
        <v>50</v>
      </c>
      <c r="AL235" s="30" t="s">
        <v>50</v>
      </c>
      <c r="AM235" s="30" t="s">
        <v>50</v>
      </c>
      <c r="AN235" s="30" t="s">
        <v>1681</v>
      </c>
      <c r="AO235" s="30" t="s">
        <v>50</v>
      </c>
      <c r="AP235" s="30" t="s">
        <v>50</v>
      </c>
      <c r="AQ235" s="30" t="s">
        <v>50</v>
      </c>
      <c r="AR235" s="30" t="s">
        <v>50</v>
      </c>
      <c r="AS235" s="30" t="s">
        <v>50</v>
      </c>
      <c r="AT235" s="30" t="s">
        <v>1682</v>
      </c>
      <c r="AU235" s="30" t="s">
        <v>50</v>
      </c>
      <c r="AV235" s="34">
        <v>167726015990</v>
      </c>
    </row>
    <row r="236" spans="2:48" ht="15" customHeight="1">
      <c r="B236" s="28">
        <v>230</v>
      </c>
      <c r="C236" s="29" t="s">
        <v>2503</v>
      </c>
      <c r="D236" s="30" t="s">
        <v>50</v>
      </c>
      <c r="E236" s="31" t="s">
        <v>2504</v>
      </c>
      <c r="F236" s="31" t="s">
        <v>50</v>
      </c>
      <c r="G236" s="32" t="s">
        <v>2505</v>
      </c>
      <c r="H236" s="30" t="s">
        <v>65</v>
      </c>
      <c r="I236" s="30" t="s">
        <v>289</v>
      </c>
      <c r="J236" s="32" t="s">
        <v>2506</v>
      </c>
      <c r="K236" s="30" t="s">
        <v>289</v>
      </c>
      <c r="L236" s="32" t="s">
        <v>2506</v>
      </c>
      <c r="M236" s="30" t="s">
        <v>1697</v>
      </c>
      <c r="N236" s="30" t="s">
        <v>1679</v>
      </c>
      <c r="O236" s="33"/>
      <c r="P236" s="33">
        <v>2902</v>
      </c>
      <c r="Q236" s="33">
        <v>2902</v>
      </c>
      <c r="R236" s="33">
        <v>0</v>
      </c>
      <c r="S236" s="33">
        <v>0</v>
      </c>
      <c r="T236" s="33">
        <v>0</v>
      </c>
      <c r="U236" s="33">
        <v>0</v>
      </c>
      <c r="V236" s="33">
        <v>0</v>
      </c>
      <c r="W236" s="33" t="s">
        <v>50</v>
      </c>
      <c r="X236" s="33">
        <v>1</v>
      </c>
      <c r="Y236" s="30" t="s">
        <v>67</v>
      </c>
      <c r="Z236" s="30" t="s">
        <v>186</v>
      </c>
      <c r="AA236" s="30" t="s">
        <v>186</v>
      </c>
      <c r="AB236" s="30"/>
      <c r="AC236" s="30"/>
      <c r="AD236" s="30" t="s">
        <v>50</v>
      </c>
      <c r="AE236" s="30" t="s">
        <v>50</v>
      </c>
      <c r="AF236" s="30" t="s">
        <v>50</v>
      </c>
      <c r="AG236" s="30" t="s">
        <v>50</v>
      </c>
      <c r="AH236" s="30" t="s">
        <v>50</v>
      </c>
      <c r="AI236" s="30" t="s">
        <v>1673</v>
      </c>
      <c r="AJ236" s="30" t="s">
        <v>50</v>
      </c>
      <c r="AK236" s="30" t="s">
        <v>50</v>
      </c>
      <c r="AL236" s="30" t="s">
        <v>50</v>
      </c>
      <c r="AM236" s="30" t="s">
        <v>50</v>
      </c>
      <c r="AN236" s="30" t="s">
        <v>1681</v>
      </c>
      <c r="AO236" s="30" t="s">
        <v>50</v>
      </c>
      <c r="AP236" s="30" t="s">
        <v>50</v>
      </c>
      <c r="AQ236" s="30" t="s">
        <v>50</v>
      </c>
      <c r="AR236" s="30" t="s">
        <v>50</v>
      </c>
      <c r="AS236" s="30" t="s">
        <v>50</v>
      </c>
      <c r="AT236" s="30" t="s">
        <v>1682</v>
      </c>
      <c r="AU236" s="30" t="s">
        <v>50</v>
      </c>
      <c r="AV236" s="34">
        <v>167690481143</v>
      </c>
    </row>
    <row r="237" spans="2:48" ht="15" customHeight="1">
      <c r="B237" s="28">
        <v>231</v>
      </c>
      <c r="C237" s="29" t="s">
        <v>2507</v>
      </c>
      <c r="D237" s="30" t="s">
        <v>50</v>
      </c>
      <c r="E237" s="31" t="s">
        <v>2508</v>
      </c>
      <c r="F237" s="31" t="s">
        <v>2509</v>
      </c>
      <c r="G237" s="32" t="s">
        <v>2510</v>
      </c>
      <c r="H237" s="30" t="s">
        <v>81</v>
      </c>
      <c r="I237" s="30" t="s">
        <v>2511</v>
      </c>
      <c r="J237" s="32" t="s">
        <v>494</v>
      </c>
      <c r="K237" s="30" t="s">
        <v>2511</v>
      </c>
      <c r="L237" s="32" t="s">
        <v>494</v>
      </c>
      <c r="M237" s="30" t="s">
        <v>1671</v>
      </c>
      <c r="N237" s="30" t="s">
        <v>1791</v>
      </c>
      <c r="O237" s="33">
        <v>66</v>
      </c>
      <c r="P237" s="33">
        <v>5690</v>
      </c>
      <c r="Q237" s="33">
        <v>5690</v>
      </c>
      <c r="R237" s="33">
        <v>3343</v>
      </c>
      <c r="S237" s="33">
        <v>26</v>
      </c>
      <c r="T237" s="33">
        <v>24</v>
      </c>
      <c r="U237" s="33">
        <v>2</v>
      </c>
      <c r="V237" s="33">
        <v>0</v>
      </c>
      <c r="W237" s="33" t="s">
        <v>50</v>
      </c>
      <c r="X237" s="33">
        <v>1</v>
      </c>
      <c r="Y237" s="30" t="s">
        <v>64</v>
      </c>
      <c r="Z237" s="30" t="s">
        <v>222</v>
      </c>
      <c r="AA237" s="30" t="s">
        <v>222</v>
      </c>
      <c r="AB237" s="30"/>
      <c r="AC237" s="30"/>
      <c r="AD237" s="30" t="s">
        <v>50</v>
      </c>
      <c r="AE237" s="30" t="s">
        <v>50</v>
      </c>
      <c r="AF237" s="30" t="s">
        <v>50</v>
      </c>
      <c r="AG237" s="30" t="s">
        <v>50</v>
      </c>
      <c r="AH237" s="30" t="s">
        <v>50</v>
      </c>
      <c r="AI237" s="30" t="s">
        <v>1673</v>
      </c>
      <c r="AJ237" s="30" t="s">
        <v>50</v>
      </c>
      <c r="AK237" s="30" t="s">
        <v>50</v>
      </c>
      <c r="AL237" s="30" t="s">
        <v>50</v>
      </c>
      <c r="AM237" s="30" t="s">
        <v>50</v>
      </c>
      <c r="AN237" s="30" t="s">
        <v>50</v>
      </c>
      <c r="AO237" s="30" t="s">
        <v>50</v>
      </c>
      <c r="AP237" s="30" t="s">
        <v>50</v>
      </c>
      <c r="AQ237" s="30" t="s">
        <v>50</v>
      </c>
      <c r="AR237" s="30" t="s">
        <v>50</v>
      </c>
      <c r="AS237" s="30" t="s">
        <v>50</v>
      </c>
      <c r="AT237" s="30" t="s">
        <v>299</v>
      </c>
      <c r="AU237" s="30" t="s">
        <v>50</v>
      </c>
      <c r="AV237" s="34">
        <v>167863610580</v>
      </c>
    </row>
    <row r="238" spans="2:48" ht="15" customHeight="1">
      <c r="B238" s="28">
        <v>232</v>
      </c>
      <c r="C238" s="29" t="s">
        <v>2512</v>
      </c>
      <c r="D238" s="30" t="s">
        <v>50</v>
      </c>
      <c r="E238" s="31" t="s">
        <v>2513</v>
      </c>
      <c r="F238" s="31" t="s">
        <v>50</v>
      </c>
      <c r="G238" s="32" t="s">
        <v>2514</v>
      </c>
      <c r="H238" s="30" t="s">
        <v>76</v>
      </c>
      <c r="I238" s="30" t="s">
        <v>1026</v>
      </c>
      <c r="J238" s="32" t="s">
        <v>1027</v>
      </c>
      <c r="K238" s="30" t="s">
        <v>387</v>
      </c>
      <c r="L238" s="32" t="s">
        <v>389</v>
      </c>
      <c r="M238" s="30" t="s">
        <v>1697</v>
      </c>
      <c r="N238" s="30" t="s">
        <v>1791</v>
      </c>
      <c r="O238" s="33">
        <v>2</v>
      </c>
      <c r="P238" s="33">
        <v>1084325</v>
      </c>
      <c r="Q238" s="33">
        <v>96</v>
      </c>
      <c r="R238" s="33">
        <v>0</v>
      </c>
      <c r="S238" s="33">
        <v>4</v>
      </c>
      <c r="T238" s="33">
        <v>4</v>
      </c>
      <c r="U238" s="33">
        <v>0</v>
      </c>
      <c r="V238" s="33">
        <v>0</v>
      </c>
      <c r="W238" s="33" t="s">
        <v>50</v>
      </c>
      <c r="X238" s="33">
        <v>1</v>
      </c>
      <c r="Y238" s="30" t="s">
        <v>64</v>
      </c>
      <c r="Z238" s="30" t="s">
        <v>186</v>
      </c>
      <c r="AA238" s="30" t="s">
        <v>222</v>
      </c>
      <c r="AB238" s="30" t="s">
        <v>1316</v>
      </c>
      <c r="AC238" s="30"/>
      <c r="AD238" s="30" t="s">
        <v>50</v>
      </c>
      <c r="AE238" s="30" t="s">
        <v>50</v>
      </c>
      <c r="AF238" s="30" t="s">
        <v>50</v>
      </c>
      <c r="AG238" s="30" t="s">
        <v>50</v>
      </c>
      <c r="AH238" s="30" t="s">
        <v>50</v>
      </c>
      <c r="AI238" s="30" t="s">
        <v>1673</v>
      </c>
      <c r="AJ238" s="30" t="s">
        <v>187</v>
      </c>
      <c r="AK238" s="30" t="s">
        <v>201</v>
      </c>
      <c r="AL238" s="30" t="s">
        <v>201</v>
      </c>
      <c r="AM238" s="30" t="s">
        <v>50</v>
      </c>
      <c r="AN238" s="30" t="s">
        <v>1681</v>
      </c>
      <c r="AO238" s="30" t="s">
        <v>50</v>
      </c>
      <c r="AP238" s="30" t="s">
        <v>50</v>
      </c>
      <c r="AQ238" s="30" t="s">
        <v>50</v>
      </c>
      <c r="AR238" s="30" t="s">
        <v>50</v>
      </c>
      <c r="AS238" s="30" t="s">
        <v>50</v>
      </c>
      <c r="AT238" s="30" t="s">
        <v>1682</v>
      </c>
      <c r="AU238" s="30" t="s">
        <v>50</v>
      </c>
      <c r="AV238" s="34">
        <v>167684984856</v>
      </c>
    </row>
    <row r="239" spans="2:48" ht="15" customHeight="1">
      <c r="B239" s="28">
        <v>233</v>
      </c>
      <c r="C239" s="29" t="s">
        <v>2515</v>
      </c>
      <c r="D239" s="30" t="s">
        <v>50</v>
      </c>
      <c r="E239" s="31" t="s">
        <v>2516</v>
      </c>
      <c r="F239" s="31" t="s">
        <v>50</v>
      </c>
      <c r="G239" s="32" t="s">
        <v>2517</v>
      </c>
      <c r="H239" s="30" t="s">
        <v>71</v>
      </c>
      <c r="I239" s="30" t="s">
        <v>484</v>
      </c>
      <c r="J239" s="32" t="s">
        <v>485</v>
      </c>
      <c r="K239" s="30" t="s">
        <v>484</v>
      </c>
      <c r="L239" s="32" t="s">
        <v>485</v>
      </c>
      <c r="M239" s="30" t="s">
        <v>1989</v>
      </c>
      <c r="N239" s="30" t="s">
        <v>1672</v>
      </c>
      <c r="O239" s="33"/>
      <c r="P239" s="33">
        <v>217</v>
      </c>
      <c r="Q239" s="33">
        <v>217</v>
      </c>
      <c r="R239" s="33">
        <v>0</v>
      </c>
      <c r="S239" s="33">
        <v>0</v>
      </c>
      <c r="T239" s="33">
        <v>0</v>
      </c>
      <c r="U239" s="33">
        <v>0</v>
      </c>
      <c r="V239" s="33">
        <v>0</v>
      </c>
      <c r="W239" s="33" t="s">
        <v>50</v>
      </c>
      <c r="X239" s="33">
        <v>19</v>
      </c>
      <c r="Y239" s="30" t="s">
        <v>64</v>
      </c>
      <c r="Z239" s="30" t="s">
        <v>192</v>
      </c>
      <c r="AA239" s="30" t="s">
        <v>192</v>
      </c>
      <c r="AB239" s="30"/>
      <c r="AC239" s="30"/>
      <c r="AD239" s="30" t="s">
        <v>50</v>
      </c>
      <c r="AE239" s="30" t="s">
        <v>50</v>
      </c>
      <c r="AF239" s="30" t="s">
        <v>50</v>
      </c>
      <c r="AG239" s="30" t="s">
        <v>50</v>
      </c>
      <c r="AH239" s="30" t="s">
        <v>50</v>
      </c>
      <c r="AI239" s="30" t="s">
        <v>1673</v>
      </c>
      <c r="AJ239" s="30" t="s">
        <v>50</v>
      </c>
      <c r="AK239" s="30" t="s">
        <v>50</v>
      </c>
      <c r="AL239" s="30" t="s">
        <v>50</v>
      </c>
      <c r="AM239" s="30" t="s">
        <v>35</v>
      </c>
      <c r="AN239" s="30" t="s">
        <v>1681</v>
      </c>
      <c r="AO239" s="30" t="s">
        <v>50</v>
      </c>
      <c r="AP239" s="30" t="s">
        <v>50</v>
      </c>
      <c r="AQ239" s="30" t="s">
        <v>50</v>
      </c>
      <c r="AR239" s="30" t="s">
        <v>50</v>
      </c>
      <c r="AS239" s="30" t="s">
        <v>50</v>
      </c>
      <c r="AT239" s="30" t="s">
        <v>299</v>
      </c>
      <c r="AU239" s="30" t="s">
        <v>50</v>
      </c>
      <c r="AV239" s="34">
        <v>167998260211</v>
      </c>
    </row>
    <row r="240" spans="2:48" ht="15" customHeight="1">
      <c r="B240" s="28">
        <v>234</v>
      </c>
      <c r="C240" s="29" t="s">
        <v>2518</v>
      </c>
      <c r="D240" s="30" t="s">
        <v>50</v>
      </c>
      <c r="E240" s="31" t="s">
        <v>2519</v>
      </c>
      <c r="F240" s="31" t="s">
        <v>50</v>
      </c>
      <c r="G240" s="32" t="s">
        <v>2520</v>
      </c>
      <c r="H240" s="30" t="s">
        <v>65</v>
      </c>
      <c r="I240" s="30" t="s">
        <v>1080</v>
      </c>
      <c r="J240" s="32" t="s">
        <v>2521</v>
      </c>
      <c r="K240" s="30" t="s">
        <v>289</v>
      </c>
      <c r="L240" s="32" t="s">
        <v>2506</v>
      </c>
      <c r="M240" s="30" t="s">
        <v>1671</v>
      </c>
      <c r="N240" s="30" t="s">
        <v>1679</v>
      </c>
      <c r="O240" s="33"/>
      <c r="P240" s="33">
        <v>2904</v>
      </c>
      <c r="Q240" s="33">
        <v>0</v>
      </c>
      <c r="R240" s="33">
        <v>0</v>
      </c>
      <c r="S240" s="33">
        <v>0</v>
      </c>
      <c r="T240" s="33">
        <v>0</v>
      </c>
      <c r="U240" s="33">
        <v>0</v>
      </c>
      <c r="V240" s="33">
        <v>0</v>
      </c>
      <c r="W240" s="33" t="s">
        <v>50</v>
      </c>
      <c r="X240" s="33">
        <v>1</v>
      </c>
      <c r="Y240" s="30" t="s">
        <v>67</v>
      </c>
      <c r="Z240" s="30" t="s">
        <v>186</v>
      </c>
      <c r="AA240" s="30" t="s">
        <v>222</v>
      </c>
      <c r="AB240" s="30"/>
      <c r="AC240" s="30"/>
      <c r="AD240" s="30" t="s">
        <v>50</v>
      </c>
      <c r="AE240" s="30" t="s">
        <v>50</v>
      </c>
      <c r="AF240" s="30" t="s">
        <v>50</v>
      </c>
      <c r="AG240" s="30" t="s">
        <v>50</v>
      </c>
      <c r="AH240" s="30" t="s">
        <v>50</v>
      </c>
      <c r="AI240" s="30" t="s">
        <v>1673</v>
      </c>
      <c r="AJ240" s="30" t="s">
        <v>50</v>
      </c>
      <c r="AK240" s="30" t="s">
        <v>50</v>
      </c>
      <c r="AL240" s="30" t="s">
        <v>50</v>
      </c>
      <c r="AM240" s="30" t="s">
        <v>50</v>
      </c>
      <c r="AN240" s="30" t="s">
        <v>50</v>
      </c>
      <c r="AO240" s="30" t="s">
        <v>50</v>
      </c>
      <c r="AP240" s="30" t="s">
        <v>50</v>
      </c>
      <c r="AQ240" s="30" t="s">
        <v>50</v>
      </c>
      <c r="AR240" s="30" t="s">
        <v>50</v>
      </c>
      <c r="AS240" s="30" t="s">
        <v>50</v>
      </c>
      <c r="AT240" s="30" t="s">
        <v>1682</v>
      </c>
      <c r="AU240" s="30" t="s">
        <v>50</v>
      </c>
      <c r="AV240" s="34">
        <v>167671439936</v>
      </c>
    </row>
    <row r="241" spans="2:48" ht="15" customHeight="1">
      <c r="B241" s="28">
        <v>235</v>
      </c>
      <c r="C241" s="29" t="s">
        <v>2522</v>
      </c>
      <c r="D241" s="30" t="s">
        <v>50</v>
      </c>
      <c r="E241" s="31" t="s">
        <v>2516</v>
      </c>
      <c r="F241" s="31" t="s">
        <v>50</v>
      </c>
      <c r="G241" s="32" t="s">
        <v>2523</v>
      </c>
      <c r="H241" s="30" t="s">
        <v>71</v>
      </c>
      <c r="I241" s="30" t="s">
        <v>498</v>
      </c>
      <c r="J241" s="32" t="s">
        <v>499</v>
      </c>
      <c r="K241" s="30" t="s">
        <v>498</v>
      </c>
      <c r="L241" s="32" t="s">
        <v>499</v>
      </c>
      <c r="M241" s="30" t="s">
        <v>1989</v>
      </c>
      <c r="N241" s="30" t="s">
        <v>1672</v>
      </c>
      <c r="O241" s="33"/>
      <c r="P241" s="33">
        <v>1253</v>
      </c>
      <c r="Q241" s="33">
        <v>1253</v>
      </c>
      <c r="R241" s="33">
        <v>0</v>
      </c>
      <c r="S241" s="33">
        <v>0</v>
      </c>
      <c r="T241" s="33">
        <v>0</v>
      </c>
      <c r="U241" s="33">
        <v>0</v>
      </c>
      <c r="V241" s="33">
        <v>0</v>
      </c>
      <c r="W241" s="33" t="s">
        <v>50</v>
      </c>
      <c r="X241" s="33">
        <v>19</v>
      </c>
      <c r="Y241" s="30" t="s">
        <v>64</v>
      </c>
      <c r="Z241" s="30" t="s">
        <v>192</v>
      </c>
      <c r="AA241" s="30" t="s">
        <v>192</v>
      </c>
      <c r="AB241" s="30"/>
      <c r="AC241" s="30"/>
      <c r="AD241" s="30" t="s">
        <v>50</v>
      </c>
      <c r="AE241" s="30" t="s">
        <v>50</v>
      </c>
      <c r="AF241" s="30" t="s">
        <v>50</v>
      </c>
      <c r="AG241" s="30" t="s">
        <v>50</v>
      </c>
      <c r="AH241" s="30" t="s">
        <v>50</v>
      </c>
      <c r="AI241" s="30" t="s">
        <v>1673</v>
      </c>
      <c r="AJ241" s="30" t="s">
        <v>392</v>
      </c>
      <c r="AK241" s="30" t="s">
        <v>2524</v>
      </c>
      <c r="AL241" s="30" t="s">
        <v>501</v>
      </c>
      <c r="AM241" s="30" t="s">
        <v>35</v>
      </c>
      <c r="AN241" s="30" t="s">
        <v>1681</v>
      </c>
      <c r="AO241" s="30" t="s">
        <v>50</v>
      </c>
      <c r="AP241" s="30" t="s">
        <v>50</v>
      </c>
      <c r="AQ241" s="30" t="s">
        <v>50</v>
      </c>
      <c r="AR241" s="30" t="s">
        <v>50</v>
      </c>
      <c r="AS241" s="30" t="s">
        <v>50</v>
      </c>
      <c r="AT241" s="30" t="s">
        <v>299</v>
      </c>
      <c r="AU241" s="30" t="s">
        <v>50</v>
      </c>
      <c r="AV241" s="34">
        <v>167883254344</v>
      </c>
    </row>
    <row r="242" spans="2:48" ht="15" customHeight="1">
      <c r="B242" s="28">
        <v>236</v>
      </c>
      <c r="C242" s="29" t="s">
        <v>2525</v>
      </c>
      <c r="D242" s="30" t="s">
        <v>50</v>
      </c>
      <c r="E242" s="31" t="s">
        <v>2516</v>
      </c>
      <c r="F242" s="31" t="s">
        <v>50</v>
      </c>
      <c r="G242" s="32" t="s">
        <v>2526</v>
      </c>
      <c r="H242" s="30" t="s">
        <v>71</v>
      </c>
      <c r="I242" s="30" t="s">
        <v>449</v>
      </c>
      <c r="J242" s="32" t="s">
        <v>450</v>
      </c>
      <c r="K242" s="30" t="s">
        <v>449</v>
      </c>
      <c r="L242" s="32" t="s">
        <v>450</v>
      </c>
      <c r="M242" s="30" t="s">
        <v>1989</v>
      </c>
      <c r="N242" s="30" t="s">
        <v>1672</v>
      </c>
      <c r="O242" s="33"/>
      <c r="P242" s="33">
        <v>0</v>
      </c>
      <c r="Q242" s="33">
        <v>0</v>
      </c>
      <c r="R242" s="33">
        <v>0</v>
      </c>
      <c r="S242" s="33">
        <v>0</v>
      </c>
      <c r="T242" s="33">
        <v>0</v>
      </c>
      <c r="U242" s="33">
        <v>0</v>
      </c>
      <c r="V242" s="33">
        <v>0</v>
      </c>
      <c r="W242" s="33" t="s">
        <v>50</v>
      </c>
      <c r="X242" s="33">
        <v>19</v>
      </c>
      <c r="Y242" s="30" t="s">
        <v>64</v>
      </c>
      <c r="Z242" s="30" t="s">
        <v>222</v>
      </c>
      <c r="AA242" s="30" t="s">
        <v>192</v>
      </c>
      <c r="AB242" s="30" t="s">
        <v>1316</v>
      </c>
      <c r="AC242" s="30"/>
      <c r="AD242" s="30" t="s">
        <v>50</v>
      </c>
      <c r="AE242" s="30" t="s">
        <v>50</v>
      </c>
      <c r="AF242" s="30" t="s">
        <v>50</v>
      </c>
      <c r="AG242" s="30" t="s">
        <v>50</v>
      </c>
      <c r="AH242" s="30" t="s">
        <v>50</v>
      </c>
      <c r="AI242" s="30" t="s">
        <v>1673</v>
      </c>
      <c r="AJ242" s="30" t="s">
        <v>50</v>
      </c>
      <c r="AK242" s="30" t="s">
        <v>50</v>
      </c>
      <c r="AL242" s="30" t="s">
        <v>50</v>
      </c>
      <c r="AM242" s="30" t="s">
        <v>35</v>
      </c>
      <c r="AN242" s="30" t="s">
        <v>1681</v>
      </c>
      <c r="AO242" s="30" t="s">
        <v>50</v>
      </c>
      <c r="AP242" s="30" t="s">
        <v>50</v>
      </c>
      <c r="AQ242" s="30" t="s">
        <v>50</v>
      </c>
      <c r="AR242" s="30" t="s">
        <v>50</v>
      </c>
      <c r="AS242" s="30" t="s">
        <v>50</v>
      </c>
      <c r="AT242" s="30" t="s">
        <v>299</v>
      </c>
      <c r="AU242" s="30" t="s">
        <v>50</v>
      </c>
      <c r="AV242" s="34">
        <v>167708864891</v>
      </c>
    </row>
    <row r="243" spans="2:48" ht="15" customHeight="1">
      <c r="B243" s="28">
        <v>237</v>
      </c>
      <c r="C243" s="29" t="s">
        <v>2527</v>
      </c>
      <c r="D243" s="30" t="s">
        <v>50</v>
      </c>
      <c r="E243" s="31" t="s">
        <v>2528</v>
      </c>
      <c r="F243" s="31" t="s">
        <v>50</v>
      </c>
      <c r="G243" s="32" t="s">
        <v>2529</v>
      </c>
      <c r="H243" s="30" t="s">
        <v>65</v>
      </c>
      <c r="I243" s="30" t="s">
        <v>921</v>
      </c>
      <c r="J243" s="32" t="s">
        <v>1782</v>
      </c>
      <c r="K243" s="30" t="s">
        <v>314</v>
      </c>
      <c r="L243" s="32" t="s">
        <v>1783</v>
      </c>
      <c r="M243" s="30" t="s">
        <v>1697</v>
      </c>
      <c r="N243" s="30" t="s">
        <v>1672</v>
      </c>
      <c r="O243" s="33"/>
      <c r="P243" s="33">
        <v>11519</v>
      </c>
      <c r="Q243" s="33">
        <v>0</v>
      </c>
      <c r="R243" s="33">
        <v>0</v>
      </c>
      <c r="S243" s="33">
        <v>0</v>
      </c>
      <c r="T243" s="33">
        <v>0</v>
      </c>
      <c r="U243" s="33">
        <v>0</v>
      </c>
      <c r="V243" s="33">
        <v>0</v>
      </c>
      <c r="W243" s="33" t="s">
        <v>50</v>
      </c>
      <c r="X243" s="33">
        <v>1</v>
      </c>
      <c r="Y243" s="30" t="s">
        <v>67</v>
      </c>
      <c r="Z243" s="30" t="s">
        <v>186</v>
      </c>
      <c r="AA243" s="30" t="s">
        <v>222</v>
      </c>
      <c r="AB243" s="30" t="s">
        <v>1316</v>
      </c>
      <c r="AC243" s="30"/>
      <c r="AD243" s="30" t="s">
        <v>50</v>
      </c>
      <c r="AE243" s="30" t="s">
        <v>50</v>
      </c>
      <c r="AF243" s="30" t="s">
        <v>50</v>
      </c>
      <c r="AG243" s="30" t="s">
        <v>50</v>
      </c>
      <c r="AH243" s="30" t="s">
        <v>50</v>
      </c>
      <c r="AI243" s="30" t="s">
        <v>1673</v>
      </c>
      <c r="AJ243" s="30" t="s">
        <v>50</v>
      </c>
      <c r="AK243" s="30" t="s">
        <v>50</v>
      </c>
      <c r="AL243" s="30" t="s">
        <v>50</v>
      </c>
      <c r="AM243" s="30" t="s">
        <v>50</v>
      </c>
      <c r="AN243" s="30" t="s">
        <v>1681</v>
      </c>
      <c r="AO243" s="30" t="s">
        <v>50</v>
      </c>
      <c r="AP243" s="30" t="s">
        <v>50</v>
      </c>
      <c r="AQ243" s="30" t="s">
        <v>50</v>
      </c>
      <c r="AR243" s="30" t="s">
        <v>50</v>
      </c>
      <c r="AS243" s="30" t="s">
        <v>50</v>
      </c>
      <c r="AT243" s="30" t="s">
        <v>1682</v>
      </c>
      <c r="AU243" s="30" t="s">
        <v>50</v>
      </c>
      <c r="AV243" s="34">
        <v>167645836717</v>
      </c>
    </row>
    <row r="244" spans="2:48" ht="15" customHeight="1">
      <c r="B244" s="28">
        <v>238</v>
      </c>
      <c r="C244" s="29" t="s">
        <v>2530</v>
      </c>
      <c r="D244" s="30" t="s">
        <v>50</v>
      </c>
      <c r="E244" s="31" t="s">
        <v>2531</v>
      </c>
      <c r="F244" s="31" t="s">
        <v>50</v>
      </c>
      <c r="G244" s="32" t="s">
        <v>2532</v>
      </c>
      <c r="H244" s="30" t="s">
        <v>62</v>
      </c>
      <c r="I244" s="30" t="s">
        <v>356</v>
      </c>
      <c r="J244" s="32" t="s">
        <v>357</v>
      </c>
      <c r="K244" s="30" t="s">
        <v>356</v>
      </c>
      <c r="L244" s="32" t="s">
        <v>357</v>
      </c>
      <c r="M244" s="30" t="s">
        <v>1989</v>
      </c>
      <c r="N244" s="30" t="s">
        <v>1672</v>
      </c>
      <c r="O244" s="33"/>
      <c r="P244" s="33">
        <v>257</v>
      </c>
      <c r="Q244" s="33">
        <v>257</v>
      </c>
      <c r="R244" s="33">
        <v>3</v>
      </c>
      <c r="S244" s="33">
        <v>0</v>
      </c>
      <c r="T244" s="33">
        <v>0</v>
      </c>
      <c r="U244" s="33">
        <v>0</v>
      </c>
      <c r="V244" s="33">
        <v>0</v>
      </c>
      <c r="W244" s="33" t="s">
        <v>50</v>
      </c>
      <c r="X244" s="33">
        <v>4</v>
      </c>
      <c r="Y244" s="30" t="s">
        <v>64</v>
      </c>
      <c r="Z244" s="30" t="s">
        <v>222</v>
      </c>
      <c r="AA244" s="30" t="s">
        <v>222</v>
      </c>
      <c r="AB244" s="30" t="s">
        <v>1316</v>
      </c>
      <c r="AC244" s="30">
        <v>74</v>
      </c>
      <c r="AD244" s="30" t="s">
        <v>50</v>
      </c>
      <c r="AE244" s="30" t="s">
        <v>50</v>
      </c>
      <c r="AF244" s="30" t="s">
        <v>50</v>
      </c>
      <c r="AG244" s="30" t="s">
        <v>50</v>
      </c>
      <c r="AH244" s="30" t="s">
        <v>50</v>
      </c>
      <c r="AI244" s="30" t="s">
        <v>1673</v>
      </c>
      <c r="AJ244" s="30" t="s">
        <v>187</v>
      </c>
      <c r="AK244" s="30" t="s">
        <v>2533</v>
      </c>
      <c r="AL244" s="30" t="s">
        <v>359</v>
      </c>
      <c r="AM244" s="30" t="s">
        <v>50</v>
      </c>
      <c r="AN244" s="30" t="s">
        <v>50</v>
      </c>
      <c r="AO244" s="30" t="s">
        <v>50</v>
      </c>
      <c r="AP244" s="30" t="s">
        <v>50</v>
      </c>
      <c r="AQ244" s="30" t="s">
        <v>50</v>
      </c>
      <c r="AR244" s="30" t="s">
        <v>50</v>
      </c>
      <c r="AS244" s="30" t="s">
        <v>50</v>
      </c>
      <c r="AT244" s="30" t="s">
        <v>299</v>
      </c>
      <c r="AU244" s="30" t="s">
        <v>50</v>
      </c>
      <c r="AV244" s="34">
        <v>167645415546</v>
      </c>
    </row>
    <row r="245" spans="2:48" ht="15" customHeight="1">
      <c r="B245" s="28">
        <v>239</v>
      </c>
      <c r="C245" s="29" t="s">
        <v>2534</v>
      </c>
      <c r="D245" s="30" t="s">
        <v>50</v>
      </c>
      <c r="E245" s="31" t="s">
        <v>2535</v>
      </c>
      <c r="F245" s="31" t="s">
        <v>50</v>
      </c>
      <c r="G245" s="32" t="s">
        <v>2536</v>
      </c>
      <c r="H245" s="30" t="s">
        <v>65</v>
      </c>
      <c r="I245" s="30" t="s">
        <v>1049</v>
      </c>
      <c r="J245" s="32" t="s">
        <v>2537</v>
      </c>
      <c r="K245" s="30" t="s">
        <v>605</v>
      </c>
      <c r="L245" s="32" t="s">
        <v>2538</v>
      </c>
      <c r="M245" s="30" t="s">
        <v>1671</v>
      </c>
      <c r="N245" s="30" t="s">
        <v>1672</v>
      </c>
      <c r="O245" s="33"/>
      <c r="P245" s="33">
        <v>825</v>
      </c>
      <c r="Q245" s="33">
        <v>0</v>
      </c>
      <c r="R245" s="33">
        <v>0</v>
      </c>
      <c r="S245" s="33">
        <v>0</v>
      </c>
      <c r="T245" s="33">
        <v>0</v>
      </c>
      <c r="U245" s="33">
        <v>0</v>
      </c>
      <c r="V245" s="33">
        <v>0</v>
      </c>
      <c r="W245" s="33" t="s">
        <v>50</v>
      </c>
      <c r="X245" s="33">
        <v>1</v>
      </c>
      <c r="Y245" s="30" t="s">
        <v>67</v>
      </c>
      <c r="Z245" s="30" t="s">
        <v>186</v>
      </c>
      <c r="AA245" s="30" t="s">
        <v>222</v>
      </c>
      <c r="AB245" s="30"/>
      <c r="AC245" s="30"/>
      <c r="AD245" s="30" t="s">
        <v>50</v>
      </c>
      <c r="AE245" s="30" t="s">
        <v>50</v>
      </c>
      <c r="AF245" s="30" t="s">
        <v>50</v>
      </c>
      <c r="AG245" s="30" t="s">
        <v>50</v>
      </c>
      <c r="AH245" s="30" t="s">
        <v>50</v>
      </c>
      <c r="AI245" s="30" t="s">
        <v>1673</v>
      </c>
      <c r="AJ245" s="30" t="s">
        <v>50</v>
      </c>
      <c r="AK245" s="30" t="s">
        <v>50</v>
      </c>
      <c r="AL245" s="30" t="s">
        <v>50</v>
      </c>
      <c r="AM245" s="30" t="s">
        <v>50</v>
      </c>
      <c r="AN245" s="30" t="s">
        <v>50</v>
      </c>
      <c r="AO245" s="30" t="s">
        <v>50</v>
      </c>
      <c r="AP245" s="30" t="s">
        <v>50</v>
      </c>
      <c r="AQ245" s="30" t="s">
        <v>50</v>
      </c>
      <c r="AR245" s="30" t="s">
        <v>50</v>
      </c>
      <c r="AS245" s="30" t="s">
        <v>50</v>
      </c>
      <c r="AT245" s="30" t="s">
        <v>299</v>
      </c>
      <c r="AU245" s="30" t="s">
        <v>50</v>
      </c>
      <c r="AV245" s="34">
        <v>167632324601</v>
      </c>
    </row>
    <row r="246" spans="2:48" ht="15" customHeight="1">
      <c r="B246" s="28">
        <v>240</v>
      </c>
      <c r="C246" s="29" t="s">
        <v>2539</v>
      </c>
      <c r="D246" s="30" t="s">
        <v>318</v>
      </c>
      <c r="E246" s="31" t="s">
        <v>2540</v>
      </c>
      <c r="F246" s="31" t="s">
        <v>50</v>
      </c>
      <c r="G246" s="32" t="s">
        <v>2541</v>
      </c>
      <c r="H246" s="30" t="s">
        <v>73</v>
      </c>
      <c r="I246" s="30" t="s">
        <v>1226</v>
      </c>
      <c r="J246" s="32" t="s">
        <v>1227</v>
      </c>
      <c r="K246" s="30" t="s">
        <v>316</v>
      </c>
      <c r="L246" s="32" t="s">
        <v>317</v>
      </c>
      <c r="M246" s="30" t="s">
        <v>1718</v>
      </c>
      <c r="N246" s="30" t="s">
        <v>1672</v>
      </c>
      <c r="O246" s="33"/>
      <c r="P246" s="33">
        <v>0</v>
      </c>
      <c r="Q246" s="33">
        <v>0</v>
      </c>
      <c r="R246" s="33" t="s">
        <v>158</v>
      </c>
      <c r="S246" s="33">
        <v>0</v>
      </c>
      <c r="T246" s="33" t="s">
        <v>158</v>
      </c>
      <c r="U246" s="33" t="s">
        <v>158</v>
      </c>
      <c r="V246" s="33" t="s">
        <v>158</v>
      </c>
      <c r="W246" s="33" t="s">
        <v>50</v>
      </c>
      <c r="X246" s="33">
        <v>1</v>
      </c>
      <c r="Y246" s="30" t="s">
        <v>75</v>
      </c>
      <c r="Z246" s="30" t="s">
        <v>192</v>
      </c>
      <c r="AA246" s="30" t="s">
        <v>192</v>
      </c>
      <c r="AB246" s="30" t="s">
        <v>1315</v>
      </c>
      <c r="AC246" s="30"/>
      <c r="AD246" s="30" t="s">
        <v>50</v>
      </c>
      <c r="AE246" s="30" t="s">
        <v>50</v>
      </c>
      <c r="AF246" s="30" t="s">
        <v>50</v>
      </c>
      <c r="AG246" s="30" t="s">
        <v>50</v>
      </c>
      <c r="AH246" s="30" t="s">
        <v>50</v>
      </c>
      <c r="AI246" s="30" t="s">
        <v>1673</v>
      </c>
      <c r="AJ246" s="30" t="s">
        <v>50</v>
      </c>
      <c r="AK246" s="30" t="s">
        <v>50</v>
      </c>
      <c r="AL246" s="30" t="s">
        <v>50</v>
      </c>
      <c r="AM246" s="30" t="s">
        <v>50</v>
      </c>
      <c r="AN246" s="30" t="s">
        <v>1681</v>
      </c>
      <c r="AO246" s="30" t="s">
        <v>50</v>
      </c>
      <c r="AP246" s="30" t="s">
        <v>50</v>
      </c>
      <c r="AQ246" s="30" t="s">
        <v>50</v>
      </c>
      <c r="AR246" s="30" t="s">
        <v>50</v>
      </c>
      <c r="AS246" s="30" t="s">
        <v>50</v>
      </c>
      <c r="AT246" s="30" t="s">
        <v>1682</v>
      </c>
      <c r="AU246" s="30" t="s">
        <v>50</v>
      </c>
      <c r="AV246" s="34">
        <v>167636417487</v>
      </c>
    </row>
    <row r="247" spans="2:48" ht="15" customHeight="1">
      <c r="B247" s="28">
        <v>241</v>
      </c>
      <c r="C247" s="29" t="s">
        <v>2542</v>
      </c>
      <c r="D247" s="30" t="s">
        <v>318</v>
      </c>
      <c r="E247" s="31" t="s">
        <v>2543</v>
      </c>
      <c r="F247" s="31" t="s">
        <v>50</v>
      </c>
      <c r="G247" s="32" t="s">
        <v>2544</v>
      </c>
      <c r="H247" s="30" t="s">
        <v>73</v>
      </c>
      <c r="I247" s="30" t="s">
        <v>1232</v>
      </c>
      <c r="J247" s="32" t="s">
        <v>1233</v>
      </c>
      <c r="K247" s="30" t="s">
        <v>316</v>
      </c>
      <c r="L247" s="32" t="s">
        <v>317</v>
      </c>
      <c r="M247" s="30" t="s">
        <v>1718</v>
      </c>
      <c r="N247" s="30" t="s">
        <v>1672</v>
      </c>
      <c r="O247" s="33"/>
      <c r="P247" s="33">
        <v>0</v>
      </c>
      <c r="Q247" s="33">
        <v>0</v>
      </c>
      <c r="R247" s="33" t="s">
        <v>158</v>
      </c>
      <c r="S247" s="33">
        <v>0</v>
      </c>
      <c r="T247" s="33" t="s">
        <v>158</v>
      </c>
      <c r="U247" s="33" t="s">
        <v>158</v>
      </c>
      <c r="V247" s="33" t="s">
        <v>158</v>
      </c>
      <c r="W247" s="33" t="s">
        <v>50</v>
      </c>
      <c r="X247" s="33">
        <v>1</v>
      </c>
      <c r="Y247" s="30" t="s">
        <v>75</v>
      </c>
      <c r="Z247" s="30" t="s">
        <v>192</v>
      </c>
      <c r="AA247" s="30" t="s">
        <v>192</v>
      </c>
      <c r="AB247" s="30" t="s">
        <v>1316</v>
      </c>
      <c r="AC247" s="30"/>
      <c r="AD247" s="30" t="s">
        <v>50</v>
      </c>
      <c r="AE247" s="30" t="s">
        <v>50</v>
      </c>
      <c r="AF247" s="30" t="s">
        <v>50</v>
      </c>
      <c r="AG247" s="30" t="s">
        <v>50</v>
      </c>
      <c r="AH247" s="30" t="s">
        <v>50</v>
      </c>
      <c r="AI247" s="30" t="s">
        <v>1673</v>
      </c>
      <c r="AJ247" s="30" t="s">
        <v>50</v>
      </c>
      <c r="AK247" s="30" t="s">
        <v>50</v>
      </c>
      <c r="AL247" s="30" t="s">
        <v>50</v>
      </c>
      <c r="AM247" s="30" t="s">
        <v>50</v>
      </c>
      <c r="AN247" s="30" t="s">
        <v>1681</v>
      </c>
      <c r="AO247" s="30" t="s">
        <v>50</v>
      </c>
      <c r="AP247" s="30" t="s">
        <v>50</v>
      </c>
      <c r="AQ247" s="30" t="s">
        <v>50</v>
      </c>
      <c r="AR247" s="30" t="s">
        <v>50</v>
      </c>
      <c r="AS247" s="30" t="s">
        <v>50</v>
      </c>
      <c r="AT247" s="30" t="s">
        <v>1682</v>
      </c>
      <c r="AU247" s="30" t="s">
        <v>50</v>
      </c>
      <c r="AV247" s="34">
        <v>167636367996</v>
      </c>
    </row>
    <row r="248" spans="2:48" ht="15" customHeight="1">
      <c r="B248" s="28">
        <v>242</v>
      </c>
      <c r="C248" s="29" t="s">
        <v>2545</v>
      </c>
      <c r="D248" s="30" t="s">
        <v>2546</v>
      </c>
      <c r="E248" s="31" t="s">
        <v>2547</v>
      </c>
      <c r="F248" s="31" t="s">
        <v>2548</v>
      </c>
      <c r="G248" s="32" t="s">
        <v>2549</v>
      </c>
      <c r="H248" s="30" t="s">
        <v>76</v>
      </c>
      <c r="I248" s="30" t="s">
        <v>601</v>
      </c>
      <c r="J248" s="32" t="s">
        <v>602</v>
      </c>
      <c r="K248" s="30" t="s">
        <v>601</v>
      </c>
      <c r="L248" s="32" t="s">
        <v>602</v>
      </c>
      <c r="M248" s="30" t="s">
        <v>1671</v>
      </c>
      <c r="N248" s="30" t="s">
        <v>1672</v>
      </c>
      <c r="O248" s="33">
        <v>28</v>
      </c>
      <c r="P248" s="33">
        <v>60281</v>
      </c>
      <c r="Q248" s="33">
        <v>60281</v>
      </c>
      <c r="R248" s="33">
        <v>0</v>
      </c>
      <c r="S248" s="33">
        <v>15</v>
      </c>
      <c r="T248" s="33">
        <v>15</v>
      </c>
      <c r="U248" s="33">
        <v>0</v>
      </c>
      <c r="V248" s="33">
        <v>0</v>
      </c>
      <c r="W248" s="33" t="s">
        <v>50</v>
      </c>
      <c r="X248" s="33">
        <v>8</v>
      </c>
      <c r="Y248" s="30" t="s">
        <v>64</v>
      </c>
      <c r="Z248" s="30" t="s">
        <v>186</v>
      </c>
      <c r="AA248" s="30" t="s">
        <v>186</v>
      </c>
      <c r="AB248" s="30"/>
      <c r="AC248" s="30"/>
      <c r="AD248" s="30" t="s">
        <v>50</v>
      </c>
      <c r="AE248" s="30" t="s">
        <v>50</v>
      </c>
      <c r="AF248" s="30" t="s">
        <v>50</v>
      </c>
      <c r="AG248" s="30" t="s">
        <v>50</v>
      </c>
      <c r="AH248" s="30" t="s">
        <v>50</v>
      </c>
      <c r="AI248" s="30" t="s">
        <v>1673</v>
      </c>
      <c r="AJ248" s="30" t="s">
        <v>50</v>
      </c>
      <c r="AK248" s="30" t="s">
        <v>50</v>
      </c>
      <c r="AL248" s="30" t="s">
        <v>50</v>
      </c>
      <c r="AM248" s="30" t="s">
        <v>50</v>
      </c>
      <c r="AN248" s="30" t="s">
        <v>50</v>
      </c>
      <c r="AO248" s="30" t="s">
        <v>50</v>
      </c>
      <c r="AP248" s="30" t="s">
        <v>50</v>
      </c>
      <c r="AQ248" s="30" t="s">
        <v>50</v>
      </c>
      <c r="AR248" s="30" t="s">
        <v>50</v>
      </c>
      <c r="AS248" s="30" t="s">
        <v>50</v>
      </c>
      <c r="AT248" s="30" t="s">
        <v>299</v>
      </c>
      <c r="AU248" s="30" t="s">
        <v>50</v>
      </c>
      <c r="AV248" s="34">
        <v>167619662416</v>
      </c>
    </row>
    <row r="249" spans="2:48" ht="15" customHeight="1">
      <c r="B249" s="28">
        <v>243</v>
      </c>
      <c r="C249" s="29" t="s">
        <v>2550</v>
      </c>
      <c r="D249" s="30" t="s">
        <v>2546</v>
      </c>
      <c r="E249" s="31" t="s">
        <v>2547</v>
      </c>
      <c r="F249" s="31" t="s">
        <v>2551</v>
      </c>
      <c r="G249" s="32" t="s">
        <v>2552</v>
      </c>
      <c r="H249" s="30" t="s">
        <v>76</v>
      </c>
      <c r="I249" s="30" t="s">
        <v>576</v>
      </c>
      <c r="J249" s="32" t="s">
        <v>577</v>
      </c>
      <c r="K249" s="30" t="s">
        <v>576</v>
      </c>
      <c r="L249" s="32" t="s">
        <v>577</v>
      </c>
      <c r="M249" s="30" t="s">
        <v>1671</v>
      </c>
      <c r="N249" s="30" t="s">
        <v>1672</v>
      </c>
      <c r="O249" s="33">
        <v>40</v>
      </c>
      <c r="P249" s="33">
        <v>258743</v>
      </c>
      <c r="Q249" s="33">
        <v>258743</v>
      </c>
      <c r="R249" s="33">
        <v>0</v>
      </c>
      <c r="S249" s="33">
        <v>15</v>
      </c>
      <c r="T249" s="33">
        <v>15</v>
      </c>
      <c r="U249" s="33">
        <v>0</v>
      </c>
      <c r="V249" s="33">
        <v>0</v>
      </c>
      <c r="W249" s="33" t="s">
        <v>50</v>
      </c>
      <c r="X249" s="33">
        <v>8</v>
      </c>
      <c r="Y249" s="30" t="s">
        <v>64</v>
      </c>
      <c r="Z249" s="30" t="s">
        <v>186</v>
      </c>
      <c r="AA249" s="30" t="s">
        <v>186</v>
      </c>
      <c r="AB249" s="30"/>
      <c r="AC249" s="30"/>
      <c r="AD249" s="30" t="s">
        <v>50</v>
      </c>
      <c r="AE249" s="30" t="s">
        <v>50</v>
      </c>
      <c r="AF249" s="30" t="s">
        <v>50</v>
      </c>
      <c r="AG249" s="30" t="s">
        <v>50</v>
      </c>
      <c r="AH249" s="30" t="s">
        <v>50</v>
      </c>
      <c r="AI249" s="30" t="s">
        <v>1673</v>
      </c>
      <c r="AJ249" s="30" t="s">
        <v>187</v>
      </c>
      <c r="AK249" s="30" t="s">
        <v>201</v>
      </c>
      <c r="AL249" s="30" t="s">
        <v>201</v>
      </c>
      <c r="AM249" s="30" t="s">
        <v>50</v>
      </c>
      <c r="AN249" s="30" t="s">
        <v>50</v>
      </c>
      <c r="AO249" s="30" t="s">
        <v>50</v>
      </c>
      <c r="AP249" s="30" t="s">
        <v>50</v>
      </c>
      <c r="AQ249" s="30" t="s">
        <v>50</v>
      </c>
      <c r="AR249" s="30" t="s">
        <v>50</v>
      </c>
      <c r="AS249" s="30" t="s">
        <v>50</v>
      </c>
      <c r="AT249" s="30" t="s">
        <v>299</v>
      </c>
      <c r="AU249" s="30" t="s">
        <v>50</v>
      </c>
      <c r="AV249" s="34">
        <v>167619356458</v>
      </c>
    </row>
    <row r="250" spans="2:48" ht="15" customHeight="1">
      <c r="B250" s="28">
        <v>244</v>
      </c>
      <c r="C250" s="29" t="s">
        <v>2553</v>
      </c>
      <c r="D250" s="30" t="s">
        <v>50</v>
      </c>
      <c r="E250" s="31" t="s">
        <v>2554</v>
      </c>
      <c r="F250" s="31" t="s">
        <v>50</v>
      </c>
      <c r="G250" s="32" t="s">
        <v>2555</v>
      </c>
      <c r="H250" s="30" t="s">
        <v>78</v>
      </c>
      <c r="I250" s="30" t="s">
        <v>1067</v>
      </c>
      <c r="J250" s="32" t="s">
        <v>1068</v>
      </c>
      <c r="K250" s="30" t="s">
        <v>670</v>
      </c>
      <c r="L250" s="32" t="s">
        <v>671</v>
      </c>
      <c r="M250" s="30" t="s">
        <v>1697</v>
      </c>
      <c r="N250" s="30" t="s">
        <v>1672</v>
      </c>
      <c r="O250" s="33">
        <v>3</v>
      </c>
      <c r="P250" s="33">
        <v>8210</v>
      </c>
      <c r="Q250" s="33">
        <v>45</v>
      </c>
      <c r="R250" s="33">
        <v>0</v>
      </c>
      <c r="S250" s="33">
        <v>2</v>
      </c>
      <c r="T250" s="33">
        <v>2</v>
      </c>
      <c r="U250" s="33">
        <v>0</v>
      </c>
      <c r="V250" s="33">
        <v>0</v>
      </c>
      <c r="W250" s="33" t="s">
        <v>50</v>
      </c>
      <c r="X250" s="33">
        <v>1</v>
      </c>
      <c r="Y250" s="30" t="s">
        <v>70</v>
      </c>
      <c r="Z250" s="30" t="s">
        <v>192</v>
      </c>
      <c r="AA250" s="30" t="s">
        <v>192</v>
      </c>
      <c r="AB250" s="30"/>
      <c r="AC250" s="30"/>
      <c r="AD250" s="30" t="s">
        <v>50</v>
      </c>
      <c r="AE250" s="30" t="s">
        <v>50</v>
      </c>
      <c r="AF250" s="30" t="s">
        <v>50</v>
      </c>
      <c r="AG250" s="30" t="s">
        <v>50</v>
      </c>
      <c r="AH250" s="30" t="s">
        <v>50</v>
      </c>
      <c r="AI250" s="30" t="s">
        <v>1673</v>
      </c>
      <c r="AJ250" s="30" t="s">
        <v>392</v>
      </c>
      <c r="AK250" s="30" t="s">
        <v>50</v>
      </c>
      <c r="AL250" s="30" t="s">
        <v>50</v>
      </c>
      <c r="AM250" s="30" t="s">
        <v>50</v>
      </c>
      <c r="AN250" s="30" t="s">
        <v>1681</v>
      </c>
      <c r="AO250" s="30" t="s">
        <v>50</v>
      </c>
      <c r="AP250" s="30" t="s">
        <v>50</v>
      </c>
      <c r="AQ250" s="30" t="s">
        <v>50</v>
      </c>
      <c r="AR250" s="30" t="s">
        <v>50</v>
      </c>
      <c r="AS250" s="30" t="s">
        <v>50</v>
      </c>
      <c r="AT250" s="30" t="s">
        <v>299</v>
      </c>
      <c r="AU250" s="30" t="s">
        <v>50</v>
      </c>
      <c r="AV250" s="34">
        <v>167622132242</v>
      </c>
    </row>
    <row r="251" spans="2:48" ht="15" customHeight="1">
      <c r="B251" s="28">
        <v>245</v>
      </c>
      <c r="C251" s="29" t="s">
        <v>2556</v>
      </c>
      <c r="D251" s="30" t="s">
        <v>2546</v>
      </c>
      <c r="E251" s="31" t="s">
        <v>2547</v>
      </c>
      <c r="F251" s="31" t="s">
        <v>2548</v>
      </c>
      <c r="G251" s="32" t="s">
        <v>2557</v>
      </c>
      <c r="H251" s="30" t="s">
        <v>76</v>
      </c>
      <c r="I251" s="30" t="s">
        <v>660</v>
      </c>
      <c r="J251" s="32" t="s">
        <v>662</v>
      </c>
      <c r="K251" s="30" t="s">
        <v>660</v>
      </c>
      <c r="L251" s="32" t="s">
        <v>662</v>
      </c>
      <c r="M251" s="30" t="s">
        <v>1671</v>
      </c>
      <c r="N251" s="30" t="s">
        <v>1672</v>
      </c>
      <c r="O251" s="33">
        <v>25</v>
      </c>
      <c r="P251" s="33">
        <v>42179</v>
      </c>
      <c r="Q251" s="33">
        <v>42179</v>
      </c>
      <c r="R251" s="33">
        <v>0</v>
      </c>
      <c r="S251" s="33">
        <v>15</v>
      </c>
      <c r="T251" s="33">
        <v>14</v>
      </c>
      <c r="U251" s="33">
        <v>0</v>
      </c>
      <c r="V251" s="33">
        <v>1</v>
      </c>
      <c r="W251" s="33" t="s">
        <v>50</v>
      </c>
      <c r="X251" s="33">
        <v>8</v>
      </c>
      <c r="Y251" s="30" t="s">
        <v>64</v>
      </c>
      <c r="Z251" s="30" t="s">
        <v>186</v>
      </c>
      <c r="AA251" s="30" t="s">
        <v>186</v>
      </c>
      <c r="AB251" s="30"/>
      <c r="AC251" s="30"/>
      <c r="AD251" s="30" t="s">
        <v>50</v>
      </c>
      <c r="AE251" s="30" t="s">
        <v>50</v>
      </c>
      <c r="AF251" s="30" t="s">
        <v>50</v>
      </c>
      <c r="AG251" s="30" t="s">
        <v>50</v>
      </c>
      <c r="AH251" s="30" t="s">
        <v>50</v>
      </c>
      <c r="AI251" s="30" t="s">
        <v>1673</v>
      </c>
      <c r="AJ251" s="30" t="s">
        <v>50</v>
      </c>
      <c r="AK251" s="30" t="s">
        <v>50</v>
      </c>
      <c r="AL251" s="30" t="s">
        <v>50</v>
      </c>
      <c r="AM251" s="30" t="s">
        <v>50</v>
      </c>
      <c r="AN251" s="30" t="s">
        <v>50</v>
      </c>
      <c r="AO251" s="30" t="s">
        <v>50</v>
      </c>
      <c r="AP251" s="30" t="s">
        <v>50</v>
      </c>
      <c r="AQ251" s="30" t="s">
        <v>50</v>
      </c>
      <c r="AR251" s="30" t="s">
        <v>50</v>
      </c>
      <c r="AS251" s="30" t="s">
        <v>50</v>
      </c>
      <c r="AT251" s="30" t="s">
        <v>299</v>
      </c>
      <c r="AU251" s="30" t="s">
        <v>50</v>
      </c>
      <c r="AV251" s="34">
        <v>167619113444</v>
      </c>
    </row>
    <row r="252" spans="2:48" ht="15" customHeight="1">
      <c r="B252" s="28">
        <v>246</v>
      </c>
      <c r="C252" s="29" t="s">
        <v>2556</v>
      </c>
      <c r="D252" s="30" t="s">
        <v>2546</v>
      </c>
      <c r="E252" s="31" t="s">
        <v>2547</v>
      </c>
      <c r="F252" s="31" t="s">
        <v>2548</v>
      </c>
      <c r="G252" s="32" t="s">
        <v>2558</v>
      </c>
      <c r="H252" s="30" t="s">
        <v>76</v>
      </c>
      <c r="I252" s="30" t="s">
        <v>1046</v>
      </c>
      <c r="J252" s="32" t="s">
        <v>583</v>
      </c>
      <c r="K252" s="30" t="s">
        <v>1046</v>
      </c>
      <c r="L252" s="32" t="s">
        <v>583</v>
      </c>
      <c r="M252" s="30" t="s">
        <v>1671</v>
      </c>
      <c r="N252" s="30" t="s">
        <v>1672</v>
      </c>
      <c r="O252" s="33">
        <v>37</v>
      </c>
      <c r="P252" s="33">
        <v>153106</v>
      </c>
      <c r="Q252" s="33">
        <v>153106</v>
      </c>
      <c r="R252" s="33">
        <v>0</v>
      </c>
      <c r="S252" s="33">
        <v>10</v>
      </c>
      <c r="T252" s="33">
        <v>10</v>
      </c>
      <c r="U252" s="33">
        <v>0</v>
      </c>
      <c r="V252" s="33">
        <v>0</v>
      </c>
      <c r="W252" s="33" t="s">
        <v>50</v>
      </c>
      <c r="X252" s="33">
        <v>8</v>
      </c>
      <c r="Y252" s="30" t="s">
        <v>64</v>
      </c>
      <c r="Z252" s="30" t="s">
        <v>186</v>
      </c>
      <c r="AA252" s="30" t="s">
        <v>186</v>
      </c>
      <c r="AB252" s="30"/>
      <c r="AC252" s="30"/>
      <c r="AD252" s="30" t="s">
        <v>50</v>
      </c>
      <c r="AE252" s="30" t="s">
        <v>50</v>
      </c>
      <c r="AF252" s="30" t="s">
        <v>50</v>
      </c>
      <c r="AG252" s="30" t="s">
        <v>50</v>
      </c>
      <c r="AH252" s="30" t="s">
        <v>50</v>
      </c>
      <c r="AI252" s="30" t="s">
        <v>1673</v>
      </c>
      <c r="AJ252" s="30" t="s">
        <v>50</v>
      </c>
      <c r="AK252" s="30" t="s">
        <v>50</v>
      </c>
      <c r="AL252" s="30" t="s">
        <v>50</v>
      </c>
      <c r="AM252" s="30" t="s">
        <v>50</v>
      </c>
      <c r="AN252" s="30" t="s">
        <v>50</v>
      </c>
      <c r="AO252" s="30" t="s">
        <v>50</v>
      </c>
      <c r="AP252" s="30" t="s">
        <v>50</v>
      </c>
      <c r="AQ252" s="30" t="s">
        <v>50</v>
      </c>
      <c r="AR252" s="30" t="s">
        <v>50</v>
      </c>
      <c r="AS252" s="30" t="s">
        <v>50</v>
      </c>
      <c r="AT252" s="30" t="s">
        <v>299</v>
      </c>
      <c r="AU252" s="30" t="s">
        <v>50</v>
      </c>
      <c r="AV252" s="34">
        <v>167619111762</v>
      </c>
    </row>
    <row r="253" spans="2:48" ht="15" customHeight="1">
      <c r="B253" s="28">
        <v>247</v>
      </c>
      <c r="C253" s="29" t="s">
        <v>2559</v>
      </c>
      <c r="D253" s="30" t="s">
        <v>2546</v>
      </c>
      <c r="E253" s="31" t="s">
        <v>2547</v>
      </c>
      <c r="F253" s="31" t="s">
        <v>2548</v>
      </c>
      <c r="G253" s="32" t="s">
        <v>2560</v>
      </c>
      <c r="H253" s="30" t="s">
        <v>76</v>
      </c>
      <c r="I253" s="30" t="s">
        <v>584</v>
      </c>
      <c r="J253" s="32" t="s">
        <v>585</v>
      </c>
      <c r="K253" s="30" t="s">
        <v>584</v>
      </c>
      <c r="L253" s="32" t="s">
        <v>585</v>
      </c>
      <c r="M253" s="30" t="s">
        <v>1671</v>
      </c>
      <c r="N253" s="30" t="s">
        <v>1672</v>
      </c>
      <c r="O253" s="33">
        <v>34</v>
      </c>
      <c r="P253" s="33">
        <v>146249</v>
      </c>
      <c r="Q253" s="33">
        <v>146249</v>
      </c>
      <c r="R253" s="33">
        <v>0</v>
      </c>
      <c r="S253" s="33">
        <v>10</v>
      </c>
      <c r="T253" s="33">
        <v>10</v>
      </c>
      <c r="U253" s="33">
        <v>0</v>
      </c>
      <c r="V253" s="33">
        <v>0</v>
      </c>
      <c r="W253" s="33" t="s">
        <v>50</v>
      </c>
      <c r="X253" s="33">
        <v>8</v>
      </c>
      <c r="Y253" s="30" t="s">
        <v>64</v>
      </c>
      <c r="Z253" s="30" t="s">
        <v>186</v>
      </c>
      <c r="AA253" s="30" t="s">
        <v>186</v>
      </c>
      <c r="AB253" s="30"/>
      <c r="AC253" s="30"/>
      <c r="AD253" s="30" t="s">
        <v>50</v>
      </c>
      <c r="AE253" s="30" t="s">
        <v>50</v>
      </c>
      <c r="AF253" s="30" t="s">
        <v>50</v>
      </c>
      <c r="AG253" s="30" t="s">
        <v>50</v>
      </c>
      <c r="AH253" s="30" t="s">
        <v>50</v>
      </c>
      <c r="AI253" s="30" t="s">
        <v>1673</v>
      </c>
      <c r="AJ253" s="30" t="s">
        <v>50</v>
      </c>
      <c r="AK253" s="30" t="s">
        <v>50</v>
      </c>
      <c r="AL253" s="30" t="s">
        <v>50</v>
      </c>
      <c r="AM253" s="30" t="s">
        <v>50</v>
      </c>
      <c r="AN253" s="30" t="s">
        <v>50</v>
      </c>
      <c r="AO253" s="30" t="s">
        <v>50</v>
      </c>
      <c r="AP253" s="30" t="s">
        <v>50</v>
      </c>
      <c r="AQ253" s="30" t="s">
        <v>50</v>
      </c>
      <c r="AR253" s="30" t="s">
        <v>50</v>
      </c>
      <c r="AS253" s="30" t="s">
        <v>50</v>
      </c>
      <c r="AT253" s="30" t="s">
        <v>299</v>
      </c>
      <c r="AU253" s="30" t="s">
        <v>50</v>
      </c>
      <c r="AV253" s="34">
        <v>167618894800</v>
      </c>
    </row>
    <row r="254" spans="2:48" ht="15" customHeight="1">
      <c r="B254" s="28">
        <v>248</v>
      </c>
      <c r="C254" s="29" t="s">
        <v>2561</v>
      </c>
      <c r="D254" s="30" t="s">
        <v>2546</v>
      </c>
      <c r="E254" s="31" t="s">
        <v>2547</v>
      </c>
      <c r="F254" s="31" t="s">
        <v>2548</v>
      </c>
      <c r="G254" s="32" t="s">
        <v>2562</v>
      </c>
      <c r="H254" s="30" t="s">
        <v>76</v>
      </c>
      <c r="I254" s="30" t="s">
        <v>550</v>
      </c>
      <c r="J254" s="32" t="s">
        <v>551</v>
      </c>
      <c r="K254" s="30" t="s">
        <v>550</v>
      </c>
      <c r="L254" s="32" t="s">
        <v>551</v>
      </c>
      <c r="M254" s="30" t="s">
        <v>1671</v>
      </c>
      <c r="N254" s="30" t="s">
        <v>1672</v>
      </c>
      <c r="O254" s="33">
        <v>48</v>
      </c>
      <c r="P254" s="33">
        <v>617921</v>
      </c>
      <c r="Q254" s="33">
        <v>617921</v>
      </c>
      <c r="R254" s="33">
        <v>0</v>
      </c>
      <c r="S254" s="33">
        <v>112</v>
      </c>
      <c r="T254" s="33">
        <v>96</v>
      </c>
      <c r="U254" s="33">
        <v>1</v>
      </c>
      <c r="V254" s="33">
        <v>15</v>
      </c>
      <c r="W254" s="33" t="s">
        <v>50</v>
      </c>
      <c r="X254" s="33">
        <v>8</v>
      </c>
      <c r="Y254" s="30" t="s">
        <v>64</v>
      </c>
      <c r="Z254" s="30" t="s">
        <v>186</v>
      </c>
      <c r="AA254" s="30" t="s">
        <v>186</v>
      </c>
      <c r="AB254" s="30"/>
      <c r="AC254" s="30"/>
      <c r="AD254" s="30" t="s">
        <v>50</v>
      </c>
      <c r="AE254" s="30" t="s">
        <v>50</v>
      </c>
      <c r="AF254" s="30" t="s">
        <v>50</v>
      </c>
      <c r="AG254" s="30" t="s">
        <v>50</v>
      </c>
      <c r="AH254" s="30" t="s">
        <v>50</v>
      </c>
      <c r="AI254" s="30" t="s">
        <v>1673</v>
      </c>
      <c r="AJ254" s="30" t="s">
        <v>50</v>
      </c>
      <c r="AK254" s="30" t="s">
        <v>50</v>
      </c>
      <c r="AL254" s="30" t="s">
        <v>50</v>
      </c>
      <c r="AM254" s="30" t="s">
        <v>50</v>
      </c>
      <c r="AN254" s="30" t="s">
        <v>50</v>
      </c>
      <c r="AO254" s="30" t="s">
        <v>50</v>
      </c>
      <c r="AP254" s="30" t="s">
        <v>50</v>
      </c>
      <c r="AQ254" s="30" t="s">
        <v>50</v>
      </c>
      <c r="AR254" s="30" t="s">
        <v>50</v>
      </c>
      <c r="AS254" s="30" t="s">
        <v>50</v>
      </c>
      <c r="AT254" s="30" t="s">
        <v>299</v>
      </c>
      <c r="AU254" s="30" t="s">
        <v>50</v>
      </c>
      <c r="AV254" s="34">
        <v>167618678036</v>
      </c>
    </row>
    <row r="255" spans="2:48" ht="15" customHeight="1">
      <c r="B255" s="28">
        <v>249</v>
      </c>
      <c r="C255" s="29" t="s">
        <v>2561</v>
      </c>
      <c r="D255" s="30" t="s">
        <v>2546</v>
      </c>
      <c r="E255" s="31" t="s">
        <v>2547</v>
      </c>
      <c r="F255" s="31" t="s">
        <v>2548</v>
      </c>
      <c r="G255" s="32" t="s">
        <v>2563</v>
      </c>
      <c r="H255" s="30" t="s">
        <v>76</v>
      </c>
      <c r="I255" s="30" t="s">
        <v>578</v>
      </c>
      <c r="J255" s="32" t="s">
        <v>579</v>
      </c>
      <c r="K255" s="30" t="s">
        <v>578</v>
      </c>
      <c r="L255" s="32" t="s">
        <v>579</v>
      </c>
      <c r="M255" s="30" t="s">
        <v>1671</v>
      </c>
      <c r="N255" s="30" t="s">
        <v>1672</v>
      </c>
      <c r="O255" s="33">
        <v>34</v>
      </c>
      <c r="P255" s="33">
        <v>123166</v>
      </c>
      <c r="Q255" s="33">
        <v>123166</v>
      </c>
      <c r="R255" s="33">
        <v>0</v>
      </c>
      <c r="S255" s="33">
        <v>10</v>
      </c>
      <c r="T255" s="33">
        <v>10</v>
      </c>
      <c r="U255" s="33">
        <v>0</v>
      </c>
      <c r="V255" s="33">
        <v>0</v>
      </c>
      <c r="W255" s="33" t="s">
        <v>50</v>
      </c>
      <c r="X255" s="33">
        <v>8</v>
      </c>
      <c r="Y255" s="30" t="s">
        <v>64</v>
      </c>
      <c r="Z255" s="30" t="s">
        <v>186</v>
      </c>
      <c r="AA255" s="30" t="s">
        <v>186</v>
      </c>
      <c r="AB255" s="30"/>
      <c r="AC255" s="30"/>
      <c r="AD255" s="30" t="s">
        <v>50</v>
      </c>
      <c r="AE255" s="30" t="s">
        <v>50</v>
      </c>
      <c r="AF255" s="30" t="s">
        <v>50</v>
      </c>
      <c r="AG255" s="30" t="s">
        <v>50</v>
      </c>
      <c r="AH255" s="30" t="s">
        <v>50</v>
      </c>
      <c r="AI255" s="30" t="s">
        <v>1673</v>
      </c>
      <c r="AJ255" s="30" t="s">
        <v>50</v>
      </c>
      <c r="AK255" s="30" t="s">
        <v>50</v>
      </c>
      <c r="AL255" s="30" t="s">
        <v>50</v>
      </c>
      <c r="AM255" s="30" t="s">
        <v>50</v>
      </c>
      <c r="AN255" s="30" t="s">
        <v>50</v>
      </c>
      <c r="AO255" s="30" t="s">
        <v>50</v>
      </c>
      <c r="AP255" s="30" t="s">
        <v>50</v>
      </c>
      <c r="AQ255" s="30" t="s">
        <v>50</v>
      </c>
      <c r="AR255" s="30" t="s">
        <v>50</v>
      </c>
      <c r="AS255" s="30" t="s">
        <v>50</v>
      </c>
      <c r="AT255" s="30" t="s">
        <v>299</v>
      </c>
      <c r="AU255" s="30" t="s">
        <v>50</v>
      </c>
      <c r="AV255" s="34">
        <v>167618673875</v>
      </c>
    </row>
    <row r="256" spans="2:48" ht="15" customHeight="1">
      <c r="B256" s="28">
        <v>250</v>
      </c>
      <c r="C256" s="29" t="s">
        <v>2564</v>
      </c>
      <c r="D256" s="30" t="s">
        <v>2546</v>
      </c>
      <c r="E256" s="31" t="s">
        <v>2547</v>
      </c>
      <c r="F256" s="31" t="s">
        <v>2548</v>
      </c>
      <c r="G256" s="32" t="s">
        <v>2565</v>
      </c>
      <c r="H256" s="30" t="s">
        <v>76</v>
      </c>
      <c r="I256" s="30" t="s">
        <v>586</v>
      </c>
      <c r="J256" s="32" t="s">
        <v>587</v>
      </c>
      <c r="K256" s="30" t="s">
        <v>586</v>
      </c>
      <c r="L256" s="32" t="s">
        <v>587</v>
      </c>
      <c r="M256" s="30" t="s">
        <v>1671</v>
      </c>
      <c r="N256" s="30" t="s">
        <v>1672</v>
      </c>
      <c r="O256" s="33">
        <v>35</v>
      </c>
      <c r="P256" s="33">
        <v>139466</v>
      </c>
      <c r="Q256" s="33">
        <v>139466</v>
      </c>
      <c r="R256" s="33">
        <v>0</v>
      </c>
      <c r="S256" s="33">
        <v>14</v>
      </c>
      <c r="T256" s="33">
        <v>13</v>
      </c>
      <c r="U256" s="33">
        <v>0</v>
      </c>
      <c r="V256" s="33">
        <v>1</v>
      </c>
      <c r="W256" s="33" t="s">
        <v>50</v>
      </c>
      <c r="X256" s="33">
        <v>8</v>
      </c>
      <c r="Y256" s="30" t="s">
        <v>64</v>
      </c>
      <c r="Z256" s="30" t="s">
        <v>186</v>
      </c>
      <c r="AA256" s="30" t="s">
        <v>186</v>
      </c>
      <c r="AB256" s="30"/>
      <c r="AC256" s="30"/>
      <c r="AD256" s="30" t="s">
        <v>50</v>
      </c>
      <c r="AE256" s="30" t="s">
        <v>50</v>
      </c>
      <c r="AF256" s="30" t="s">
        <v>50</v>
      </c>
      <c r="AG256" s="30" t="s">
        <v>50</v>
      </c>
      <c r="AH256" s="30" t="s">
        <v>50</v>
      </c>
      <c r="AI256" s="30" t="s">
        <v>1673</v>
      </c>
      <c r="AJ256" s="30" t="s">
        <v>50</v>
      </c>
      <c r="AK256" s="30" t="s">
        <v>50</v>
      </c>
      <c r="AL256" s="30" t="s">
        <v>50</v>
      </c>
      <c r="AM256" s="30" t="s">
        <v>50</v>
      </c>
      <c r="AN256" s="30" t="s">
        <v>50</v>
      </c>
      <c r="AO256" s="30" t="s">
        <v>50</v>
      </c>
      <c r="AP256" s="30" t="s">
        <v>50</v>
      </c>
      <c r="AQ256" s="30" t="s">
        <v>50</v>
      </c>
      <c r="AR256" s="30" t="s">
        <v>50</v>
      </c>
      <c r="AS256" s="30" t="s">
        <v>50</v>
      </c>
      <c r="AT256" s="30" t="s">
        <v>299</v>
      </c>
      <c r="AU256" s="30" t="s">
        <v>50</v>
      </c>
      <c r="AV256" s="34">
        <v>167617881723</v>
      </c>
    </row>
    <row r="257" spans="2:48" ht="15" customHeight="1">
      <c r="B257" s="28">
        <v>251</v>
      </c>
      <c r="C257" s="29" t="s">
        <v>2566</v>
      </c>
      <c r="D257" s="30" t="s">
        <v>810</v>
      </c>
      <c r="E257" s="31" t="s">
        <v>2567</v>
      </c>
      <c r="F257" s="31" t="s">
        <v>50</v>
      </c>
      <c r="G257" s="32" t="s">
        <v>811</v>
      </c>
      <c r="H257" s="30" t="s">
        <v>73</v>
      </c>
      <c r="I257" s="30" t="s">
        <v>1094</v>
      </c>
      <c r="J257" s="32" t="s">
        <v>1095</v>
      </c>
      <c r="K257" s="30" t="s">
        <v>810</v>
      </c>
      <c r="L257" s="32" t="s">
        <v>811</v>
      </c>
      <c r="M257" s="30" t="s">
        <v>1686</v>
      </c>
      <c r="N257" s="30" t="s">
        <v>1679</v>
      </c>
      <c r="O257" s="33"/>
      <c r="P257" s="33">
        <v>0</v>
      </c>
      <c r="Q257" s="33">
        <v>0</v>
      </c>
      <c r="R257" s="33" t="s">
        <v>158</v>
      </c>
      <c r="S257" s="33">
        <v>0</v>
      </c>
      <c r="T257" s="33" t="s">
        <v>158</v>
      </c>
      <c r="U257" s="33" t="s">
        <v>158</v>
      </c>
      <c r="V257" s="33" t="s">
        <v>158</v>
      </c>
      <c r="W257" s="33" t="s">
        <v>50</v>
      </c>
      <c r="X257" s="33">
        <v>1</v>
      </c>
      <c r="Y257" s="30" t="s">
        <v>75</v>
      </c>
      <c r="Z257" s="30" t="s">
        <v>192</v>
      </c>
      <c r="AA257" s="30" t="s">
        <v>192</v>
      </c>
      <c r="AB257" s="30" t="s">
        <v>1316</v>
      </c>
      <c r="AC257" s="30"/>
      <c r="AD257" s="30" t="s">
        <v>50</v>
      </c>
      <c r="AE257" s="30" t="s">
        <v>50</v>
      </c>
      <c r="AF257" s="30" t="s">
        <v>50</v>
      </c>
      <c r="AG257" s="30" t="s">
        <v>50</v>
      </c>
      <c r="AH257" s="30" t="s">
        <v>50</v>
      </c>
      <c r="AI257" s="30" t="s">
        <v>1673</v>
      </c>
      <c r="AJ257" s="30" t="s">
        <v>187</v>
      </c>
      <c r="AK257" s="30" t="s">
        <v>2568</v>
      </c>
      <c r="AL257" s="30" t="s">
        <v>813</v>
      </c>
      <c r="AM257" s="30" t="s">
        <v>50</v>
      </c>
      <c r="AN257" s="30" t="s">
        <v>1681</v>
      </c>
      <c r="AO257" s="30" t="s">
        <v>50</v>
      </c>
      <c r="AP257" s="30" t="s">
        <v>50</v>
      </c>
      <c r="AQ257" s="30" t="s">
        <v>50</v>
      </c>
      <c r="AR257" s="30" t="s">
        <v>50</v>
      </c>
      <c r="AS257" s="30" t="s">
        <v>50</v>
      </c>
      <c r="AT257" s="30" t="s">
        <v>299</v>
      </c>
      <c r="AU257" s="30" t="s">
        <v>50</v>
      </c>
      <c r="AV257" s="34">
        <v>167625484913</v>
      </c>
    </row>
    <row r="258" spans="2:48" ht="15" customHeight="1">
      <c r="B258" s="28">
        <v>252</v>
      </c>
      <c r="C258" s="29" t="s">
        <v>2569</v>
      </c>
      <c r="D258" s="30" t="s">
        <v>50</v>
      </c>
      <c r="E258" s="31" t="s">
        <v>2570</v>
      </c>
      <c r="F258" s="31" t="s">
        <v>2571</v>
      </c>
      <c r="G258" s="32" t="s">
        <v>2572</v>
      </c>
      <c r="H258" s="30" t="s">
        <v>65</v>
      </c>
      <c r="I258" s="30" t="s">
        <v>607</v>
      </c>
      <c r="J258" s="32" t="s">
        <v>2573</v>
      </c>
      <c r="K258" s="30" t="s">
        <v>607</v>
      </c>
      <c r="L258" s="32" t="s">
        <v>2573</v>
      </c>
      <c r="M258" s="30" t="s">
        <v>1671</v>
      </c>
      <c r="N258" s="30" t="s">
        <v>1672</v>
      </c>
      <c r="O258" s="33">
        <v>211</v>
      </c>
      <c r="P258" s="33">
        <v>6536</v>
      </c>
      <c r="Q258" s="33">
        <v>6536</v>
      </c>
      <c r="R258" s="33">
        <v>729</v>
      </c>
      <c r="S258" s="33">
        <v>11</v>
      </c>
      <c r="T258" s="33">
        <v>6</v>
      </c>
      <c r="U258" s="33">
        <v>1</v>
      </c>
      <c r="V258" s="33">
        <v>4</v>
      </c>
      <c r="W258" s="33" t="s">
        <v>50</v>
      </c>
      <c r="X258" s="33">
        <v>1</v>
      </c>
      <c r="Y258" s="30" t="s">
        <v>67</v>
      </c>
      <c r="Z258" s="30" t="s">
        <v>186</v>
      </c>
      <c r="AA258" s="30" t="s">
        <v>186</v>
      </c>
      <c r="AB258" s="30"/>
      <c r="AC258" s="30"/>
      <c r="AD258" s="30" t="s">
        <v>50</v>
      </c>
      <c r="AE258" s="30" t="s">
        <v>50</v>
      </c>
      <c r="AF258" s="30" t="s">
        <v>50</v>
      </c>
      <c r="AG258" s="30" t="s">
        <v>50</v>
      </c>
      <c r="AH258" s="30" t="s">
        <v>50</v>
      </c>
      <c r="AI258" s="30" t="s">
        <v>1673</v>
      </c>
      <c r="AJ258" s="30" t="s">
        <v>50</v>
      </c>
      <c r="AK258" s="30" t="s">
        <v>50</v>
      </c>
      <c r="AL258" s="30" t="s">
        <v>50</v>
      </c>
      <c r="AM258" s="30" t="s">
        <v>50</v>
      </c>
      <c r="AN258" s="30" t="s">
        <v>50</v>
      </c>
      <c r="AO258" s="30" t="s">
        <v>50</v>
      </c>
      <c r="AP258" s="30" t="s">
        <v>50</v>
      </c>
      <c r="AQ258" s="30" t="s">
        <v>50</v>
      </c>
      <c r="AR258" s="30" t="s">
        <v>50</v>
      </c>
      <c r="AS258" s="30" t="s">
        <v>50</v>
      </c>
      <c r="AT258" s="30" t="s">
        <v>1711</v>
      </c>
      <c r="AU258" s="30" t="s">
        <v>148</v>
      </c>
      <c r="AV258" s="34">
        <v>167607109468</v>
      </c>
    </row>
    <row r="259" spans="2:48" ht="15" customHeight="1">
      <c r="B259" s="28">
        <v>253</v>
      </c>
      <c r="C259" s="29" t="s">
        <v>2574</v>
      </c>
      <c r="D259" s="30" t="s">
        <v>50</v>
      </c>
      <c r="E259" s="31" t="s">
        <v>2575</v>
      </c>
      <c r="F259" s="31" t="s">
        <v>50</v>
      </c>
      <c r="G259" s="32" t="s">
        <v>2576</v>
      </c>
      <c r="H259" s="30" t="s">
        <v>65</v>
      </c>
      <c r="I259" s="30" t="s">
        <v>911</v>
      </c>
      <c r="J259" s="32" t="s">
        <v>2577</v>
      </c>
      <c r="K259" s="30" t="s">
        <v>283</v>
      </c>
      <c r="L259" s="32" t="s">
        <v>2578</v>
      </c>
      <c r="M259" s="30" t="s">
        <v>1697</v>
      </c>
      <c r="N259" s="30" t="s">
        <v>1679</v>
      </c>
      <c r="O259" s="33"/>
      <c r="P259" s="33">
        <v>11578</v>
      </c>
      <c r="Q259" s="33">
        <v>0</v>
      </c>
      <c r="R259" s="33">
        <v>0</v>
      </c>
      <c r="S259" s="33">
        <v>0</v>
      </c>
      <c r="T259" s="33">
        <v>0</v>
      </c>
      <c r="U259" s="33">
        <v>0</v>
      </c>
      <c r="V259" s="33">
        <v>0</v>
      </c>
      <c r="W259" s="33" t="s">
        <v>50</v>
      </c>
      <c r="X259" s="33">
        <v>1</v>
      </c>
      <c r="Y259" s="30" t="s">
        <v>67</v>
      </c>
      <c r="Z259" s="30" t="s">
        <v>186</v>
      </c>
      <c r="AA259" s="30" t="s">
        <v>222</v>
      </c>
      <c r="AB259" s="30"/>
      <c r="AC259" s="30"/>
      <c r="AD259" s="30" t="s">
        <v>50</v>
      </c>
      <c r="AE259" s="30" t="s">
        <v>50</v>
      </c>
      <c r="AF259" s="30" t="s">
        <v>50</v>
      </c>
      <c r="AG259" s="30" t="s">
        <v>50</v>
      </c>
      <c r="AH259" s="30" t="s">
        <v>50</v>
      </c>
      <c r="AI259" s="30" t="s">
        <v>1673</v>
      </c>
      <c r="AJ259" s="30" t="s">
        <v>50</v>
      </c>
      <c r="AK259" s="30" t="s">
        <v>50</v>
      </c>
      <c r="AL259" s="30" t="s">
        <v>50</v>
      </c>
      <c r="AM259" s="30" t="s">
        <v>50</v>
      </c>
      <c r="AN259" s="30" t="s">
        <v>1681</v>
      </c>
      <c r="AO259" s="30" t="s">
        <v>50</v>
      </c>
      <c r="AP259" s="30" t="s">
        <v>50</v>
      </c>
      <c r="AQ259" s="30" t="s">
        <v>50</v>
      </c>
      <c r="AR259" s="30" t="s">
        <v>50</v>
      </c>
      <c r="AS259" s="30" t="s">
        <v>50</v>
      </c>
      <c r="AT259" s="30" t="s">
        <v>1711</v>
      </c>
      <c r="AU259" s="30" t="s">
        <v>50</v>
      </c>
      <c r="AV259" s="34">
        <v>167595428162</v>
      </c>
    </row>
    <row r="260" spans="2:48" ht="15" customHeight="1">
      <c r="B260" s="28">
        <v>254</v>
      </c>
      <c r="C260" s="29" t="s">
        <v>2579</v>
      </c>
      <c r="D260" s="30" t="s">
        <v>50</v>
      </c>
      <c r="E260" s="31" t="s">
        <v>1369</v>
      </c>
      <c r="F260" s="31" t="s">
        <v>50</v>
      </c>
      <c r="G260" s="32" t="s">
        <v>2580</v>
      </c>
      <c r="H260" s="30" t="s">
        <v>65</v>
      </c>
      <c r="I260" s="30" t="s">
        <v>911</v>
      </c>
      <c r="J260" s="32" t="s">
        <v>2577</v>
      </c>
      <c r="K260" s="30" t="s">
        <v>283</v>
      </c>
      <c r="L260" s="32" t="s">
        <v>2578</v>
      </c>
      <c r="M260" s="30" t="s">
        <v>1697</v>
      </c>
      <c r="N260" s="30" t="s">
        <v>1672</v>
      </c>
      <c r="O260" s="33"/>
      <c r="P260" s="33">
        <v>11578</v>
      </c>
      <c r="Q260" s="33">
        <v>0</v>
      </c>
      <c r="R260" s="33">
        <v>0</v>
      </c>
      <c r="S260" s="33">
        <v>0</v>
      </c>
      <c r="T260" s="33">
        <v>0</v>
      </c>
      <c r="U260" s="33">
        <v>0</v>
      </c>
      <c r="V260" s="33">
        <v>0</v>
      </c>
      <c r="W260" s="33" t="s">
        <v>50</v>
      </c>
      <c r="X260" s="33">
        <v>2</v>
      </c>
      <c r="Y260" s="30" t="s">
        <v>67</v>
      </c>
      <c r="Z260" s="30" t="s">
        <v>186</v>
      </c>
      <c r="AA260" s="30" t="s">
        <v>222</v>
      </c>
      <c r="AB260" s="30"/>
      <c r="AC260" s="30"/>
      <c r="AD260" s="30" t="s">
        <v>50</v>
      </c>
      <c r="AE260" s="30" t="s">
        <v>50</v>
      </c>
      <c r="AF260" s="30" t="s">
        <v>50</v>
      </c>
      <c r="AG260" s="30" t="s">
        <v>50</v>
      </c>
      <c r="AH260" s="30" t="s">
        <v>50</v>
      </c>
      <c r="AI260" s="30" t="s">
        <v>1673</v>
      </c>
      <c r="AJ260" s="30" t="s">
        <v>50</v>
      </c>
      <c r="AK260" s="30" t="s">
        <v>50</v>
      </c>
      <c r="AL260" s="30" t="s">
        <v>50</v>
      </c>
      <c r="AM260" s="30" t="s">
        <v>50</v>
      </c>
      <c r="AN260" s="30" t="s">
        <v>1681</v>
      </c>
      <c r="AO260" s="30" t="s">
        <v>50</v>
      </c>
      <c r="AP260" s="30" t="s">
        <v>50</v>
      </c>
      <c r="AQ260" s="30" t="s">
        <v>50</v>
      </c>
      <c r="AR260" s="30" t="s">
        <v>50</v>
      </c>
      <c r="AS260" s="30" t="s">
        <v>50</v>
      </c>
      <c r="AT260" s="30" t="s">
        <v>299</v>
      </c>
      <c r="AU260" s="30" t="s">
        <v>50</v>
      </c>
      <c r="AV260" s="34">
        <v>167595337415</v>
      </c>
    </row>
    <row r="261" spans="2:48" ht="15" customHeight="1">
      <c r="B261" s="28">
        <v>255</v>
      </c>
      <c r="C261" s="29" t="s">
        <v>2581</v>
      </c>
      <c r="D261" s="30" t="s">
        <v>2582</v>
      </c>
      <c r="E261" s="31" t="s">
        <v>2583</v>
      </c>
      <c r="F261" s="31" t="s">
        <v>2584</v>
      </c>
      <c r="G261" s="32" t="s">
        <v>2585</v>
      </c>
      <c r="H261" s="30" t="s">
        <v>87</v>
      </c>
      <c r="I261" s="30" t="s">
        <v>806</v>
      </c>
      <c r="J261" s="32" t="s">
        <v>807</v>
      </c>
      <c r="K261" s="30" t="s">
        <v>806</v>
      </c>
      <c r="L261" s="32" t="s">
        <v>807</v>
      </c>
      <c r="M261" s="30" t="s">
        <v>1671</v>
      </c>
      <c r="N261" s="30" t="s">
        <v>1672</v>
      </c>
      <c r="O261" s="33"/>
      <c r="P261" s="33">
        <v>2</v>
      </c>
      <c r="Q261" s="33">
        <v>2</v>
      </c>
      <c r="R261" s="33">
        <v>6</v>
      </c>
      <c r="S261" s="33">
        <v>1</v>
      </c>
      <c r="T261" s="33">
        <v>0</v>
      </c>
      <c r="U261" s="33">
        <v>1</v>
      </c>
      <c r="V261" s="33">
        <v>0</v>
      </c>
      <c r="W261" s="33" t="s">
        <v>50</v>
      </c>
      <c r="X261" s="33">
        <v>1</v>
      </c>
      <c r="Y261" s="30" t="s">
        <v>70</v>
      </c>
      <c r="Z261" s="30" t="s">
        <v>192</v>
      </c>
      <c r="AA261" s="30" t="s">
        <v>192</v>
      </c>
      <c r="AB261" s="30" t="s">
        <v>1315</v>
      </c>
      <c r="AC261" s="30"/>
      <c r="AD261" s="30" t="s">
        <v>50</v>
      </c>
      <c r="AE261" s="30" t="s">
        <v>50</v>
      </c>
      <c r="AF261" s="30" t="s">
        <v>50</v>
      </c>
      <c r="AG261" s="30" t="s">
        <v>50</v>
      </c>
      <c r="AH261" s="30" t="s">
        <v>50</v>
      </c>
      <c r="AI261" s="30" t="s">
        <v>1673</v>
      </c>
      <c r="AJ261" s="30" t="s">
        <v>50</v>
      </c>
      <c r="AK261" s="30" t="s">
        <v>50</v>
      </c>
      <c r="AL261" s="30" t="s">
        <v>50</v>
      </c>
      <c r="AM261" s="30" t="s">
        <v>50</v>
      </c>
      <c r="AN261" s="30" t="s">
        <v>50</v>
      </c>
      <c r="AO261" s="30" t="s">
        <v>50</v>
      </c>
      <c r="AP261" s="30" t="s">
        <v>50</v>
      </c>
      <c r="AQ261" s="30" t="s">
        <v>50</v>
      </c>
      <c r="AR261" s="30" t="s">
        <v>50</v>
      </c>
      <c r="AS261" s="30" t="s">
        <v>50</v>
      </c>
      <c r="AT261" s="30" t="s">
        <v>1682</v>
      </c>
      <c r="AU261" s="30" t="s">
        <v>50</v>
      </c>
      <c r="AV261" s="34">
        <v>167598309803</v>
      </c>
    </row>
    <row r="262" spans="2:48" ht="15" customHeight="1">
      <c r="B262" s="28">
        <v>256</v>
      </c>
      <c r="C262" s="29" t="s">
        <v>2586</v>
      </c>
      <c r="D262" s="30" t="s">
        <v>50</v>
      </c>
      <c r="E262" s="31" t="s">
        <v>2587</v>
      </c>
      <c r="F262" s="31" t="s">
        <v>50</v>
      </c>
      <c r="G262" s="32" t="s">
        <v>2588</v>
      </c>
      <c r="H262" s="30" t="s">
        <v>62</v>
      </c>
      <c r="I262" s="30" t="s">
        <v>1108</v>
      </c>
      <c r="J262" s="32" t="s">
        <v>1109</v>
      </c>
      <c r="K262" s="30" t="s">
        <v>293</v>
      </c>
      <c r="L262" s="32" t="s">
        <v>294</v>
      </c>
      <c r="M262" s="30" t="s">
        <v>1697</v>
      </c>
      <c r="N262" s="30" t="s">
        <v>1672</v>
      </c>
      <c r="O262" s="33">
        <v>5</v>
      </c>
      <c r="P262" s="33">
        <v>9057</v>
      </c>
      <c r="Q262" s="33">
        <v>34</v>
      </c>
      <c r="R262" s="33">
        <v>0</v>
      </c>
      <c r="S262" s="33">
        <v>0</v>
      </c>
      <c r="T262" s="33">
        <v>0</v>
      </c>
      <c r="U262" s="33">
        <v>0</v>
      </c>
      <c r="V262" s="33">
        <v>0</v>
      </c>
      <c r="W262" s="33" t="s">
        <v>50</v>
      </c>
      <c r="X262" s="33">
        <v>1</v>
      </c>
      <c r="Y262" s="30" t="s">
        <v>64</v>
      </c>
      <c r="Z262" s="30" t="s">
        <v>186</v>
      </c>
      <c r="AA262" s="30" t="s">
        <v>222</v>
      </c>
      <c r="AB262" s="30" t="s">
        <v>1315</v>
      </c>
      <c r="AC262" s="30"/>
      <c r="AD262" s="30" t="s">
        <v>50</v>
      </c>
      <c r="AE262" s="30" t="s">
        <v>50</v>
      </c>
      <c r="AF262" s="30" t="s">
        <v>50</v>
      </c>
      <c r="AG262" s="30" t="s">
        <v>50</v>
      </c>
      <c r="AH262" s="30" t="s">
        <v>50</v>
      </c>
      <c r="AI262" s="30" t="s">
        <v>1673</v>
      </c>
      <c r="AJ262" s="30" t="s">
        <v>187</v>
      </c>
      <c r="AK262" s="30" t="s">
        <v>201</v>
      </c>
      <c r="AL262" s="30" t="s">
        <v>201</v>
      </c>
      <c r="AM262" s="30" t="s">
        <v>50</v>
      </c>
      <c r="AN262" s="30" t="s">
        <v>1681</v>
      </c>
      <c r="AO262" s="30" t="s">
        <v>50</v>
      </c>
      <c r="AP262" s="30" t="s">
        <v>50</v>
      </c>
      <c r="AQ262" s="30" t="s">
        <v>50</v>
      </c>
      <c r="AR262" s="30" t="s">
        <v>50</v>
      </c>
      <c r="AS262" s="30" t="s">
        <v>50</v>
      </c>
      <c r="AT262" s="30" t="s">
        <v>1682</v>
      </c>
      <c r="AU262" s="30" t="s">
        <v>50</v>
      </c>
      <c r="AV262" s="34">
        <v>167593008513</v>
      </c>
    </row>
    <row r="263" spans="2:48" ht="15" customHeight="1">
      <c r="B263" s="28">
        <v>257</v>
      </c>
      <c r="C263" s="29" t="s">
        <v>2589</v>
      </c>
      <c r="D263" s="30" t="s">
        <v>50</v>
      </c>
      <c r="E263" s="31" t="s">
        <v>2531</v>
      </c>
      <c r="F263" s="31" t="s">
        <v>50</v>
      </c>
      <c r="G263" s="32" t="s">
        <v>2590</v>
      </c>
      <c r="H263" s="30" t="s">
        <v>62</v>
      </c>
      <c r="I263" s="30" t="s">
        <v>642</v>
      </c>
      <c r="J263" s="32" t="s">
        <v>643</v>
      </c>
      <c r="K263" s="30" t="s">
        <v>642</v>
      </c>
      <c r="L263" s="32" t="s">
        <v>643</v>
      </c>
      <c r="M263" s="30" t="s">
        <v>1989</v>
      </c>
      <c r="N263" s="30" t="s">
        <v>1672</v>
      </c>
      <c r="O263" s="33"/>
      <c r="P263" s="33">
        <v>43</v>
      </c>
      <c r="Q263" s="33">
        <v>43</v>
      </c>
      <c r="R263" s="33">
        <v>2</v>
      </c>
      <c r="S263" s="33">
        <v>0</v>
      </c>
      <c r="T263" s="33">
        <v>0</v>
      </c>
      <c r="U263" s="33">
        <v>0</v>
      </c>
      <c r="V263" s="33">
        <v>0</v>
      </c>
      <c r="W263" s="33" t="s">
        <v>50</v>
      </c>
      <c r="X263" s="33">
        <v>4</v>
      </c>
      <c r="Y263" s="30" t="s">
        <v>64</v>
      </c>
      <c r="Z263" s="30" t="s">
        <v>222</v>
      </c>
      <c r="AA263" s="30" t="s">
        <v>222</v>
      </c>
      <c r="AB263" s="30" t="s">
        <v>1316</v>
      </c>
      <c r="AC263" s="30">
        <v>61</v>
      </c>
      <c r="AD263" s="30" t="s">
        <v>1325</v>
      </c>
      <c r="AE263" s="30" t="s">
        <v>50</v>
      </c>
      <c r="AF263" s="30" t="s">
        <v>50</v>
      </c>
      <c r="AG263" s="30" t="s">
        <v>50</v>
      </c>
      <c r="AH263" s="30" t="s">
        <v>50</v>
      </c>
      <c r="AI263" s="30" t="s">
        <v>1673</v>
      </c>
      <c r="AJ263" s="30" t="s">
        <v>50</v>
      </c>
      <c r="AK263" s="30" t="s">
        <v>50</v>
      </c>
      <c r="AL263" s="30" t="s">
        <v>50</v>
      </c>
      <c r="AM263" s="30" t="s">
        <v>50</v>
      </c>
      <c r="AN263" s="30" t="s">
        <v>50</v>
      </c>
      <c r="AO263" s="30" t="s">
        <v>50</v>
      </c>
      <c r="AP263" s="30" t="s">
        <v>50</v>
      </c>
      <c r="AQ263" s="30" t="s">
        <v>50</v>
      </c>
      <c r="AR263" s="30" t="s">
        <v>50</v>
      </c>
      <c r="AS263" s="30" t="s">
        <v>50</v>
      </c>
      <c r="AT263" s="30" t="s">
        <v>299</v>
      </c>
      <c r="AU263" s="30" t="s">
        <v>50</v>
      </c>
      <c r="AV263" s="34">
        <v>167590641050</v>
      </c>
    </row>
    <row r="264" spans="2:48" ht="15" customHeight="1">
      <c r="B264" s="28">
        <v>258</v>
      </c>
      <c r="C264" s="29" t="s">
        <v>2591</v>
      </c>
      <c r="D264" s="30" t="s">
        <v>50</v>
      </c>
      <c r="E264" s="31" t="s">
        <v>2592</v>
      </c>
      <c r="F264" s="31" t="s">
        <v>50</v>
      </c>
      <c r="G264" s="32" t="s">
        <v>2593</v>
      </c>
      <c r="H264" s="30" t="s">
        <v>62</v>
      </c>
      <c r="I264" s="30" t="s">
        <v>1179</v>
      </c>
      <c r="J264" s="32" t="s">
        <v>1180</v>
      </c>
      <c r="K264" s="30" t="s">
        <v>349</v>
      </c>
      <c r="L264" s="32" t="s">
        <v>351</v>
      </c>
      <c r="M264" s="30" t="s">
        <v>1697</v>
      </c>
      <c r="N264" s="30" t="s">
        <v>1672</v>
      </c>
      <c r="O264" s="33">
        <v>6</v>
      </c>
      <c r="P264" s="33">
        <v>116467</v>
      </c>
      <c r="Q264" s="33">
        <v>0</v>
      </c>
      <c r="R264" s="33">
        <v>0</v>
      </c>
      <c r="S264" s="33">
        <v>0</v>
      </c>
      <c r="T264" s="33">
        <v>0</v>
      </c>
      <c r="U264" s="33">
        <v>0</v>
      </c>
      <c r="V264" s="33">
        <v>0</v>
      </c>
      <c r="W264" s="33" t="s">
        <v>50</v>
      </c>
      <c r="X264" s="33">
        <v>1</v>
      </c>
      <c r="Y264" s="30" t="s">
        <v>64</v>
      </c>
      <c r="Z264" s="30" t="s">
        <v>186</v>
      </c>
      <c r="AA264" s="30" t="s">
        <v>222</v>
      </c>
      <c r="AB264" s="30" t="s">
        <v>1315</v>
      </c>
      <c r="AC264" s="30">
        <v>42</v>
      </c>
      <c r="AD264" s="30" t="s">
        <v>1325</v>
      </c>
      <c r="AE264" s="30" t="s">
        <v>50</v>
      </c>
      <c r="AF264" s="30" t="s">
        <v>50</v>
      </c>
      <c r="AG264" s="30" t="s">
        <v>50</v>
      </c>
      <c r="AH264" s="30" t="s">
        <v>50</v>
      </c>
      <c r="AI264" s="30" t="s">
        <v>1673</v>
      </c>
      <c r="AJ264" s="30" t="s">
        <v>187</v>
      </c>
      <c r="AK264" s="30" t="s">
        <v>201</v>
      </c>
      <c r="AL264" s="30" t="s">
        <v>201</v>
      </c>
      <c r="AM264" s="30" t="s">
        <v>50</v>
      </c>
      <c r="AN264" s="30" t="s">
        <v>1681</v>
      </c>
      <c r="AO264" s="30" t="s">
        <v>50</v>
      </c>
      <c r="AP264" s="30" t="s">
        <v>50</v>
      </c>
      <c r="AQ264" s="30" t="s">
        <v>50</v>
      </c>
      <c r="AR264" s="30" t="s">
        <v>50</v>
      </c>
      <c r="AS264" s="30" t="s">
        <v>50</v>
      </c>
      <c r="AT264" s="30" t="s">
        <v>1682</v>
      </c>
      <c r="AU264" s="30" t="s">
        <v>50</v>
      </c>
      <c r="AV264" s="34">
        <v>167582287537</v>
      </c>
    </row>
    <row r="265" spans="2:48" ht="15" customHeight="1">
      <c r="B265" s="28">
        <v>259</v>
      </c>
      <c r="C265" s="29" t="s">
        <v>2594</v>
      </c>
      <c r="D265" s="30" t="s">
        <v>50</v>
      </c>
      <c r="E265" s="31" t="s">
        <v>2595</v>
      </c>
      <c r="F265" s="31" t="s">
        <v>50</v>
      </c>
      <c r="G265" s="32" t="s">
        <v>2596</v>
      </c>
      <c r="H265" s="30" t="s">
        <v>62</v>
      </c>
      <c r="I265" s="30" t="s">
        <v>1009</v>
      </c>
      <c r="J265" s="32" t="s">
        <v>1010</v>
      </c>
      <c r="K265" s="30" t="s">
        <v>603</v>
      </c>
      <c r="L265" s="32" t="s">
        <v>604</v>
      </c>
      <c r="M265" s="30" t="s">
        <v>1697</v>
      </c>
      <c r="N265" s="30" t="s">
        <v>1679</v>
      </c>
      <c r="O265" s="33">
        <v>4</v>
      </c>
      <c r="P265" s="33">
        <v>10836</v>
      </c>
      <c r="Q265" s="33">
        <v>105</v>
      </c>
      <c r="R265" s="33">
        <v>0</v>
      </c>
      <c r="S265" s="33">
        <v>0</v>
      </c>
      <c r="T265" s="33">
        <v>0</v>
      </c>
      <c r="U265" s="33">
        <v>0</v>
      </c>
      <c r="V265" s="33">
        <v>0</v>
      </c>
      <c r="W265" s="33" t="s">
        <v>50</v>
      </c>
      <c r="X265" s="33">
        <v>1</v>
      </c>
      <c r="Y265" s="30" t="s">
        <v>64</v>
      </c>
      <c r="Z265" s="30" t="s">
        <v>186</v>
      </c>
      <c r="AA265" s="30" t="s">
        <v>222</v>
      </c>
      <c r="AB265" s="30" t="s">
        <v>1316</v>
      </c>
      <c r="AC265" s="30">
        <v>88</v>
      </c>
      <c r="AD265" s="30" t="s">
        <v>876</v>
      </c>
      <c r="AE265" s="30" t="s">
        <v>50</v>
      </c>
      <c r="AF265" s="30" t="s">
        <v>50</v>
      </c>
      <c r="AG265" s="30" t="s">
        <v>50</v>
      </c>
      <c r="AH265" s="30" t="s">
        <v>50</v>
      </c>
      <c r="AI265" s="30" t="s">
        <v>1673</v>
      </c>
      <c r="AJ265" s="30" t="s">
        <v>50</v>
      </c>
      <c r="AK265" s="30" t="s">
        <v>50</v>
      </c>
      <c r="AL265" s="30" t="s">
        <v>50</v>
      </c>
      <c r="AM265" s="30" t="s">
        <v>50</v>
      </c>
      <c r="AN265" s="30" t="s">
        <v>1681</v>
      </c>
      <c r="AO265" s="30" t="s">
        <v>50</v>
      </c>
      <c r="AP265" s="30" t="s">
        <v>50</v>
      </c>
      <c r="AQ265" s="30" t="s">
        <v>50</v>
      </c>
      <c r="AR265" s="30" t="s">
        <v>50</v>
      </c>
      <c r="AS265" s="30" t="s">
        <v>50</v>
      </c>
      <c r="AT265" s="30" t="s">
        <v>1682</v>
      </c>
      <c r="AU265" s="30" t="s">
        <v>50</v>
      </c>
      <c r="AV265" s="34">
        <v>167571002173</v>
      </c>
    </row>
    <row r="266" spans="2:48" ht="15" customHeight="1">
      <c r="B266" s="28">
        <v>260</v>
      </c>
      <c r="C266" s="29" t="s">
        <v>2597</v>
      </c>
      <c r="D266" s="30" t="s">
        <v>50</v>
      </c>
      <c r="E266" s="31" t="s">
        <v>2598</v>
      </c>
      <c r="F266" s="31" t="s">
        <v>50</v>
      </c>
      <c r="G266" s="32" t="s">
        <v>2599</v>
      </c>
      <c r="H266" s="30" t="s">
        <v>78</v>
      </c>
      <c r="I266" s="30" t="s">
        <v>1038</v>
      </c>
      <c r="J266" s="32" t="s">
        <v>1039</v>
      </c>
      <c r="K266" s="30" t="s">
        <v>227</v>
      </c>
      <c r="L266" s="32" t="s">
        <v>228</v>
      </c>
      <c r="M266" s="30" t="s">
        <v>1697</v>
      </c>
      <c r="N266" s="30" t="s">
        <v>1791</v>
      </c>
      <c r="O266" s="33">
        <v>4</v>
      </c>
      <c r="P266" s="33">
        <v>87800</v>
      </c>
      <c r="Q266" s="33">
        <v>0</v>
      </c>
      <c r="R266" s="33">
        <v>0</v>
      </c>
      <c r="S266" s="33">
        <v>0</v>
      </c>
      <c r="T266" s="33">
        <v>0</v>
      </c>
      <c r="U266" s="33">
        <v>0</v>
      </c>
      <c r="V266" s="33">
        <v>0</v>
      </c>
      <c r="W266" s="33" t="s">
        <v>50</v>
      </c>
      <c r="X266" s="33">
        <v>1</v>
      </c>
      <c r="Y266" s="30" t="s">
        <v>70</v>
      </c>
      <c r="Z266" s="30" t="s">
        <v>192</v>
      </c>
      <c r="AA266" s="30" t="s">
        <v>192</v>
      </c>
      <c r="AB266" s="30"/>
      <c r="AC266" s="30"/>
      <c r="AD266" s="30" t="s">
        <v>50</v>
      </c>
      <c r="AE266" s="30" t="s">
        <v>50</v>
      </c>
      <c r="AF266" s="30" t="s">
        <v>50</v>
      </c>
      <c r="AG266" s="30" t="s">
        <v>50</v>
      </c>
      <c r="AH266" s="30" t="s">
        <v>50</v>
      </c>
      <c r="AI266" s="30" t="s">
        <v>1673</v>
      </c>
      <c r="AJ266" s="30" t="s">
        <v>991</v>
      </c>
      <c r="AK266" s="30" t="s">
        <v>50</v>
      </c>
      <c r="AL266" s="30" t="s">
        <v>50</v>
      </c>
      <c r="AM266" s="30" t="s">
        <v>50</v>
      </c>
      <c r="AN266" s="30" t="s">
        <v>1681</v>
      </c>
      <c r="AO266" s="30" t="s">
        <v>50</v>
      </c>
      <c r="AP266" s="30" t="s">
        <v>50</v>
      </c>
      <c r="AQ266" s="30" t="s">
        <v>50</v>
      </c>
      <c r="AR266" s="30" t="s">
        <v>50</v>
      </c>
      <c r="AS266" s="30" t="s">
        <v>50</v>
      </c>
      <c r="AT266" s="30" t="s">
        <v>1682</v>
      </c>
      <c r="AU266" s="30" t="s">
        <v>50</v>
      </c>
      <c r="AV266" s="34">
        <v>167561942287</v>
      </c>
    </row>
    <row r="267" spans="2:48" ht="15" customHeight="1">
      <c r="B267" s="28">
        <v>261</v>
      </c>
      <c r="C267" s="29" t="s">
        <v>2600</v>
      </c>
      <c r="D267" s="30" t="s">
        <v>2601</v>
      </c>
      <c r="E267" s="31" t="s">
        <v>2602</v>
      </c>
      <c r="F267" s="31" t="s">
        <v>2603</v>
      </c>
      <c r="G267" s="32" t="s">
        <v>2604</v>
      </c>
      <c r="H267" s="30" t="s">
        <v>78</v>
      </c>
      <c r="I267" s="30" t="s">
        <v>227</v>
      </c>
      <c r="J267" s="32" t="s">
        <v>228</v>
      </c>
      <c r="K267" s="30" t="s">
        <v>227</v>
      </c>
      <c r="L267" s="32" t="s">
        <v>228</v>
      </c>
      <c r="M267" s="30" t="s">
        <v>1671</v>
      </c>
      <c r="N267" s="30" t="s">
        <v>1672</v>
      </c>
      <c r="O267" s="33">
        <v>277</v>
      </c>
      <c r="P267" s="33">
        <v>89400</v>
      </c>
      <c r="Q267" s="33">
        <v>89400</v>
      </c>
      <c r="R267" s="33">
        <v>23332</v>
      </c>
      <c r="S267" s="33">
        <v>1280</v>
      </c>
      <c r="T267" s="33">
        <v>1073</v>
      </c>
      <c r="U267" s="33">
        <v>207</v>
      </c>
      <c r="V267" s="33">
        <v>0</v>
      </c>
      <c r="W267" s="33" t="s">
        <v>50</v>
      </c>
      <c r="X267" s="33">
        <v>1</v>
      </c>
      <c r="Y267" s="30" t="s">
        <v>70</v>
      </c>
      <c r="Z267" s="30" t="s">
        <v>192</v>
      </c>
      <c r="AA267" s="30" t="s">
        <v>192</v>
      </c>
      <c r="AB267" s="30" t="s">
        <v>1315</v>
      </c>
      <c r="AC267" s="30"/>
      <c r="AD267" s="30" t="s">
        <v>50</v>
      </c>
      <c r="AE267" s="30" t="s">
        <v>50</v>
      </c>
      <c r="AF267" s="30" t="s">
        <v>50</v>
      </c>
      <c r="AG267" s="30" t="s">
        <v>50</v>
      </c>
      <c r="AH267" s="30" t="s">
        <v>50</v>
      </c>
      <c r="AI267" s="30" t="s">
        <v>1673</v>
      </c>
      <c r="AJ267" s="30" t="s">
        <v>991</v>
      </c>
      <c r="AK267" s="30" t="s">
        <v>50</v>
      </c>
      <c r="AL267" s="30" t="s">
        <v>50</v>
      </c>
      <c r="AM267" s="30" t="s">
        <v>50</v>
      </c>
      <c r="AN267" s="30" t="s">
        <v>50</v>
      </c>
      <c r="AO267" s="30" t="s">
        <v>50</v>
      </c>
      <c r="AP267" s="30" t="s">
        <v>50</v>
      </c>
      <c r="AQ267" s="30" t="s">
        <v>50</v>
      </c>
      <c r="AR267" s="30" t="s">
        <v>50</v>
      </c>
      <c r="AS267" s="30" t="s">
        <v>50</v>
      </c>
      <c r="AT267" s="30" t="s">
        <v>1711</v>
      </c>
      <c r="AU267" s="30" t="s">
        <v>148</v>
      </c>
      <c r="AV267" s="34">
        <v>167558594577</v>
      </c>
    </row>
    <row r="268" spans="2:48" ht="15" customHeight="1">
      <c r="B268" s="28">
        <v>262</v>
      </c>
      <c r="C268" s="29" t="s">
        <v>2605</v>
      </c>
      <c r="D268" s="30" t="s">
        <v>50</v>
      </c>
      <c r="E268" s="31" t="s">
        <v>2606</v>
      </c>
      <c r="F268" s="31" t="s">
        <v>50</v>
      </c>
      <c r="G268" s="32" t="s">
        <v>2607</v>
      </c>
      <c r="H268" s="30" t="s">
        <v>62</v>
      </c>
      <c r="I268" s="30" t="s">
        <v>988</v>
      </c>
      <c r="J268" s="32" t="s">
        <v>989</v>
      </c>
      <c r="K268" s="30" t="s">
        <v>242</v>
      </c>
      <c r="L268" s="32" t="s">
        <v>243</v>
      </c>
      <c r="M268" s="30" t="s">
        <v>1697</v>
      </c>
      <c r="N268" s="30" t="s">
        <v>1679</v>
      </c>
      <c r="O268" s="33">
        <v>3</v>
      </c>
      <c r="P268" s="33">
        <v>58476</v>
      </c>
      <c r="Q268" s="33">
        <v>1</v>
      </c>
      <c r="R268" s="33">
        <v>0</v>
      </c>
      <c r="S268" s="33">
        <v>1</v>
      </c>
      <c r="T268" s="33">
        <v>1</v>
      </c>
      <c r="U268" s="33">
        <v>0</v>
      </c>
      <c r="V268" s="33">
        <v>0</v>
      </c>
      <c r="W268" s="33" t="s">
        <v>50</v>
      </c>
      <c r="X268" s="33">
        <v>1</v>
      </c>
      <c r="Y268" s="30" t="s">
        <v>64</v>
      </c>
      <c r="Z268" s="30" t="s">
        <v>186</v>
      </c>
      <c r="AA268" s="30" t="s">
        <v>222</v>
      </c>
      <c r="AB268" s="30" t="s">
        <v>1316</v>
      </c>
      <c r="AC268" s="30"/>
      <c r="AD268" s="30" t="s">
        <v>1325</v>
      </c>
      <c r="AE268" s="30" t="s">
        <v>50</v>
      </c>
      <c r="AF268" s="30" t="s">
        <v>1741</v>
      </c>
      <c r="AG268" s="30" t="s">
        <v>50</v>
      </c>
      <c r="AH268" s="30" t="s">
        <v>50</v>
      </c>
      <c r="AI268" s="30" t="s">
        <v>1673</v>
      </c>
      <c r="AJ268" s="30" t="s">
        <v>187</v>
      </c>
      <c r="AK268" s="30" t="s">
        <v>50</v>
      </c>
      <c r="AL268" s="30" t="s">
        <v>50</v>
      </c>
      <c r="AM268" s="30" t="s">
        <v>50</v>
      </c>
      <c r="AN268" s="30" t="s">
        <v>1681</v>
      </c>
      <c r="AO268" s="30" t="s">
        <v>50</v>
      </c>
      <c r="AP268" s="30" t="s">
        <v>50</v>
      </c>
      <c r="AQ268" s="30" t="s">
        <v>50</v>
      </c>
      <c r="AR268" s="30" t="s">
        <v>50</v>
      </c>
      <c r="AS268" s="30" t="s">
        <v>50</v>
      </c>
      <c r="AT268" s="30" t="s">
        <v>1682</v>
      </c>
      <c r="AU268" s="30" t="s">
        <v>50</v>
      </c>
      <c r="AV268" s="34">
        <v>167548181335</v>
      </c>
    </row>
    <row r="269" spans="2:48" ht="15" customHeight="1">
      <c r="B269" s="28">
        <v>263</v>
      </c>
      <c r="C269" s="29" t="s">
        <v>2608</v>
      </c>
      <c r="D269" s="30" t="s">
        <v>318</v>
      </c>
      <c r="E269" s="31" t="s">
        <v>2609</v>
      </c>
      <c r="F269" s="31" t="s">
        <v>50</v>
      </c>
      <c r="G269" s="32" t="s">
        <v>2610</v>
      </c>
      <c r="H269" s="30" t="s">
        <v>73</v>
      </c>
      <c r="I269" s="30" t="s">
        <v>858</v>
      </c>
      <c r="J269" s="32" t="s">
        <v>859</v>
      </c>
      <c r="K269" s="30" t="s">
        <v>808</v>
      </c>
      <c r="L269" s="32" t="s">
        <v>809</v>
      </c>
      <c r="M269" s="30" t="s">
        <v>1718</v>
      </c>
      <c r="N269" s="30" t="s">
        <v>1672</v>
      </c>
      <c r="O269" s="33"/>
      <c r="P269" s="33">
        <v>0</v>
      </c>
      <c r="Q269" s="33">
        <v>0</v>
      </c>
      <c r="R269" s="33" t="s">
        <v>158</v>
      </c>
      <c r="S269" s="33">
        <v>0</v>
      </c>
      <c r="T269" s="33" t="s">
        <v>158</v>
      </c>
      <c r="U269" s="33" t="s">
        <v>158</v>
      </c>
      <c r="V269" s="33" t="s">
        <v>158</v>
      </c>
      <c r="W269" s="33" t="s">
        <v>50</v>
      </c>
      <c r="X269" s="33">
        <v>1</v>
      </c>
      <c r="Y269" s="30" t="s">
        <v>75</v>
      </c>
      <c r="Z269" s="30" t="s">
        <v>192</v>
      </c>
      <c r="AA269" s="30" t="s">
        <v>192</v>
      </c>
      <c r="AB269" s="30" t="s">
        <v>1316</v>
      </c>
      <c r="AC269" s="30"/>
      <c r="AD269" s="30" t="s">
        <v>50</v>
      </c>
      <c r="AE269" s="30" t="s">
        <v>50</v>
      </c>
      <c r="AF269" s="30" t="s">
        <v>50</v>
      </c>
      <c r="AG269" s="30" t="s">
        <v>50</v>
      </c>
      <c r="AH269" s="30" t="s">
        <v>50</v>
      </c>
      <c r="AI269" s="30" t="s">
        <v>1673</v>
      </c>
      <c r="AJ269" s="30" t="s">
        <v>50</v>
      </c>
      <c r="AK269" s="30" t="s">
        <v>50</v>
      </c>
      <c r="AL269" s="30" t="s">
        <v>50</v>
      </c>
      <c r="AM269" s="30" t="s">
        <v>50</v>
      </c>
      <c r="AN269" s="30" t="s">
        <v>1681</v>
      </c>
      <c r="AO269" s="30" t="s">
        <v>50</v>
      </c>
      <c r="AP269" s="30" t="s">
        <v>50</v>
      </c>
      <c r="AQ269" s="30" t="s">
        <v>50</v>
      </c>
      <c r="AR269" s="30" t="s">
        <v>50</v>
      </c>
      <c r="AS269" s="30" t="s">
        <v>50</v>
      </c>
      <c r="AT269" s="30" t="s">
        <v>1792</v>
      </c>
      <c r="AU269" s="30" t="s">
        <v>50</v>
      </c>
      <c r="AV269" s="34">
        <v>167580529600</v>
      </c>
    </row>
    <row r="270" spans="2:48" ht="15" customHeight="1">
      <c r="B270" s="28">
        <v>264</v>
      </c>
      <c r="C270" s="29" t="s">
        <v>2611</v>
      </c>
      <c r="D270" s="30" t="s">
        <v>50</v>
      </c>
      <c r="E270" s="31" t="s">
        <v>2516</v>
      </c>
      <c r="F270" s="31" t="s">
        <v>50</v>
      </c>
      <c r="G270" s="32" t="s">
        <v>2612</v>
      </c>
      <c r="H270" s="30" t="s">
        <v>71</v>
      </c>
      <c r="I270" s="30" t="s">
        <v>480</v>
      </c>
      <c r="J270" s="32" t="s">
        <v>481</v>
      </c>
      <c r="K270" s="30" t="s">
        <v>480</v>
      </c>
      <c r="L270" s="32" t="s">
        <v>481</v>
      </c>
      <c r="M270" s="30" t="s">
        <v>1989</v>
      </c>
      <c r="N270" s="30" t="s">
        <v>1672</v>
      </c>
      <c r="O270" s="33"/>
      <c r="P270" s="33">
        <v>120</v>
      </c>
      <c r="Q270" s="33">
        <v>80</v>
      </c>
      <c r="R270" s="33">
        <v>0</v>
      </c>
      <c r="S270" s="33">
        <v>0</v>
      </c>
      <c r="T270" s="33">
        <v>0</v>
      </c>
      <c r="U270" s="33">
        <v>0</v>
      </c>
      <c r="V270" s="33">
        <v>0</v>
      </c>
      <c r="W270" s="33" t="s">
        <v>50</v>
      </c>
      <c r="X270" s="33">
        <v>19</v>
      </c>
      <c r="Y270" s="30" t="s">
        <v>64</v>
      </c>
      <c r="Z270" s="30" t="s">
        <v>222</v>
      </c>
      <c r="AA270" s="30" t="s">
        <v>192</v>
      </c>
      <c r="AB270" s="30"/>
      <c r="AC270" s="30"/>
      <c r="AD270" s="30" t="s">
        <v>50</v>
      </c>
      <c r="AE270" s="30" t="s">
        <v>50</v>
      </c>
      <c r="AF270" s="30" t="s">
        <v>50</v>
      </c>
      <c r="AG270" s="30" t="s">
        <v>50</v>
      </c>
      <c r="AH270" s="30" t="s">
        <v>50</v>
      </c>
      <c r="AI270" s="30" t="s">
        <v>1673</v>
      </c>
      <c r="AJ270" s="30" t="s">
        <v>50</v>
      </c>
      <c r="AK270" s="30" t="s">
        <v>50</v>
      </c>
      <c r="AL270" s="30" t="s">
        <v>50</v>
      </c>
      <c r="AM270" s="30" t="s">
        <v>35</v>
      </c>
      <c r="AN270" s="30" t="s">
        <v>1681</v>
      </c>
      <c r="AO270" s="30" t="s">
        <v>50</v>
      </c>
      <c r="AP270" s="30" t="s">
        <v>50</v>
      </c>
      <c r="AQ270" s="30" t="s">
        <v>50</v>
      </c>
      <c r="AR270" s="30" t="s">
        <v>50</v>
      </c>
      <c r="AS270" s="30" t="s">
        <v>50</v>
      </c>
      <c r="AT270" s="30" t="s">
        <v>299</v>
      </c>
      <c r="AU270" s="30" t="s">
        <v>50</v>
      </c>
      <c r="AV270" s="34">
        <v>167581195333</v>
      </c>
    </row>
    <row r="271" spans="2:48" ht="15" customHeight="1">
      <c r="B271" s="28">
        <v>265</v>
      </c>
      <c r="C271" s="29" t="s">
        <v>2613</v>
      </c>
      <c r="D271" s="30" t="s">
        <v>50</v>
      </c>
      <c r="E271" s="31" t="s">
        <v>2614</v>
      </c>
      <c r="F271" s="31" t="s">
        <v>50</v>
      </c>
      <c r="G271" s="32" t="s">
        <v>2615</v>
      </c>
      <c r="H271" s="30" t="s">
        <v>97</v>
      </c>
      <c r="I271" s="30" t="s">
        <v>1269</v>
      </c>
      <c r="J271" s="32" t="s">
        <v>1270</v>
      </c>
      <c r="K271" s="30" t="s">
        <v>658</v>
      </c>
      <c r="L271" s="32" t="s">
        <v>659</v>
      </c>
      <c r="M271" s="30" t="s">
        <v>1697</v>
      </c>
      <c r="N271" s="30" t="s">
        <v>1679</v>
      </c>
      <c r="O271" s="33"/>
      <c r="P271" s="33">
        <v>0</v>
      </c>
      <c r="Q271" s="33">
        <v>0</v>
      </c>
      <c r="R271" s="33" t="s">
        <v>158</v>
      </c>
      <c r="S271" s="33">
        <v>0</v>
      </c>
      <c r="T271" s="33" t="s">
        <v>158</v>
      </c>
      <c r="U271" s="33" t="s">
        <v>158</v>
      </c>
      <c r="V271" s="33" t="s">
        <v>158</v>
      </c>
      <c r="W271" s="33" t="s">
        <v>50</v>
      </c>
      <c r="X271" s="33">
        <v>1</v>
      </c>
      <c r="Y271" s="30" t="s">
        <v>75</v>
      </c>
      <c r="Z271" s="30" t="s">
        <v>192</v>
      </c>
      <c r="AA271" s="30" t="s">
        <v>192</v>
      </c>
      <c r="AB271" s="30" t="s">
        <v>1315</v>
      </c>
      <c r="AC271" s="30"/>
      <c r="AD271" s="30" t="s">
        <v>50</v>
      </c>
      <c r="AE271" s="30" t="s">
        <v>50</v>
      </c>
      <c r="AF271" s="30" t="s">
        <v>50</v>
      </c>
      <c r="AG271" s="30" t="s">
        <v>50</v>
      </c>
      <c r="AH271" s="30" t="s">
        <v>50</v>
      </c>
      <c r="AI271" s="30" t="s">
        <v>1673</v>
      </c>
      <c r="AJ271" s="30" t="s">
        <v>187</v>
      </c>
      <c r="AK271" s="30" t="s">
        <v>50</v>
      </c>
      <c r="AL271" s="30" t="s">
        <v>50</v>
      </c>
      <c r="AM271" s="30" t="s">
        <v>50</v>
      </c>
      <c r="AN271" s="30" t="s">
        <v>1681</v>
      </c>
      <c r="AO271" s="30" t="s">
        <v>50</v>
      </c>
      <c r="AP271" s="30" t="s">
        <v>50</v>
      </c>
      <c r="AQ271" s="30" t="s">
        <v>50</v>
      </c>
      <c r="AR271" s="30" t="s">
        <v>50</v>
      </c>
      <c r="AS271" s="30" t="s">
        <v>50</v>
      </c>
      <c r="AT271" s="30" t="s">
        <v>1682</v>
      </c>
      <c r="AU271" s="30" t="s">
        <v>50</v>
      </c>
      <c r="AV271" s="34">
        <v>167542061130</v>
      </c>
    </row>
    <row r="272" spans="2:48" ht="15" customHeight="1">
      <c r="B272" s="28">
        <v>266</v>
      </c>
      <c r="C272" s="29" t="s">
        <v>2616</v>
      </c>
      <c r="D272" s="30" t="s">
        <v>50</v>
      </c>
      <c r="E272" s="31" t="s">
        <v>2516</v>
      </c>
      <c r="F272" s="31" t="s">
        <v>50</v>
      </c>
      <c r="G272" s="32" t="s">
        <v>2617</v>
      </c>
      <c r="H272" s="30" t="s">
        <v>71</v>
      </c>
      <c r="I272" s="30" t="s">
        <v>460</v>
      </c>
      <c r="J272" s="32" t="s">
        <v>461</v>
      </c>
      <c r="K272" s="30" t="s">
        <v>460</v>
      </c>
      <c r="L272" s="32" t="s">
        <v>461</v>
      </c>
      <c r="M272" s="30" t="s">
        <v>1989</v>
      </c>
      <c r="N272" s="30" t="s">
        <v>1672</v>
      </c>
      <c r="O272" s="33"/>
      <c r="P272" s="33">
        <v>0</v>
      </c>
      <c r="Q272" s="33">
        <v>0</v>
      </c>
      <c r="R272" s="33">
        <v>0</v>
      </c>
      <c r="S272" s="33">
        <v>0</v>
      </c>
      <c r="T272" s="33">
        <v>0</v>
      </c>
      <c r="U272" s="33">
        <v>0</v>
      </c>
      <c r="V272" s="33">
        <v>0</v>
      </c>
      <c r="W272" s="33" t="s">
        <v>50</v>
      </c>
      <c r="X272" s="33">
        <v>19</v>
      </c>
      <c r="Y272" s="30" t="s">
        <v>64</v>
      </c>
      <c r="Z272" s="30" t="s">
        <v>192</v>
      </c>
      <c r="AA272" s="30" t="s">
        <v>192</v>
      </c>
      <c r="AB272" s="30" t="s">
        <v>1316</v>
      </c>
      <c r="AC272" s="30"/>
      <c r="AD272" s="30" t="s">
        <v>50</v>
      </c>
      <c r="AE272" s="30" t="s">
        <v>50</v>
      </c>
      <c r="AF272" s="30" t="s">
        <v>50</v>
      </c>
      <c r="AG272" s="30" t="s">
        <v>50</v>
      </c>
      <c r="AH272" s="30" t="s">
        <v>50</v>
      </c>
      <c r="AI272" s="30" t="s">
        <v>1673</v>
      </c>
      <c r="AJ272" s="30" t="s">
        <v>187</v>
      </c>
      <c r="AK272" s="30" t="s">
        <v>2618</v>
      </c>
      <c r="AL272" s="30" t="s">
        <v>50</v>
      </c>
      <c r="AM272" s="30" t="s">
        <v>35</v>
      </c>
      <c r="AN272" s="30" t="s">
        <v>1681</v>
      </c>
      <c r="AO272" s="30" t="s">
        <v>50</v>
      </c>
      <c r="AP272" s="30" t="s">
        <v>50</v>
      </c>
      <c r="AQ272" s="30" t="s">
        <v>50</v>
      </c>
      <c r="AR272" s="30" t="s">
        <v>50</v>
      </c>
      <c r="AS272" s="30" t="s">
        <v>50</v>
      </c>
      <c r="AT272" s="30" t="s">
        <v>299</v>
      </c>
      <c r="AU272" s="30" t="s">
        <v>50</v>
      </c>
      <c r="AV272" s="34">
        <v>167835544158</v>
      </c>
    </row>
    <row r="273" spans="2:48" ht="15" customHeight="1">
      <c r="B273" s="28">
        <v>267</v>
      </c>
      <c r="C273" s="29" t="s">
        <v>2619</v>
      </c>
      <c r="D273" s="30" t="s">
        <v>50</v>
      </c>
      <c r="E273" s="31" t="s">
        <v>2620</v>
      </c>
      <c r="F273" s="31" t="s">
        <v>50</v>
      </c>
      <c r="G273" s="32" t="s">
        <v>2621</v>
      </c>
      <c r="H273" s="30" t="s">
        <v>65</v>
      </c>
      <c r="I273" s="30" t="s">
        <v>1218</v>
      </c>
      <c r="J273" s="32" t="s">
        <v>2622</v>
      </c>
      <c r="K273" s="30" t="s">
        <v>681</v>
      </c>
      <c r="L273" s="32" t="s">
        <v>2623</v>
      </c>
      <c r="M273" s="30" t="s">
        <v>1697</v>
      </c>
      <c r="N273" s="30" t="s">
        <v>1672</v>
      </c>
      <c r="O273" s="33"/>
      <c r="P273" s="33">
        <v>4972</v>
      </c>
      <c r="Q273" s="33">
        <v>0</v>
      </c>
      <c r="R273" s="33">
        <v>0</v>
      </c>
      <c r="S273" s="33">
        <v>0</v>
      </c>
      <c r="T273" s="33">
        <v>0</v>
      </c>
      <c r="U273" s="33">
        <v>0</v>
      </c>
      <c r="V273" s="33">
        <v>0</v>
      </c>
      <c r="W273" s="33" t="s">
        <v>50</v>
      </c>
      <c r="X273" s="33">
        <v>1</v>
      </c>
      <c r="Y273" s="30" t="s">
        <v>67</v>
      </c>
      <c r="Z273" s="30" t="s">
        <v>186</v>
      </c>
      <c r="AA273" s="30" t="s">
        <v>222</v>
      </c>
      <c r="AB273" s="30"/>
      <c r="AC273" s="30"/>
      <c r="AD273" s="30" t="s">
        <v>50</v>
      </c>
      <c r="AE273" s="30" t="s">
        <v>50</v>
      </c>
      <c r="AF273" s="30" t="s">
        <v>50</v>
      </c>
      <c r="AG273" s="30" t="s">
        <v>50</v>
      </c>
      <c r="AH273" s="30" t="s">
        <v>50</v>
      </c>
      <c r="AI273" s="30" t="s">
        <v>1673</v>
      </c>
      <c r="AJ273" s="30" t="s">
        <v>50</v>
      </c>
      <c r="AK273" s="30" t="s">
        <v>50</v>
      </c>
      <c r="AL273" s="30" t="s">
        <v>50</v>
      </c>
      <c r="AM273" s="30" t="s">
        <v>50</v>
      </c>
      <c r="AN273" s="30" t="s">
        <v>1681</v>
      </c>
      <c r="AO273" s="30" t="s">
        <v>50</v>
      </c>
      <c r="AP273" s="30" t="s">
        <v>50</v>
      </c>
      <c r="AQ273" s="30" t="s">
        <v>50</v>
      </c>
      <c r="AR273" s="30" t="s">
        <v>50</v>
      </c>
      <c r="AS273" s="30" t="s">
        <v>50</v>
      </c>
      <c r="AT273" s="30" t="s">
        <v>299</v>
      </c>
      <c r="AU273" s="30" t="s">
        <v>50</v>
      </c>
      <c r="AV273" s="34">
        <v>167529335018</v>
      </c>
    </row>
    <row r="274" spans="2:48" ht="15" customHeight="1">
      <c r="B274" s="28">
        <v>268</v>
      </c>
      <c r="C274" s="29" t="s">
        <v>2624</v>
      </c>
      <c r="D274" s="30" t="s">
        <v>50</v>
      </c>
      <c r="E274" s="31" t="s">
        <v>2516</v>
      </c>
      <c r="F274" s="31" t="s">
        <v>50</v>
      </c>
      <c r="G274" s="32" t="s">
        <v>2625</v>
      </c>
      <c r="H274" s="30" t="s">
        <v>71</v>
      </c>
      <c r="I274" s="30" t="s">
        <v>457</v>
      </c>
      <c r="J274" s="32" t="s">
        <v>458</v>
      </c>
      <c r="K274" s="30" t="s">
        <v>457</v>
      </c>
      <c r="L274" s="32" t="s">
        <v>458</v>
      </c>
      <c r="M274" s="30" t="s">
        <v>1989</v>
      </c>
      <c r="N274" s="30" t="s">
        <v>1672</v>
      </c>
      <c r="O274" s="33"/>
      <c r="P274" s="33">
        <v>25</v>
      </c>
      <c r="Q274" s="33">
        <v>25</v>
      </c>
      <c r="R274" s="33">
        <v>0</v>
      </c>
      <c r="S274" s="33">
        <v>0</v>
      </c>
      <c r="T274" s="33">
        <v>0</v>
      </c>
      <c r="U274" s="33">
        <v>0</v>
      </c>
      <c r="V274" s="33">
        <v>0</v>
      </c>
      <c r="W274" s="33" t="s">
        <v>50</v>
      </c>
      <c r="X274" s="33">
        <v>19</v>
      </c>
      <c r="Y274" s="30" t="s">
        <v>64</v>
      </c>
      <c r="Z274" s="30" t="s">
        <v>222</v>
      </c>
      <c r="AA274" s="30" t="s">
        <v>192</v>
      </c>
      <c r="AB274" s="30" t="s">
        <v>1316</v>
      </c>
      <c r="AC274" s="30"/>
      <c r="AD274" s="30" t="s">
        <v>50</v>
      </c>
      <c r="AE274" s="30" t="s">
        <v>50</v>
      </c>
      <c r="AF274" s="30" t="s">
        <v>50</v>
      </c>
      <c r="AG274" s="30" t="s">
        <v>50</v>
      </c>
      <c r="AH274" s="30" t="s">
        <v>50</v>
      </c>
      <c r="AI274" s="30" t="s">
        <v>1673</v>
      </c>
      <c r="AJ274" s="30" t="s">
        <v>50</v>
      </c>
      <c r="AK274" s="30" t="s">
        <v>50</v>
      </c>
      <c r="AL274" s="30" t="s">
        <v>459</v>
      </c>
      <c r="AM274" s="30" t="s">
        <v>35</v>
      </c>
      <c r="AN274" s="30" t="s">
        <v>1681</v>
      </c>
      <c r="AO274" s="30" t="s">
        <v>50</v>
      </c>
      <c r="AP274" s="30" t="s">
        <v>50</v>
      </c>
      <c r="AQ274" s="30" t="s">
        <v>50</v>
      </c>
      <c r="AR274" s="30" t="s">
        <v>50</v>
      </c>
      <c r="AS274" s="30" t="s">
        <v>50</v>
      </c>
      <c r="AT274" s="30" t="s">
        <v>299</v>
      </c>
      <c r="AU274" s="30" t="s">
        <v>50</v>
      </c>
      <c r="AV274" s="34">
        <v>167528700976</v>
      </c>
    </row>
    <row r="275" spans="2:48" ht="15" customHeight="1">
      <c r="B275" s="28">
        <v>269</v>
      </c>
      <c r="C275" s="29" t="s">
        <v>2626</v>
      </c>
      <c r="D275" s="30" t="s">
        <v>50</v>
      </c>
      <c r="E275" s="31" t="s">
        <v>2516</v>
      </c>
      <c r="F275" s="31" t="s">
        <v>50</v>
      </c>
      <c r="G275" s="32" t="s">
        <v>2627</v>
      </c>
      <c r="H275" s="30" t="s">
        <v>71</v>
      </c>
      <c r="I275" s="30" t="s">
        <v>495</v>
      </c>
      <c r="J275" s="32" t="s">
        <v>496</v>
      </c>
      <c r="K275" s="30" t="s">
        <v>495</v>
      </c>
      <c r="L275" s="32" t="s">
        <v>496</v>
      </c>
      <c r="M275" s="30" t="s">
        <v>1989</v>
      </c>
      <c r="N275" s="30" t="s">
        <v>1672</v>
      </c>
      <c r="O275" s="33"/>
      <c r="P275" s="33">
        <v>109</v>
      </c>
      <c r="Q275" s="33">
        <v>109</v>
      </c>
      <c r="R275" s="33">
        <v>0</v>
      </c>
      <c r="S275" s="33">
        <v>0</v>
      </c>
      <c r="T275" s="33">
        <v>0</v>
      </c>
      <c r="U275" s="33">
        <v>0</v>
      </c>
      <c r="V275" s="33">
        <v>0</v>
      </c>
      <c r="W275" s="33" t="s">
        <v>50</v>
      </c>
      <c r="X275" s="33">
        <v>19</v>
      </c>
      <c r="Y275" s="30" t="s">
        <v>64</v>
      </c>
      <c r="Z275" s="30" t="s">
        <v>222</v>
      </c>
      <c r="AA275" s="30" t="s">
        <v>222</v>
      </c>
      <c r="AB275" s="30" t="s">
        <v>1315</v>
      </c>
      <c r="AC275" s="30"/>
      <c r="AD275" s="30" t="s">
        <v>50</v>
      </c>
      <c r="AE275" s="30" t="s">
        <v>50</v>
      </c>
      <c r="AF275" s="30" t="s">
        <v>50</v>
      </c>
      <c r="AG275" s="30" t="s">
        <v>50</v>
      </c>
      <c r="AH275" s="30" t="s">
        <v>50</v>
      </c>
      <c r="AI275" s="30" t="s">
        <v>1673</v>
      </c>
      <c r="AJ275" s="30" t="s">
        <v>50</v>
      </c>
      <c r="AK275" s="30" t="s">
        <v>50</v>
      </c>
      <c r="AL275" s="30" t="s">
        <v>497</v>
      </c>
      <c r="AM275" s="30" t="s">
        <v>35</v>
      </c>
      <c r="AN275" s="30" t="s">
        <v>1681</v>
      </c>
      <c r="AO275" s="30" t="s">
        <v>50</v>
      </c>
      <c r="AP275" s="30" t="s">
        <v>50</v>
      </c>
      <c r="AQ275" s="30" t="s">
        <v>50</v>
      </c>
      <c r="AR275" s="30" t="s">
        <v>50</v>
      </c>
      <c r="AS275" s="30" t="s">
        <v>50</v>
      </c>
      <c r="AT275" s="30" t="s">
        <v>299</v>
      </c>
      <c r="AU275" s="30" t="s">
        <v>50</v>
      </c>
      <c r="AV275" s="34">
        <v>167874929472</v>
      </c>
    </row>
    <row r="276" spans="2:48" ht="15" customHeight="1">
      <c r="B276" s="28">
        <v>270</v>
      </c>
      <c r="C276" s="29" t="s">
        <v>2628</v>
      </c>
      <c r="D276" s="30" t="s">
        <v>50</v>
      </c>
      <c r="E276" s="31" t="s">
        <v>2629</v>
      </c>
      <c r="F276" s="31" t="s">
        <v>50</v>
      </c>
      <c r="G276" s="32" t="s">
        <v>2630</v>
      </c>
      <c r="H276" s="30" t="s">
        <v>71</v>
      </c>
      <c r="I276" s="30" t="s">
        <v>486</v>
      </c>
      <c r="J276" s="32" t="s">
        <v>487</v>
      </c>
      <c r="K276" s="30" t="s">
        <v>486</v>
      </c>
      <c r="L276" s="32" t="s">
        <v>487</v>
      </c>
      <c r="M276" s="30" t="s">
        <v>1351</v>
      </c>
      <c r="N276" s="30" t="s">
        <v>1672</v>
      </c>
      <c r="O276" s="33"/>
      <c r="P276" s="33">
        <v>2666</v>
      </c>
      <c r="Q276" s="33">
        <v>2121</v>
      </c>
      <c r="R276" s="33">
        <v>0</v>
      </c>
      <c r="S276" s="33">
        <v>0</v>
      </c>
      <c r="T276" s="33">
        <v>0</v>
      </c>
      <c r="U276" s="33">
        <v>0</v>
      </c>
      <c r="V276" s="33">
        <v>0</v>
      </c>
      <c r="W276" s="33" t="s">
        <v>50</v>
      </c>
      <c r="X276" s="33">
        <v>2</v>
      </c>
      <c r="Y276" s="30" t="s">
        <v>64</v>
      </c>
      <c r="Z276" s="30" t="s">
        <v>222</v>
      </c>
      <c r="AA276" s="30" t="s">
        <v>192</v>
      </c>
      <c r="AB276" s="30" t="s">
        <v>1316</v>
      </c>
      <c r="AC276" s="30"/>
      <c r="AD276" s="30" t="s">
        <v>50</v>
      </c>
      <c r="AE276" s="30" t="s">
        <v>50</v>
      </c>
      <c r="AF276" s="30" t="s">
        <v>50</v>
      </c>
      <c r="AG276" s="30" t="s">
        <v>50</v>
      </c>
      <c r="AH276" s="30" t="s">
        <v>50</v>
      </c>
      <c r="AI276" s="30" t="s">
        <v>1673</v>
      </c>
      <c r="AJ276" s="30" t="s">
        <v>392</v>
      </c>
      <c r="AK276" s="30" t="s">
        <v>2631</v>
      </c>
      <c r="AL276" s="30" t="s">
        <v>489</v>
      </c>
      <c r="AM276" s="30" t="s">
        <v>35</v>
      </c>
      <c r="AN276" s="30" t="s">
        <v>1681</v>
      </c>
      <c r="AO276" s="30" t="s">
        <v>50</v>
      </c>
      <c r="AP276" s="30" t="s">
        <v>50</v>
      </c>
      <c r="AQ276" s="30" t="s">
        <v>50</v>
      </c>
      <c r="AR276" s="30" t="s">
        <v>50</v>
      </c>
      <c r="AS276" s="30" t="s">
        <v>50</v>
      </c>
      <c r="AT276" s="30" t="s">
        <v>299</v>
      </c>
      <c r="AU276" s="30" t="s">
        <v>50</v>
      </c>
      <c r="AV276" s="34">
        <v>167813291329</v>
      </c>
    </row>
    <row r="277" spans="2:48" ht="15" customHeight="1">
      <c r="B277" s="28">
        <v>271</v>
      </c>
      <c r="C277" s="29" t="s">
        <v>2632</v>
      </c>
      <c r="D277" s="30" t="s">
        <v>50</v>
      </c>
      <c r="E277" s="31" t="s">
        <v>2633</v>
      </c>
      <c r="F277" s="31" t="s">
        <v>2634</v>
      </c>
      <c r="G277" s="32" t="s">
        <v>2635</v>
      </c>
      <c r="H277" s="30" t="s">
        <v>62</v>
      </c>
      <c r="I277" s="30" t="s">
        <v>446</v>
      </c>
      <c r="J277" s="32" t="s">
        <v>447</v>
      </c>
      <c r="K277" s="30" t="s">
        <v>446</v>
      </c>
      <c r="L277" s="32" t="s">
        <v>447</v>
      </c>
      <c r="M277" s="30" t="s">
        <v>1989</v>
      </c>
      <c r="N277" s="30" t="s">
        <v>1679</v>
      </c>
      <c r="O277" s="33"/>
      <c r="P277" s="33">
        <v>461</v>
      </c>
      <c r="Q277" s="33">
        <v>461</v>
      </c>
      <c r="R277" s="33">
        <v>59</v>
      </c>
      <c r="S277" s="33">
        <v>0</v>
      </c>
      <c r="T277" s="33">
        <v>0</v>
      </c>
      <c r="U277" s="33">
        <v>0</v>
      </c>
      <c r="V277" s="33">
        <v>0</v>
      </c>
      <c r="W277" s="33" t="s">
        <v>50</v>
      </c>
      <c r="X277" s="33">
        <v>2</v>
      </c>
      <c r="Y277" s="30" t="s">
        <v>64</v>
      </c>
      <c r="Z277" s="30" t="s">
        <v>222</v>
      </c>
      <c r="AA277" s="30" t="s">
        <v>222</v>
      </c>
      <c r="AB277" s="30" t="s">
        <v>1316</v>
      </c>
      <c r="AC277" s="30">
        <v>63</v>
      </c>
      <c r="AD277" s="30" t="s">
        <v>50</v>
      </c>
      <c r="AE277" s="30" t="s">
        <v>50</v>
      </c>
      <c r="AF277" s="30" t="s">
        <v>50</v>
      </c>
      <c r="AG277" s="30" t="s">
        <v>50</v>
      </c>
      <c r="AH277" s="30" t="s">
        <v>50</v>
      </c>
      <c r="AI277" s="30" t="s">
        <v>1673</v>
      </c>
      <c r="AJ277" s="30" t="s">
        <v>187</v>
      </c>
      <c r="AK277" s="30" t="s">
        <v>2533</v>
      </c>
      <c r="AL277" s="30" t="s">
        <v>448</v>
      </c>
      <c r="AM277" s="30" t="s">
        <v>50</v>
      </c>
      <c r="AN277" s="30" t="s">
        <v>50</v>
      </c>
      <c r="AO277" s="30" t="s">
        <v>50</v>
      </c>
      <c r="AP277" s="30" t="s">
        <v>50</v>
      </c>
      <c r="AQ277" s="30" t="s">
        <v>50</v>
      </c>
      <c r="AR277" s="30" t="s">
        <v>50</v>
      </c>
      <c r="AS277" s="30" t="s">
        <v>50</v>
      </c>
      <c r="AT277" s="30" t="s">
        <v>1682</v>
      </c>
      <c r="AU277" s="30" t="s">
        <v>50</v>
      </c>
      <c r="AV277" s="34">
        <v>167519699433</v>
      </c>
    </row>
    <row r="278" spans="2:48" ht="15" customHeight="1">
      <c r="B278" s="28">
        <v>272</v>
      </c>
      <c r="C278" s="29" t="s">
        <v>2636</v>
      </c>
      <c r="D278" s="30" t="s">
        <v>50</v>
      </c>
      <c r="E278" s="31" t="s">
        <v>2516</v>
      </c>
      <c r="F278" s="31" t="s">
        <v>50</v>
      </c>
      <c r="G278" s="32" t="s">
        <v>2637</v>
      </c>
      <c r="H278" s="30" t="s">
        <v>71</v>
      </c>
      <c r="I278" s="30" t="s">
        <v>472</v>
      </c>
      <c r="J278" s="32" t="s">
        <v>473</v>
      </c>
      <c r="K278" s="30" t="s">
        <v>472</v>
      </c>
      <c r="L278" s="32" t="s">
        <v>473</v>
      </c>
      <c r="M278" s="30" t="s">
        <v>1989</v>
      </c>
      <c r="N278" s="30" t="s">
        <v>1672</v>
      </c>
      <c r="O278" s="33"/>
      <c r="P278" s="33">
        <v>258</v>
      </c>
      <c r="Q278" s="33">
        <v>258</v>
      </c>
      <c r="R278" s="33">
        <v>0</v>
      </c>
      <c r="S278" s="33">
        <v>0</v>
      </c>
      <c r="T278" s="33">
        <v>0</v>
      </c>
      <c r="U278" s="33">
        <v>0</v>
      </c>
      <c r="V278" s="33">
        <v>0</v>
      </c>
      <c r="W278" s="33" t="s">
        <v>50</v>
      </c>
      <c r="X278" s="33">
        <v>2</v>
      </c>
      <c r="Y278" s="30" t="s">
        <v>64</v>
      </c>
      <c r="Z278" s="30" t="s">
        <v>192</v>
      </c>
      <c r="AA278" s="30" t="s">
        <v>192</v>
      </c>
      <c r="AB278" s="30" t="s">
        <v>1316</v>
      </c>
      <c r="AC278" s="30"/>
      <c r="AD278" s="30" t="s">
        <v>50</v>
      </c>
      <c r="AE278" s="30" t="s">
        <v>50</v>
      </c>
      <c r="AF278" s="30" t="s">
        <v>50</v>
      </c>
      <c r="AG278" s="30" t="s">
        <v>50</v>
      </c>
      <c r="AH278" s="30" t="s">
        <v>50</v>
      </c>
      <c r="AI278" s="30" t="s">
        <v>1673</v>
      </c>
      <c r="AJ278" s="30" t="s">
        <v>50</v>
      </c>
      <c r="AK278" s="30" t="s">
        <v>50</v>
      </c>
      <c r="AL278" s="30" t="s">
        <v>50</v>
      </c>
      <c r="AM278" s="30" t="s">
        <v>35</v>
      </c>
      <c r="AN278" s="30" t="s">
        <v>1681</v>
      </c>
      <c r="AO278" s="30" t="s">
        <v>50</v>
      </c>
      <c r="AP278" s="30" t="s">
        <v>50</v>
      </c>
      <c r="AQ278" s="30" t="s">
        <v>50</v>
      </c>
      <c r="AR278" s="30" t="s">
        <v>50</v>
      </c>
      <c r="AS278" s="30" t="s">
        <v>50</v>
      </c>
      <c r="AT278" s="30" t="s">
        <v>299</v>
      </c>
      <c r="AU278" s="30" t="s">
        <v>50</v>
      </c>
      <c r="AV278" s="34">
        <v>167860101151</v>
      </c>
    </row>
    <row r="279" spans="2:48" ht="15" customHeight="1">
      <c r="B279" s="28">
        <v>273</v>
      </c>
      <c r="C279" s="29" t="s">
        <v>2638</v>
      </c>
      <c r="D279" s="30" t="s">
        <v>50</v>
      </c>
      <c r="E279" s="31" t="s">
        <v>2639</v>
      </c>
      <c r="F279" s="31" t="s">
        <v>50</v>
      </c>
      <c r="G279" s="32" t="s">
        <v>2640</v>
      </c>
      <c r="H279" s="30" t="s">
        <v>78</v>
      </c>
      <c r="I279" s="30" t="s">
        <v>1143</v>
      </c>
      <c r="J279" s="32" t="s">
        <v>1144</v>
      </c>
      <c r="K279" s="30" t="s">
        <v>687</v>
      </c>
      <c r="L279" s="32" t="s">
        <v>688</v>
      </c>
      <c r="M279" s="30" t="s">
        <v>1697</v>
      </c>
      <c r="N279" s="30" t="s">
        <v>1672</v>
      </c>
      <c r="O279" s="33"/>
      <c r="P279" s="33">
        <v>215</v>
      </c>
      <c r="Q279" s="33">
        <v>0</v>
      </c>
      <c r="R279" s="33">
        <v>0</v>
      </c>
      <c r="S279" s="33">
        <v>1</v>
      </c>
      <c r="T279" s="33">
        <v>1</v>
      </c>
      <c r="U279" s="33">
        <v>0</v>
      </c>
      <c r="V279" s="33">
        <v>0</v>
      </c>
      <c r="W279" s="33" t="s">
        <v>50</v>
      </c>
      <c r="X279" s="33">
        <v>1</v>
      </c>
      <c r="Y279" s="30" t="s">
        <v>70</v>
      </c>
      <c r="Z279" s="30" t="s">
        <v>192</v>
      </c>
      <c r="AA279" s="30" t="s">
        <v>192</v>
      </c>
      <c r="AB279" s="30" t="s">
        <v>1316</v>
      </c>
      <c r="AC279" s="30"/>
      <c r="AD279" s="30" t="s">
        <v>50</v>
      </c>
      <c r="AE279" s="30" t="s">
        <v>50</v>
      </c>
      <c r="AF279" s="30" t="s">
        <v>50</v>
      </c>
      <c r="AG279" s="30" t="s">
        <v>50</v>
      </c>
      <c r="AH279" s="30" t="s">
        <v>50</v>
      </c>
      <c r="AI279" s="30" t="s">
        <v>1673</v>
      </c>
      <c r="AJ279" s="30" t="s">
        <v>50</v>
      </c>
      <c r="AK279" s="30" t="s">
        <v>50</v>
      </c>
      <c r="AL279" s="30" t="s">
        <v>50</v>
      </c>
      <c r="AM279" s="30" t="s">
        <v>50</v>
      </c>
      <c r="AN279" s="30" t="s">
        <v>1681</v>
      </c>
      <c r="AO279" s="30" t="s">
        <v>50</v>
      </c>
      <c r="AP279" s="30" t="s">
        <v>50</v>
      </c>
      <c r="AQ279" s="30" t="s">
        <v>50</v>
      </c>
      <c r="AR279" s="30" t="s">
        <v>50</v>
      </c>
      <c r="AS279" s="30" t="s">
        <v>50</v>
      </c>
      <c r="AT279" s="30" t="s">
        <v>299</v>
      </c>
      <c r="AU279" s="30" t="s">
        <v>50</v>
      </c>
      <c r="AV279" s="34">
        <v>167524694148</v>
      </c>
    </row>
    <row r="280" spans="2:48" ht="15" customHeight="1">
      <c r="B280" s="28">
        <v>274</v>
      </c>
      <c r="C280" s="29" t="s">
        <v>2641</v>
      </c>
      <c r="D280" s="30" t="s">
        <v>2642</v>
      </c>
      <c r="E280" s="31" t="s">
        <v>2516</v>
      </c>
      <c r="F280" s="31" t="s">
        <v>50</v>
      </c>
      <c r="G280" s="32" t="s">
        <v>2643</v>
      </c>
      <c r="H280" s="30" t="s">
        <v>76</v>
      </c>
      <c r="I280" s="30" t="s">
        <v>517</v>
      </c>
      <c r="J280" s="32" t="s">
        <v>518</v>
      </c>
      <c r="K280" s="30" t="s">
        <v>517</v>
      </c>
      <c r="L280" s="32" t="s">
        <v>518</v>
      </c>
      <c r="M280" s="30" t="s">
        <v>1671</v>
      </c>
      <c r="N280" s="30" t="s">
        <v>1672</v>
      </c>
      <c r="O280" s="33"/>
      <c r="P280" s="33">
        <v>468</v>
      </c>
      <c r="Q280" s="33">
        <v>283</v>
      </c>
      <c r="R280" s="33">
        <v>0</v>
      </c>
      <c r="S280" s="33">
        <v>0</v>
      </c>
      <c r="T280" s="33">
        <v>0</v>
      </c>
      <c r="U280" s="33">
        <v>0</v>
      </c>
      <c r="V280" s="33">
        <v>0</v>
      </c>
      <c r="W280" s="33" t="s">
        <v>50</v>
      </c>
      <c r="X280" s="33">
        <v>19</v>
      </c>
      <c r="Y280" s="30" t="s">
        <v>64</v>
      </c>
      <c r="Z280" s="30" t="s">
        <v>222</v>
      </c>
      <c r="AA280" s="30" t="s">
        <v>222</v>
      </c>
      <c r="AB280" s="30" t="s">
        <v>1315</v>
      </c>
      <c r="AC280" s="30">
        <v>78</v>
      </c>
      <c r="AD280" s="30" t="s">
        <v>50</v>
      </c>
      <c r="AE280" s="30" t="s">
        <v>50</v>
      </c>
      <c r="AF280" s="30" t="s">
        <v>50</v>
      </c>
      <c r="AG280" s="30" t="s">
        <v>50</v>
      </c>
      <c r="AH280" s="30" t="s">
        <v>50</v>
      </c>
      <c r="AI280" s="30" t="s">
        <v>1673</v>
      </c>
      <c r="AJ280" s="30" t="s">
        <v>991</v>
      </c>
      <c r="AK280" s="30" t="s">
        <v>50</v>
      </c>
      <c r="AL280" s="30" t="s">
        <v>50</v>
      </c>
      <c r="AM280" s="30" t="s">
        <v>35</v>
      </c>
      <c r="AN280" s="30" t="s">
        <v>1681</v>
      </c>
      <c r="AO280" s="30" t="s">
        <v>50</v>
      </c>
      <c r="AP280" s="30" t="s">
        <v>50</v>
      </c>
      <c r="AQ280" s="30" t="s">
        <v>50</v>
      </c>
      <c r="AR280" s="30" t="s">
        <v>50</v>
      </c>
      <c r="AS280" s="30" t="s">
        <v>50</v>
      </c>
      <c r="AT280" s="30" t="s">
        <v>299</v>
      </c>
      <c r="AU280" s="30" t="s">
        <v>50</v>
      </c>
      <c r="AV280" s="34">
        <v>167516185060</v>
      </c>
    </row>
    <row r="281" spans="2:48" ht="15" customHeight="1">
      <c r="B281" s="28">
        <v>275</v>
      </c>
      <c r="C281" s="29" t="s">
        <v>2644</v>
      </c>
      <c r="D281" s="30" t="s">
        <v>50</v>
      </c>
      <c r="E281" s="31" t="s">
        <v>2516</v>
      </c>
      <c r="F281" s="31" t="s">
        <v>50</v>
      </c>
      <c r="G281" s="32" t="s">
        <v>2645</v>
      </c>
      <c r="H281" s="30" t="s">
        <v>71</v>
      </c>
      <c r="I281" s="30" t="s">
        <v>451</v>
      </c>
      <c r="J281" s="32" t="s">
        <v>452</v>
      </c>
      <c r="K281" s="30" t="s">
        <v>451</v>
      </c>
      <c r="L281" s="32" t="s">
        <v>452</v>
      </c>
      <c r="M281" s="30" t="s">
        <v>1989</v>
      </c>
      <c r="N281" s="30" t="s">
        <v>1672</v>
      </c>
      <c r="O281" s="33"/>
      <c r="P281" s="33">
        <v>397</v>
      </c>
      <c r="Q281" s="33">
        <v>397</v>
      </c>
      <c r="R281" s="33">
        <v>0</v>
      </c>
      <c r="S281" s="33">
        <v>0</v>
      </c>
      <c r="T281" s="33">
        <v>0</v>
      </c>
      <c r="U281" s="33">
        <v>0</v>
      </c>
      <c r="V281" s="33">
        <v>0</v>
      </c>
      <c r="W281" s="33" t="s">
        <v>50</v>
      </c>
      <c r="X281" s="33">
        <v>19</v>
      </c>
      <c r="Y281" s="30" t="s">
        <v>64</v>
      </c>
      <c r="Z281" s="30" t="s">
        <v>192</v>
      </c>
      <c r="AA281" s="30" t="s">
        <v>192</v>
      </c>
      <c r="AB281" s="30" t="s">
        <v>1316</v>
      </c>
      <c r="AC281" s="30"/>
      <c r="AD281" s="30" t="s">
        <v>50</v>
      </c>
      <c r="AE281" s="30" t="s">
        <v>50</v>
      </c>
      <c r="AF281" s="30" t="s">
        <v>50</v>
      </c>
      <c r="AG281" s="30" t="s">
        <v>50</v>
      </c>
      <c r="AH281" s="30" t="s">
        <v>50</v>
      </c>
      <c r="AI281" s="30" t="s">
        <v>1673</v>
      </c>
      <c r="AJ281" s="30" t="s">
        <v>392</v>
      </c>
      <c r="AK281" s="30" t="s">
        <v>2646</v>
      </c>
      <c r="AL281" s="30" t="s">
        <v>454</v>
      </c>
      <c r="AM281" s="30" t="s">
        <v>35</v>
      </c>
      <c r="AN281" s="30" t="s">
        <v>1681</v>
      </c>
      <c r="AO281" s="30" t="s">
        <v>50</v>
      </c>
      <c r="AP281" s="30" t="s">
        <v>50</v>
      </c>
      <c r="AQ281" s="30" t="s">
        <v>50</v>
      </c>
      <c r="AR281" s="30" t="s">
        <v>50</v>
      </c>
      <c r="AS281" s="30" t="s">
        <v>50</v>
      </c>
      <c r="AT281" s="30" t="s">
        <v>299</v>
      </c>
      <c r="AU281" s="30" t="s">
        <v>50</v>
      </c>
      <c r="AV281" s="34">
        <v>167829611763</v>
      </c>
    </row>
    <row r="282" spans="2:48" ht="15" customHeight="1">
      <c r="B282" s="28">
        <v>276</v>
      </c>
      <c r="C282" s="29" t="s">
        <v>2647</v>
      </c>
      <c r="D282" s="30" t="s">
        <v>50</v>
      </c>
      <c r="E282" s="31" t="s">
        <v>2516</v>
      </c>
      <c r="F282" s="31" t="s">
        <v>50</v>
      </c>
      <c r="G282" s="32" t="s">
        <v>2648</v>
      </c>
      <c r="H282" s="30" t="s">
        <v>71</v>
      </c>
      <c r="I282" s="30" t="s">
        <v>525</v>
      </c>
      <c r="J282" s="32" t="s">
        <v>526</v>
      </c>
      <c r="K282" s="30" t="s">
        <v>525</v>
      </c>
      <c r="L282" s="32" t="s">
        <v>526</v>
      </c>
      <c r="M282" s="30" t="s">
        <v>1989</v>
      </c>
      <c r="N282" s="30" t="s">
        <v>1672</v>
      </c>
      <c r="O282" s="33"/>
      <c r="P282" s="33">
        <v>596</v>
      </c>
      <c r="Q282" s="33">
        <v>305</v>
      </c>
      <c r="R282" s="33">
        <v>0</v>
      </c>
      <c r="S282" s="33">
        <v>0</v>
      </c>
      <c r="T282" s="33">
        <v>0</v>
      </c>
      <c r="U282" s="33">
        <v>0</v>
      </c>
      <c r="V282" s="33">
        <v>0</v>
      </c>
      <c r="W282" s="33" t="s">
        <v>50</v>
      </c>
      <c r="X282" s="33">
        <v>19</v>
      </c>
      <c r="Y282" s="30" t="s">
        <v>64</v>
      </c>
      <c r="Z282" s="30" t="s">
        <v>222</v>
      </c>
      <c r="AA282" s="30" t="s">
        <v>222</v>
      </c>
      <c r="AB282" s="30" t="s">
        <v>1315</v>
      </c>
      <c r="AC282" s="30"/>
      <c r="AD282" s="30" t="s">
        <v>50</v>
      </c>
      <c r="AE282" s="30" t="s">
        <v>50</v>
      </c>
      <c r="AF282" s="30" t="s">
        <v>50</v>
      </c>
      <c r="AG282" s="30" t="s">
        <v>50</v>
      </c>
      <c r="AH282" s="30" t="s">
        <v>50</v>
      </c>
      <c r="AI282" s="30" t="s">
        <v>1673</v>
      </c>
      <c r="AJ282" s="30" t="s">
        <v>187</v>
      </c>
      <c r="AK282" s="30" t="s">
        <v>201</v>
      </c>
      <c r="AL282" s="30" t="s">
        <v>201</v>
      </c>
      <c r="AM282" s="30" t="s">
        <v>35</v>
      </c>
      <c r="AN282" s="30" t="s">
        <v>1681</v>
      </c>
      <c r="AO282" s="30" t="s">
        <v>50</v>
      </c>
      <c r="AP282" s="30" t="s">
        <v>50</v>
      </c>
      <c r="AQ282" s="30" t="s">
        <v>50</v>
      </c>
      <c r="AR282" s="30" t="s">
        <v>50</v>
      </c>
      <c r="AS282" s="30" t="s">
        <v>50</v>
      </c>
      <c r="AT282" s="30" t="s">
        <v>299</v>
      </c>
      <c r="AU282" s="30" t="s">
        <v>50</v>
      </c>
      <c r="AV282" s="34">
        <v>167578677146</v>
      </c>
    </row>
    <row r="283" spans="2:48" ht="15" customHeight="1">
      <c r="B283" s="28">
        <v>277</v>
      </c>
      <c r="C283" s="29" t="s">
        <v>2649</v>
      </c>
      <c r="D283" s="30" t="s">
        <v>50</v>
      </c>
      <c r="E283" s="31" t="s">
        <v>2650</v>
      </c>
      <c r="F283" s="31" t="s">
        <v>50</v>
      </c>
      <c r="G283" s="32" t="s">
        <v>2651</v>
      </c>
      <c r="H283" s="30" t="s">
        <v>62</v>
      </c>
      <c r="I283" s="30" t="s">
        <v>931</v>
      </c>
      <c r="J283" s="32" t="s">
        <v>932</v>
      </c>
      <c r="K283" s="30" t="s">
        <v>246</v>
      </c>
      <c r="L283" s="32" t="s">
        <v>247</v>
      </c>
      <c r="M283" s="30" t="s">
        <v>1697</v>
      </c>
      <c r="N283" s="30" t="s">
        <v>1672</v>
      </c>
      <c r="O283" s="33">
        <v>2</v>
      </c>
      <c r="P283" s="33">
        <v>89236</v>
      </c>
      <c r="Q283" s="33">
        <v>1410</v>
      </c>
      <c r="R283" s="33">
        <v>0</v>
      </c>
      <c r="S283" s="33">
        <v>6</v>
      </c>
      <c r="T283" s="33">
        <v>6</v>
      </c>
      <c r="U283" s="33">
        <v>0</v>
      </c>
      <c r="V283" s="33">
        <v>0</v>
      </c>
      <c r="W283" s="33" t="s">
        <v>50</v>
      </c>
      <c r="X283" s="33">
        <v>1</v>
      </c>
      <c r="Y283" s="30" t="s">
        <v>64</v>
      </c>
      <c r="Z283" s="30" t="s">
        <v>186</v>
      </c>
      <c r="AA283" s="30" t="s">
        <v>222</v>
      </c>
      <c r="AB283" s="30" t="s">
        <v>1315</v>
      </c>
      <c r="AC283" s="30"/>
      <c r="AD283" s="30" t="s">
        <v>1325</v>
      </c>
      <c r="AE283" s="30" t="s">
        <v>883</v>
      </c>
      <c r="AF283" s="30" t="s">
        <v>50</v>
      </c>
      <c r="AG283" s="30" t="s">
        <v>50</v>
      </c>
      <c r="AH283" s="30" t="s">
        <v>50</v>
      </c>
      <c r="AI283" s="30" t="s">
        <v>1673</v>
      </c>
      <c r="AJ283" s="30" t="s">
        <v>187</v>
      </c>
      <c r="AK283" s="30" t="s">
        <v>50</v>
      </c>
      <c r="AL283" s="30" t="s">
        <v>50</v>
      </c>
      <c r="AM283" s="30" t="s">
        <v>50</v>
      </c>
      <c r="AN283" s="30" t="s">
        <v>1681</v>
      </c>
      <c r="AO283" s="30" t="s">
        <v>50</v>
      </c>
      <c r="AP283" s="30" t="s">
        <v>50</v>
      </c>
      <c r="AQ283" s="30" t="s">
        <v>50</v>
      </c>
      <c r="AR283" s="30" t="s">
        <v>50</v>
      </c>
      <c r="AS283" s="30" t="s">
        <v>50</v>
      </c>
      <c r="AT283" s="30" t="s">
        <v>1682</v>
      </c>
      <c r="AU283" s="30" t="s">
        <v>50</v>
      </c>
      <c r="AV283" s="34">
        <v>167509119656</v>
      </c>
    </row>
    <row r="284" spans="2:48" ht="15" customHeight="1">
      <c r="B284" s="28">
        <v>278</v>
      </c>
      <c r="C284" s="29" t="s">
        <v>2652</v>
      </c>
      <c r="D284" s="30" t="s">
        <v>50</v>
      </c>
      <c r="E284" s="31" t="s">
        <v>2633</v>
      </c>
      <c r="F284" s="31" t="s">
        <v>2653</v>
      </c>
      <c r="G284" s="32" t="s">
        <v>2654</v>
      </c>
      <c r="H284" s="30" t="s">
        <v>62</v>
      </c>
      <c r="I284" s="30" t="s">
        <v>954</v>
      </c>
      <c r="J284" s="32" t="s">
        <v>955</v>
      </c>
      <c r="K284" s="30" t="s">
        <v>246</v>
      </c>
      <c r="L284" s="32" t="s">
        <v>247</v>
      </c>
      <c r="M284" s="30" t="s">
        <v>1671</v>
      </c>
      <c r="N284" s="30" t="s">
        <v>1679</v>
      </c>
      <c r="O284" s="33">
        <v>81</v>
      </c>
      <c r="P284" s="33">
        <v>89236</v>
      </c>
      <c r="Q284" s="33">
        <v>868</v>
      </c>
      <c r="R284" s="33">
        <v>13823</v>
      </c>
      <c r="S284" s="33">
        <v>70</v>
      </c>
      <c r="T284" s="33">
        <v>9</v>
      </c>
      <c r="U284" s="33">
        <v>55</v>
      </c>
      <c r="V284" s="33">
        <v>6</v>
      </c>
      <c r="W284" s="33" t="s">
        <v>50</v>
      </c>
      <c r="X284" s="33">
        <v>2</v>
      </c>
      <c r="Y284" s="30" t="s">
        <v>64</v>
      </c>
      <c r="Z284" s="30" t="s">
        <v>186</v>
      </c>
      <c r="AA284" s="30" t="s">
        <v>222</v>
      </c>
      <c r="AB284" s="30" t="s">
        <v>1316</v>
      </c>
      <c r="AC284" s="30"/>
      <c r="AD284" s="30" t="s">
        <v>50</v>
      </c>
      <c r="AE284" s="30" t="s">
        <v>50</v>
      </c>
      <c r="AF284" s="30" t="s">
        <v>50</v>
      </c>
      <c r="AG284" s="30" t="s">
        <v>50</v>
      </c>
      <c r="AH284" s="30" t="s">
        <v>50</v>
      </c>
      <c r="AI284" s="30" t="s">
        <v>1673</v>
      </c>
      <c r="AJ284" s="30" t="s">
        <v>187</v>
      </c>
      <c r="AK284" s="30" t="s">
        <v>50</v>
      </c>
      <c r="AL284" s="30" t="s">
        <v>50</v>
      </c>
      <c r="AM284" s="30" t="s">
        <v>50</v>
      </c>
      <c r="AN284" s="30" t="s">
        <v>50</v>
      </c>
      <c r="AO284" s="30" t="s">
        <v>50</v>
      </c>
      <c r="AP284" s="30" t="s">
        <v>50</v>
      </c>
      <c r="AQ284" s="30" t="s">
        <v>50</v>
      </c>
      <c r="AR284" s="30" t="s">
        <v>50</v>
      </c>
      <c r="AS284" s="30" t="s">
        <v>50</v>
      </c>
      <c r="AT284" s="30" t="s">
        <v>1682</v>
      </c>
      <c r="AU284" s="30" t="s">
        <v>50</v>
      </c>
      <c r="AV284" s="34">
        <v>167505156939</v>
      </c>
    </row>
    <row r="285" spans="2:48" ht="15" customHeight="1">
      <c r="B285" s="28">
        <v>279</v>
      </c>
      <c r="C285" s="29" t="s">
        <v>2655</v>
      </c>
      <c r="D285" s="30" t="s">
        <v>50</v>
      </c>
      <c r="E285" s="31" t="s">
        <v>2656</v>
      </c>
      <c r="F285" s="31" t="s">
        <v>50</v>
      </c>
      <c r="G285" s="32" t="s">
        <v>2657</v>
      </c>
      <c r="H285" s="30" t="s">
        <v>62</v>
      </c>
      <c r="I285" s="30" t="s">
        <v>1035</v>
      </c>
      <c r="J285" s="32" t="s">
        <v>1036</v>
      </c>
      <c r="K285" s="30" t="s">
        <v>455</v>
      </c>
      <c r="L285" s="32" t="s">
        <v>456</v>
      </c>
      <c r="M285" s="30" t="s">
        <v>1697</v>
      </c>
      <c r="N285" s="30" t="s">
        <v>1672</v>
      </c>
      <c r="O285" s="33">
        <v>1</v>
      </c>
      <c r="P285" s="33">
        <v>6611</v>
      </c>
      <c r="Q285" s="33">
        <v>10</v>
      </c>
      <c r="R285" s="33">
        <v>0</v>
      </c>
      <c r="S285" s="33">
        <v>0</v>
      </c>
      <c r="T285" s="33">
        <v>0</v>
      </c>
      <c r="U285" s="33">
        <v>0</v>
      </c>
      <c r="V285" s="33">
        <v>0</v>
      </c>
      <c r="W285" s="33" t="s">
        <v>50</v>
      </c>
      <c r="X285" s="33">
        <v>1</v>
      </c>
      <c r="Y285" s="30" t="s">
        <v>64</v>
      </c>
      <c r="Z285" s="30" t="s">
        <v>186</v>
      </c>
      <c r="AA285" s="30" t="s">
        <v>222</v>
      </c>
      <c r="AB285" s="30" t="s">
        <v>1315</v>
      </c>
      <c r="AC285" s="30">
        <v>43</v>
      </c>
      <c r="AD285" s="30" t="s">
        <v>50</v>
      </c>
      <c r="AE285" s="30" t="s">
        <v>50</v>
      </c>
      <c r="AF285" s="30" t="s">
        <v>50</v>
      </c>
      <c r="AG285" s="30" t="s">
        <v>50</v>
      </c>
      <c r="AH285" s="30" t="s">
        <v>50</v>
      </c>
      <c r="AI285" s="30" t="s">
        <v>1673</v>
      </c>
      <c r="AJ285" s="30" t="s">
        <v>187</v>
      </c>
      <c r="AK285" s="30" t="s">
        <v>1934</v>
      </c>
      <c r="AL285" s="30" t="s">
        <v>401</v>
      </c>
      <c r="AM285" s="30" t="s">
        <v>50</v>
      </c>
      <c r="AN285" s="30" t="s">
        <v>1681</v>
      </c>
      <c r="AO285" s="30" t="s">
        <v>50</v>
      </c>
      <c r="AP285" s="30" t="s">
        <v>50</v>
      </c>
      <c r="AQ285" s="30" t="s">
        <v>50</v>
      </c>
      <c r="AR285" s="30" t="s">
        <v>50</v>
      </c>
      <c r="AS285" s="30" t="s">
        <v>50</v>
      </c>
      <c r="AT285" s="30" t="s">
        <v>1682</v>
      </c>
      <c r="AU285" s="30" t="s">
        <v>50</v>
      </c>
      <c r="AV285" s="34">
        <v>167502717254</v>
      </c>
    </row>
    <row r="286" spans="2:48" ht="15" customHeight="1">
      <c r="B286" s="28">
        <v>280</v>
      </c>
      <c r="C286" s="29" t="s">
        <v>2658</v>
      </c>
      <c r="D286" s="30" t="s">
        <v>50</v>
      </c>
      <c r="E286" s="31" t="s">
        <v>2659</v>
      </c>
      <c r="F286" s="31" t="s">
        <v>50</v>
      </c>
      <c r="G286" s="32" t="s">
        <v>2660</v>
      </c>
      <c r="H286" s="30" t="s">
        <v>78</v>
      </c>
      <c r="I286" s="30" t="s">
        <v>1051</v>
      </c>
      <c r="J286" s="32" t="s">
        <v>1052</v>
      </c>
      <c r="K286" s="30" t="s">
        <v>406</v>
      </c>
      <c r="L286" s="32" t="s">
        <v>407</v>
      </c>
      <c r="M286" s="30" t="s">
        <v>1697</v>
      </c>
      <c r="N286" s="30" t="s">
        <v>1672</v>
      </c>
      <c r="O286" s="33">
        <v>6</v>
      </c>
      <c r="P286" s="33">
        <v>482000</v>
      </c>
      <c r="Q286" s="33">
        <v>21</v>
      </c>
      <c r="R286" s="33">
        <v>0</v>
      </c>
      <c r="S286" s="33">
        <v>0</v>
      </c>
      <c r="T286" s="33">
        <v>0</v>
      </c>
      <c r="U286" s="33">
        <v>0</v>
      </c>
      <c r="V286" s="33">
        <v>0</v>
      </c>
      <c r="W286" s="33" t="s">
        <v>50</v>
      </c>
      <c r="X286" s="33">
        <v>1</v>
      </c>
      <c r="Y286" s="30" t="s">
        <v>70</v>
      </c>
      <c r="Z286" s="30" t="s">
        <v>192</v>
      </c>
      <c r="AA286" s="30" t="s">
        <v>192</v>
      </c>
      <c r="AB286" s="30"/>
      <c r="AC286" s="30"/>
      <c r="AD286" s="30" t="s">
        <v>50</v>
      </c>
      <c r="AE286" s="30" t="s">
        <v>50</v>
      </c>
      <c r="AF286" s="30" t="s">
        <v>50</v>
      </c>
      <c r="AG286" s="30" t="s">
        <v>50</v>
      </c>
      <c r="AH286" s="30" t="s">
        <v>50</v>
      </c>
      <c r="AI286" s="30" t="s">
        <v>1673</v>
      </c>
      <c r="AJ286" s="30" t="s">
        <v>187</v>
      </c>
      <c r="AK286" s="30" t="s">
        <v>50</v>
      </c>
      <c r="AL286" s="30" t="s">
        <v>50</v>
      </c>
      <c r="AM286" s="30" t="s">
        <v>50</v>
      </c>
      <c r="AN286" s="30" t="s">
        <v>1681</v>
      </c>
      <c r="AO286" s="30" t="s">
        <v>50</v>
      </c>
      <c r="AP286" s="30" t="s">
        <v>50</v>
      </c>
      <c r="AQ286" s="30" t="s">
        <v>50</v>
      </c>
      <c r="AR286" s="30" t="s">
        <v>50</v>
      </c>
      <c r="AS286" s="30" t="s">
        <v>50</v>
      </c>
      <c r="AT286" s="30" t="s">
        <v>1682</v>
      </c>
      <c r="AU286" s="30" t="s">
        <v>50</v>
      </c>
      <c r="AV286" s="34">
        <v>167504571625</v>
      </c>
    </row>
    <row r="287" spans="2:48" ht="15" customHeight="1">
      <c r="B287" s="28">
        <v>281</v>
      </c>
      <c r="C287" s="29" t="s">
        <v>2661</v>
      </c>
      <c r="D287" s="30" t="s">
        <v>50</v>
      </c>
      <c r="E287" s="31" t="s">
        <v>2516</v>
      </c>
      <c r="F287" s="31" t="s">
        <v>50</v>
      </c>
      <c r="G287" s="32" t="s">
        <v>2662</v>
      </c>
      <c r="H287" s="30" t="s">
        <v>71</v>
      </c>
      <c r="I287" s="30" t="s">
        <v>464</v>
      </c>
      <c r="J287" s="32" t="s">
        <v>465</v>
      </c>
      <c r="K287" s="30" t="s">
        <v>464</v>
      </c>
      <c r="L287" s="32" t="s">
        <v>465</v>
      </c>
      <c r="M287" s="30" t="s">
        <v>1989</v>
      </c>
      <c r="N287" s="30" t="s">
        <v>1672</v>
      </c>
      <c r="O287" s="33"/>
      <c r="P287" s="33">
        <v>1025</v>
      </c>
      <c r="Q287" s="33">
        <v>618</v>
      </c>
      <c r="R287" s="33">
        <v>0</v>
      </c>
      <c r="S287" s="33">
        <v>0</v>
      </c>
      <c r="T287" s="33">
        <v>0</v>
      </c>
      <c r="U287" s="33">
        <v>0</v>
      </c>
      <c r="V287" s="33">
        <v>0</v>
      </c>
      <c r="W287" s="33" t="s">
        <v>50</v>
      </c>
      <c r="X287" s="33">
        <v>19</v>
      </c>
      <c r="Y287" s="30" t="s">
        <v>64</v>
      </c>
      <c r="Z287" s="30" t="s">
        <v>222</v>
      </c>
      <c r="AA287" s="30" t="s">
        <v>192</v>
      </c>
      <c r="AB287" s="30" t="s">
        <v>1315</v>
      </c>
      <c r="AC287" s="30"/>
      <c r="AD287" s="30" t="s">
        <v>50</v>
      </c>
      <c r="AE287" s="30" t="s">
        <v>50</v>
      </c>
      <c r="AF287" s="30" t="s">
        <v>50</v>
      </c>
      <c r="AG287" s="30" t="s">
        <v>50</v>
      </c>
      <c r="AH287" s="30" t="s">
        <v>50</v>
      </c>
      <c r="AI287" s="30" t="s">
        <v>1673</v>
      </c>
      <c r="AJ287" s="30" t="s">
        <v>466</v>
      </c>
      <c r="AK287" s="30" t="s">
        <v>468</v>
      </c>
      <c r="AL287" s="30" t="s">
        <v>468</v>
      </c>
      <c r="AM287" s="30" t="s">
        <v>35</v>
      </c>
      <c r="AN287" s="30" t="s">
        <v>1681</v>
      </c>
      <c r="AO287" s="30" t="s">
        <v>50</v>
      </c>
      <c r="AP287" s="30" t="s">
        <v>50</v>
      </c>
      <c r="AQ287" s="30" t="s">
        <v>50</v>
      </c>
      <c r="AR287" s="30" t="s">
        <v>50</v>
      </c>
      <c r="AS287" s="30" t="s">
        <v>50</v>
      </c>
      <c r="AT287" s="30" t="s">
        <v>299</v>
      </c>
      <c r="AU287" s="30" t="s">
        <v>50</v>
      </c>
      <c r="AV287" s="34">
        <v>167510658383</v>
      </c>
    </row>
    <row r="288" spans="2:48" ht="15" customHeight="1">
      <c r="B288" s="28">
        <v>282</v>
      </c>
      <c r="C288" s="29" t="s">
        <v>2663</v>
      </c>
      <c r="D288" s="30" t="s">
        <v>50</v>
      </c>
      <c r="E288" s="31" t="s">
        <v>2664</v>
      </c>
      <c r="F288" s="31" t="s">
        <v>50</v>
      </c>
      <c r="G288" s="32" t="s">
        <v>2665</v>
      </c>
      <c r="H288" s="30" t="s">
        <v>65</v>
      </c>
      <c r="I288" s="30" t="s">
        <v>1262</v>
      </c>
      <c r="J288" s="32" t="s">
        <v>2666</v>
      </c>
      <c r="K288" s="30" t="s">
        <v>620</v>
      </c>
      <c r="L288" s="32" t="s">
        <v>2667</v>
      </c>
      <c r="M288" s="30" t="s">
        <v>1697</v>
      </c>
      <c r="N288" s="30" t="s">
        <v>1672</v>
      </c>
      <c r="O288" s="33"/>
      <c r="P288" s="33">
        <v>5025</v>
      </c>
      <c r="Q288" s="33">
        <v>0</v>
      </c>
      <c r="R288" s="33">
        <v>0</v>
      </c>
      <c r="S288" s="33">
        <v>0</v>
      </c>
      <c r="T288" s="33">
        <v>0</v>
      </c>
      <c r="U288" s="33">
        <v>0</v>
      </c>
      <c r="V288" s="33">
        <v>0</v>
      </c>
      <c r="W288" s="33" t="s">
        <v>50</v>
      </c>
      <c r="X288" s="33">
        <v>1</v>
      </c>
      <c r="Y288" s="30" t="s">
        <v>67</v>
      </c>
      <c r="Z288" s="30" t="s">
        <v>186</v>
      </c>
      <c r="AA288" s="30" t="s">
        <v>222</v>
      </c>
      <c r="AB288" s="30" t="s">
        <v>1315</v>
      </c>
      <c r="AC288" s="30"/>
      <c r="AD288" s="30" t="s">
        <v>50</v>
      </c>
      <c r="AE288" s="30" t="s">
        <v>50</v>
      </c>
      <c r="AF288" s="30" t="s">
        <v>1741</v>
      </c>
      <c r="AG288" s="30" t="s">
        <v>50</v>
      </c>
      <c r="AH288" s="30" t="s">
        <v>50</v>
      </c>
      <c r="AI288" s="30" t="s">
        <v>1673</v>
      </c>
      <c r="AJ288" s="30" t="s">
        <v>50</v>
      </c>
      <c r="AK288" s="30" t="s">
        <v>50</v>
      </c>
      <c r="AL288" s="30" t="s">
        <v>50</v>
      </c>
      <c r="AM288" s="30" t="s">
        <v>50</v>
      </c>
      <c r="AN288" s="30" t="s">
        <v>1681</v>
      </c>
      <c r="AO288" s="30" t="s">
        <v>50</v>
      </c>
      <c r="AP288" s="30" t="s">
        <v>50</v>
      </c>
      <c r="AQ288" s="30" t="s">
        <v>50</v>
      </c>
      <c r="AR288" s="30" t="s">
        <v>50</v>
      </c>
      <c r="AS288" s="30" t="s">
        <v>50</v>
      </c>
      <c r="AT288" s="30" t="s">
        <v>1682</v>
      </c>
      <c r="AU288" s="30" t="s">
        <v>50</v>
      </c>
      <c r="AV288" s="34">
        <v>167498006969</v>
      </c>
    </row>
    <row r="289" spans="2:48" ht="15" customHeight="1">
      <c r="B289" s="28">
        <v>283</v>
      </c>
      <c r="C289" s="29" t="s">
        <v>2668</v>
      </c>
      <c r="D289" s="30" t="s">
        <v>50</v>
      </c>
      <c r="E289" s="31" t="s">
        <v>2516</v>
      </c>
      <c r="F289" s="31" t="s">
        <v>50</v>
      </c>
      <c r="G289" s="32" t="s">
        <v>2669</v>
      </c>
      <c r="H289" s="30" t="s">
        <v>71</v>
      </c>
      <c r="I289" s="30" t="s">
        <v>408</v>
      </c>
      <c r="J289" s="32" t="s">
        <v>409</v>
      </c>
      <c r="K289" s="30" t="s">
        <v>408</v>
      </c>
      <c r="L289" s="32" t="s">
        <v>409</v>
      </c>
      <c r="M289" s="30" t="s">
        <v>1989</v>
      </c>
      <c r="N289" s="30" t="s">
        <v>1672</v>
      </c>
      <c r="O289" s="33"/>
      <c r="P289" s="33">
        <v>459</v>
      </c>
      <c r="Q289" s="33">
        <v>313</v>
      </c>
      <c r="R289" s="33">
        <v>0</v>
      </c>
      <c r="S289" s="33">
        <v>0</v>
      </c>
      <c r="T289" s="33">
        <v>0</v>
      </c>
      <c r="U289" s="33">
        <v>0</v>
      </c>
      <c r="V289" s="33">
        <v>0</v>
      </c>
      <c r="W289" s="33" t="s">
        <v>50</v>
      </c>
      <c r="X289" s="33">
        <v>19</v>
      </c>
      <c r="Y289" s="30" t="s">
        <v>64</v>
      </c>
      <c r="Z289" s="30" t="s">
        <v>222</v>
      </c>
      <c r="AA289" s="30" t="s">
        <v>192</v>
      </c>
      <c r="AB289" s="30" t="s">
        <v>1316</v>
      </c>
      <c r="AC289" s="30"/>
      <c r="AD289" s="30" t="s">
        <v>50</v>
      </c>
      <c r="AE289" s="30" t="s">
        <v>50</v>
      </c>
      <c r="AF289" s="30" t="s">
        <v>50</v>
      </c>
      <c r="AG289" s="30" t="s">
        <v>50</v>
      </c>
      <c r="AH289" s="30" t="s">
        <v>50</v>
      </c>
      <c r="AI289" s="30" t="s">
        <v>1673</v>
      </c>
      <c r="AJ289" s="30" t="s">
        <v>392</v>
      </c>
      <c r="AK289" s="30" t="s">
        <v>2670</v>
      </c>
      <c r="AL289" s="30" t="s">
        <v>411</v>
      </c>
      <c r="AM289" s="30" t="s">
        <v>35</v>
      </c>
      <c r="AN289" s="30" t="s">
        <v>1681</v>
      </c>
      <c r="AO289" s="30" t="s">
        <v>50</v>
      </c>
      <c r="AP289" s="30" t="s">
        <v>50</v>
      </c>
      <c r="AQ289" s="30" t="s">
        <v>50</v>
      </c>
      <c r="AR289" s="30" t="s">
        <v>50</v>
      </c>
      <c r="AS289" s="30" t="s">
        <v>50</v>
      </c>
      <c r="AT289" s="30" t="s">
        <v>299</v>
      </c>
      <c r="AU289" s="30" t="s">
        <v>50</v>
      </c>
      <c r="AV289" s="34">
        <v>167504482593</v>
      </c>
    </row>
    <row r="290" spans="2:48" ht="15" customHeight="1">
      <c r="B290" s="28">
        <v>284</v>
      </c>
      <c r="C290" s="29" t="s">
        <v>2671</v>
      </c>
      <c r="D290" s="30" t="s">
        <v>318</v>
      </c>
      <c r="E290" s="31" t="s">
        <v>2672</v>
      </c>
      <c r="F290" s="31" t="s">
        <v>50</v>
      </c>
      <c r="G290" s="32" t="s">
        <v>2673</v>
      </c>
      <c r="H290" s="30" t="s">
        <v>73</v>
      </c>
      <c r="I290" s="30" t="s">
        <v>1234</v>
      </c>
      <c r="J290" s="32" t="s">
        <v>1235</v>
      </c>
      <c r="K290" s="30" t="s">
        <v>240</v>
      </c>
      <c r="L290" s="32" t="s">
        <v>241</v>
      </c>
      <c r="M290" s="30" t="s">
        <v>1718</v>
      </c>
      <c r="N290" s="30" t="s">
        <v>1679</v>
      </c>
      <c r="O290" s="33"/>
      <c r="P290" s="33">
        <v>0</v>
      </c>
      <c r="Q290" s="33">
        <v>0</v>
      </c>
      <c r="R290" s="33" t="s">
        <v>158</v>
      </c>
      <c r="S290" s="33">
        <v>0</v>
      </c>
      <c r="T290" s="33" t="s">
        <v>158</v>
      </c>
      <c r="U290" s="33" t="s">
        <v>158</v>
      </c>
      <c r="V290" s="33" t="s">
        <v>158</v>
      </c>
      <c r="W290" s="33" t="s">
        <v>50</v>
      </c>
      <c r="X290" s="33">
        <v>1</v>
      </c>
      <c r="Y290" s="30" t="s">
        <v>75</v>
      </c>
      <c r="Z290" s="30" t="s">
        <v>192</v>
      </c>
      <c r="AA290" s="30" t="s">
        <v>192</v>
      </c>
      <c r="AB290" s="30" t="s">
        <v>1316</v>
      </c>
      <c r="AC290" s="30"/>
      <c r="AD290" s="30" t="s">
        <v>50</v>
      </c>
      <c r="AE290" s="30" t="s">
        <v>50</v>
      </c>
      <c r="AF290" s="30" t="s">
        <v>50</v>
      </c>
      <c r="AG290" s="30" t="s">
        <v>50</v>
      </c>
      <c r="AH290" s="30" t="s">
        <v>50</v>
      </c>
      <c r="AI290" s="30" t="s">
        <v>1673</v>
      </c>
      <c r="AJ290" s="30" t="s">
        <v>50</v>
      </c>
      <c r="AK290" s="30" t="s">
        <v>50</v>
      </c>
      <c r="AL290" s="30" t="s">
        <v>50</v>
      </c>
      <c r="AM290" s="30" t="s">
        <v>50</v>
      </c>
      <c r="AN290" s="30" t="s">
        <v>1681</v>
      </c>
      <c r="AO290" s="30" t="s">
        <v>50</v>
      </c>
      <c r="AP290" s="30" t="s">
        <v>50</v>
      </c>
      <c r="AQ290" s="30" t="s">
        <v>50</v>
      </c>
      <c r="AR290" s="30" t="s">
        <v>50</v>
      </c>
      <c r="AS290" s="30" t="s">
        <v>50</v>
      </c>
      <c r="AT290" s="30" t="s">
        <v>1682</v>
      </c>
      <c r="AU290" s="30" t="s">
        <v>50</v>
      </c>
      <c r="AV290" s="34">
        <v>167507091545</v>
      </c>
    </row>
    <row r="291" spans="2:48" ht="15" customHeight="1">
      <c r="B291" s="28">
        <v>285</v>
      </c>
      <c r="C291" s="29" t="s">
        <v>2674</v>
      </c>
      <c r="D291" s="30" t="s">
        <v>50</v>
      </c>
      <c r="E291" s="31" t="s">
        <v>2675</v>
      </c>
      <c r="F291" s="31" t="s">
        <v>50</v>
      </c>
      <c r="G291" s="32" t="s">
        <v>2676</v>
      </c>
      <c r="H291" s="30" t="s">
        <v>73</v>
      </c>
      <c r="I291" s="30" t="s">
        <v>899</v>
      </c>
      <c r="J291" s="32" t="s">
        <v>900</v>
      </c>
      <c r="K291" s="30" t="s">
        <v>240</v>
      </c>
      <c r="L291" s="32" t="s">
        <v>241</v>
      </c>
      <c r="M291" s="30" t="s">
        <v>1697</v>
      </c>
      <c r="N291" s="30" t="s">
        <v>1672</v>
      </c>
      <c r="O291" s="33"/>
      <c r="P291" s="33">
        <v>0</v>
      </c>
      <c r="Q291" s="33">
        <v>0</v>
      </c>
      <c r="R291" s="33" t="s">
        <v>158</v>
      </c>
      <c r="S291" s="33">
        <v>0</v>
      </c>
      <c r="T291" s="33" t="s">
        <v>158</v>
      </c>
      <c r="U291" s="33" t="s">
        <v>158</v>
      </c>
      <c r="V291" s="33" t="s">
        <v>158</v>
      </c>
      <c r="W291" s="33" t="s">
        <v>50</v>
      </c>
      <c r="X291" s="33">
        <v>1</v>
      </c>
      <c r="Y291" s="30" t="s">
        <v>75</v>
      </c>
      <c r="Z291" s="30" t="s">
        <v>192</v>
      </c>
      <c r="AA291" s="30" t="s">
        <v>192</v>
      </c>
      <c r="AB291" s="30" t="s">
        <v>1316</v>
      </c>
      <c r="AC291" s="30"/>
      <c r="AD291" s="30" t="s">
        <v>50</v>
      </c>
      <c r="AE291" s="30" t="s">
        <v>50</v>
      </c>
      <c r="AF291" s="30" t="s">
        <v>50</v>
      </c>
      <c r="AG291" s="30" t="s">
        <v>50</v>
      </c>
      <c r="AH291" s="30" t="s">
        <v>50</v>
      </c>
      <c r="AI291" s="30" t="s">
        <v>1673</v>
      </c>
      <c r="AJ291" s="30" t="s">
        <v>50</v>
      </c>
      <c r="AK291" s="30" t="s">
        <v>50</v>
      </c>
      <c r="AL291" s="30" t="s">
        <v>50</v>
      </c>
      <c r="AM291" s="30" t="s">
        <v>50</v>
      </c>
      <c r="AN291" s="30" t="s">
        <v>1681</v>
      </c>
      <c r="AO291" s="30" t="s">
        <v>50</v>
      </c>
      <c r="AP291" s="30" t="s">
        <v>50</v>
      </c>
      <c r="AQ291" s="30" t="s">
        <v>50</v>
      </c>
      <c r="AR291" s="30" t="s">
        <v>50</v>
      </c>
      <c r="AS291" s="30" t="s">
        <v>50</v>
      </c>
      <c r="AT291" s="30" t="s">
        <v>1682</v>
      </c>
      <c r="AU291" s="30" t="s">
        <v>50</v>
      </c>
      <c r="AV291" s="34">
        <v>167507215744</v>
      </c>
    </row>
    <row r="292" spans="2:48" ht="15" customHeight="1">
      <c r="B292" s="28">
        <v>286</v>
      </c>
      <c r="C292" s="29" t="s">
        <v>2677</v>
      </c>
      <c r="D292" s="30" t="s">
        <v>50</v>
      </c>
      <c r="E292" s="31" t="s">
        <v>2678</v>
      </c>
      <c r="F292" s="31" t="s">
        <v>50</v>
      </c>
      <c r="G292" s="32" t="s">
        <v>2679</v>
      </c>
      <c r="H292" s="30" t="s">
        <v>73</v>
      </c>
      <c r="I292" s="30" t="s">
        <v>899</v>
      </c>
      <c r="J292" s="32" t="s">
        <v>900</v>
      </c>
      <c r="K292" s="30" t="s">
        <v>240</v>
      </c>
      <c r="L292" s="32" t="s">
        <v>241</v>
      </c>
      <c r="M292" s="30" t="s">
        <v>1697</v>
      </c>
      <c r="N292" s="30" t="s">
        <v>1672</v>
      </c>
      <c r="O292" s="33"/>
      <c r="P292" s="33">
        <v>0</v>
      </c>
      <c r="Q292" s="33">
        <v>0</v>
      </c>
      <c r="R292" s="33" t="s">
        <v>158</v>
      </c>
      <c r="S292" s="33">
        <v>0</v>
      </c>
      <c r="T292" s="33" t="s">
        <v>158</v>
      </c>
      <c r="U292" s="33" t="s">
        <v>158</v>
      </c>
      <c r="V292" s="33" t="s">
        <v>158</v>
      </c>
      <c r="W292" s="33" t="s">
        <v>50</v>
      </c>
      <c r="X292" s="33">
        <v>1</v>
      </c>
      <c r="Y292" s="30" t="s">
        <v>75</v>
      </c>
      <c r="Z292" s="30" t="s">
        <v>192</v>
      </c>
      <c r="AA292" s="30" t="s">
        <v>192</v>
      </c>
      <c r="AB292" s="30" t="s">
        <v>1316</v>
      </c>
      <c r="AC292" s="30"/>
      <c r="AD292" s="30" t="s">
        <v>50</v>
      </c>
      <c r="AE292" s="30" t="s">
        <v>50</v>
      </c>
      <c r="AF292" s="30" t="s">
        <v>50</v>
      </c>
      <c r="AG292" s="30" t="s">
        <v>50</v>
      </c>
      <c r="AH292" s="30" t="s">
        <v>50</v>
      </c>
      <c r="AI292" s="30" t="s">
        <v>1673</v>
      </c>
      <c r="AJ292" s="30" t="s">
        <v>50</v>
      </c>
      <c r="AK292" s="30" t="s">
        <v>50</v>
      </c>
      <c r="AL292" s="30" t="s">
        <v>50</v>
      </c>
      <c r="AM292" s="30" t="s">
        <v>50</v>
      </c>
      <c r="AN292" s="30" t="s">
        <v>1681</v>
      </c>
      <c r="AO292" s="30" t="s">
        <v>50</v>
      </c>
      <c r="AP292" s="30" t="s">
        <v>50</v>
      </c>
      <c r="AQ292" s="30" t="s">
        <v>50</v>
      </c>
      <c r="AR292" s="30" t="s">
        <v>50</v>
      </c>
      <c r="AS292" s="30" t="s">
        <v>50</v>
      </c>
      <c r="AT292" s="30" t="s">
        <v>1682</v>
      </c>
      <c r="AU292" s="30" t="s">
        <v>50</v>
      </c>
      <c r="AV292" s="34">
        <v>167507269394</v>
      </c>
    </row>
    <row r="293" spans="2:48" ht="15" customHeight="1">
      <c r="B293" s="28">
        <v>287</v>
      </c>
      <c r="C293" s="29" t="s">
        <v>2680</v>
      </c>
      <c r="D293" s="30" t="s">
        <v>50</v>
      </c>
      <c r="E293" s="31" t="s">
        <v>2681</v>
      </c>
      <c r="F293" s="31" t="s">
        <v>50</v>
      </c>
      <c r="G293" s="32" t="s">
        <v>2682</v>
      </c>
      <c r="H293" s="30" t="s">
        <v>62</v>
      </c>
      <c r="I293" s="30" t="s">
        <v>1112</v>
      </c>
      <c r="J293" s="32" t="s">
        <v>1113</v>
      </c>
      <c r="K293" s="30" t="s">
        <v>611</v>
      </c>
      <c r="L293" s="32" t="s">
        <v>612</v>
      </c>
      <c r="M293" s="30" t="s">
        <v>1697</v>
      </c>
      <c r="N293" s="30" t="s">
        <v>1672</v>
      </c>
      <c r="O293" s="33">
        <v>4</v>
      </c>
      <c r="P293" s="33">
        <v>188185</v>
      </c>
      <c r="Q293" s="33">
        <v>0</v>
      </c>
      <c r="R293" s="33">
        <v>0</v>
      </c>
      <c r="S293" s="33">
        <v>0</v>
      </c>
      <c r="T293" s="33">
        <v>0</v>
      </c>
      <c r="U293" s="33">
        <v>0</v>
      </c>
      <c r="V293" s="33">
        <v>0</v>
      </c>
      <c r="W293" s="33" t="s">
        <v>50</v>
      </c>
      <c r="X293" s="33">
        <v>1</v>
      </c>
      <c r="Y293" s="30" t="s">
        <v>64</v>
      </c>
      <c r="Z293" s="30" t="s">
        <v>186</v>
      </c>
      <c r="AA293" s="30" t="s">
        <v>222</v>
      </c>
      <c r="AB293" s="30" t="s">
        <v>1315</v>
      </c>
      <c r="AC293" s="30"/>
      <c r="AD293" s="30" t="s">
        <v>50</v>
      </c>
      <c r="AE293" s="30" t="s">
        <v>50</v>
      </c>
      <c r="AF293" s="30" t="s">
        <v>2203</v>
      </c>
      <c r="AG293" s="30" t="s">
        <v>50</v>
      </c>
      <c r="AH293" s="30" t="s">
        <v>50</v>
      </c>
      <c r="AI293" s="30" t="s">
        <v>1673</v>
      </c>
      <c r="AJ293" s="30" t="s">
        <v>187</v>
      </c>
      <c r="AK293" s="30" t="s">
        <v>2110</v>
      </c>
      <c r="AL293" s="30" t="s">
        <v>613</v>
      </c>
      <c r="AM293" s="30" t="s">
        <v>50</v>
      </c>
      <c r="AN293" s="30" t="s">
        <v>1681</v>
      </c>
      <c r="AO293" s="30" t="s">
        <v>50</v>
      </c>
      <c r="AP293" s="30" t="s">
        <v>50</v>
      </c>
      <c r="AQ293" s="30" t="s">
        <v>50</v>
      </c>
      <c r="AR293" s="30" t="s">
        <v>50</v>
      </c>
      <c r="AS293" s="30" t="s">
        <v>50</v>
      </c>
      <c r="AT293" s="30" t="s">
        <v>1711</v>
      </c>
      <c r="AU293" s="30" t="s">
        <v>50</v>
      </c>
      <c r="AV293" s="34">
        <v>167494393914</v>
      </c>
    </row>
    <row r="294" spans="2:48" ht="15" customHeight="1">
      <c r="B294" s="28">
        <v>288</v>
      </c>
      <c r="C294" s="29" t="s">
        <v>2683</v>
      </c>
      <c r="D294" s="30" t="s">
        <v>50</v>
      </c>
      <c r="E294" s="31" t="s">
        <v>2684</v>
      </c>
      <c r="F294" s="31" t="s">
        <v>50</v>
      </c>
      <c r="G294" s="32" t="s">
        <v>2685</v>
      </c>
      <c r="H294" s="30" t="s">
        <v>62</v>
      </c>
      <c r="I294" s="30" t="s">
        <v>856</v>
      </c>
      <c r="J294" s="32" t="s">
        <v>857</v>
      </c>
      <c r="K294" s="30" t="s">
        <v>568</v>
      </c>
      <c r="L294" s="32" t="s">
        <v>569</v>
      </c>
      <c r="M294" s="30" t="s">
        <v>1697</v>
      </c>
      <c r="N294" s="30" t="s">
        <v>1679</v>
      </c>
      <c r="O294" s="33">
        <v>1</v>
      </c>
      <c r="P294" s="33">
        <v>19153</v>
      </c>
      <c r="Q294" s="33">
        <v>0</v>
      </c>
      <c r="R294" s="33">
        <v>0</v>
      </c>
      <c r="S294" s="33">
        <v>0</v>
      </c>
      <c r="T294" s="33">
        <v>0</v>
      </c>
      <c r="U294" s="33">
        <v>0</v>
      </c>
      <c r="V294" s="33">
        <v>0</v>
      </c>
      <c r="W294" s="33" t="s">
        <v>50</v>
      </c>
      <c r="X294" s="33">
        <v>1</v>
      </c>
      <c r="Y294" s="30" t="s">
        <v>64</v>
      </c>
      <c r="Z294" s="30" t="s">
        <v>186</v>
      </c>
      <c r="AA294" s="30" t="s">
        <v>222</v>
      </c>
      <c r="AB294" s="30" t="s">
        <v>1316</v>
      </c>
      <c r="AC294" s="30">
        <v>36</v>
      </c>
      <c r="AD294" s="30" t="s">
        <v>50</v>
      </c>
      <c r="AE294" s="30" t="s">
        <v>50</v>
      </c>
      <c r="AF294" s="30" t="s">
        <v>50</v>
      </c>
      <c r="AG294" s="30" t="s">
        <v>50</v>
      </c>
      <c r="AH294" s="30" t="s">
        <v>50</v>
      </c>
      <c r="AI294" s="30" t="s">
        <v>1673</v>
      </c>
      <c r="AJ294" s="30" t="s">
        <v>187</v>
      </c>
      <c r="AK294" s="30" t="s">
        <v>2686</v>
      </c>
      <c r="AL294" s="30" t="s">
        <v>571</v>
      </c>
      <c r="AM294" s="30" t="s">
        <v>50</v>
      </c>
      <c r="AN294" s="30" t="s">
        <v>1681</v>
      </c>
      <c r="AO294" s="30" t="s">
        <v>50</v>
      </c>
      <c r="AP294" s="30" t="s">
        <v>50</v>
      </c>
      <c r="AQ294" s="30" t="s">
        <v>50</v>
      </c>
      <c r="AR294" s="30" t="s">
        <v>50</v>
      </c>
      <c r="AS294" s="30" t="s">
        <v>50</v>
      </c>
      <c r="AT294" s="30" t="s">
        <v>299</v>
      </c>
      <c r="AU294" s="30" t="s">
        <v>50</v>
      </c>
      <c r="AV294" s="34">
        <v>167493691602</v>
      </c>
    </row>
    <row r="295" spans="2:48" ht="15" customHeight="1">
      <c r="B295" s="28">
        <v>289</v>
      </c>
      <c r="C295" s="29" t="s">
        <v>2687</v>
      </c>
      <c r="D295" s="30" t="s">
        <v>50</v>
      </c>
      <c r="E295" s="31" t="s">
        <v>2531</v>
      </c>
      <c r="F295" s="31" t="s">
        <v>50</v>
      </c>
      <c r="G295" s="32" t="s">
        <v>2688</v>
      </c>
      <c r="H295" s="30" t="s">
        <v>62</v>
      </c>
      <c r="I295" s="30" t="s">
        <v>327</v>
      </c>
      <c r="J295" s="32" t="s">
        <v>328</v>
      </c>
      <c r="K295" s="30" t="s">
        <v>327</v>
      </c>
      <c r="L295" s="32" t="s">
        <v>328</v>
      </c>
      <c r="M295" s="30" t="s">
        <v>1989</v>
      </c>
      <c r="N295" s="30" t="s">
        <v>1672</v>
      </c>
      <c r="O295" s="33">
        <v>14</v>
      </c>
      <c r="P295" s="33">
        <v>2267</v>
      </c>
      <c r="Q295" s="33">
        <v>2267</v>
      </c>
      <c r="R295" s="33">
        <v>26</v>
      </c>
      <c r="S295" s="33">
        <v>2</v>
      </c>
      <c r="T295" s="33">
        <v>2</v>
      </c>
      <c r="U295" s="33">
        <v>0</v>
      </c>
      <c r="V295" s="33">
        <v>0</v>
      </c>
      <c r="W295" s="33" t="s">
        <v>50</v>
      </c>
      <c r="X295" s="33">
        <v>4</v>
      </c>
      <c r="Y295" s="30" t="s">
        <v>64</v>
      </c>
      <c r="Z295" s="30" t="s">
        <v>222</v>
      </c>
      <c r="AA295" s="30" t="s">
        <v>222</v>
      </c>
      <c r="AB295" s="30" t="s">
        <v>1316</v>
      </c>
      <c r="AC295" s="30">
        <v>68</v>
      </c>
      <c r="AD295" s="30" t="s">
        <v>50</v>
      </c>
      <c r="AE295" s="30" t="s">
        <v>50</v>
      </c>
      <c r="AF295" s="30" t="s">
        <v>2203</v>
      </c>
      <c r="AG295" s="30" t="s">
        <v>50</v>
      </c>
      <c r="AH295" s="30" t="s">
        <v>50</v>
      </c>
      <c r="AI295" s="30" t="s">
        <v>1673</v>
      </c>
      <c r="AJ295" s="30" t="s">
        <v>187</v>
      </c>
      <c r="AK295" s="30" t="s">
        <v>2689</v>
      </c>
      <c r="AL295" s="30" t="s">
        <v>330</v>
      </c>
      <c r="AM295" s="30" t="s">
        <v>50</v>
      </c>
      <c r="AN295" s="30" t="s">
        <v>50</v>
      </c>
      <c r="AO295" s="30" t="s">
        <v>50</v>
      </c>
      <c r="AP295" s="30" t="s">
        <v>50</v>
      </c>
      <c r="AQ295" s="30" t="s">
        <v>50</v>
      </c>
      <c r="AR295" s="30" t="s">
        <v>50</v>
      </c>
      <c r="AS295" s="30" t="s">
        <v>50</v>
      </c>
      <c r="AT295" s="30" t="s">
        <v>299</v>
      </c>
      <c r="AU295" s="30" t="s">
        <v>50</v>
      </c>
      <c r="AV295" s="34">
        <v>167493448496</v>
      </c>
    </row>
    <row r="296" spans="2:48" ht="15" customHeight="1">
      <c r="B296" s="28">
        <v>290</v>
      </c>
      <c r="C296" s="29" t="s">
        <v>2690</v>
      </c>
      <c r="D296" s="30" t="s">
        <v>50</v>
      </c>
      <c r="E296" s="31" t="s">
        <v>2516</v>
      </c>
      <c r="F296" s="31" t="s">
        <v>50</v>
      </c>
      <c r="G296" s="32" t="s">
        <v>2691</v>
      </c>
      <c r="H296" s="30" t="s">
        <v>71</v>
      </c>
      <c r="I296" s="30" t="s">
        <v>462</v>
      </c>
      <c r="J296" s="32" t="s">
        <v>463</v>
      </c>
      <c r="K296" s="30" t="s">
        <v>462</v>
      </c>
      <c r="L296" s="32" t="s">
        <v>463</v>
      </c>
      <c r="M296" s="30" t="s">
        <v>1989</v>
      </c>
      <c r="N296" s="30" t="s">
        <v>1672</v>
      </c>
      <c r="O296" s="33"/>
      <c r="P296" s="33">
        <v>0</v>
      </c>
      <c r="Q296" s="33">
        <v>0</v>
      </c>
      <c r="R296" s="33">
        <v>0</v>
      </c>
      <c r="S296" s="33">
        <v>0</v>
      </c>
      <c r="T296" s="33">
        <v>0</v>
      </c>
      <c r="U296" s="33">
        <v>0</v>
      </c>
      <c r="V296" s="33">
        <v>0</v>
      </c>
      <c r="W296" s="33" t="s">
        <v>50</v>
      </c>
      <c r="X296" s="33">
        <v>19</v>
      </c>
      <c r="Y296" s="30" t="s">
        <v>64</v>
      </c>
      <c r="Z296" s="30" t="s">
        <v>192</v>
      </c>
      <c r="AA296" s="30" t="s">
        <v>192</v>
      </c>
      <c r="AB296" s="30" t="s">
        <v>1316</v>
      </c>
      <c r="AC296" s="30"/>
      <c r="AD296" s="30" t="s">
        <v>50</v>
      </c>
      <c r="AE296" s="30" t="s">
        <v>50</v>
      </c>
      <c r="AF296" s="30" t="s">
        <v>50</v>
      </c>
      <c r="AG296" s="30" t="s">
        <v>50</v>
      </c>
      <c r="AH296" s="30" t="s">
        <v>50</v>
      </c>
      <c r="AI296" s="30" t="s">
        <v>1673</v>
      </c>
      <c r="AJ296" s="30" t="s">
        <v>50</v>
      </c>
      <c r="AK296" s="30" t="s">
        <v>50</v>
      </c>
      <c r="AL296" s="30" t="s">
        <v>50</v>
      </c>
      <c r="AM296" s="30" t="s">
        <v>35</v>
      </c>
      <c r="AN296" s="30" t="s">
        <v>1681</v>
      </c>
      <c r="AO296" s="30" t="s">
        <v>50</v>
      </c>
      <c r="AP296" s="30" t="s">
        <v>50</v>
      </c>
      <c r="AQ296" s="30" t="s">
        <v>50</v>
      </c>
      <c r="AR296" s="30" t="s">
        <v>50</v>
      </c>
      <c r="AS296" s="30" t="s">
        <v>50</v>
      </c>
      <c r="AT296" s="30" t="s">
        <v>299</v>
      </c>
      <c r="AU296" s="30" t="s">
        <v>50</v>
      </c>
      <c r="AV296" s="34">
        <v>167913373416</v>
      </c>
    </row>
    <row r="297" spans="2:48" ht="15" customHeight="1">
      <c r="B297" s="28">
        <v>291</v>
      </c>
      <c r="C297" s="29" t="s">
        <v>2692</v>
      </c>
      <c r="D297" s="30" t="s">
        <v>50</v>
      </c>
      <c r="E297" s="31" t="s">
        <v>2516</v>
      </c>
      <c r="F297" s="31" t="s">
        <v>50</v>
      </c>
      <c r="G297" s="32" t="s">
        <v>2693</v>
      </c>
      <c r="H297" s="30" t="s">
        <v>71</v>
      </c>
      <c r="I297" s="30" t="s">
        <v>422</v>
      </c>
      <c r="J297" s="32" t="s">
        <v>423</v>
      </c>
      <c r="K297" s="30" t="s">
        <v>422</v>
      </c>
      <c r="L297" s="32" t="s">
        <v>423</v>
      </c>
      <c r="M297" s="30" t="s">
        <v>1671</v>
      </c>
      <c r="N297" s="30" t="s">
        <v>1672</v>
      </c>
      <c r="O297" s="33"/>
      <c r="P297" s="33">
        <v>9493</v>
      </c>
      <c r="Q297" s="33">
        <v>4840</v>
      </c>
      <c r="R297" s="33">
        <v>0</v>
      </c>
      <c r="S297" s="33">
        <v>0</v>
      </c>
      <c r="T297" s="33">
        <v>0</v>
      </c>
      <c r="U297" s="33">
        <v>0</v>
      </c>
      <c r="V297" s="33">
        <v>0</v>
      </c>
      <c r="W297" s="33" t="s">
        <v>50</v>
      </c>
      <c r="X297" s="33">
        <v>19</v>
      </c>
      <c r="Y297" s="30" t="s">
        <v>64</v>
      </c>
      <c r="Z297" s="30" t="s">
        <v>222</v>
      </c>
      <c r="AA297" s="30" t="s">
        <v>222</v>
      </c>
      <c r="AB297" s="30"/>
      <c r="AC297" s="30"/>
      <c r="AD297" s="30" t="s">
        <v>50</v>
      </c>
      <c r="AE297" s="30" t="s">
        <v>50</v>
      </c>
      <c r="AF297" s="30" t="s">
        <v>50</v>
      </c>
      <c r="AG297" s="30" t="s">
        <v>50</v>
      </c>
      <c r="AH297" s="30" t="s">
        <v>50</v>
      </c>
      <c r="AI297" s="30" t="s">
        <v>1673</v>
      </c>
      <c r="AJ297" s="30" t="s">
        <v>392</v>
      </c>
      <c r="AK297" s="30" t="s">
        <v>2694</v>
      </c>
      <c r="AL297" s="30" t="s">
        <v>425</v>
      </c>
      <c r="AM297" s="30" t="s">
        <v>35</v>
      </c>
      <c r="AN297" s="30" t="s">
        <v>1681</v>
      </c>
      <c r="AO297" s="30" t="s">
        <v>50</v>
      </c>
      <c r="AP297" s="30" t="s">
        <v>50</v>
      </c>
      <c r="AQ297" s="30" t="s">
        <v>50</v>
      </c>
      <c r="AR297" s="30" t="s">
        <v>50</v>
      </c>
      <c r="AS297" s="30" t="s">
        <v>50</v>
      </c>
      <c r="AT297" s="30" t="s">
        <v>299</v>
      </c>
      <c r="AU297" s="30" t="s">
        <v>50</v>
      </c>
      <c r="AV297" s="34">
        <v>167503036880</v>
      </c>
    </row>
    <row r="298" spans="2:48" ht="15" customHeight="1">
      <c r="B298" s="28">
        <v>292</v>
      </c>
      <c r="C298" s="29" t="s">
        <v>2695</v>
      </c>
      <c r="D298" s="30" t="s">
        <v>50</v>
      </c>
      <c r="E298" s="31" t="s">
        <v>2696</v>
      </c>
      <c r="F298" s="31" t="s">
        <v>50</v>
      </c>
      <c r="G298" s="32" t="s">
        <v>2697</v>
      </c>
      <c r="H298" s="30" t="s">
        <v>62</v>
      </c>
      <c r="I298" s="30" t="s">
        <v>850</v>
      </c>
      <c r="J298" s="32" t="s">
        <v>851</v>
      </c>
      <c r="K298" s="30" t="s">
        <v>254</v>
      </c>
      <c r="L298" s="32" t="s">
        <v>255</v>
      </c>
      <c r="M298" s="30" t="s">
        <v>1697</v>
      </c>
      <c r="N298" s="30" t="s">
        <v>1679</v>
      </c>
      <c r="O298" s="33">
        <v>3</v>
      </c>
      <c r="P298" s="33">
        <v>104566</v>
      </c>
      <c r="Q298" s="33">
        <v>0</v>
      </c>
      <c r="R298" s="33">
        <v>0</v>
      </c>
      <c r="S298" s="33">
        <v>0</v>
      </c>
      <c r="T298" s="33">
        <v>0</v>
      </c>
      <c r="U298" s="33">
        <v>0</v>
      </c>
      <c r="V298" s="33">
        <v>0</v>
      </c>
      <c r="W298" s="33" t="s">
        <v>50</v>
      </c>
      <c r="X298" s="33">
        <v>1</v>
      </c>
      <c r="Y298" s="30" t="s">
        <v>64</v>
      </c>
      <c r="Z298" s="30" t="s">
        <v>186</v>
      </c>
      <c r="AA298" s="30" t="s">
        <v>222</v>
      </c>
      <c r="AB298" s="30" t="s">
        <v>1316</v>
      </c>
      <c r="AC298" s="30">
        <v>39</v>
      </c>
      <c r="AD298" s="30" t="s">
        <v>50</v>
      </c>
      <c r="AE298" s="30" t="s">
        <v>50</v>
      </c>
      <c r="AF298" s="30" t="s">
        <v>1741</v>
      </c>
      <c r="AG298" s="30" t="s">
        <v>50</v>
      </c>
      <c r="AH298" s="30" t="s">
        <v>50</v>
      </c>
      <c r="AI298" s="30" t="s">
        <v>1673</v>
      </c>
      <c r="AJ298" s="30" t="s">
        <v>50</v>
      </c>
      <c r="AK298" s="30" t="s">
        <v>50</v>
      </c>
      <c r="AL298" s="30" t="s">
        <v>50</v>
      </c>
      <c r="AM298" s="30" t="s">
        <v>50</v>
      </c>
      <c r="AN298" s="30" t="s">
        <v>1681</v>
      </c>
      <c r="AO298" s="30" t="s">
        <v>50</v>
      </c>
      <c r="AP298" s="30" t="s">
        <v>50</v>
      </c>
      <c r="AQ298" s="30" t="s">
        <v>50</v>
      </c>
      <c r="AR298" s="30" t="s">
        <v>50</v>
      </c>
      <c r="AS298" s="30" t="s">
        <v>50</v>
      </c>
      <c r="AT298" s="30" t="s">
        <v>299</v>
      </c>
      <c r="AU298" s="30" t="s">
        <v>50</v>
      </c>
      <c r="AV298" s="34">
        <v>167492431221</v>
      </c>
    </row>
    <row r="299" spans="2:48" ht="15" customHeight="1">
      <c r="B299" s="28">
        <v>293</v>
      </c>
      <c r="C299" s="29" t="s">
        <v>2698</v>
      </c>
      <c r="D299" s="30" t="s">
        <v>50</v>
      </c>
      <c r="E299" s="31" t="s">
        <v>2699</v>
      </c>
      <c r="F299" s="31" t="s">
        <v>50</v>
      </c>
      <c r="G299" s="32" t="s">
        <v>2700</v>
      </c>
      <c r="H299" s="30" t="s">
        <v>124</v>
      </c>
      <c r="I299" s="30" t="s">
        <v>1271</v>
      </c>
      <c r="J299" s="32" t="s">
        <v>1272</v>
      </c>
      <c r="K299" s="30" t="s">
        <v>685</v>
      </c>
      <c r="L299" s="32" t="s">
        <v>686</v>
      </c>
      <c r="M299" s="30" t="s">
        <v>1697</v>
      </c>
      <c r="N299" s="30" t="s">
        <v>1679</v>
      </c>
      <c r="O299" s="33"/>
      <c r="P299" s="33">
        <v>138</v>
      </c>
      <c r="Q299" s="33">
        <v>0</v>
      </c>
      <c r="R299" s="33" t="s">
        <v>158</v>
      </c>
      <c r="S299" s="33">
        <v>0</v>
      </c>
      <c r="T299" s="33" t="s">
        <v>158</v>
      </c>
      <c r="U299" s="33" t="s">
        <v>158</v>
      </c>
      <c r="V299" s="33" t="s">
        <v>158</v>
      </c>
      <c r="W299" s="33" t="s">
        <v>50</v>
      </c>
      <c r="X299" s="33">
        <v>1</v>
      </c>
      <c r="Y299" s="30" t="s">
        <v>75</v>
      </c>
      <c r="Z299" s="30" t="s">
        <v>222</v>
      </c>
      <c r="AA299" s="30" t="s">
        <v>222</v>
      </c>
      <c r="AB299" s="30" t="s">
        <v>1316</v>
      </c>
      <c r="AC299" s="30"/>
      <c r="AD299" s="30" t="s">
        <v>50</v>
      </c>
      <c r="AE299" s="30" t="s">
        <v>50</v>
      </c>
      <c r="AF299" s="30" t="s">
        <v>50</v>
      </c>
      <c r="AG299" s="30" t="s">
        <v>50</v>
      </c>
      <c r="AH299" s="30" t="s">
        <v>50</v>
      </c>
      <c r="AI299" s="30" t="s">
        <v>1673</v>
      </c>
      <c r="AJ299" s="30" t="s">
        <v>187</v>
      </c>
      <c r="AK299" s="30" t="s">
        <v>2701</v>
      </c>
      <c r="AL299" s="30" t="s">
        <v>339</v>
      </c>
      <c r="AM299" s="30" t="s">
        <v>50</v>
      </c>
      <c r="AN299" s="30" t="s">
        <v>1681</v>
      </c>
      <c r="AO299" s="30" t="s">
        <v>50</v>
      </c>
      <c r="AP299" s="30" t="s">
        <v>50</v>
      </c>
      <c r="AQ299" s="30" t="s">
        <v>50</v>
      </c>
      <c r="AR299" s="30" t="s">
        <v>50</v>
      </c>
      <c r="AS299" s="30" t="s">
        <v>50</v>
      </c>
      <c r="AT299" s="30" t="s">
        <v>299</v>
      </c>
      <c r="AU299" s="30" t="s">
        <v>50</v>
      </c>
      <c r="AV299" s="34">
        <v>167845372326</v>
      </c>
    </row>
    <row r="300" spans="2:48" ht="15" customHeight="1">
      <c r="B300" s="28">
        <v>294</v>
      </c>
      <c r="C300" s="29" t="s">
        <v>2702</v>
      </c>
      <c r="D300" s="30" t="s">
        <v>50</v>
      </c>
      <c r="E300" s="31" t="s">
        <v>2703</v>
      </c>
      <c r="F300" s="31" t="s">
        <v>50</v>
      </c>
      <c r="G300" s="32" t="s">
        <v>2704</v>
      </c>
      <c r="H300" s="30" t="s">
        <v>68</v>
      </c>
      <c r="I300" s="30" t="s">
        <v>860</v>
      </c>
      <c r="J300" s="32" t="s">
        <v>861</v>
      </c>
      <c r="K300" s="30" t="s">
        <v>508</v>
      </c>
      <c r="L300" s="32" t="s">
        <v>509</v>
      </c>
      <c r="M300" s="30" t="s">
        <v>1697</v>
      </c>
      <c r="N300" s="30" t="s">
        <v>1672</v>
      </c>
      <c r="O300" s="33"/>
      <c r="P300" s="33">
        <v>103112</v>
      </c>
      <c r="Q300" s="33">
        <v>0</v>
      </c>
      <c r="R300" s="33">
        <v>0</v>
      </c>
      <c r="S300" s="33">
        <v>0</v>
      </c>
      <c r="T300" s="33">
        <v>0</v>
      </c>
      <c r="U300" s="33">
        <v>0</v>
      </c>
      <c r="V300" s="33">
        <v>0</v>
      </c>
      <c r="W300" s="33" t="s">
        <v>50</v>
      </c>
      <c r="X300" s="33">
        <v>1</v>
      </c>
      <c r="Y300" s="30" t="s">
        <v>70</v>
      </c>
      <c r="Z300" s="30" t="s">
        <v>192</v>
      </c>
      <c r="AA300" s="30" t="s">
        <v>192</v>
      </c>
      <c r="AB300" s="30" t="s">
        <v>1316</v>
      </c>
      <c r="AC300" s="30"/>
      <c r="AD300" s="30" t="s">
        <v>50</v>
      </c>
      <c r="AE300" s="30" t="s">
        <v>50</v>
      </c>
      <c r="AF300" s="30" t="s">
        <v>50</v>
      </c>
      <c r="AG300" s="30" t="s">
        <v>50</v>
      </c>
      <c r="AH300" s="30" t="s">
        <v>50</v>
      </c>
      <c r="AI300" s="30" t="s">
        <v>1673</v>
      </c>
      <c r="AJ300" s="30" t="s">
        <v>50</v>
      </c>
      <c r="AK300" s="30" t="s">
        <v>50</v>
      </c>
      <c r="AL300" s="30" t="s">
        <v>50</v>
      </c>
      <c r="AM300" s="30" t="s">
        <v>50</v>
      </c>
      <c r="AN300" s="30" t="s">
        <v>1681</v>
      </c>
      <c r="AO300" s="30" t="s">
        <v>50</v>
      </c>
      <c r="AP300" s="30" t="s">
        <v>50</v>
      </c>
      <c r="AQ300" s="30" t="s">
        <v>50</v>
      </c>
      <c r="AR300" s="30" t="s">
        <v>50</v>
      </c>
      <c r="AS300" s="30" t="s">
        <v>50</v>
      </c>
      <c r="AT300" s="30" t="s">
        <v>299</v>
      </c>
      <c r="AU300" s="30" t="s">
        <v>50</v>
      </c>
      <c r="AV300" s="34">
        <v>167491804656</v>
      </c>
    </row>
    <row r="301" spans="2:48" ht="15" customHeight="1">
      <c r="B301" s="28">
        <v>295</v>
      </c>
      <c r="C301" s="29" t="s">
        <v>2705</v>
      </c>
      <c r="D301" s="30" t="s">
        <v>50</v>
      </c>
      <c r="E301" s="31" t="s">
        <v>2706</v>
      </c>
      <c r="F301" s="31" t="s">
        <v>50</v>
      </c>
      <c r="G301" s="32" t="s">
        <v>2707</v>
      </c>
      <c r="H301" s="30" t="s">
        <v>68</v>
      </c>
      <c r="I301" s="30" t="s">
        <v>695</v>
      </c>
      <c r="J301" s="32" t="s">
        <v>1138</v>
      </c>
      <c r="K301" s="30" t="s">
        <v>231</v>
      </c>
      <c r="L301" s="32" t="s">
        <v>232</v>
      </c>
      <c r="M301" s="30" t="s">
        <v>1697</v>
      </c>
      <c r="N301" s="30" t="s">
        <v>1679</v>
      </c>
      <c r="O301" s="33"/>
      <c r="P301" s="33">
        <v>107935</v>
      </c>
      <c r="Q301" s="33">
        <v>1</v>
      </c>
      <c r="R301" s="33">
        <v>0</v>
      </c>
      <c r="S301" s="33">
        <v>0</v>
      </c>
      <c r="T301" s="33">
        <v>0</v>
      </c>
      <c r="U301" s="33">
        <v>0</v>
      </c>
      <c r="V301" s="33">
        <v>0</v>
      </c>
      <c r="W301" s="33" t="s">
        <v>50</v>
      </c>
      <c r="X301" s="33">
        <v>1</v>
      </c>
      <c r="Y301" s="30" t="s">
        <v>70</v>
      </c>
      <c r="Z301" s="30" t="s">
        <v>192</v>
      </c>
      <c r="AA301" s="30" t="s">
        <v>222</v>
      </c>
      <c r="AB301" s="30" t="s">
        <v>1316</v>
      </c>
      <c r="AC301" s="30"/>
      <c r="AD301" s="30" t="s">
        <v>50</v>
      </c>
      <c r="AE301" s="30" t="s">
        <v>50</v>
      </c>
      <c r="AF301" s="30" t="s">
        <v>50</v>
      </c>
      <c r="AG301" s="30" t="s">
        <v>50</v>
      </c>
      <c r="AH301" s="30" t="s">
        <v>50</v>
      </c>
      <c r="AI301" s="30" t="s">
        <v>1673</v>
      </c>
      <c r="AJ301" s="30" t="s">
        <v>50</v>
      </c>
      <c r="AK301" s="30" t="s">
        <v>50</v>
      </c>
      <c r="AL301" s="30" t="s">
        <v>50</v>
      </c>
      <c r="AM301" s="30" t="s">
        <v>50</v>
      </c>
      <c r="AN301" s="30" t="s">
        <v>1681</v>
      </c>
      <c r="AO301" s="30" t="s">
        <v>50</v>
      </c>
      <c r="AP301" s="30" t="s">
        <v>50</v>
      </c>
      <c r="AQ301" s="30" t="s">
        <v>50</v>
      </c>
      <c r="AR301" s="30" t="s">
        <v>50</v>
      </c>
      <c r="AS301" s="30" t="s">
        <v>50</v>
      </c>
      <c r="AT301" s="30" t="s">
        <v>1682</v>
      </c>
      <c r="AU301" s="30" t="s">
        <v>50</v>
      </c>
      <c r="AV301" s="34">
        <v>167489417520</v>
      </c>
    </row>
    <row r="302" spans="2:48" ht="15" customHeight="1">
      <c r="B302" s="28">
        <v>296</v>
      </c>
      <c r="C302" s="29" t="s">
        <v>2708</v>
      </c>
      <c r="D302" s="30" t="s">
        <v>50</v>
      </c>
      <c r="E302" s="31" t="s">
        <v>2516</v>
      </c>
      <c r="F302" s="31" t="s">
        <v>50</v>
      </c>
      <c r="G302" s="32" t="s">
        <v>2709</v>
      </c>
      <c r="H302" s="30" t="s">
        <v>71</v>
      </c>
      <c r="I302" s="30" t="s">
        <v>540</v>
      </c>
      <c r="J302" s="32" t="s">
        <v>541</v>
      </c>
      <c r="K302" s="30" t="s">
        <v>540</v>
      </c>
      <c r="L302" s="32" t="s">
        <v>541</v>
      </c>
      <c r="M302" s="30" t="s">
        <v>1989</v>
      </c>
      <c r="N302" s="30" t="s">
        <v>1672</v>
      </c>
      <c r="O302" s="33"/>
      <c r="P302" s="33">
        <v>105</v>
      </c>
      <c r="Q302" s="33">
        <v>70</v>
      </c>
      <c r="R302" s="33">
        <v>0</v>
      </c>
      <c r="S302" s="33">
        <v>0</v>
      </c>
      <c r="T302" s="33">
        <v>0</v>
      </c>
      <c r="U302" s="33">
        <v>0</v>
      </c>
      <c r="V302" s="33">
        <v>0</v>
      </c>
      <c r="W302" s="33" t="s">
        <v>50</v>
      </c>
      <c r="X302" s="33">
        <v>19</v>
      </c>
      <c r="Y302" s="30" t="s">
        <v>64</v>
      </c>
      <c r="Z302" s="30" t="s">
        <v>222</v>
      </c>
      <c r="AA302" s="30" t="s">
        <v>192</v>
      </c>
      <c r="AB302" s="30" t="s">
        <v>1316</v>
      </c>
      <c r="AC302" s="30"/>
      <c r="AD302" s="30" t="s">
        <v>50</v>
      </c>
      <c r="AE302" s="30" t="s">
        <v>50</v>
      </c>
      <c r="AF302" s="30" t="s">
        <v>50</v>
      </c>
      <c r="AG302" s="30" t="s">
        <v>50</v>
      </c>
      <c r="AH302" s="30" t="s">
        <v>50</v>
      </c>
      <c r="AI302" s="30" t="s">
        <v>1673</v>
      </c>
      <c r="AJ302" s="30" t="s">
        <v>50</v>
      </c>
      <c r="AK302" s="30" t="s">
        <v>50</v>
      </c>
      <c r="AL302" s="30" t="s">
        <v>50</v>
      </c>
      <c r="AM302" s="30" t="s">
        <v>35</v>
      </c>
      <c r="AN302" s="30" t="s">
        <v>1681</v>
      </c>
      <c r="AO302" s="30" t="s">
        <v>50</v>
      </c>
      <c r="AP302" s="30" t="s">
        <v>50</v>
      </c>
      <c r="AQ302" s="30" t="s">
        <v>50</v>
      </c>
      <c r="AR302" s="30" t="s">
        <v>50</v>
      </c>
      <c r="AS302" s="30" t="s">
        <v>50</v>
      </c>
      <c r="AT302" s="30" t="s">
        <v>299</v>
      </c>
      <c r="AU302" s="30" t="s">
        <v>50</v>
      </c>
      <c r="AV302" s="34">
        <v>167488763110</v>
      </c>
    </row>
    <row r="303" spans="2:48" ht="15" customHeight="1">
      <c r="B303" s="28">
        <v>297</v>
      </c>
      <c r="C303" s="29" t="s">
        <v>2710</v>
      </c>
      <c r="D303" s="30" t="s">
        <v>50</v>
      </c>
      <c r="E303" s="31" t="s">
        <v>2516</v>
      </c>
      <c r="F303" s="31" t="s">
        <v>50</v>
      </c>
      <c r="G303" s="32" t="s">
        <v>2711</v>
      </c>
      <c r="H303" s="30" t="s">
        <v>71</v>
      </c>
      <c r="I303" s="30" t="s">
        <v>628</v>
      </c>
      <c r="J303" s="32" t="s">
        <v>629</v>
      </c>
      <c r="K303" s="30" t="s">
        <v>628</v>
      </c>
      <c r="L303" s="32" t="s">
        <v>629</v>
      </c>
      <c r="M303" s="30" t="s">
        <v>1989</v>
      </c>
      <c r="N303" s="30" t="s">
        <v>1672</v>
      </c>
      <c r="O303" s="33"/>
      <c r="P303" s="33">
        <v>64</v>
      </c>
      <c r="Q303" s="33">
        <v>64</v>
      </c>
      <c r="R303" s="33">
        <v>0</v>
      </c>
      <c r="S303" s="33">
        <v>0</v>
      </c>
      <c r="T303" s="33">
        <v>0</v>
      </c>
      <c r="U303" s="33">
        <v>0</v>
      </c>
      <c r="V303" s="33">
        <v>0</v>
      </c>
      <c r="W303" s="33" t="s">
        <v>50</v>
      </c>
      <c r="X303" s="33">
        <v>19</v>
      </c>
      <c r="Y303" s="30" t="s">
        <v>64</v>
      </c>
      <c r="Z303" s="30" t="s">
        <v>192</v>
      </c>
      <c r="AA303" s="30" t="s">
        <v>192</v>
      </c>
      <c r="AB303" s="30" t="s">
        <v>1316</v>
      </c>
      <c r="AC303" s="30"/>
      <c r="AD303" s="30" t="s">
        <v>50</v>
      </c>
      <c r="AE303" s="30" t="s">
        <v>50</v>
      </c>
      <c r="AF303" s="30" t="s">
        <v>50</v>
      </c>
      <c r="AG303" s="30" t="s">
        <v>50</v>
      </c>
      <c r="AH303" s="30" t="s">
        <v>50</v>
      </c>
      <c r="AI303" s="30" t="s">
        <v>1673</v>
      </c>
      <c r="AJ303" s="30" t="s">
        <v>50</v>
      </c>
      <c r="AK303" s="30" t="s">
        <v>50</v>
      </c>
      <c r="AL303" s="30" t="s">
        <v>50</v>
      </c>
      <c r="AM303" s="30" t="s">
        <v>35</v>
      </c>
      <c r="AN303" s="30" t="s">
        <v>1681</v>
      </c>
      <c r="AO303" s="30" t="s">
        <v>50</v>
      </c>
      <c r="AP303" s="30" t="s">
        <v>50</v>
      </c>
      <c r="AQ303" s="30" t="s">
        <v>50</v>
      </c>
      <c r="AR303" s="30" t="s">
        <v>50</v>
      </c>
      <c r="AS303" s="30" t="s">
        <v>50</v>
      </c>
      <c r="AT303" s="30" t="s">
        <v>299</v>
      </c>
      <c r="AU303" s="30" t="s">
        <v>50</v>
      </c>
      <c r="AV303" s="34">
        <v>167883877930</v>
      </c>
    </row>
    <row r="304" spans="2:48" ht="15" customHeight="1">
      <c r="B304" s="28">
        <v>298</v>
      </c>
      <c r="C304" s="29" t="s">
        <v>2712</v>
      </c>
      <c r="D304" s="30" t="s">
        <v>50</v>
      </c>
      <c r="E304" s="31" t="s">
        <v>2713</v>
      </c>
      <c r="F304" s="31" t="s">
        <v>50</v>
      </c>
      <c r="G304" s="32" t="s">
        <v>2714</v>
      </c>
      <c r="H304" s="30" t="s">
        <v>68</v>
      </c>
      <c r="I304" s="30" t="s">
        <v>1123</v>
      </c>
      <c r="J304" s="32" t="s">
        <v>1124</v>
      </c>
      <c r="K304" s="30" t="s">
        <v>231</v>
      </c>
      <c r="L304" s="32" t="s">
        <v>232</v>
      </c>
      <c r="M304" s="30" t="s">
        <v>1697</v>
      </c>
      <c r="N304" s="30" t="s">
        <v>1672</v>
      </c>
      <c r="O304" s="33"/>
      <c r="P304" s="33">
        <v>108132</v>
      </c>
      <c r="Q304" s="33">
        <v>1</v>
      </c>
      <c r="R304" s="33">
        <v>0</v>
      </c>
      <c r="S304" s="33">
        <v>1</v>
      </c>
      <c r="T304" s="33">
        <v>1</v>
      </c>
      <c r="U304" s="33">
        <v>0</v>
      </c>
      <c r="V304" s="33">
        <v>0</v>
      </c>
      <c r="W304" s="33" t="s">
        <v>50</v>
      </c>
      <c r="X304" s="33">
        <v>1</v>
      </c>
      <c r="Y304" s="30" t="s">
        <v>70</v>
      </c>
      <c r="Z304" s="30" t="s">
        <v>192</v>
      </c>
      <c r="AA304" s="30" t="s">
        <v>192</v>
      </c>
      <c r="AB304" s="30" t="s">
        <v>1316</v>
      </c>
      <c r="AC304" s="30"/>
      <c r="AD304" s="30" t="s">
        <v>50</v>
      </c>
      <c r="AE304" s="30" t="s">
        <v>50</v>
      </c>
      <c r="AF304" s="30" t="s">
        <v>1741</v>
      </c>
      <c r="AG304" s="30" t="s">
        <v>50</v>
      </c>
      <c r="AH304" s="30" t="s">
        <v>50</v>
      </c>
      <c r="AI304" s="30" t="s">
        <v>1673</v>
      </c>
      <c r="AJ304" s="30" t="s">
        <v>50</v>
      </c>
      <c r="AK304" s="30" t="s">
        <v>50</v>
      </c>
      <c r="AL304" s="30" t="s">
        <v>50</v>
      </c>
      <c r="AM304" s="30" t="s">
        <v>50</v>
      </c>
      <c r="AN304" s="30" t="s">
        <v>1681</v>
      </c>
      <c r="AO304" s="30" t="s">
        <v>50</v>
      </c>
      <c r="AP304" s="30" t="s">
        <v>50</v>
      </c>
      <c r="AQ304" s="30" t="s">
        <v>50</v>
      </c>
      <c r="AR304" s="30" t="s">
        <v>50</v>
      </c>
      <c r="AS304" s="30" t="s">
        <v>50</v>
      </c>
      <c r="AT304" s="30" t="s">
        <v>2715</v>
      </c>
      <c r="AU304" s="30" t="s">
        <v>50</v>
      </c>
      <c r="AV304" s="34">
        <v>167487459303</v>
      </c>
    </row>
    <row r="305" spans="2:48" ht="15" customHeight="1">
      <c r="B305" s="28">
        <v>299</v>
      </c>
      <c r="C305" s="29" t="s">
        <v>2716</v>
      </c>
      <c r="D305" s="30" t="s">
        <v>50</v>
      </c>
      <c r="E305" s="31" t="s">
        <v>2717</v>
      </c>
      <c r="F305" s="31" t="s">
        <v>50</v>
      </c>
      <c r="G305" s="32" t="s">
        <v>2718</v>
      </c>
      <c r="H305" s="30" t="s">
        <v>71</v>
      </c>
      <c r="I305" s="30" t="s">
        <v>915</v>
      </c>
      <c r="J305" s="32" t="s">
        <v>916</v>
      </c>
      <c r="K305" s="30" t="s">
        <v>264</v>
      </c>
      <c r="L305" s="32" t="s">
        <v>265</v>
      </c>
      <c r="M305" s="30" t="s">
        <v>1351</v>
      </c>
      <c r="N305" s="30" t="s">
        <v>1672</v>
      </c>
      <c r="O305" s="33"/>
      <c r="P305" s="33">
        <v>1592</v>
      </c>
      <c r="Q305" s="33">
        <v>0</v>
      </c>
      <c r="R305" s="33">
        <v>0</v>
      </c>
      <c r="S305" s="33">
        <v>0</v>
      </c>
      <c r="T305" s="33">
        <v>0</v>
      </c>
      <c r="U305" s="33">
        <v>0</v>
      </c>
      <c r="V305" s="33">
        <v>0</v>
      </c>
      <c r="W305" s="33" t="s">
        <v>50</v>
      </c>
      <c r="X305" s="33">
        <v>1</v>
      </c>
      <c r="Y305" s="30" t="s">
        <v>64</v>
      </c>
      <c r="Z305" s="30" t="s">
        <v>186</v>
      </c>
      <c r="AA305" s="30" t="s">
        <v>222</v>
      </c>
      <c r="AB305" s="30"/>
      <c r="AC305" s="30"/>
      <c r="AD305" s="30" t="s">
        <v>50</v>
      </c>
      <c r="AE305" s="30" t="s">
        <v>50</v>
      </c>
      <c r="AF305" s="30" t="s">
        <v>50</v>
      </c>
      <c r="AG305" s="30" t="s">
        <v>50</v>
      </c>
      <c r="AH305" s="30" t="s">
        <v>50</v>
      </c>
      <c r="AI305" s="30" t="s">
        <v>1673</v>
      </c>
      <c r="AJ305" s="30" t="s">
        <v>50</v>
      </c>
      <c r="AK305" s="30" t="s">
        <v>50</v>
      </c>
      <c r="AL305" s="30" t="s">
        <v>50</v>
      </c>
      <c r="AM305" s="30" t="s">
        <v>35</v>
      </c>
      <c r="AN305" s="30" t="s">
        <v>1681</v>
      </c>
      <c r="AO305" s="30" t="s">
        <v>50</v>
      </c>
      <c r="AP305" s="30" t="s">
        <v>50</v>
      </c>
      <c r="AQ305" s="30" t="s">
        <v>50</v>
      </c>
      <c r="AR305" s="30" t="s">
        <v>50</v>
      </c>
      <c r="AS305" s="30" t="s">
        <v>50</v>
      </c>
      <c r="AT305" s="30" t="s">
        <v>299</v>
      </c>
      <c r="AU305" s="30" t="s">
        <v>50</v>
      </c>
      <c r="AV305" s="34">
        <v>167553977217</v>
      </c>
    </row>
    <row r="306" spans="2:48" ht="15" customHeight="1">
      <c r="B306" s="28">
        <v>300</v>
      </c>
      <c r="C306" s="29" t="s">
        <v>2719</v>
      </c>
      <c r="D306" s="30" t="s">
        <v>50</v>
      </c>
      <c r="E306" s="31" t="s">
        <v>2516</v>
      </c>
      <c r="F306" s="31" t="s">
        <v>50</v>
      </c>
      <c r="G306" s="32" t="s">
        <v>2720</v>
      </c>
      <c r="H306" s="30" t="s">
        <v>71</v>
      </c>
      <c r="I306" s="30" t="s">
        <v>963</v>
      </c>
      <c r="J306" s="32" t="s">
        <v>964</v>
      </c>
      <c r="K306" s="30" t="s">
        <v>544</v>
      </c>
      <c r="L306" s="32" t="s">
        <v>545</v>
      </c>
      <c r="M306" s="30" t="s">
        <v>1989</v>
      </c>
      <c r="N306" s="30" t="s">
        <v>1672</v>
      </c>
      <c r="O306" s="33">
        <v>57</v>
      </c>
      <c r="P306" s="33">
        <v>13560</v>
      </c>
      <c r="Q306" s="33">
        <v>0</v>
      </c>
      <c r="R306" s="33">
        <v>0</v>
      </c>
      <c r="S306" s="33">
        <v>0</v>
      </c>
      <c r="T306" s="33">
        <v>0</v>
      </c>
      <c r="U306" s="33">
        <v>0</v>
      </c>
      <c r="V306" s="33">
        <v>0</v>
      </c>
      <c r="W306" s="33" t="s">
        <v>50</v>
      </c>
      <c r="X306" s="33">
        <v>19</v>
      </c>
      <c r="Y306" s="30" t="s">
        <v>64</v>
      </c>
      <c r="Z306" s="30" t="s">
        <v>186</v>
      </c>
      <c r="AA306" s="30" t="s">
        <v>222</v>
      </c>
      <c r="AB306" s="30" t="s">
        <v>1315</v>
      </c>
      <c r="AC306" s="30"/>
      <c r="AD306" s="30" t="s">
        <v>50</v>
      </c>
      <c r="AE306" s="30" t="s">
        <v>50</v>
      </c>
      <c r="AF306" s="30" t="s">
        <v>50</v>
      </c>
      <c r="AG306" s="30" t="s">
        <v>50</v>
      </c>
      <c r="AH306" s="30" t="s">
        <v>50</v>
      </c>
      <c r="AI306" s="30" t="s">
        <v>1673</v>
      </c>
      <c r="AJ306" s="30" t="s">
        <v>50</v>
      </c>
      <c r="AK306" s="30" t="s">
        <v>50</v>
      </c>
      <c r="AL306" s="30" t="s">
        <v>459</v>
      </c>
      <c r="AM306" s="30" t="s">
        <v>35</v>
      </c>
      <c r="AN306" s="30" t="s">
        <v>1681</v>
      </c>
      <c r="AO306" s="30" t="s">
        <v>50</v>
      </c>
      <c r="AP306" s="30" t="s">
        <v>50</v>
      </c>
      <c r="AQ306" s="30" t="s">
        <v>50</v>
      </c>
      <c r="AR306" s="30" t="s">
        <v>50</v>
      </c>
      <c r="AS306" s="30" t="s">
        <v>50</v>
      </c>
      <c r="AT306" s="30" t="s">
        <v>299</v>
      </c>
      <c r="AU306" s="30" t="s">
        <v>50</v>
      </c>
      <c r="AV306" s="34">
        <v>167482159768</v>
      </c>
    </row>
    <row r="307" spans="2:48" ht="15" customHeight="1">
      <c r="B307" s="28">
        <v>301</v>
      </c>
      <c r="C307" s="29" t="s">
        <v>2721</v>
      </c>
      <c r="D307" s="30" t="s">
        <v>2722</v>
      </c>
      <c r="E307" s="31" t="s">
        <v>2723</v>
      </c>
      <c r="F307" s="31" t="s">
        <v>50</v>
      </c>
      <c r="G307" s="32" t="s">
        <v>2724</v>
      </c>
      <c r="H307" s="30" t="s">
        <v>68</v>
      </c>
      <c r="I307" s="30" t="s">
        <v>275</v>
      </c>
      <c r="J307" s="32" t="s">
        <v>276</v>
      </c>
      <c r="K307" s="30" t="s">
        <v>275</v>
      </c>
      <c r="L307" s="32" t="s">
        <v>276</v>
      </c>
      <c r="M307" s="30" t="s">
        <v>1671</v>
      </c>
      <c r="N307" s="30" t="s">
        <v>1672</v>
      </c>
      <c r="O307" s="33"/>
      <c r="P307" s="33">
        <v>11273</v>
      </c>
      <c r="Q307" s="33">
        <v>11277</v>
      </c>
      <c r="R307" s="33">
        <v>193</v>
      </c>
      <c r="S307" s="33">
        <v>8</v>
      </c>
      <c r="T307" s="33">
        <v>6</v>
      </c>
      <c r="U307" s="33">
        <v>2</v>
      </c>
      <c r="V307" s="33">
        <v>0</v>
      </c>
      <c r="W307" s="33" t="s">
        <v>50</v>
      </c>
      <c r="X307" s="33">
        <v>19</v>
      </c>
      <c r="Y307" s="30" t="s">
        <v>70</v>
      </c>
      <c r="Z307" s="30" t="s">
        <v>192</v>
      </c>
      <c r="AA307" s="30" t="s">
        <v>192</v>
      </c>
      <c r="AB307" s="30" t="s">
        <v>1315</v>
      </c>
      <c r="AC307" s="30"/>
      <c r="AD307" s="30" t="s">
        <v>50</v>
      </c>
      <c r="AE307" s="30" t="s">
        <v>50</v>
      </c>
      <c r="AF307" s="30" t="s">
        <v>1741</v>
      </c>
      <c r="AG307" s="30" t="s">
        <v>50</v>
      </c>
      <c r="AH307" s="30" t="s">
        <v>50</v>
      </c>
      <c r="AI307" s="30" t="s">
        <v>1673</v>
      </c>
      <c r="AJ307" s="30" t="s">
        <v>50</v>
      </c>
      <c r="AK307" s="30" t="s">
        <v>50</v>
      </c>
      <c r="AL307" s="30" t="s">
        <v>50</v>
      </c>
      <c r="AM307" s="30" t="s">
        <v>35</v>
      </c>
      <c r="AN307" s="30" t="s">
        <v>1681</v>
      </c>
      <c r="AO307" s="30" t="s">
        <v>50</v>
      </c>
      <c r="AP307" s="30" t="s">
        <v>50</v>
      </c>
      <c r="AQ307" s="30" t="s">
        <v>50</v>
      </c>
      <c r="AR307" s="30" t="s">
        <v>50</v>
      </c>
      <c r="AS307" s="30" t="s">
        <v>50</v>
      </c>
      <c r="AT307" s="30" t="s">
        <v>299</v>
      </c>
      <c r="AU307" s="30" t="s">
        <v>50</v>
      </c>
      <c r="AV307" s="34">
        <v>167475234498</v>
      </c>
    </row>
    <row r="308" spans="2:48" ht="15" customHeight="1">
      <c r="B308" s="28">
        <v>302</v>
      </c>
      <c r="C308" s="29" t="s">
        <v>2725</v>
      </c>
      <c r="D308" s="30" t="s">
        <v>50</v>
      </c>
      <c r="E308" s="31" t="s">
        <v>2726</v>
      </c>
      <c r="F308" s="31" t="s">
        <v>50</v>
      </c>
      <c r="G308" s="32" t="s">
        <v>2727</v>
      </c>
      <c r="H308" s="30" t="s">
        <v>68</v>
      </c>
      <c r="I308" s="30" t="s">
        <v>1110</v>
      </c>
      <c r="J308" s="32" t="s">
        <v>1111</v>
      </c>
      <c r="K308" s="30" t="s">
        <v>231</v>
      </c>
      <c r="L308" s="32" t="s">
        <v>232</v>
      </c>
      <c r="M308" s="30" t="s">
        <v>1697</v>
      </c>
      <c r="N308" s="30" t="s">
        <v>1672</v>
      </c>
      <c r="O308" s="33"/>
      <c r="P308" s="33">
        <v>108132</v>
      </c>
      <c r="Q308" s="33">
        <v>427</v>
      </c>
      <c r="R308" s="33">
        <v>0</v>
      </c>
      <c r="S308" s="33">
        <v>3</v>
      </c>
      <c r="T308" s="33">
        <v>3</v>
      </c>
      <c r="U308" s="33">
        <v>0</v>
      </c>
      <c r="V308" s="33">
        <v>0</v>
      </c>
      <c r="W308" s="33" t="s">
        <v>50</v>
      </c>
      <c r="X308" s="33">
        <v>1</v>
      </c>
      <c r="Y308" s="30" t="s">
        <v>70</v>
      </c>
      <c r="Z308" s="30" t="s">
        <v>192</v>
      </c>
      <c r="AA308" s="30" t="s">
        <v>192</v>
      </c>
      <c r="AB308" s="30"/>
      <c r="AC308" s="30"/>
      <c r="AD308" s="30" t="s">
        <v>50</v>
      </c>
      <c r="AE308" s="30" t="s">
        <v>50</v>
      </c>
      <c r="AF308" s="30" t="s">
        <v>50</v>
      </c>
      <c r="AG308" s="30" t="s">
        <v>50</v>
      </c>
      <c r="AH308" s="30" t="s">
        <v>50</v>
      </c>
      <c r="AI308" s="30" t="s">
        <v>1673</v>
      </c>
      <c r="AJ308" s="30" t="s">
        <v>50</v>
      </c>
      <c r="AK308" s="30" t="s">
        <v>50</v>
      </c>
      <c r="AL308" s="30" t="s">
        <v>50</v>
      </c>
      <c r="AM308" s="30" t="s">
        <v>50</v>
      </c>
      <c r="AN308" s="30" t="s">
        <v>1681</v>
      </c>
      <c r="AO308" s="30" t="s">
        <v>50</v>
      </c>
      <c r="AP308" s="30" t="s">
        <v>50</v>
      </c>
      <c r="AQ308" s="30" t="s">
        <v>50</v>
      </c>
      <c r="AR308" s="30" t="s">
        <v>50</v>
      </c>
      <c r="AS308" s="30" t="s">
        <v>50</v>
      </c>
      <c r="AT308" s="30" t="s">
        <v>1792</v>
      </c>
      <c r="AU308" s="30" t="s">
        <v>50</v>
      </c>
      <c r="AV308" s="34">
        <v>167470317356</v>
      </c>
    </row>
    <row r="309" spans="2:48" ht="15" customHeight="1">
      <c r="B309" s="28">
        <v>303</v>
      </c>
      <c r="C309" s="29" t="s">
        <v>2728</v>
      </c>
      <c r="D309" s="30" t="s">
        <v>50</v>
      </c>
      <c r="E309" s="31" t="s">
        <v>2729</v>
      </c>
      <c r="F309" s="31" t="s">
        <v>50</v>
      </c>
      <c r="G309" s="32" t="s">
        <v>2730</v>
      </c>
      <c r="H309" s="30" t="s">
        <v>65</v>
      </c>
      <c r="I309" s="30" t="s">
        <v>238</v>
      </c>
      <c r="J309" s="32" t="s">
        <v>2087</v>
      </c>
      <c r="K309" s="30" t="s">
        <v>238</v>
      </c>
      <c r="L309" s="32" t="s">
        <v>2087</v>
      </c>
      <c r="M309" s="30" t="s">
        <v>1671</v>
      </c>
      <c r="N309" s="30" t="s">
        <v>1679</v>
      </c>
      <c r="O309" s="33">
        <v>408</v>
      </c>
      <c r="P309" s="33">
        <v>8151</v>
      </c>
      <c r="Q309" s="33">
        <v>8151</v>
      </c>
      <c r="R309" s="33">
        <v>5220</v>
      </c>
      <c r="S309" s="33">
        <v>559</v>
      </c>
      <c r="T309" s="33">
        <v>521</v>
      </c>
      <c r="U309" s="33">
        <v>38</v>
      </c>
      <c r="V309" s="33">
        <v>0</v>
      </c>
      <c r="W309" s="33" t="s">
        <v>50</v>
      </c>
      <c r="X309" s="33">
        <v>1</v>
      </c>
      <c r="Y309" s="30" t="s">
        <v>67</v>
      </c>
      <c r="Z309" s="30" t="s">
        <v>186</v>
      </c>
      <c r="AA309" s="30" t="s">
        <v>186</v>
      </c>
      <c r="AB309" s="30"/>
      <c r="AC309" s="30"/>
      <c r="AD309" s="30" t="s">
        <v>50</v>
      </c>
      <c r="AE309" s="30" t="s">
        <v>50</v>
      </c>
      <c r="AF309" s="30" t="s">
        <v>50</v>
      </c>
      <c r="AG309" s="30" t="s">
        <v>50</v>
      </c>
      <c r="AH309" s="30" t="s">
        <v>50</v>
      </c>
      <c r="AI309" s="30" t="s">
        <v>1673</v>
      </c>
      <c r="AJ309" s="30" t="s">
        <v>50</v>
      </c>
      <c r="AK309" s="30" t="s">
        <v>50</v>
      </c>
      <c r="AL309" s="30" t="s">
        <v>50</v>
      </c>
      <c r="AM309" s="30" t="s">
        <v>50</v>
      </c>
      <c r="AN309" s="30" t="s">
        <v>50</v>
      </c>
      <c r="AO309" s="30" t="s">
        <v>50</v>
      </c>
      <c r="AP309" s="30" t="s">
        <v>50</v>
      </c>
      <c r="AQ309" s="30" t="s">
        <v>50</v>
      </c>
      <c r="AR309" s="30" t="s">
        <v>50</v>
      </c>
      <c r="AS309" s="30" t="s">
        <v>50</v>
      </c>
      <c r="AT309" s="30" t="s">
        <v>1682</v>
      </c>
      <c r="AU309" s="30" t="s">
        <v>50</v>
      </c>
      <c r="AV309" s="34">
        <v>167471324183</v>
      </c>
    </row>
    <row r="310" spans="2:48" ht="15" customHeight="1">
      <c r="B310" s="28">
        <v>304</v>
      </c>
      <c r="C310" s="29" t="s">
        <v>2731</v>
      </c>
      <c r="D310" s="30" t="s">
        <v>50</v>
      </c>
      <c r="E310" s="31" t="s">
        <v>2732</v>
      </c>
      <c r="F310" s="31" t="s">
        <v>50</v>
      </c>
      <c r="G310" s="32" t="s">
        <v>2733</v>
      </c>
      <c r="H310" s="30" t="s">
        <v>62</v>
      </c>
      <c r="I310" s="30" t="s">
        <v>853</v>
      </c>
      <c r="J310" s="32" t="s">
        <v>854</v>
      </c>
      <c r="K310" s="30" t="s">
        <v>183</v>
      </c>
      <c r="L310" s="32" t="s">
        <v>185</v>
      </c>
      <c r="M310" s="30" t="s">
        <v>1697</v>
      </c>
      <c r="N310" s="30" t="s">
        <v>1672</v>
      </c>
      <c r="O310" s="33">
        <v>2</v>
      </c>
      <c r="P310" s="33">
        <v>3134</v>
      </c>
      <c r="Q310" s="33">
        <v>303</v>
      </c>
      <c r="R310" s="33">
        <v>0</v>
      </c>
      <c r="S310" s="33">
        <v>0</v>
      </c>
      <c r="T310" s="33">
        <v>0</v>
      </c>
      <c r="U310" s="33">
        <v>0</v>
      </c>
      <c r="V310" s="33">
        <v>0</v>
      </c>
      <c r="W310" s="33" t="s">
        <v>50</v>
      </c>
      <c r="X310" s="33">
        <v>1</v>
      </c>
      <c r="Y310" s="30" t="s">
        <v>64</v>
      </c>
      <c r="Z310" s="30" t="s">
        <v>186</v>
      </c>
      <c r="AA310" s="30" t="s">
        <v>222</v>
      </c>
      <c r="AB310" s="30" t="s">
        <v>1315</v>
      </c>
      <c r="AC310" s="30"/>
      <c r="AD310" s="30" t="s">
        <v>50</v>
      </c>
      <c r="AE310" s="30" t="s">
        <v>50</v>
      </c>
      <c r="AF310" s="30" t="s">
        <v>1741</v>
      </c>
      <c r="AG310" s="30" t="s">
        <v>50</v>
      </c>
      <c r="AH310" s="30" t="s">
        <v>50</v>
      </c>
      <c r="AI310" s="30" t="s">
        <v>1673</v>
      </c>
      <c r="AJ310" s="30" t="s">
        <v>187</v>
      </c>
      <c r="AK310" s="30" t="s">
        <v>189</v>
      </c>
      <c r="AL310" s="30" t="s">
        <v>189</v>
      </c>
      <c r="AM310" s="30" t="s">
        <v>50</v>
      </c>
      <c r="AN310" s="30" t="s">
        <v>1681</v>
      </c>
      <c r="AO310" s="30" t="s">
        <v>50</v>
      </c>
      <c r="AP310" s="30" t="s">
        <v>50</v>
      </c>
      <c r="AQ310" s="30" t="s">
        <v>50</v>
      </c>
      <c r="AR310" s="30" t="s">
        <v>50</v>
      </c>
      <c r="AS310" s="30" t="s">
        <v>50</v>
      </c>
      <c r="AT310" s="30" t="s">
        <v>1682</v>
      </c>
      <c r="AU310" s="30" t="s">
        <v>50</v>
      </c>
      <c r="AV310" s="34">
        <v>167460132730</v>
      </c>
    </row>
    <row r="311" spans="2:48" ht="15" customHeight="1">
      <c r="B311" s="28">
        <v>305</v>
      </c>
      <c r="C311" s="29" t="s">
        <v>2734</v>
      </c>
      <c r="D311" s="30" t="s">
        <v>312</v>
      </c>
      <c r="E311" s="31" t="s">
        <v>2735</v>
      </c>
      <c r="F311" s="31" t="s">
        <v>50</v>
      </c>
      <c r="G311" s="32" t="s">
        <v>2736</v>
      </c>
      <c r="H311" s="30" t="s">
        <v>108</v>
      </c>
      <c r="I311" s="30" t="s">
        <v>1149</v>
      </c>
      <c r="J311" s="32" t="s">
        <v>1150</v>
      </c>
      <c r="K311" s="30" t="s">
        <v>312</v>
      </c>
      <c r="L311" s="32" t="s">
        <v>313</v>
      </c>
      <c r="M311" s="30" t="s">
        <v>1671</v>
      </c>
      <c r="N311" s="30" t="s">
        <v>1672</v>
      </c>
      <c r="O311" s="33"/>
      <c r="P311" s="33">
        <v>0</v>
      </c>
      <c r="Q311" s="33">
        <v>0</v>
      </c>
      <c r="R311" s="33" t="s">
        <v>158</v>
      </c>
      <c r="S311" s="33">
        <v>0</v>
      </c>
      <c r="T311" s="33" t="s">
        <v>158</v>
      </c>
      <c r="U311" s="33" t="s">
        <v>158</v>
      </c>
      <c r="V311" s="33" t="s">
        <v>158</v>
      </c>
      <c r="W311" s="33" t="s">
        <v>50</v>
      </c>
      <c r="X311" s="33">
        <v>1</v>
      </c>
      <c r="Y311" s="30" t="s">
        <v>75</v>
      </c>
      <c r="Z311" s="30" t="s">
        <v>192</v>
      </c>
      <c r="AA311" s="30" t="s">
        <v>192</v>
      </c>
      <c r="AB311" s="30"/>
      <c r="AC311" s="30"/>
      <c r="AD311" s="30" t="s">
        <v>50</v>
      </c>
      <c r="AE311" s="30" t="s">
        <v>50</v>
      </c>
      <c r="AF311" s="30" t="s">
        <v>50</v>
      </c>
      <c r="AG311" s="30" t="s">
        <v>50</v>
      </c>
      <c r="AH311" s="30" t="s">
        <v>50</v>
      </c>
      <c r="AI311" s="30" t="s">
        <v>1673</v>
      </c>
      <c r="AJ311" s="30" t="s">
        <v>187</v>
      </c>
      <c r="AK311" s="30" t="s">
        <v>50</v>
      </c>
      <c r="AL311" s="30" t="s">
        <v>50</v>
      </c>
      <c r="AM311" s="30" t="s">
        <v>50</v>
      </c>
      <c r="AN311" s="30" t="s">
        <v>1681</v>
      </c>
      <c r="AO311" s="30" t="s">
        <v>50</v>
      </c>
      <c r="AP311" s="30" t="s">
        <v>50</v>
      </c>
      <c r="AQ311" s="30" t="s">
        <v>50</v>
      </c>
      <c r="AR311" s="30" t="s">
        <v>50</v>
      </c>
      <c r="AS311" s="30" t="s">
        <v>50</v>
      </c>
      <c r="AT311" s="30" t="s">
        <v>299</v>
      </c>
      <c r="AU311" s="30" t="s">
        <v>50</v>
      </c>
      <c r="AV311" s="34">
        <v>167459532828</v>
      </c>
    </row>
    <row r="312" spans="2:48" ht="15" customHeight="1">
      <c r="B312" s="28">
        <v>306</v>
      </c>
      <c r="C312" s="29" t="s">
        <v>2737</v>
      </c>
      <c r="D312" s="30" t="s">
        <v>50</v>
      </c>
      <c r="E312" s="31" t="s">
        <v>2738</v>
      </c>
      <c r="F312" s="31" t="s">
        <v>50</v>
      </c>
      <c r="G312" s="32" t="s">
        <v>2739</v>
      </c>
      <c r="H312" s="30" t="s">
        <v>62</v>
      </c>
      <c r="I312" s="30" t="s">
        <v>1005</v>
      </c>
      <c r="J312" s="32" t="s">
        <v>1006</v>
      </c>
      <c r="K312" s="30" t="s">
        <v>560</v>
      </c>
      <c r="L312" s="32" t="s">
        <v>561</v>
      </c>
      <c r="M312" s="30" t="s">
        <v>1697</v>
      </c>
      <c r="N312" s="30" t="s">
        <v>1679</v>
      </c>
      <c r="O312" s="33">
        <v>3</v>
      </c>
      <c r="P312" s="33">
        <v>1599305</v>
      </c>
      <c r="Q312" s="33">
        <v>190</v>
      </c>
      <c r="R312" s="33">
        <v>0</v>
      </c>
      <c r="S312" s="33">
        <v>0</v>
      </c>
      <c r="T312" s="33">
        <v>0</v>
      </c>
      <c r="U312" s="33">
        <v>0</v>
      </c>
      <c r="V312" s="33">
        <v>0</v>
      </c>
      <c r="W312" s="33" t="s">
        <v>50</v>
      </c>
      <c r="X312" s="33">
        <v>1</v>
      </c>
      <c r="Y312" s="30" t="s">
        <v>64</v>
      </c>
      <c r="Z312" s="30" t="s">
        <v>186</v>
      </c>
      <c r="AA312" s="30" t="s">
        <v>222</v>
      </c>
      <c r="AB312" s="30" t="s">
        <v>1316</v>
      </c>
      <c r="AC312" s="30">
        <v>58</v>
      </c>
      <c r="AD312" s="30" t="s">
        <v>50</v>
      </c>
      <c r="AE312" s="30" t="s">
        <v>50</v>
      </c>
      <c r="AF312" s="30" t="s">
        <v>50</v>
      </c>
      <c r="AG312" s="30" t="s">
        <v>50</v>
      </c>
      <c r="AH312" s="30" t="s">
        <v>50</v>
      </c>
      <c r="AI312" s="30" t="s">
        <v>1673</v>
      </c>
      <c r="AJ312" s="30" t="s">
        <v>187</v>
      </c>
      <c r="AK312" s="30" t="s">
        <v>2110</v>
      </c>
      <c r="AL312" s="30" t="s">
        <v>563</v>
      </c>
      <c r="AM312" s="30" t="s">
        <v>50</v>
      </c>
      <c r="AN312" s="30" t="s">
        <v>1681</v>
      </c>
      <c r="AO312" s="30" t="s">
        <v>50</v>
      </c>
      <c r="AP312" s="30" t="s">
        <v>50</v>
      </c>
      <c r="AQ312" s="30" t="s">
        <v>50</v>
      </c>
      <c r="AR312" s="30" t="s">
        <v>50</v>
      </c>
      <c r="AS312" s="30" t="s">
        <v>50</v>
      </c>
      <c r="AT312" s="30" t="s">
        <v>299</v>
      </c>
      <c r="AU312" s="30" t="s">
        <v>50</v>
      </c>
      <c r="AV312" s="34">
        <v>167452462929</v>
      </c>
    </row>
    <row r="313" spans="2:48" ht="15" customHeight="1">
      <c r="B313" s="28">
        <v>307</v>
      </c>
      <c r="C313" s="29" t="s">
        <v>2740</v>
      </c>
      <c r="D313" s="30" t="s">
        <v>50</v>
      </c>
      <c r="E313" s="31" t="s">
        <v>2741</v>
      </c>
      <c r="F313" s="31" t="s">
        <v>50</v>
      </c>
      <c r="G313" s="32" t="s">
        <v>2742</v>
      </c>
      <c r="H313" s="30" t="s">
        <v>62</v>
      </c>
      <c r="I313" s="30" t="s">
        <v>1088</v>
      </c>
      <c r="J313" s="32" t="s">
        <v>1089</v>
      </c>
      <c r="K313" s="30" t="s">
        <v>212</v>
      </c>
      <c r="L313" s="32" t="s">
        <v>213</v>
      </c>
      <c r="M313" s="30" t="s">
        <v>1697</v>
      </c>
      <c r="N313" s="30" t="s">
        <v>1679</v>
      </c>
      <c r="O313" s="33">
        <v>2</v>
      </c>
      <c r="P313" s="33">
        <v>145545</v>
      </c>
      <c r="Q313" s="33">
        <v>83</v>
      </c>
      <c r="R313" s="33">
        <v>0</v>
      </c>
      <c r="S313" s="33">
        <v>0</v>
      </c>
      <c r="T313" s="33">
        <v>0</v>
      </c>
      <c r="U313" s="33">
        <v>0</v>
      </c>
      <c r="V313" s="33">
        <v>0</v>
      </c>
      <c r="W313" s="33" t="s">
        <v>50</v>
      </c>
      <c r="X313" s="33">
        <v>1</v>
      </c>
      <c r="Y313" s="30" t="s">
        <v>64</v>
      </c>
      <c r="Z313" s="30" t="s">
        <v>186</v>
      </c>
      <c r="AA313" s="30" t="s">
        <v>222</v>
      </c>
      <c r="AB313" s="30" t="s">
        <v>1316</v>
      </c>
      <c r="AC313" s="30">
        <v>56</v>
      </c>
      <c r="AD313" s="30" t="s">
        <v>50</v>
      </c>
      <c r="AE313" s="30" t="s">
        <v>50</v>
      </c>
      <c r="AF313" s="30" t="s">
        <v>2203</v>
      </c>
      <c r="AG313" s="30" t="s">
        <v>50</v>
      </c>
      <c r="AH313" s="30" t="s">
        <v>50</v>
      </c>
      <c r="AI313" s="30" t="s">
        <v>1673</v>
      </c>
      <c r="AJ313" s="30" t="s">
        <v>187</v>
      </c>
      <c r="AK313" s="30" t="s">
        <v>50</v>
      </c>
      <c r="AL313" s="30" t="s">
        <v>50</v>
      </c>
      <c r="AM313" s="30" t="s">
        <v>39</v>
      </c>
      <c r="AN313" s="30" t="s">
        <v>1681</v>
      </c>
      <c r="AO313" s="30" t="s">
        <v>50</v>
      </c>
      <c r="AP313" s="30" t="s">
        <v>50</v>
      </c>
      <c r="AQ313" s="30" t="s">
        <v>50</v>
      </c>
      <c r="AR313" s="30" t="s">
        <v>50</v>
      </c>
      <c r="AS313" s="30" t="s">
        <v>50</v>
      </c>
      <c r="AT313" s="30" t="s">
        <v>299</v>
      </c>
      <c r="AU313" s="30" t="s">
        <v>50</v>
      </c>
      <c r="AV313" s="34">
        <v>167450687367</v>
      </c>
    </row>
    <row r="314" spans="2:48" ht="15" customHeight="1">
      <c r="B314" s="28">
        <v>308</v>
      </c>
      <c r="C314" s="29" t="s">
        <v>2743</v>
      </c>
      <c r="D314" s="30" t="s">
        <v>50</v>
      </c>
      <c r="E314" s="31" t="s">
        <v>2744</v>
      </c>
      <c r="F314" s="31" t="s">
        <v>50</v>
      </c>
      <c r="G314" s="32" t="s">
        <v>2745</v>
      </c>
      <c r="H314" s="30" t="s">
        <v>78</v>
      </c>
      <c r="I314" s="30" t="s">
        <v>1153</v>
      </c>
      <c r="J314" s="32" t="s">
        <v>1154</v>
      </c>
      <c r="K314" s="30" t="s">
        <v>364</v>
      </c>
      <c r="L314" s="32" t="s">
        <v>365</v>
      </c>
      <c r="M314" s="30" t="s">
        <v>1697</v>
      </c>
      <c r="N314" s="30" t="s">
        <v>1672</v>
      </c>
      <c r="O314" s="33">
        <v>9</v>
      </c>
      <c r="P314" s="33">
        <v>1220000</v>
      </c>
      <c r="Q314" s="33">
        <v>4</v>
      </c>
      <c r="R314" s="33">
        <v>0</v>
      </c>
      <c r="S314" s="33">
        <v>7</v>
      </c>
      <c r="T314" s="33">
        <v>6</v>
      </c>
      <c r="U314" s="33">
        <v>1</v>
      </c>
      <c r="V314" s="33">
        <v>0</v>
      </c>
      <c r="W314" s="33" t="s">
        <v>50</v>
      </c>
      <c r="X314" s="33">
        <v>1</v>
      </c>
      <c r="Y314" s="30" t="s">
        <v>70</v>
      </c>
      <c r="Z314" s="30" t="s">
        <v>192</v>
      </c>
      <c r="AA314" s="30" t="s">
        <v>192</v>
      </c>
      <c r="AB314" s="30" t="s">
        <v>1316</v>
      </c>
      <c r="AC314" s="30"/>
      <c r="AD314" s="30" t="s">
        <v>50</v>
      </c>
      <c r="AE314" s="30" t="s">
        <v>50</v>
      </c>
      <c r="AF314" s="30" t="s">
        <v>50</v>
      </c>
      <c r="AG314" s="30" t="s">
        <v>50</v>
      </c>
      <c r="AH314" s="30" t="s">
        <v>50</v>
      </c>
      <c r="AI314" s="30" t="s">
        <v>1673</v>
      </c>
      <c r="AJ314" s="30" t="s">
        <v>392</v>
      </c>
      <c r="AK314" s="30" t="s">
        <v>50</v>
      </c>
      <c r="AL314" s="30" t="s">
        <v>50</v>
      </c>
      <c r="AM314" s="30" t="s">
        <v>50</v>
      </c>
      <c r="AN314" s="30" t="s">
        <v>1681</v>
      </c>
      <c r="AO314" s="30" t="s">
        <v>50</v>
      </c>
      <c r="AP314" s="30" t="s">
        <v>50</v>
      </c>
      <c r="AQ314" s="30" t="s">
        <v>50</v>
      </c>
      <c r="AR314" s="30" t="s">
        <v>50</v>
      </c>
      <c r="AS314" s="30" t="s">
        <v>50</v>
      </c>
      <c r="AT314" s="30" t="s">
        <v>1682</v>
      </c>
      <c r="AU314" s="30" t="s">
        <v>50</v>
      </c>
      <c r="AV314" s="34">
        <v>167427701523</v>
      </c>
    </row>
    <row r="315" spans="2:48" ht="15" customHeight="1">
      <c r="B315" s="28">
        <v>309</v>
      </c>
      <c r="C315" s="29" t="s">
        <v>2746</v>
      </c>
      <c r="D315" s="30" t="s">
        <v>50</v>
      </c>
      <c r="E315" s="31" t="s">
        <v>2747</v>
      </c>
      <c r="F315" s="31" t="s">
        <v>50</v>
      </c>
      <c r="G315" s="32" t="s">
        <v>2748</v>
      </c>
      <c r="H315" s="30" t="s">
        <v>62</v>
      </c>
      <c r="I315" s="30" t="s">
        <v>856</v>
      </c>
      <c r="J315" s="32" t="s">
        <v>857</v>
      </c>
      <c r="K315" s="30" t="s">
        <v>212</v>
      </c>
      <c r="L315" s="32" t="s">
        <v>213</v>
      </c>
      <c r="M315" s="30" t="s">
        <v>1697</v>
      </c>
      <c r="N315" s="30" t="s">
        <v>1672</v>
      </c>
      <c r="O315" s="33">
        <v>2</v>
      </c>
      <c r="P315" s="33">
        <v>145545</v>
      </c>
      <c r="Q315" s="33">
        <v>0</v>
      </c>
      <c r="R315" s="33">
        <v>0</v>
      </c>
      <c r="S315" s="33">
        <v>0</v>
      </c>
      <c r="T315" s="33">
        <v>0</v>
      </c>
      <c r="U315" s="33">
        <v>0</v>
      </c>
      <c r="V315" s="33">
        <v>0</v>
      </c>
      <c r="W315" s="33" t="s">
        <v>50</v>
      </c>
      <c r="X315" s="33">
        <v>1</v>
      </c>
      <c r="Y315" s="30" t="s">
        <v>64</v>
      </c>
      <c r="Z315" s="30" t="s">
        <v>186</v>
      </c>
      <c r="AA315" s="30" t="s">
        <v>222</v>
      </c>
      <c r="AB315" s="30" t="s">
        <v>1316</v>
      </c>
      <c r="AC315" s="30">
        <v>36</v>
      </c>
      <c r="AD315" s="30" t="s">
        <v>50</v>
      </c>
      <c r="AE315" s="30" t="s">
        <v>50</v>
      </c>
      <c r="AF315" s="30" t="s">
        <v>50</v>
      </c>
      <c r="AG315" s="30" t="s">
        <v>50</v>
      </c>
      <c r="AH315" s="30" t="s">
        <v>50</v>
      </c>
      <c r="AI315" s="30" t="s">
        <v>1673</v>
      </c>
      <c r="AJ315" s="30" t="s">
        <v>187</v>
      </c>
      <c r="AK315" s="30" t="s">
        <v>50</v>
      </c>
      <c r="AL315" s="30" t="s">
        <v>50</v>
      </c>
      <c r="AM315" s="30" t="s">
        <v>50</v>
      </c>
      <c r="AN315" s="30" t="s">
        <v>1681</v>
      </c>
      <c r="AO315" s="30" t="s">
        <v>50</v>
      </c>
      <c r="AP315" s="30" t="s">
        <v>50</v>
      </c>
      <c r="AQ315" s="30" t="s">
        <v>50</v>
      </c>
      <c r="AR315" s="30" t="s">
        <v>50</v>
      </c>
      <c r="AS315" s="30" t="s">
        <v>50</v>
      </c>
      <c r="AT315" s="30" t="s">
        <v>2749</v>
      </c>
      <c r="AU315" s="30" t="s">
        <v>50</v>
      </c>
      <c r="AV315" s="34">
        <v>167422248630</v>
      </c>
    </row>
    <row r="316" spans="2:48" ht="15" customHeight="1">
      <c r="B316" s="28">
        <v>310</v>
      </c>
      <c r="C316" s="29" t="s">
        <v>2750</v>
      </c>
      <c r="D316" s="30" t="s">
        <v>50</v>
      </c>
      <c r="E316" s="31" t="s">
        <v>2751</v>
      </c>
      <c r="F316" s="31" t="s">
        <v>50</v>
      </c>
      <c r="G316" s="32" t="s">
        <v>2752</v>
      </c>
      <c r="H316" s="30" t="s">
        <v>62</v>
      </c>
      <c r="I316" s="30" t="s">
        <v>850</v>
      </c>
      <c r="J316" s="32" t="s">
        <v>851</v>
      </c>
      <c r="K316" s="30" t="s">
        <v>476</v>
      </c>
      <c r="L316" s="32" t="s">
        <v>477</v>
      </c>
      <c r="M316" s="30" t="s">
        <v>1697</v>
      </c>
      <c r="N316" s="30" t="s">
        <v>1672</v>
      </c>
      <c r="O316" s="33">
        <v>1</v>
      </c>
      <c r="P316" s="33">
        <v>1778</v>
      </c>
      <c r="Q316" s="33">
        <v>0</v>
      </c>
      <c r="R316" s="33">
        <v>0</v>
      </c>
      <c r="S316" s="33">
        <v>0</v>
      </c>
      <c r="T316" s="33">
        <v>0</v>
      </c>
      <c r="U316" s="33">
        <v>0</v>
      </c>
      <c r="V316" s="33">
        <v>0</v>
      </c>
      <c r="W316" s="33" t="s">
        <v>50</v>
      </c>
      <c r="X316" s="33">
        <v>1</v>
      </c>
      <c r="Y316" s="30" t="s">
        <v>64</v>
      </c>
      <c r="Z316" s="30" t="s">
        <v>186</v>
      </c>
      <c r="AA316" s="30" t="s">
        <v>222</v>
      </c>
      <c r="AB316" s="30" t="s">
        <v>1316</v>
      </c>
      <c r="AC316" s="30">
        <v>39</v>
      </c>
      <c r="AD316" s="30" t="s">
        <v>50</v>
      </c>
      <c r="AE316" s="30" t="s">
        <v>50</v>
      </c>
      <c r="AF316" s="30" t="s">
        <v>50</v>
      </c>
      <c r="AG316" s="30" t="s">
        <v>50</v>
      </c>
      <c r="AH316" s="30" t="s">
        <v>50</v>
      </c>
      <c r="AI316" s="30" t="s">
        <v>1673</v>
      </c>
      <c r="AJ316" s="30" t="s">
        <v>187</v>
      </c>
      <c r="AK316" s="30" t="s">
        <v>2753</v>
      </c>
      <c r="AL316" s="30" t="s">
        <v>479</v>
      </c>
      <c r="AM316" s="30" t="s">
        <v>50</v>
      </c>
      <c r="AN316" s="30" t="s">
        <v>1681</v>
      </c>
      <c r="AO316" s="30" t="s">
        <v>50</v>
      </c>
      <c r="AP316" s="30" t="s">
        <v>50</v>
      </c>
      <c r="AQ316" s="30" t="s">
        <v>50</v>
      </c>
      <c r="AR316" s="30" t="s">
        <v>50</v>
      </c>
      <c r="AS316" s="30" t="s">
        <v>50</v>
      </c>
      <c r="AT316" s="30" t="s">
        <v>299</v>
      </c>
      <c r="AU316" s="30" t="s">
        <v>50</v>
      </c>
      <c r="AV316" s="34">
        <v>167421273535</v>
      </c>
    </row>
    <row r="317" spans="2:48" ht="15" customHeight="1">
      <c r="B317" s="28">
        <v>311</v>
      </c>
      <c r="C317" s="29" t="s">
        <v>2754</v>
      </c>
      <c r="D317" s="30" t="s">
        <v>50</v>
      </c>
      <c r="E317" s="31" t="s">
        <v>2755</v>
      </c>
      <c r="F317" s="31" t="s">
        <v>50</v>
      </c>
      <c r="G317" s="32" t="s">
        <v>2756</v>
      </c>
      <c r="H317" s="30" t="s">
        <v>62</v>
      </c>
      <c r="I317" s="30" t="s">
        <v>850</v>
      </c>
      <c r="J317" s="32" t="s">
        <v>851</v>
      </c>
      <c r="K317" s="30" t="s">
        <v>667</v>
      </c>
      <c r="L317" s="32" t="s">
        <v>668</v>
      </c>
      <c r="M317" s="30" t="s">
        <v>1697</v>
      </c>
      <c r="N317" s="30" t="s">
        <v>1679</v>
      </c>
      <c r="O317" s="33">
        <v>1</v>
      </c>
      <c r="P317" s="33">
        <v>45156</v>
      </c>
      <c r="Q317" s="33">
        <v>0</v>
      </c>
      <c r="R317" s="33">
        <v>0</v>
      </c>
      <c r="S317" s="33">
        <v>0</v>
      </c>
      <c r="T317" s="33">
        <v>0</v>
      </c>
      <c r="U317" s="33">
        <v>0</v>
      </c>
      <c r="V317" s="33">
        <v>0</v>
      </c>
      <c r="W317" s="33" t="s">
        <v>50</v>
      </c>
      <c r="X317" s="33">
        <v>1</v>
      </c>
      <c r="Y317" s="30" t="s">
        <v>64</v>
      </c>
      <c r="Z317" s="30" t="s">
        <v>186</v>
      </c>
      <c r="AA317" s="30" t="s">
        <v>222</v>
      </c>
      <c r="AB317" s="30" t="s">
        <v>1316</v>
      </c>
      <c r="AC317" s="30">
        <v>39</v>
      </c>
      <c r="AD317" s="30" t="s">
        <v>50</v>
      </c>
      <c r="AE317" s="30" t="s">
        <v>50</v>
      </c>
      <c r="AF317" s="30" t="s">
        <v>50</v>
      </c>
      <c r="AG317" s="30" t="s">
        <v>50</v>
      </c>
      <c r="AH317" s="30" t="s">
        <v>50</v>
      </c>
      <c r="AI317" s="30" t="s">
        <v>1673</v>
      </c>
      <c r="AJ317" s="30" t="s">
        <v>187</v>
      </c>
      <c r="AK317" s="30" t="s">
        <v>2757</v>
      </c>
      <c r="AL317" s="30" t="s">
        <v>667</v>
      </c>
      <c r="AM317" s="30" t="s">
        <v>50</v>
      </c>
      <c r="AN317" s="30" t="s">
        <v>1681</v>
      </c>
      <c r="AO317" s="30" t="s">
        <v>50</v>
      </c>
      <c r="AP317" s="30" t="s">
        <v>50</v>
      </c>
      <c r="AQ317" s="30" t="s">
        <v>50</v>
      </c>
      <c r="AR317" s="30" t="s">
        <v>50</v>
      </c>
      <c r="AS317" s="30" t="s">
        <v>50</v>
      </c>
      <c r="AT317" s="30" t="s">
        <v>299</v>
      </c>
      <c r="AU317" s="30" t="s">
        <v>50</v>
      </c>
      <c r="AV317" s="34">
        <v>167420765077</v>
      </c>
    </row>
    <row r="318" spans="2:48" ht="15" customHeight="1">
      <c r="B318" s="28">
        <v>312</v>
      </c>
      <c r="C318" s="29" t="s">
        <v>2758</v>
      </c>
      <c r="D318" s="30" t="s">
        <v>50</v>
      </c>
      <c r="E318" s="31" t="s">
        <v>2759</v>
      </c>
      <c r="F318" s="31" t="s">
        <v>50</v>
      </c>
      <c r="G318" s="32" t="s">
        <v>2760</v>
      </c>
      <c r="H318" s="30" t="s">
        <v>62</v>
      </c>
      <c r="I318" s="30" t="s">
        <v>877</v>
      </c>
      <c r="J318" s="32" t="s">
        <v>878</v>
      </c>
      <c r="K318" s="30" t="s">
        <v>271</v>
      </c>
      <c r="L318" s="32" t="s">
        <v>272</v>
      </c>
      <c r="M318" s="30" t="s">
        <v>1697</v>
      </c>
      <c r="N318" s="30" t="s">
        <v>1672</v>
      </c>
      <c r="O318" s="33">
        <v>1</v>
      </c>
      <c r="P318" s="33">
        <v>24588</v>
      </c>
      <c r="Q318" s="33">
        <v>46</v>
      </c>
      <c r="R318" s="33">
        <v>0</v>
      </c>
      <c r="S318" s="33">
        <v>0</v>
      </c>
      <c r="T318" s="33">
        <v>0</v>
      </c>
      <c r="U318" s="33">
        <v>0</v>
      </c>
      <c r="V318" s="33">
        <v>0</v>
      </c>
      <c r="W318" s="33" t="s">
        <v>50</v>
      </c>
      <c r="X318" s="33">
        <v>1</v>
      </c>
      <c r="Y318" s="30" t="s">
        <v>64</v>
      </c>
      <c r="Z318" s="30" t="s">
        <v>186</v>
      </c>
      <c r="AA318" s="30" t="s">
        <v>222</v>
      </c>
      <c r="AB318" s="30" t="s">
        <v>1316</v>
      </c>
      <c r="AC318" s="30"/>
      <c r="AD318" s="30" t="s">
        <v>50</v>
      </c>
      <c r="AE318" s="30" t="s">
        <v>50</v>
      </c>
      <c r="AF318" s="30" t="s">
        <v>50</v>
      </c>
      <c r="AG318" s="30" t="s">
        <v>50</v>
      </c>
      <c r="AH318" s="30" t="s">
        <v>50</v>
      </c>
      <c r="AI318" s="30" t="s">
        <v>1673</v>
      </c>
      <c r="AJ318" s="30" t="s">
        <v>187</v>
      </c>
      <c r="AK318" s="30" t="s">
        <v>2761</v>
      </c>
      <c r="AL318" s="30" t="s">
        <v>274</v>
      </c>
      <c r="AM318" s="30" t="s">
        <v>50</v>
      </c>
      <c r="AN318" s="30" t="s">
        <v>1681</v>
      </c>
      <c r="AO318" s="30" t="s">
        <v>50</v>
      </c>
      <c r="AP318" s="30" t="s">
        <v>50</v>
      </c>
      <c r="AQ318" s="30" t="s">
        <v>50</v>
      </c>
      <c r="AR318" s="30" t="s">
        <v>50</v>
      </c>
      <c r="AS318" s="30" t="s">
        <v>50</v>
      </c>
      <c r="AT318" s="30" t="s">
        <v>1682</v>
      </c>
      <c r="AU318" s="30" t="s">
        <v>50</v>
      </c>
      <c r="AV318" s="34">
        <v>167412206742</v>
      </c>
    </row>
    <row r="319" spans="2:48" ht="15" customHeight="1">
      <c r="B319" s="28">
        <v>313</v>
      </c>
      <c r="C319" s="29" t="s">
        <v>2762</v>
      </c>
      <c r="D319" s="30" t="s">
        <v>50</v>
      </c>
      <c r="E319" s="31" t="s">
        <v>2763</v>
      </c>
      <c r="F319" s="31" t="s">
        <v>50</v>
      </c>
      <c r="G319" s="32" t="s">
        <v>2764</v>
      </c>
      <c r="H319" s="30" t="s">
        <v>62</v>
      </c>
      <c r="I319" s="30" t="s">
        <v>877</v>
      </c>
      <c r="J319" s="32" t="s">
        <v>878</v>
      </c>
      <c r="K319" s="30" t="s">
        <v>271</v>
      </c>
      <c r="L319" s="32" t="s">
        <v>272</v>
      </c>
      <c r="M319" s="30" t="s">
        <v>1697</v>
      </c>
      <c r="N319" s="30" t="s">
        <v>1791</v>
      </c>
      <c r="O319" s="33">
        <v>1</v>
      </c>
      <c r="P319" s="33">
        <v>24588</v>
      </c>
      <c r="Q319" s="33">
        <v>47</v>
      </c>
      <c r="R319" s="33">
        <v>0</v>
      </c>
      <c r="S319" s="33">
        <v>0</v>
      </c>
      <c r="T319" s="33">
        <v>0</v>
      </c>
      <c r="U319" s="33">
        <v>0</v>
      </c>
      <c r="V319" s="33">
        <v>0</v>
      </c>
      <c r="W319" s="33" t="s">
        <v>50</v>
      </c>
      <c r="X319" s="33">
        <v>1</v>
      </c>
      <c r="Y319" s="30" t="s">
        <v>64</v>
      </c>
      <c r="Z319" s="30" t="s">
        <v>186</v>
      </c>
      <c r="AA319" s="30" t="s">
        <v>222</v>
      </c>
      <c r="AB319" s="30" t="s">
        <v>1316</v>
      </c>
      <c r="AC319" s="30"/>
      <c r="AD319" s="30" t="s">
        <v>50</v>
      </c>
      <c r="AE319" s="30" t="s">
        <v>50</v>
      </c>
      <c r="AF319" s="30" t="s">
        <v>50</v>
      </c>
      <c r="AG319" s="30" t="s">
        <v>50</v>
      </c>
      <c r="AH319" s="30" t="s">
        <v>50</v>
      </c>
      <c r="AI319" s="30" t="s">
        <v>1673</v>
      </c>
      <c r="AJ319" s="30" t="s">
        <v>187</v>
      </c>
      <c r="AK319" s="30" t="s">
        <v>2761</v>
      </c>
      <c r="AL319" s="30" t="s">
        <v>274</v>
      </c>
      <c r="AM319" s="30" t="s">
        <v>50</v>
      </c>
      <c r="AN319" s="30" t="s">
        <v>1681</v>
      </c>
      <c r="AO319" s="30" t="s">
        <v>50</v>
      </c>
      <c r="AP319" s="30" t="s">
        <v>50</v>
      </c>
      <c r="AQ319" s="30" t="s">
        <v>50</v>
      </c>
      <c r="AR319" s="30" t="s">
        <v>50</v>
      </c>
      <c r="AS319" s="30" t="s">
        <v>50</v>
      </c>
      <c r="AT319" s="30" t="s">
        <v>1682</v>
      </c>
      <c r="AU319" s="30" t="s">
        <v>50</v>
      </c>
      <c r="AV319" s="34">
        <v>167412183391</v>
      </c>
    </row>
    <row r="320" spans="2:48" ht="15" customHeight="1">
      <c r="B320" s="28">
        <v>314</v>
      </c>
      <c r="C320" s="29" t="s">
        <v>2765</v>
      </c>
      <c r="D320" s="30" t="s">
        <v>50</v>
      </c>
      <c r="E320" s="31" t="s">
        <v>2766</v>
      </c>
      <c r="F320" s="31" t="s">
        <v>50</v>
      </c>
      <c r="G320" s="32" t="s">
        <v>2767</v>
      </c>
      <c r="H320" s="30" t="s">
        <v>65</v>
      </c>
      <c r="I320" s="30" t="s">
        <v>1040</v>
      </c>
      <c r="J320" s="32" t="s">
        <v>2768</v>
      </c>
      <c r="K320" s="30" t="s">
        <v>679</v>
      </c>
      <c r="L320" s="32" t="s">
        <v>2769</v>
      </c>
      <c r="M320" s="30" t="s">
        <v>1697</v>
      </c>
      <c r="N320" s="30" t="s">
        <v>1679</v>
      </c>
      <c r="O320" s="33"/>
      <c r="P320" s="33">
        <v>2073</v>
      </c>
      <c r="Q320" s="33">
        <v>0</v>
      </c>
      <c r="R320" s="33">
        <v>0</v>
      </c>
      <c r="S320" s="33">
        <v>0</v>
      </c>
      <c r="T320" s="33">
        <v>0</v>
      </c>
      <c r="U320" s="33">
        <v>0</v>
      </c>
      <c r="V320" s="33">
        <v>0</v>
      </c>
      <c r="W320" s="33" t="s">
        <v>50</v>
      </c>
      <c r="X320" s="33">
        <v>1</v>
      </c>
      <c r="Y320" s="30" t="s">
        <v>67</v>
      </c>
      <c r="Z320" s="30" t="s">
        <v>186</v>
      </c>
      <c r="AA320" s="30" t="s">
        <v>222</v>
      </c>
      <c r="AB320" s="30"/>
      <c r="AC320" s="30"/>
      <c r="AD320" s="30" t="s">
        <v>50</v>
      </c>
      <c r="AE320" s="30" t="s">
        <v>50</v>
      </c>
      <c r="AF320" s="30" t="s">
        <v>2203</v>
      </c>
      <c r="AG320" s="30" t="s">
        <v>50</v>
      </c>
      <c r="AH320" s="30" t="s">
        <v>50</v>
      </c>
      <c r="AI320" s="30" t="s">
        <v>1673</v>
      </c>
      <c r="AJ320" s="30" t="s">
        <v>50</v>
      </c>
      <c r="AK320" s="30" t="s">
        <v>50</v>
      </c>
      <c r="AL320" s="30" t="s">
        <v>50</v>
      </c>
      <c r="AM320" s="30" t="s">
        <v>50</v>
      </c>
      <c r="AN320" s="30" t="s">
        <v>1681</v>
      </c>
      <c r="AO320" s="30" t="s">
        <v>50</v>
      </c>
      <c r="AP320" s="30" t="s">
        <v>50</v>
      </c>
      <c r="AQ320" s="30" t="s">
        <v>50</v>
      </c>
      <c r="AR320" s="30" t="s">
        <v>50</v>
      </c>
      <c r="AS320" s="30" t="s">
        <v>50</v>
      </c>
      <c r="AT320" s="30" t="s">
        <v>1682</v>
      </c>
      <c r="AU320" s="30" t="s">
        <v>50</v>
      </c>
      <c r="AV320" s="34">
        <v>167401768893</v>
      </c>
    </row>
    <row r="321" spans="2:48" ht="15" customHeight="1">
      <c r="B321" s="28">
        <v>315</v>
      </c>
      <c r="C321" s="29" t="s">
        <v>2770</v>
      </c>
      <c r="D321" s="30" t="s">
        <v>50</v>
      </c>
      <c r="E321" s="31" t="s">
        <v>2771</v>
      </c>
      <c r="F321" s="31" t="s">
        <v>2772</v>
      </c>
      <c r="G321" s="32" t="s">
        <v>2773</v>
      </c>
      <c r="H321" s="30" t="s">
        <v>62</v>
      </c>
      <c r="I321" s="30" t="s">
        <v>580</v>
      </c>
      <c r="J321" s="32" t="s">
        <v>778</v>
      </c>
      <c r="K321" s="30" t="s">
        <v>580</v>
      </c>
      <c r="L321" s="32" t="s">
        <v>778</v>
      </c>
      <c r="M321" s="30" t="s">
        <v>1671</v>
      </c>
      <c r="N321" s="30" t="s">
        <v>1672</v>
      </c>
      <c r="O321" s="33"/>
      <c r="P321" s="33">
        <v>10</v>
      </c>
      <c r="Q321" s="33">
        <v>10</v>
      </c>
      <c r="R321" s="33">
        <v>6</v>
      </c>
      <c r="S321" s="33">
        <v>0</v>
      </c>
      <c r="T321" s="33">
        <v>0</v>
      </c>
      <c r="U321" s="33">
        <v>0</v>
      </c>
      <c r="V321" s="33">
        <v>0</v>
      </c>
      <c r="W321" s="33" t="s">
        <v>50</v>
      </c>
      <c r="X321" s="33">
        <v>2</v>
      </c>
      <c r="Y321" s="30" t="s">
        <v>64</v>
      </c>
      <c r="Z321" s="30" t="s">
        <v>186</v>
      </c>
      <c r="AA321" s="30" t="s">
        <v>186</v>
      </c>
      <c r="AB321" s="30"/>
      <c r="AC321" s="30"/>
      <c r="AD321" s="30" t="s">
        <v>50</v>
      </c>
      <c r="AE321" s="30" t="s">
        <v>50</v>
      </c>
      <c r="AF321" s="30" t="s">
        <v>50</v>
      </c>
      <c r="AG321" s="30" t="s">
        <v>50</v>
      </c>
      <c r="AH321" s="30" t="s">
        <v>50</v>
      </c>
      <c r="AI321" s="30" t="s">
        <v>1673</v>
      </c>
      <c r="AJ321" s="30" t="s">
        <v>50</v>
      </c>
      <c r="AK321" s="30" t="s">
        <v>50</v>
      </c>
      <c r="AL321" s="30" t="s">
        <v>50</v>
      </c>
      <c r="AM321" s="30" t="s">
        <v>50</v>
      </c>
      <c r="AN321" s="30" t="s">
        <v>50</v>
      </c>
      <c r="AO321" s="30" t="s">
        <v>50</v>
      </c>
      <c r="AP321" s="30" t="s">
        <v>50</v>
      </c>
      <c r="AQ321" s="30" t="s">
        <v>50</v>
      </c>
      <c r="AR321" s="30" t="s">
        <v>50</v>
      </c>
      <c r="AS321" s="30" t="s">
        <v>50</v>
      </c>
      <c r="AT321" s="30" t="s">
        <v>299</v>
      </c>
      <c r="AU321" s="30" t="s">
        <v>50</v>
      </c>
      <c r="AV321" s="34">
        <v>167384197185</v>
      </c>
    </row>
    <row r="322" spans="2:48" ht="15" customHeight="1">
      <c r="B322" s="28">
        <v>316</v>
      </c>
      <c r="C322" s="29" t="s">
        <v>2774</v>
      </c>
      <c r="D322" s="30" t="s">
        <v>2775</v>
      </c>
      <c r="E322" s="31" t="s">
        <v>2776</v>
      </c>
      <c r="F322" s="31" t="s">
        <v>2777</v>
      </c>
      <c r="G322" s="32" t="s">
        <v>2778</v>
      </c>
      <c r="H322" s="30" t="s">
        <v>76</v>
      </c>
      <c r="I322" s="30" t="s">
        <v>580</v>
      </c>
      <c r="J322" s="32" t="s">
        <v>581</v>
      </c>
      <c r="K322" s="30" t="s">
        <v>580</v>
      </c>
      <c r="L322" s="32" t="s">
        <v>581</v>
      </c>
      <c r="M322" s="30" t="s">
        <v>1671</v>
      </c>
      <c r="N322" s="30" t="s">
        <v>1672</v>
      </c>
      <c r="O322" s="33"/>
      <c r="P322" s="33">
        <v>318</v>
      </c>
      <c r="Q322" s="33">
        <v>318</v>
      </c>
      <c r="R322" s="33">
        <v>0</v>
      </c>
      <c r="S322" s="33">
        <v>0</v>
      </c>
      <c r="T322" s="33">
        <v>0</v>
      </c>
      <c r="U322" s="33">
        <v>0</v>
      </c>
      <c r="V322" s="33">
        <v>0</v>
      </c>
      <c r="W322" s="33" t="s">
        <v>50</v>
      </c>
      <c r="X322" s="33">
        <v>1</v>
      </c>
      <c r="Y322" s="30" t="s">
        <v>64</v>
      </c>
      <c r="Z322" s="30" t="s">
        <v>186</v>
      </c>
      <c r="AA322" s="30" t="s">
        <v>186</v>
      </c>
      <c r="AB322" s="30"/>
      <c r="AC322" s="30"/>
      <c r="AD322" s="30" t="s">
        <v>50</v>
      </c>
      <c r="AE322" s="30" t="s">
        <v>50</v>
      </c>
      <c r="AF322" s="30" t="s">
        <v>50</v>
      </c>
      <c r="AG322" s="30" t="s">
        <v>50</v>
      </c>
      <c r="AH322" s="30" t="s">
        <v>50</v>
      </c>
      <c r="AI322" s="30" t="s">
        <v>1673</v>
      </c>
      <c r="AJ322" s="30" t="s">
        <v>187</v>
      </c>
      <c r="AK322" s="30" t="s">
        <v>201</v>
      </c>
      <c r="AL322" s="30" t="s">
        <v>201</v>
      </c>
      <c r="AM322" s="30" t="s">
        <v>50</v>
      </c>
      <c r="AN322" s="30" t="s">
        <v>50</v>
      </c>
      <c r="AO322" s="30" t="s">
        <v>50</v>
      </c>
      <c r="AP322" s="30" t="s">
        <v>50</v>
      </c>
      <c r="AQ322" s="30" t="s">
        <v>50</v>
      </c>
      <c r="AR322" s="30" t="s">
        <v>50</v>
      </c>
      <c r="AS322" s="30" t="s">
        <v>50</v>
      </c>
      <c r="AT322" s="30" t="s">
        <v>299</v>
      </c>
      <c r="AU322" s="30" t="s">
        <v>50</v>
      </c>
      <c r="AV322" s="34">
        <v>167384189143</v>
      </c>
    </row>
    <row r="323" spans="2:48" ht="15" customHeight="1">
      <c r="B323" s="28">
        <v>317</v>
      </c>
      <c r="C323" s="29" t="s">
        <v>2779</v>
      </c>
      <c r="D323" s="30" t="s">
        <v>2780</v>
      </c>
      <c r="E323" s="31" t="s">
        <v>1676</v>
      </c>
      <c r="F323" s="31" t="s">
        <v>50</v>
      </c>
      <c r="G323" s="32" t="s">
        <v>2781</v>
      </c>
      <c r="H323" s="30" t="s">
        <v>102</v>
      </c>
      <c r="I323" s="30" t="s">
        <v>1197</v>
      </c>
      <c r="J323" s="32" t="s">
        <v>1198</v>
      </c>
      <c r="K323" s="30" t="s">
        <v>706</v>
      </c>
      <c r="L323" s="32" t="s">
        <v>707</v>
      </c>
      <c r="M323" s="30" t="s">
        <v>1678</v>
      </c>
      <c r="N323" s="30" t="s">
        <v>1679</v>
      </c>
      <c r="O323" s="33"/>
      <c r="P323" s="33">
        <v>0</v>
      </c>
      <c r="Q323" s="33">
        <v>0</v>
      </c>
      <c r="R323" s="33">
        <v>0</v>
      </c>
      <c r="S323" s="33">
        <v>0</v>
      </c>
      <c r="T323" s="33">
        <v>0</v>
      </c>
      <c r="U323" s="33">
        <v>0</v>
      </c>
      <c r="V323" s="33">
        <v>0</v>
      </c>
      <c r="W323" s="33" t="s">
        <v>1680</v>
      </c>
      <c r="X323" s="33">
        <v>1</v>
      </c>
      <c r="Y323" s="30" t="s">
        <v>56</v>
      </c>
      <c r="Z323" s="30" t="s">
        <v>192</v>
      </c>
      <c r="AA323" s="30" t="s">
        <v>192</v>
      </c>
      <c r="AB323" s="30" t="s">
        <v>1315</v>
      </c>
      <c r="AC323" s="30"/>
      <c r="AD323" s="30" t="s">
        <v>50</v>
      </c>
      <c r="AE323" s="30" t="s">
        <v>50</v>
      </c>
      <c r="AF323" s="30" t="s">
        <v>50</v>
      </c>
      <c r="AG323" s="30" t="s">
        <v>50</v>
      </c>
      <c r="AH323" s="30" t="s">
        <v>50</v>
      </c>
      <c r="AI323" s="30" t="s">
        <v>1673</v>
      </c>
      <c r="AJ323" s="30" t="s">
        <v>187</v>
      </c>
      <c r="AK323" s="30" t="s">
        <v>50</v>
      </c>
      <c r="AL323" s="30" t="s">
        <v>50</v>
      </c>
      <c r="AM323" s="30" t="s">
        <v>50</v>
      </c>
      <c r="AN323" s="30" t="s">
        <v>1681</v>
      </c>
      <c r="AO323" s="30" t="s">
        <v>50</v>
      </c>
      <c r="AP323" s="30" t="s">
        <v>50</v>
      </c>
      <c r="AQ323" s="30" t="s">
        <v>50</v>
      </c>
      <c r="AR323" s="30" t="s">
        <v>50</v>
      </c>
      <c r="AS323" s="30" t="s">
        <v>50</v>
      </c>
      <c r="AT323" s="30" t="s">
        <v>299</v>
      </c>
      <c r="AU323" s="30" t="s">
        <v>147</v>
      </c>
      <c r="AV323" s="34">
        <v>167572860561</v>
      </c>
    </row>
    <row r="324" spans="2:48" ht="15" customHeight="1">
      <c r="B324" s="28">
        <v>318</v>
      </c>
      <c r="C324" s="29" t="s">
        <v>2782</v>
      </c>
      <c r="D324" s="30" t="s">
        <v>50</v>
      </c>
      <c r="E324" s="31" t="s">
        <v>2783</v>
      </c>
      <c r="F324" s="31" t="s">
        <v>2784</v>
      </c>
      <c r="G324" s="32" t="s">
        <v>2785</v>
      </c>
      <c r="H324" s="30" t="s">
        <v>65</v>
      </c>
      <c r="I324" s="30" t="s">
        <v>580</v>
      </c>
      <c r="J324" s="32" t="s">
        <v>2786</v>
      </c>
      <c r="K324" s="30" t="s">
        <v>580</v>
      </c>
      <c r="L324" s="32" t="s">
        <v>2786</v>
      </c>
      <c r="M324" s="30" t="s">
        <v>1671</v>
      </c>
      <c r="N324" s="30" t="s">
        <v>1672</v>
      </c>
      <c r="O324" s="33"/>
      <c r="P324" s="33">
        <v>240</v>
      </c>
      <c r="Q324" s="33">
        <v>240</v>
      </c>
      <c r="R324" s="33">
        <v>17</v>
      </c>
      <c r="S324" s="33">
        <v>0</v>
      </c>
      <c r="T324" s="33">
        <v>0</v>
      </c>
      <c r="U324" s="33">
        <v>0</v>
      </c>
      <c r="V324" s="33">
        <v>0</v>
      </c>
      <c r="W324" s="33" t="s">
        <v>50</v>
      </c>
      <c r="X324" s="33">
        <v>2</v>
      </c>
      <c r="Y324" s="30" t="s">
        <v>67</v>
      </c>
      <c r="Z324" s="30" t="s">
        <v>186</v>
      </c>
      <c r="AA324" s="30" t="s">
        <v>186</v>
      </c>
      <c r="AB324" s="30"/>
      <c r="AC324" s="30"/>
      <c r="AD324" s="30" t="s">
        <v>50</v>
      </c>
      <c r="AE324" s="30" t="s">
        <v>50</v>
      </c>
      <c r="AF324" s="30" t="s">
        <v>50</v>
      </c>
      <c r="AG324" s="30" t="s">
        <v>50</v>
      </c>
      <c r="AH324" s="30" t="s">
        <v>50</v>
      </c>
      <c r="AI324" s="30" t="s">
        <v>1673</v>
      </c>
      <c r="AJ324" s="30" t="s">
        <v>50</v>
      </c>
      <c r="AK324" s="30" t="s">
        <v>50</v>
      </c>
      <c r="AL324" s="30" t="s">
        <v>50</v>
      </c>
      <c r="AM324" s="30" t="s">
        <v>50</v>
      </c>
      <c r="AN324" s="30" t="s">
        <v>50</v>
      </c>
      <c r="AO324" s="30" t="s">
        <v>50</v>
      </c>
      <c r="AP324" s="30" t="s">
        <v>50</v>
      </c>
      <c r="AQ324" s="30" t="s">
        <v>50</v>
      </c>
      <c r="AR324" s="30" t="s">
        <v>50</v>
      </c>
      <c r="AS324" s="30" t="s">
        <v>50</v>
      </c>
      <c r="AT324" s="30" t="s">
        <v>299</v>
      </c>
      <c r="AU324" s="30" t="s">
        <v>50</v>
      </c>
      <c r="AV324" s="34">
        <v>167376260122</v>
      </c>
    </row>
    <row r="325" spans="2:48" ht="15" customHeight="1">
      <c r="B325" s="28">
        <v>319</v>
      </c>
      <c r="C325" s="29" t="s">
        <v>2787</v>
      </c>
      <c r="D325" s="30" t="s">
        <v>312</v>
      </c>
      <c r="E325" s="31" t="s">
        <v>2788</v>
      </c>
      <c r="F325" s="31" t="s">
        <v>50</v>
      </c>
      <c r="G325" s="32" t="s">
        <v>2789</v>
      </c>
      <c r="H325" s="30" t="s">
        <v>108</v>
      </c>
      <c r="I325" s="30" t="s">
        <v>1267</v>
      </c>
      <c r="J325" s="32" t="s">
        <v>1268</v>
      </c>
      <c r="K325" s="30" t="s">
        <v>312</v>
      </c>
      <c r="L325" s="32" t="s">
        <v>313</v>
      </c>
      <c r="M325" s="30" t="s">
        <v>1671</v>
      </c>
      <c r="N325" s="30" t="s">
        <v>1672</v>
      </c>
      <c r="O325" s="33"/>
      <c r="P325" s="33">
        <v>0</v>
      </c>
      <c r="Q325" s="33">
        <v>0</v>
      </c>
      <c r="R325" s="33" t="s">
        <v>158</v>
      </c>
      <c r="S325" s="33">
        <v>0</v>
      </c>
      <c r="T325" s="33" t="s">
        <v>158</v>
      </c>
      <c r="U325" s="33" t="s">
        <v>158</v>
      </c>
      <c r="V325" s="33" t="s">
        <v>158</v>
      </c>
      <c r="W325" s="33" t="s">
        <v>50</v>
      </c>
      <c r="X325" s="33">
        <v>1</v>
      </c>
      <c r="Y325" s="30" t="s">
        <v>75</v>
      </c>
      <c r="Z325" s="30" t="s">
        <v>192</v>
      </c>
      <c r="AA325" s="30" t="s">
        <v>192</v>
      </c>
      <c r="AB325" s="30"/>
      <c r="AC325" s="30"/>
      <c r="AD325" s="30" t="s">
        <v>50</v>
      </c>
      <c r="AE325" s="30" t="s">
        <v>50</v>
      </c>
      <c r="AF325" s="30" t="s">
        <v>50</v>
      </c>
      <c r="AG325" s="30" t="s">
        <v>50</v>
      </c>
      <c r="AH325" s="30" t="s">
        <v>50</v>
      </c>
      <c r="AI325" s="30" t="s">
        <v>1673</v>
      </c>
      <c r="AJ325" s="30" t="s">
        <v>187</v>
      </c>
      <c r="AK325" s="30" t="s">
        <v>50</v>
      </c>
      <c r="AL325" s="30" t="s">
        <v>50</v>
      </c>
      <c r="AM325" s="30" t="s">
        <v>50</v>
      </c>
      <c r="AN325" s="30" t="s">
        <v>1681</v>
      </c>
      <c r="AO325" s="30" t="s">
        <v>50</v>
      </c>
      <c r="AP325" s="30" t="s">
        <v>50</v>
      </c>
      <c r="AQ325" s="30" t="s">
        <v>50</v>
      </c>
      <c r="AR325" s="30" t="s">
        <v>50</v>
      </c>
      <c r="AS325" s="30" t="s">
        <v>50</v>
      </c>
      <c r="AT325" s="30" t="s">
        <v>299</v>
      </c>
      <c r="AU325" s="30" t="s">
        <v>50</v>
      </c>
      <c r="AV325" s="34">
        <v>167373412667</v>
      </c>
    </row>
    <row r="326" spans="2:48" ht="15" customHeight="1">
      <c r="B326" s="28">
        <v>320</v>
      </c>
      <c r="C326" s="29" t="s">
        <v>2790</v>
      </c>
      <c r="D326" s="30" t="s">
        <v>50</v>
      </c>
      <c r="E326" s="31" t="s">
        <v>2791</v>
      </c>
      <c r="F326" s="31" t="s">
        <v>50</v>
      </c>
      <c r="G326" s="32" t="s">
        <v>2792</v>
      </c>
      <c r="H326" s="30" t="s">
        <v>62</v>
      </c>
      <c r="I326" s="30" t="s">
        <v>1169</v>
      </c>
      <c r="J326" s="32" t="s">
        <v>1170</v>
      </c>
      <c r="K326" s="30" t="s">
        <v>293</v>
      </c>
      <c r="L326" s="32" t="s">
        <v>294</v>
      </c>
      <c r="M326" s="30" t="s">
        <v>1697</v>
      </c>
      <c r="N326" s="30" t="s">
        <v>1672</v>
      </c>
      <c r="O326" s="33">
        <v>5</v>
      </c>
      <c r="P326" s="33">
        <v>8923</v>
      </c>
      <c r="Q326" s="33">
        <v>3</v>
      </c>
      <c r="R326" s="33">
        <v>0</v>
      </c>
      <c r="S326" s="33">
        <v>0</v>
      </c>
      <c r="T326" s="33">
        <v>0</v>
      </c>
      <c r="U326" s="33">
        <v>0</v>
      </c>
      <c r="V326" s="33">
        <v>0</v>
      </c>
      <c r="W326" s="33" t="s">
        <v>50</v>
      </c>
      <c r="X326" s="33">
        <v>1</v>
      </c>
      <c r="Y326" s="30" t="s">
        <v>64</v>
      </c>
      <c r="Z326" s="30" t="s">
        <v>186</v>
      </c>
      <c r="AA326" s="30" t="s">
        <v>222</v>
      </c>
      <c r="AB326" s="30" t="s">
        <v>1315</v>
      </c>
      <c r="AC326" s="30">
        <v>31</v>
      </c>
      <c r="AD326" s="30" t="s">
        <v>50</v>
      </c>
      <c r="AE326" s="30" t="s">
        <v>50</v>
      </c>
      <c r="AF326" s="30" t="s">
        <v>50</v>
      </c>
      <c r="AG326" s="30" t="s">
        <v>50</v>
      </c>
      <c r="AH326" s="30" t="s">
        <v>50</v>
      </c>
      <c r="AI326" s="30" t="s">
        <v>1673</v>
      </c>
      <c r="AJ326" s="30" t="s">
        <v>187</v>
      </c>
      <c r="AK326" s="30" t="s">
        <v>201</v>
      </c>
      <c r="AL326" s="30" t="s">
        <v>201</v>
      </c>
      <c r="AM326" s="30" t="s">
        <v>50</v>
      </c>
      <c r="AN326" s="30" t="s">
        <v>1681</v>
      </c>
      <c r="AO326" s="30" t="s">
        <v>50</v>
      </c>
      <c r="AP326" s="30" t="s">
        <v>50</v>
      </c>
      <c r="AQ326" s="30" t="s">
        <v>50</v>
      </c>
      <c r="AR326" s="30" t="s">
        <v>50</v>
      </c>
      <c r="AS326" s="30" t="s">
        <v>50</v>
      </c>
      <c r="AT326" s="30" t="s">
        <v>1682</v>
      </c>
      <c r="AU326" s="30" t="s">
        <v>50</v>
      </c>
      <c r="AV326" s="34">
        <v>167369923786</v>
      </c>
    </row>
    <row r="327" spans="2:48" ht="15" customHeight="1">
      <c r="B327" s="28">
        <v>321</v>
      </c>
      <c r="C327" s="29" t="s">
        <v>2793</v>
      </c>
      <c r="D327" s="30" t="s">
        <v>2794</v>
      </c>
      <c r="E327" s="31" t="s">
        <v>2795</v>
      </c>
      <c r="F327" s="31" t="s">
        <v>50</v>
      </c>
      <c r="G327" s="32" t="s">
        <v>2796</v>
      </c>
      <c r="H327" s="30" t="s">
        <v>126</v>
      </c>
      <c r="I327" s="30" t="s">
        <v>126</v>
      </c>
      <c r="J327" s="32" t="s">
        <v>127</v>
      </c>
      <c r="K327" s="30" t="s">
        <v>126</v>
      </c>
      <c r="L327" s="32" t="s">
        <v>127</v>
      </c>
      <c r="M327" s="30" t="s">
        <v>2797</v>
      </c>
      <c r="N327" s="30" t="s">
        <v>1672</v>
      </c>
      <c r="O327" s="33"/>
      <c r="P327" s="33">
        <v>280</v>
      </c>
      <c r="Q327" s="33">
        <v>280</v>
      </c>
      <c r="R327" s="33">
        <v>0</v>
      </c>
      <c r="S327" s="33">
        <v>0</v>
      </c>
      <c r="T327" s="33">
        <v>0</v>
      </c>
      <c r="U327" s="33">
        <v>0</v>
      </c>
      <c r="V327" s="33">
        <v>0</v>
      </c>
      <c r="W327" s="33" t="s">
        <v>50</v>
      </c>
      <c r="X327" s="33">
        <v>1</v>
      </c>
      <c r="Y327" s="30" t="s">
        <v>60</v>
      </c>
      <c r="Z327" s="30" t="s">
        <v>192</v>
      </c>
      <c r="AA327" s="30" t="s">
        <v>192</v>
      </c>
      <c r="AB327" s="30"/>
      <c r="AC327" s="30"/>
      <c r="AD327" s="30" t="s">
        <v>50</v>
      </c>
      <c r="AE327" s="30" t="s">
        <v>50</v>
      </c>
      <c r="AF327" s="30" t="s">
        <v>50</v>
      </c>
      <c r="AG327" s="30" t="s">
        <v>50</v>
      </c>
      <c r="AH327" s="30" t="s">
        <v>50</v>
      </c>
      <c r="AI327" s="30" t="s">
        <v>1673</v>
      </c>
      <c r="AJ327" s="30" t="s">
        <v>187</v>
      </c>
      <c r="AK327" s="30" t="s">
        <v>201</v>
      </c>
      <c r="AL327" s="30" t="s">
        <v>201</v>
      </c>
      <c r="AM327" s="30" t="s">
        <v>50</v>
      </c>
      <c r="AN327" s="30" t="s">
        <v>50</v>
      </c>
      <c r="AO327" s="30" t="s">
        <v>50</v>
      </c>
      <c r="AP327" s="30" t="s">
        <v>50</v>
      </c>
      <c r="AQ327" s="30" t="s">
        <v>50</v>
      </c>
      <c r="AR327" s="30" t="s">
        <v>50</v>
      </c>
      <c r="AS327" s="30" t="s">
        <v>50</v>
      </c>
      <c r="AT327" s="30" t="s">
        <v>299</v>
      </c>
      <c r="AU327" s="30" t="s">
        <v>148</v>
      </c>
      <c r="AV327" s="34">
        <v>167357107650</v>
      </c>
    </row>
    <row r="328" spans="2:48" ht="15" customHeight="1">
      <c r="B328" s="28">
        <v>322</v>
      </c>
      <c r="C328" s="29" t="s">
        <v>2798</v>
      </c>
      <c r="D328" s="30" t="s">
        <v>50</v>
      </c>
      <c r="E328" s="31" t="s">
        <v>2799</v>
      </c>
      <c r="F328" s="31" t="s">
        <v>50</v>
      </c>
      <c r="G328" s="32" t="s">
        <v>2800</v>
      </c>
      <c r="H328" s="30" t="s">
        <v>85</v>
      </c>
      <c r="I328" s="30" t="s">
        <v>1242</v>
      </c>
      <c r="J328" s="32" t="s">
        <v>1243</v>
      </c>
      <c r="K328" s="30" t="s">
        <v>781</v>
      </c>
      <c r="L328" s="32" t="s">
        <v>782</v>
      </c>
      <c r="M328" s="30" t="s">
        <v>1697</v>
      </c>
      <c r="N328" s="30" t="s">
        <v>1672</v>
      </c>
      <c r="O328" s="33"/>
      <c r="P328" s="33">
        <v>0</v>
      </c>
      <c r="Q328" s="33">
        <v>9</v>
      </c>
      <c r="R328" s="33">
        <v>0</v>
      </c>
      <c r="S328" s="33">
        <v>2</v>
      </c>
      <c r="T328" s="33">
        <v>2</v>
      </c>
      <c r="U328" s="33">
        <v>0</v>
      </c>
      <c r="V328" s="33">
        <v>0</v>
      </c>
      <c r="W328" s="33" t="s">
        <v>50</v>
      </c>
      <c r="X328" s="33">
        <v>1</v>
      </c>
      <c r="Y328" s="30" t="s">
        <v>64</v>
      </c>
      <c r="Z328" s="30" t="s">
        <v>222</v>
      </c>
      <c r="AA328" s="30" t="s">
        <v>222</v>
      </c>
      <c r="AB328" s="30" t="s">
        <v>1316</v>
      </c>
      <c r="AC328" s="30"/>
      <c r="AD328" s="30" t="s">
        <v>50</v>
      </c>
      <c r="AE328" s="30" t="s">
        <v>50</v>
      </c>
      <c r="AF328" s="30" t="s">
        <v>50</v>
      </c>
      <c r="AG328" s="30" t="s">
        <v>50</v>
      </c>
      <c r="AH328" s="30" t="s">
        <v>50</v>
      </c>
      <c r="AI328" s="30" t="s">
        <v>1673</v>
      </c>
      <c r="AJ328" s="30" t="s">
        <v>50</v>
      </c>
      <c r="AK328" s="30" t="s">
        <v>50</v>
      </c>
      <c r="AL328" s="30" t="s">
        <v>50</v>
      </c>
      <c r="AM328" s="30" t="s">
        <v>50</v>
      </c>
      <c r="AN328" s="30" t="s">
        <v>1681</v>
      </c>
      <c r="AO328" s="30" t="s">
        <v>50</v>
      </c>
      <c r="AP328" s="30" t="s">
        <v>50</v>
      </c>
      <c r="AQ328" s="30" t="s">
        <v>50</v>
      </c>
      <c r="AR328" s="30" t="s">
        <v>50</v>
      </c>
      <c r="AS328" s="30" t="s">
        <v>50</v>
      </c>
      <c r="AT328" s="30" t="s">
        <v>299</v>
      </c>
      <c r="AU328" s="30" t="s">
        <v>50</v>
      </c>
      <c r="AV328" s="34">
        <v>167479435864</v>
      </c>
    </row>
    <row r="329" spans="2:48" ht="15" customHeight="1">
      <c r="B329" s="28">
        <v>323</v>
      </c>
      <c r="C329" s="29" t="s">
        <v>2801</v>
      </c>
      <c r="D329" s="30" t="s">
        <v>50</v>
      </c>
      <c r="E329" s="31" t="s">
        <v>2802</v>
      </c>
      <c r="F329" s="31" t="s">
        <v>50</v>
      </c>
      <c r="G329" s="32" t="s">
        <v>2803</v>
      </c>
      <c r="H329" s="30" t="s">
        <v>62</v>
      </c>
      <c r="I329" s="30" t="s">
        <v>856</v>
      </c>
      <c r="J329" s="32" t="s">
        <v>857</v>
      </c>
      <c r="K329" s="30" t="s">
        <v>216</v>
      </c>
      <c r="L329" s="32" t="s">
        <v>217</v>
      </c>
      <c r="M329" s="30" t="s">
        <v>1697</v>
      </c>
      <c r="N329" s="30" t="s">
        <v>1679</v>
      </c>
      <c r="O329" s="33">
        <v>3</v>
      </c>
      <c r="P329" s="33">
        <v>66229</v>
      </c>
      <c r="Q329" s="33">
        <v>0</v>
      </c>
      <c r="R329" s="33">
        <v>0</v>
      </c>
      <c r="S329" s="33">
        <v>0</v>
      </c>
      <c r="T329" s="33">
        <v>0</v>
      </c>
      <c r="U329" s="33">
        <v>0</v>
      </c>
      <c r="V329" s="33">
        <v>0</v>
      </c>
      <c r="W329" s="33" t="s">
        <v>50</v>
      </c>
      <c r="X329" s="33">
        <v>1</v>
      </c>
      <c r="Y329" s="30" t="s">
        <v>64</v>
      </c>
      <c r="Z329" s="30" t="s">
        <v>186</v>
      </c>
      <c r="AA329" s="30" t="s">
        <v>222</v>
      </c>
      <c r="AB329" s="30" t="s">
        <v>1316</v>
      </c>
      <c r="AC329" s="30">
        <v>36</v>
      </c>
      <c r="AD329" s="30" t="s">
        <v>50</v>
      </c>
      <c r="AE329" s="30" t="s">
        <v>50</v>
      </c>
      <c r="AF329" s="30" t="s">
        <v>50</v>
      </c>
      <c r="AG329" s="30" t="s">
        <v>50</v>
      </c>
      <c r="AH329" s="30" t="s">
        <v>50</v>
      </c>
      <c r="AI329" s="30" t="s">
        <v>1673</v>
      </c>
      <c r="AJ329" s="30" t="s">
        <v>187</v>
      </c>
      <c r="AK329" s="30" t="s">
        <v>1895</v>
      </c>
      <c r="AL329" s="30" t="s">
        <v>219</v>
      </c>
      <c r="AM329" s="30" t="s">
        <v>50</v>
      </c>
      <c r="AN329" s="30" t="s">
        <v>1681</v>
      </c>
      <c r="AO329" s="30" t="s">
        <v>50</v>
      </c>
      <c r="AP329" s="30" t="s">
        <v>50</v>
      </c>
      <c r="AQ329" s="30" t="s">
        <v>50</v>
      </c>
      <c r="AR329" s="30" t="s">
        <v>50</v>
      </c>
      <c r="AS329" s="30" t="s">
        <v>50</v>
      </c>
      <c r="AT329" s="30" t="s">
        <v>2749</v>
      </c>
      <c r="AU329" s="30" t="s">
        <v>50</v>
      </c>
      <c r="AV329" s="34">
        <v>167356116314</v>
      </c>
    </row>
    <row r="330" spans="2:48" ht="15" customHeight="1">
      <c r="B330" s="28">
        <v>324</v>
      </c>
      <c r="C330" s="29" t="s">
        <v>2804</v>
      </c>
      <c r="D330" s="30" t="s">
        <v>318</v>
      </c>
      <c r="E330" s="31" t="s">
        <v>2805</v>
      </c>
      <c r="F330" s="31" t="s">
        <v>50</v>
      </c>
      <c r="G330" s="32" t="s">
        <v>2806</v>
      </c>
      <c r="H330" s="30" t="s">
        <v>73</v>
      </c>
      <c r="I330" s="30" t="s">
        <v>858</v>
      </c>
      <c r="J330" s="32" t="s">
        <v>859</v>
      </c>
      <c r="K330" s="30" t="s">
        <v>318</v>
      </c>
      <c r="L330" s="32" t="s">
        <v>805</v>
      </c>
      <c r="M330" s="30" t="s">
        <v>1718</v>
      </c>
      <c r="N330" s="30" t="s">
        <v>1672</v>
      </c>
      <c r="O330" s="33"/>
      <c r="P330" s="33">
        <v>0</v>
      </c>
      <c r="Q330" s="33">
        <v>0</v>
      </c>
      <c r="R330" s="33" t="s">
        <v>158</v>
      </c>
      <c r="S330" s="33">
        <v>0</v>
      </c>
      <c r="T330" s="33" t="s">
        <v>158</v>
      </c>
      <c r="U330" s="33" t="s">
        <v>158</v>
      </c>
      <c r="V330" s="33" t="s">
        <v>158</v>
      </c>
      <c r="W330" s="33" t="s">
        <v>50</v>
      </c>
      <c r="X330" s="33">
        <v>1</v>
      </c>
      <c r="Y330" s="30" t="s">
        <v>75</v>
      </c>
      <c r="Z330" s="30" t="s">
        <v>192</v>
      </c>
      <c r="AA330" s="30" t="s">
        <v>192</v>
      </c>
      <c r="AB330" s="30" t="s">
        <v>1316</v>
      </c>
      <c r="AC330" s="30"/>
      <c r="AD330" s="30" t="s">
        <v>50</v>
      </c>
      <c r="AE330" s="30" t="s">
        <v>50</v>
      </c>
      <c r="AF330" s="30" t="s">
        <v>50</v>
      </c>
      <c r="AG330" s="30" t="s">
        <v>50</v>
      </c>
      <c r="AH330" s="30" t="s">
        <v>50</v>
      </c>
      <c r="AI330" s="30" t="s">
        <v>1673</v>
      </c>
      <c r="AJ330" s="30" t="s">
        <v>50</v>
      </c>
      <c r="AK330" s="30" t="s">
        <v>50</v>
      </c>
      <c r="AL330" s="30" t="s">
        <v>50</v>
      </c>
      <c r="AM330" s="30" t="s">
        <v>50</v>
      </c>
      <c r="AN330" s="30" t="s">
        <v>1681</v>
      </c>
      <c r="AO330" s="30" t="s">
        <v>50</v>
      </c>
      <c r="AP330" s="30" t="s">
        <v>50</v>
      </c>
      <c r="AQ330" s="30" t="s">
        <v>50</v>
      </c>
      <c r="AR330" s="30" t="s">
        <v>50</v>
      </c>
      <c r="AS330" s="30" t="s">
        <v>50</v>
      </c>
      <c r="AT330" s="30" t="s">
        <v>1792</v>
      </c>
      <c r="AU330" s="30" t="s">
        <v>50</v>
      </c>
      <c r="AV330" s="34">
        <v>167362818112</v>
      </c>
    </row>
    <row r="331" spans="2:48" ht="15" customHeight="1">
      <c r="B331" s="28">
        <v>325</v>
      </c>
      <c r="C331" s="29" t="s">
        <v>2807</v>
      </c>
      <c r="D331" s="30" t="s">
        <v>50</v>
      </c>
      <c r="E331" s="31" t="s">
        <v>2808</v>
      </c>
      <c r="F331" s="31" t="s">
        <v>50</v>
      </c>
      <c r="G331" s="32" t="s">
        <v>2809</v>
      </c>
      <c r="H331" s="30" t="s">
        <v>68</v>
      </c>
      <c r="I331" s="30" t="s">
        <v>860</v>
      </c>
      <c r="J331" s="32" t="s">
        <v>861</v>
      </c>
      <c r="K331" s="30" t="s">
        <v>190</v>
      </c>
      <c r="L331" s="32" t="s">
        <v>191</v>
      </c>
      <c r="M331" s="30" t="s">
        <v>1697</v>
      </c>
      <c r="N331" s="30" t="s">
        <v>1672</v>
      </c>
      <c r="O331" s="33"/>
      <c r="P331" s="33">
        <v>41942</v>
      </c>
      <c r="Q331" s="33">
        <v>0</v>
      </c>
      <c r="R331" s="33">
        <v>0</v>
      </c>
      <c r="S331" s="33">
        <v>0</v>
      </c>
      <c r="T331" s="33">
        <v>0</v>
      </c>
      <c r="U331" s="33">
        <v>0</v>
      </c>
      <c r="V331" s="33">
        <v>0</v>
      </c>
      <c r="W331" s="33" t="s">
        <v>50</v>
      </c>
      <c r="X331" s="33">
        <v>1</v>
      </c>
      <c r="Y331" s="30" t="s">
        <v>70</v>
      </c>
      <c r="Z331" s="30" t="s">
        <v>192</v>
      </c>
      <c r="AA331" s="30" t="s">
        <v>192</v>
      </c>
      <c r="AB331" s="30"/>
      <c r="AC331" s="30"/>
      <c r="AD331" s="30" t="s">
        <v>50</v>
      </c>
      <c r="AE331" s="30" t="s">
        <v>50</v>
      </c>
      <c r="AF331" s="30" t="s">
        <v>50</v>
      </c>
      <c r="AG331" s="30" t="s">
        <v>50</v>
      </c>
      <c r="AH331" s="30" t="s">
        <v>50</v>
      </c>
      <c r="AI331" s="30" t="s">
        <v>1673</v>
      </c>
      <c r="AJ331" s="30" t="s">
        <v>50</v>
      </c>
      <c r="AK331" s="30" t="s">
        <v>50</v>
      </c>
      <c r="AL331" s="30" t="s">
        <v>50</v>
      </c>
      <c r="AM331" s="30" t="s">
        <v>50</v>
      </c>
      <c r="AN331" s="30" t="s">
        <v>1681</v>
      </c>
      <c r="AO331" s="30" t="s">
        <v>50</v>
      </c>
      <c r="AP331" s="30" t="s">
        <v>50</v>
      </c>
      <c r="AQ331" s="30" t="s">
        <v>50</v>
      </c>
      <c r="AR331" s="30" t="s">
        <v>50</v>
      </c>
      <c r="AS331" s="30" t="s">
        <v>50</v>
      </c>
      <c r="AT331" s="30" t="s">
        <v>299</v>
      </c>
      <c r="AU331" s="30" t="s">
        <v>50</v>
      </c>
      <c r="AV331" s="34">
        <v>167355199736</v>
      </c>
    </row>
    <row r="332" spans="2:48" ht="15" customHeight="1">
      <c r="B332" s="28">
        <v>326</v>
      </c>
      <c r="C332" s="29" t="s">
        <v>2810</v>
      </c>
      <c r="D332" s="30" t="s">
        <v>50</v>
      </c>
      <c r="E332" s="31" t="s">
        <v>2811</v>
      </c>
      <c r="F332" s="31" t="s">
        <v>50</v>
      </c>
      <c r="G332" s="32" t="s">
        <v>2812</v>
      </c>
      <c r="H332" s="30" t="s">
        <v>62</v>
      </c>
      <c r="I332" s="30" t="s">
        <v>1053</v>
      </c>
      <c r="J332" s="32" t="s">
        <v>1054</v>
      </c>
      <c r="K332" s="30" t="s">
        <v>183</v>
      </c>
      <c r="L332" s="32" t="s">
        <v>185</v>
      </c>
      <c r="M332" s="30" t="s">
        <v>1697</v>
      </c>
      <c r="N332" s="30" t="s">
        <v>1672</v>
      </c>
      <c r="O332" s="33">
        <v>2</v>
      </c>
      <c r="P332" s="33">
        <v>3129</v>
      </c>
      <c r="Q332" s="33">
        <v>26</v>
      </c>
      <c r="R332" s="33">
        <v>0</v>
      </c>
      <c r="S332" s="33">
        <v>0</v>
      </c>
      <c r="T332" s="33">
        <v>0</v>
      </c>
      <c r="U332" s="33">
        <v>0</v>
      </c>
      <c r="V332" s="33">
        <v>0</v>
      </c>
      <c r="W332" s="33" t="s">
        <v>50</v>
      </c>
      <c r="X332" s="33">
        <v>1</v>
      </c>
      <c r="Y332" s="30" t="s">
        <v>64</v>
      </c>
      <c r="Z332" s="30" t="s">
        <v>186</v>
      </c>
      <c r="AA332" s="30" t="s">
        <v>222</v>
      </c>
      <c r="AB332" s="30" t="s">
        <v>1316</v>
      </c>
      <c r="AC332" s="30"/>
      <c r="AD332" s="30" t="s">
        <v>1325</v>
      </c>
      <c r="AE332" s="30" t="s">
        <v>50</v>
      </c>
      <c r="AF332" s="30" t="s">
        <v>50</v>
      </c>
      <c r="AG332" s="30" t="s">
        <v>50</v>
      </c>
      <c r="AH332" s="30" t="s">
        <v>50</v>
      </c>
      <c r="AI332" s="30" t="s">
        <v>1673</v>
      </c>
      <c r="AJ332" s="30" t="s">
        <v>187</v>
      </c>
      <c r="AK332" s="30" t="s">
        <v>189</v>
      </c>
      <c r="AL332" s="30" t="s">
        <v>189</v>
      </c>
      <c r="AM332" s="30" t="s">
        <v>50</v>
      </c>
      <c r="AN332" s="30" t="s">
        <v>1681</v>
      </c>
      <c r="AO332" s="30" t="s">
        <v>50</v>
      </c>
      <c r="AP332" s="30" t="s">
        <v>50</v>
      </c>
      <c r="AQ332" s="30" t="s">
        <v>50</v>
      </c>
      <c r="AR332" s="30" t="s">
        <v>50</v>
      </c>
      <c r="AS332" s="30" t="s">
        <v>50</v>
      </c>
      <c r="AT332" s="30" t="s">
        <v>1682</v>
      </c>
      <c r="AU332" s="30" t="s">
        <v>50</v>
      </c>
      <c r="AV332" s="34">
        <v>167352216745</v>
      </c>
    </row>
    <row r="333" spans="2:48" ht="15" customHeight="1">
      <c r="B333" s="28">
        <v>327</v>
      </c>
      <c r="C333" s="29" t="s">
        <v>2813</v>
      </c>
      <c r="D333" s="30" t="s">
        <v>50</v>
      </c>
      <c r="E333" s="31" t="s">
        <v>2814</v>
      </c>
      <c r="F333" s="31" t="s">
        <v>50</v>
      </c>
      <c r="G333" s="32" t="s">
        <v>2815</v>
      </c>
      <c r="H333" s="30" t="s">
        <v>65</v>
      </c>
      <c r="I333" s="30" t="s">
        <v>1165</v>
      </c>
      <c r="J333" s="32" t="s">
        <v>2816</v>
      </c>
      <c r="K333" s="30" t="s">
        <v>297</v>
      </c>
      <c r="L333" s="32" t="s">
        <v>1696</v>
      </c>
      <c r="M333" s="30" t="s">
        <v>1697</v>
      </c>
      <c r="N333" s="30" t="s">
        <v>1672</v>
      </c>
      <c r="O333" s="33"/>
      <c r="P333" s="33">
        <v>2891</v>
      </c>
      <c r="Q333" s="33">
        <v>0</v>
      </c>
      <c r="R333" s="33">
        <v>0</v>
      </c>
      <c r="S333" s="33">
        <v>0</v>
      </c>
      <c r="T333" s="33">
        <v>0</v>
      </c>
      <c r="U333" s="33">
        <v>0</v>
      </c>
      <c r="V333" s="33">
        <v>0</v>
      </c>
      <c r="W333" s="33" t="s">
        <v>50</v>
      </c>
      <c r="X333" s="33">
        <v>1</v>
      </c>
      <c r="Y333" s="30" t="s">
        <v>67</v>
      </c>
      <c r="Z333" s="30" t="s">
        <v>186</v>
      </c>
      <c r="AA333" s="30" t="s">
        <v>222</v>
      </c>
      <c r="AB333" s="30"/>
      <c r="AC333" s="30"/>
      <c r="AD333" s="30" t="s">
        <v>50</v>
      </c>
      <c r="AE333" s="30" t="s">
        <v>50</v>
      </c>
      <c r="AF333" s="30" t="s">
        <v>50</v>
      </c>
      <c r="AG333" s="30" t="s">
        <v>50</v>
      </c>
      <c r="AH333" s="30" t="s">
        <v>50</v>
      </c>
      <c r="AI333" s="30" t="s">
        <v>1673</v>
      </c>
      <c r="AJ333" s="30" t="s">
        <v>50</v>
      </c>
      <c r="AK333" s="30" t="s">
        <v>50</v>
      </c>
      <c r="AL333" s="30" t="s">
        <v>50</v>
      </c>
      <c r="AM333" s="30" t="s">
        <v>50</v>
      </c>
      <c r="AN333" s="30" t="s">
        <v>1681</v>
      </c>
      <c r="AO333" s="30" t="s">
        <v>50</v>
      </c>
      <c r="AP333" s="30" t="s">
        <v>50</v>
      </c>
      <c r="AQ333" s="30" t="s">
        <v>50</v>
      </c>
      <c r="AR333" s="30" t="s">
        <v>50</v>
      </c>
      <c r="AS333" s="30" t="s">
        <v>50</v>
      </c>
      <c r="AT333" s="30" t="s">
        <v>1682</v>
      </c>
      <c r="AU333" s="30" t="s">
        <v>50</v>
      </c>
      <c r="AV333" s="34">
        <v>167347774460</v>
      </c>
    </row>
    <row r="334" spans="2:48" ht="15" customHeight="1">
      <c r="B334" s="28">
        <v>328</v>
      </c>
      <c r="C334" s="29" t="s">
        <v>2817</v>
      </c>
      <c r="D334" s="30" t="s">
        <v>50</v>
      </c>
      <c r="E334" s="31" t="s">
        <v>2818</v>
      </c>
      <c r="F334" s="31" t="s">
        <v>50</v>
      </c>
      <c r="G334" s="32" t="s">
        <v>2819</v>
      </c>
      <c r="H334" s="30" t="s">
        <v>83</v>
      </c>
      <c r="I334" s="30" t="s">
        <v>767</v>
      </c>
      <c r="J334" s="32" t="s">
        <v>768</v>
      </c>
      <c r="K334" s="30" t="s">
        <v>767</v>
      </c>
      <c r="L334" s="32" t="s">
        <v>768</v>
      </c>
      <c r="M334" s="30" t="s">
        <v>1671</v>
      </c>
      <c r="N334" s="30" t="s">
        <v>1672</v>
      </c>
      <c r="O334" s="33"/>
      <c r="P334" s="33">
        <v>0</v>
      </c>
      <c r="Q334" s="33">
        <v>0</v>
      </c>
      <c r="R334" s="33">
        <v>0</v>
      </c>
      <c r="S334" s="33">
        <v>2</v>
      </c>
      <c r="T334" s="33">
        <v>2</v>
      </c>
      <c r="U334" s="33">
        <v>0</v>
      </c>
      <c r="V334" s="33">
        <v>0</v>
      </c>
      <c r="W334" s="33" t="s">
        <v>50</v>
      </c>
      <c r="X334" s="33">
        <v>1</v>
      </c>
      <c r="Y334" s="30" t="s">
        <v>70</v>
      </c>
      <c r="Z334" s="30" t="s">
        <v>222</v>
      </c>
      <c r="AA334" s="30" t="s">
        <v>222</v>
      </c>
      <c r="AB334" s="30"/>
      <c r="AC334" s="30"/>
      <c r="AD334" s="30" t="s">
        <v>50</v>
      </c>
      <c r="AE334" s="30" t="s">
        <v>50</v>
      </c>
      <c r="AF334" s="30" t="s">
        <v>50</v>
      </c>
      <c r="AG334" s="30" t="s">
        <v>50</v>
      </c>
      <c r="AH334" s="30" t="s">
        <v>50</v>
      </c>
      <c r="AI334" s="30" t="s">
        <v>1673</v>
      </c>
      <c r="AJ334" s="30" t="s">
        <v>50</v>
      </c>
      <c r="AK334" s="30" t="s">
        <v>50</v>
      </c>
      <c r="AL334" s="30" t="s">
        <v>50</v>
      </c>
      <c r="AM334" s="30" t="s">
        <v>50</v>
      </c>
      <c r="AN334" s="30" t="s">
        <v>50</v>
      </c>
      <c r="AO334" s="30" t="s">
        <v>50</v>
      </c>
      <c r="AP334" s="30" t="s">
        <v>50</v>
      </c>
      <c r="AQ334" s="30" t="s">
        <v>50</v>
      </c>
      <c r="AR334" s="30" t="s">
        <v>50</v>
      </c>
      <c r="AS334" s="30" t="s">
        <v>50</v>
      </c>
      <c r="AT334" s="30" t="s">
        <v>299</v>
      </c>
      <c r="AU334" s="30" t="s">
        <v>50</v>
      </c>
      <c r="AV334" s="34">
        <v>167354717727</v>
      </c>
    </row>
    <row r="335" spans="2:48" ht="15" customHeight="1">
      <c r="B335" s="28">
        <v>329</v>
      </c>
      <c r="C335" s="29" t="s">
        <v>2820</v>
      </c>
      <c r="D335" s="30" t="s">
        <v>50</v>
      </c>
      <c r="E335" s="31" t="s">
        <v>2821</v>
      </c>
      <c r="F335" s="31" t="s">
        <v>50</v>
      </c>
      <c r="G335" s="32" t="s">
        <v>2822</v>
      </c>
      <c r="H335" s="30" t="s">
        <v>68</v>
      </c>
      <c r="I335" s="30" t="s">
        <v>1187</v>
      </c>
      <c r="J335" s="32" t="s">
        <v>1188</v>
      </c>
      <c r="K335" s="30" t="s">
        <v>504</v>
      </c>
      <c r="L335" s="32" t="s">
        <v>505</v>
      </c>
      <c r="M335" s="30" t="s">
        <v>1697</v>
      </c>
      <c r="N335" s="30" t="s">
        <v>1679</v>
      </c>
      <c r="O335" s="33"/>
      <c r="P335" s="33">
        <v>638914</v>
      </c>
      <c r="Q335" s="33">
        <v>1</v>
      </c>
      <c r="R335" s="33">
        <v>0</v>
      </c>
      <c r="S335" s="33">
        <v>0</v>
      </c>
      <c r="T335" s="33">
        <v>0</v>
      </c>
      <c r="U335" s="33">
        <v>0</v>
      </c>
      <c r="V335" s="33">
        <v>0</v>
      </c>
      <c r="W335" s="33" t="s">
        <v>50</v>
      </c>
      <c r="X335" s="33">
        <v>1</v>
      </c>
      <c r="Y335" s="30" t="s">
        <v>70</v>
      </c>
      <c r="Z335" s="30" t="s">
        <v>192</v>
      </c>
      <c r="AA335" s="30" t="s">
        <v>192</v>
      </c>
      <c r="AB335" s="30" t="s">
        <v>1316</v>
      </c>
      <c r="AC335" s="30"/>
      <c r="AD335" s="30" t="s">
        <v>50</v>
      </c>
      <c r="AE335" s="30" t="s">
        <v>50</v>
      </c>
      <c r="AF335" s="30" t="s">
        <v>50</v>
      </c>
      <c r="AG335" s="30" t="s">
        <v>50</v>
      </c>
      <c r="AH335" s="30" t="s">
        <v>50</v>
      </c>
      <c r="AI335" s="30" t="s">
        <v>1673</v>
      </c>
      <c r="AJ335" s="30" t="s">
        <v>50</v>
      </c>
      <c r="AK335" s="30" t="s">
        <v>50</v>
      </c>
      <c r="AL335" s="30" t="s">
        <v>50</v>
      </c>
      <c r="AM335" s="30" t="s">
        <v>50</v>
      </c>
      <c r="AN335" s="30" t="s">
        <v>1681</v>
      </c>
      <c r="AO335" s="30" t="s">
        <v>50</v>
      </c>
      <c r="AP335" s="30" t="s">
        <v>50</v>
      </c>
      <c r="AQ335" s="30" t="s">
        <v>50</v>
      </c>
      <c r="AR335" s="30" t="s">
        <v>50</v>
      </c>
      <c r="AS335" s="30" t="s">
        <v>50</v>
      </c>
      <c r="AT335" s="30" t="s">
        <v>1682</v>
      </c>
      <c r="AU335" s="30" t="s">
        <v>50</v>
      </c>
      <c r="AV335" s="34">
        <v>167333237207</v>
      </c>
    </row>
    <row r="336" spans="2:48" ht="15" customHeight="1">
      <c r="B336" s="28">
        <v>330</v>
      </c>
      <c r="C336" s="29" t="s">
        <v>2823</v>
      </c>
      <c r="D336" s="30" t="s">
        <v>50</v>
      </c>
      <c r="E336" s="31" t="s">
        <v>2824</v>
      </c>
      <c r="F336" s="31" t="s">
        <v>50</v>
      </c>
      <c r="G336" s="32" t="s">
        <v>2825</v>
      </c>
      <c r="H336" s="30" t="s">
        <v>65</v>
      </c>
      <c r="I336" s="30" t="s">
        <v>897</v>
      </c>
      <c r="J336" s="32" t="s">
        <v>1912</v>
      </c>
      <c r="K336" s="30" t="s">
        <v>295</v>
      </c>
      <c r="L336" s="32" t="s">
        <v>1913</v>
      </c>
      <c r="M336" s="30" t="s">
        <v>1697</v>
      </c>
      <c r="N336" s="30" t="s">
        <v>1672</v>
      </c>
      <c r="O336" s="33"/>
      <c r="P336" s="33">
        <v>1113</v>
      </c>
      <c r="Q336" s="33">
        <v>0</v>
      </c>
      <c r="R336" s="33">
        <v>0</v>
      </c>
      <c r="S336" s="33">
        <v>0</v>
      </c>
      <c r="T336" s="33">
        <v>0</v>
      </c>
      <c r="U336" s="33">
        <v>0</v>
      </c>
      <c r="V336" s="33">
        <v>0</v>
      </c>
      <c r="W336" s="33" t="s">
        <v>50</v>
      </c>
      <c r="X336" s="33">
        <v>1</v>
      </c>
      <c r="Y336" s="30" t="s">
        <v>67</v>
      </c>
      <c r="Z336" s="30" t="s">
        <v>186</v>
      </c>
      <c r="AA336" s="30" t="s">
        <v>192</v>
      </c>
      <c r="AB336" s="30" t="s">
        <v>1315</v>
      </c>
      <c r="AC336" s="30"/>
      <c r="AD336" s="30" t="s">
        <v>50</v>
      </c>
      <c r="AE336" s="30" t="s">
        <v>50</v>
      </c>
      <c r="AF336" s="30" t="s">
        <v>50</v>
      </c>
      <c r="AG336" s="30" t="s">
        <v>50</v>
      </c>
      <c r="AH336" s="30" t="s">
        <v>50</v>
      </c>
      <c r="AI336" s="30" t="s">
        <v>1673</v>
      </c>
      <c r="AJ336" s="30" t="s">
        <v>50</v>
      </c>
      <c r="AK336" s="30" t="s">
        <v>50</v>
      </c>
      <c r="AL336" s="30" t="s">
        <v>50</v>
      </c>
      <c r="AM336" s="30" t="s">
        <v>50</v>
      </c>
      <c r="AN336" s="30" t="s">
        <v>1681</v>
      </c>
      <c r="AO336" s="30" t="s">
        <v>50</v>
      </c>
      <c r="AP336" s="30" t="s">
        <v>50</v>
      </c>
      <c r="AQ336" s="30" t="s">
        <v>50</v>
      </c>
      <c r="AR336" s="30" t="s">
        <v>50</v>
      </c>
      <c r="AS336" s="30" t="s">
        <v>50</v>
      </c>
      <c r="AT336" s="30" t="s">
        <v>1792</v>
      </c>
      <c r="AU336" s="30" t="s">
        <v>50</v>
      </c>
      <c r="AV336" s="34">
        <v>167324937261</v>
      </c>
    </row>
    <row r="337" spans="2:48" ht="15" customHeight="1">
      <c r="B337" s="28">
        <v>331</v>
      </c>
      <c r="C337" s="29" t="s">
        <v>2826</v>
      </c>
      <c r="D337" s="30" t="s">
        <v>50</v>
      </c>
      <c r="E337" s="31" t="s">
        <v>2827</v>
      </c>
      <c r="F337" s="31" t="s">
        <v>50</v>
      </c>
      <c r="G337" s="32" t="s">
        <v>2828</v>
      </c>
      <c r="H337" s="30" t="s">
        <v>68</v>
      </c>
      <c r="I337" s="30" t="s">
        <v>1082</v>
      </c>
      <c r="J337" s="32" t="s">
        <v>1083</v>
      </c>
      <c r="K337" s="30" t="s">
        <v>225</v>
      </c>
      <c r="L337" s="32" t="s">
        <v>226</v>
      </c>
      <c r="M337" s="30" t="s">
        <v>1697</v>
      </c>
      <c r="N337" s="30" t="s">
        <v>1791</v>
      </c>
      <c r="O337" s="33"/>
      <c r="P337" s="33">
        <v>258004</v>
      </c>
      <c r="Q337" s="33">
        <v>2</v>
      </c>
      <c r="R337" s="33">
        <v>0</v>
      </c>
      <c r="S337" s="33">
        <v>0</v>
      </c>
      <c r="T337" s="33">
        <v>0</v>
      </c>
      <c r="U337" s="33">
        <v>0</v>
      </c>
      <c r="V337" s="33">
        <v>0</v>
      </c>
      <c r="W337" s="33" t="s">
        <v>50</v>
      </c>
      <c r="X337" s="33">
        <v>1</v>
      </c>
      <c r="Y337" s="30" t="s">
        <v>70</v>
      </c>
      <c r="Z337" s="30" t="s">
        <v>192</v>
      </c>
      <c r="AA337" s="30" t="s">
        <v>192</v>
      </c>
      <c r="AB337" s="30"/>
      <c r="AC337" s="30"/>
      <c r="AD337" s="30" t="s">
        <v>50</v>
      </c>
      <c r="AE337" s="30" t="s">
        <v>50</v>
      </c>
      <c r="AF337" s="30" t="s">
        <v>50</v>
      </c>
      <c r="AG337" s="30" t="s">
        <v>50</v>
      </c>
      <c r="AH337" s="30" t="s">
        <v>50</v>
      </c>
      <c r="AI337" s="30" t="s">
        <v>1673</v>
      </c>
      <c r="AJ337" s="30" t="s">
        <v>50</v>
      </c>
      <c r="AK337" s="30" t="s">
        <v>50</v>
      </c>
      <c r="AL337" s="30" t="s">
        <v>50</v>
      </c>
      <c r="AM337" s="30" t="s">
        <v>50</v>
      </c>
      <c r="AN337" s="30" t="s">
        <v>1681</v>
      </c>
      <c r="AO337" s="30" t="s">
        <v>50</v>
      </c>
      <c r="AP337" s="30" t="s">
        <v>50</v>
      </c>
      <c r="AQ337" s="30" t="s">
        <v>50</v>
      </c>
      <c r="AR337" s="30" t="s">
        <v>50</v>
      </c>
      <c r="AS337" s="30" t="s">
        <v>50</v>
      </c>
      <c r="AT337" s="30" t="s">
        <v>1682</v>
      </c>
      <c r="AU337" s="30" t="s">
        <v>50</v>
      </c>
      <c r="AV337" s="34">
        <v>167319187579</v>
      </c>
    </row>
    <row r="338" spans="2:48" ht="15" customHeight="1">
      <c r="B338" s="28">
        <v>332</v>
      </c>
      <c r="C338" s="29" t="s">
        <v>2829</v>
      </c>
      <c r="D338" s="30" t="s">
        <v>50</v>
      </c>
      <c r="E338" s="31" t="s">
        <v>2830</v>
      </c>
      <c r="F338" s="31" t="s">
        <v>50</v>
      </c>
      <c r="G338" s="32" t="s">
        <v>2831</v>
      </c>
      <c r="H338" s="30" t="s">
        <v>62</v>
      </c>
      <c r="I338" s="30" t="s">
        <v>901</v>
      </c>
      <c r="J338" s="32" t="s">
        <v>902</v>
      </c>
      <c r="K338" s="30" t="s">
        <v>183</v>
      </c>
      <c r="L338" s="32" t="s">
        <v>185</v>
      </c>
      <c r="M338" s="30" t="s">
        <v>1697</v>
      </c>
      <c r="N338" s="30" t="s">
        <v>1679</v>
      </c>
      <c r="O338" s="33">
        <v>2</v>
      </c>
      <c r="P338" s="33">
        <v>3129</v>
      </c>
      <c r="Q338" s="33">
        <v>30</v>
      </c>
      <c r="R338" s="33">
        <v>0</v>
      </c>
      <c r="S338" s="33">
        <v>0</v>
      </c>
      <c r="T338" s="33">
        <v>0</v>
      </c>
      <c r="U338" s="33">
        <v>0</v>
      </c>
      <c r="V338" s="33">
        <v>0</v>
      </c>
      <c r="W338" s="33" t="s">
        <v>50</v>
      </c>
      <c r="X338" s="33">
        <v>1</v>
      </c>
      <c r="Y338" s="30" t="s">
        <v>64</v>
      </c>
      <c r="Z338" s="30" t="s">
        <v>186</v>
      </c>
      <c r="AA338" s="30" t="s">
        <v>222</v>
      </c>
      <c r="AB338" s="30" t="s">
        <v>1316</v>
      </c>
      <c r="AC338" s="30">
        <v>91</v>
      </c>
      <c r="AD338" s="30" t="s">
        <v>1325</v>
      </c>
      <c r="AE338" s="30" t="s">
        <v>50</v>
      </c>
      <c r="AF338" s="30" t="s">
        <v>50</v>
      </c>
      <c r="AG338" s="30" t="s">
        <v>50</v>
      </c>
      <c r="AH338" s="30" t="s">
        <v>50</v>
      </c>
      <c r="AI338" s="30" t="s">
        <v>1673</v>
      </c>
      <c r="AJ338" s="30" t="s">
        <v>187</v>
      </c>
      <c r="AK338" s="30" t="s">
        <v>189</v>
      </c>
      <c r="AL338" s="30" t="s">
        <v>189</v>
      </c>
      <c r="AM338" s="30" t="s">
        <v>50</v>
      </c>
      <c r="AN338" s="30" t="s">
        <v>1681</v>
      </c>
      <c r="AO338" s="30" t="s">
        <v>50</v>
      </c>
      <c r="AP338" s="30" t="s">
        <v>50</v>
      </c>
      <c r="AQ338" s="30" t="s">
        <v>50</v>
      </c>
      <c r="AR338" s="30" t="s">
        <v>50</v>
      </c>
      <c r="AS338" s="30" t="s">
        <v>50</v>
      </c>
      <c r="AT338" s="30" t="s">
        <v>1682</v>
      </c>
      <c r="AU338" s="30" t="s">
        <v>50</v>
      </c>
      <c r="AV338" s="34">
        <v>167314384642</v>
      </c>
    </row>
    <row r="339" spans="2:48" ht="15" customHeight="1">
      <c r="B339" s="28">
        <v>333</v>
      </c>
      <c r="C339" s="29" t="s">
        <v>2832</v>
      </c>
      <c r="D339" s="30" t="s">
        <v>2456</v>
      </c>
      <c r="E339" s="31" t="s">
        <v>2833</v>
      </c>
      <c r="F339" s="31" t="s">
        <v>50</v>
      </c>
      <c r="G339" s="32" t="s">
        <v>2834</v>
      </c>
      <c r="H339" s="30" t="s">
        <v>91</v>
      </c>
      <c r="I339" s="30" t="s">
        <v>1185</v>
      </c>
      <c r="J339" s="32" t="s">
        <v>1186</v>
      </c>
      <c r="K339" s="30" t="s">
        <v>208</v>
      </c>
      <c r="L339" s="32" t="s">
        <v>209</v>
      </c>
      <c r="M339" s="30" t="s">
        <v>1671</v>
      </c>
      <c r="N339" s="30" t="s">
        <v>1672</v>
      </c>
      <c r="O339" s="33"/>
      <c r="P339" s="33">
        <v>0</v>
      </c>
      <c r="Q339" s="33">
        <v>0</v>
      </c>
      <c r="R339" s="33">
        <v>0</v>
      </c>
      <c r="S339" s="33">
        <v>0</v>
      </c>
      <c r="T339" s="33">
        <v>0</v>
      </c>
      <c r="U339" s="33">
        <v>0</v>
      </c>
      <c r="V339" s="33">
        <v>0</v>
      </c>
      <c r="W339" s="33" t="s">
        <v>50</v>
      </c>
      <c r="X339" s="33">
        <v>1</v>
      </c>
      <c r="Y339" s="30" t="s">
        <v>70</v>
      </c>
      <c r="Z339" s="30" t="s">
        <v>192</v>
      </c>
      <c r="AA339" s="30" t="s">
        <v>192</v>
      </c>
      <c r="AB339" s="30"/>
      <c r="AC339" s="30"/>
      <c r="AD339" s="30" t="s">
        <v>50</v>
      </c>
      <c r="AE339" s="30" t="s">
        <v>50</v>
      </c>
      <c r="AF339" s="30" t="s">
        <v>50</v>
      </c>
      <c r="AG339" s="30" t="s">
        <v>50</v>
      </c>
      <c r="AH339" s="30" t="s">
        <v>50</v>
      </c>
      <c r="AI339" s="30" t="s">
        <v>1673</v>
      </c>
      <c r="AJ339" s="30" t="s">
        <v>50</v>
      </c>
      <c r="AK339" s="30" t="s">
        <v>50</v>
      </c>
      <c r="AL339" s="30" t="s">
        <v>50</v>
      </c>
      <c r="AM339" s="30" t="s">
        <v>50</v>
      </c>
      <c r="AN339" s="30" t="s">
        <v>50</v>
      </c>
      <c r="AO339" s="30" t="s">
        <v>50</v>
      </c>
      <c r="AP339" s="30" t="s">
        <v>50</v>
      </c>
      <c r="AQ339" s="30" t="s">
        <v>50</v>
      </c>
      <c r="AR339" s="30" t="s">
        <v>50</v>
      </c>
      <c r="AS339" s="30" t="s">
        <v>50</v>
      </c>
      <c r="AT339" s="30" t="s">
        <v>299</v>
      </c>
      <c r="AU339" s="30" t="s">
        <v>50</v>
      </c>
      <c r="AV339" s="34">
        <v>167313551321</v>
      </c>
    </row>
    <row r="340" spans="2:48" ht="15" customHeight="1">
      <c r="B340" s="28">
        <v>334</v>
      </c>
      <c r="C340" s="29" t="s">
        <v>2835</v>
      </c>
      <c r="D340" s="30" t="s">
        <v>2836</v>
      </c>
      <c r="E340" s="31" t="s">
        <v>2837</v>
      </c>
      <c r="F340" s="31" t="s">
        <v>2838</v>
      </c>
      <c r="G340" s="32" t="s">
        <v>2839</v>
      </c>
      <c r="H340" s="30" t="s">
        <v>87</v>
      </c>
      <c r="I340" s="30" t="s">
        <v>765</v>
      </c>
      <c r="J340" s="32" t="s">
        <v>766</v>
      </c>
      <c r="K340" s="30" t="s">
        <v>765</v>
      </c>
      <c r="L340" s="32" t="s">
        <v>766</v>
      </c>
      <c r="M340" s="30" t="s">
        <v>1671</v>
      </c>
      <c r="N340" s="30" t="s">
        <v>1672</v>
      </c>
      <c r="O340" s="33"/>
      <c r="P340" s="33">
        <v>1</v>
      </c>
      <c r="Q340" s="33">
        <v>1</v>
      </c>
      <c r="R340" s="33">
        <v>1</v>
      </c>
      <c r="S340" s="33">
        <v>0</v>
      </c>
      <c r="T340" s="33">
        <v>0</v>
      </c>
      <c r="U340" s="33">
        <v>0</v>
      </c>
      <c r="V340" s="33">
        <v>0</v>
      </c>
      <c r="W340" s="33" t="s">
        <v>50</v>
      </c>
      <c r="X340" s="33">
        <v>1</v>
      </c>
      <c r="Y340" s="30" t="s">
        <v>70</v>
      </c>
      <c r="Z340" s="30" t="s">
        <v>192</v>
      </c>
      <c r="AA340" s="30" t="s">
        <v>192</v>
      </c>
      <c r="AB340" s="30"/>
      <c r="AC340" s="30"/>
      <c r="AD340" s="30" t="s">
        <v>50</v>
      </c>
      <c r="AE340" s="30" t="s">
        <v>50</v>
      </c>
      <c r="AF340" s="30" t="s">
        <v>50</v>
      </c>
      <c r="AG340" s="30" t="s">
        <v>50</v>
      </c>
      <c r="AH340" s="30" t="s">
        <v>50</v>
      </c>
      <c r="AI340" s="30" t="s">
        <v>1673</v>
      </c>
      <c r="AJ340" s="30" t="s">
        <v>50</v>
      </c>
      <c r="AK340" s="30" t="s">
        <v>50</v>
      </c>
      <c r="AL340" s="30" t="s">
        <v>50</v>
      </c>
      <c r="AM340" s="30" t="s">
        <v>50</v>
      </c>
      <c r="AN340" s="30" t="s">
        <v>50</v>
      </c>
      <c r="AO340" s="30" t="s">
        <v>50</v>
      </c>
      <c r="AP340" s="30" t="s">
        <v>50</v>
      </c>
      <c r="AQ340" s="30" t="s">
        <v>50</v>
      </c>
      <c r="AR340" s="30" t="s">
        <v>50</v>
      </c>
      <c r="AS340" s="30" t="s">
        <v>50</v>
      </c>
      <c r="AT340" s="30" t="s">
        <v>299</v>
      </c>
      <c r="AU340" s="30" t="s">
        <v>50</v>
      </c>
      <c r="AV340" s="34">
        <v>167311292259</v>
      </c>
    </row>
    <row r="341" spans="2:48" ht="15" customHeight="1">
      <c r="B341" s="28">
        <v>335</v>
      </c>
      <c r="C341" s="29" t="s">
        <v>2840</v>
      </c>
      <c r="D341" s="30" t="s">
        <v>50</v>
      </c>
      <c r="E341" s="31" t="s">
        <v>2531</v>
      </c>
      <c r="F341" s="31" t="s">
        <v>50</v>
      </c>
      <c r="G341" s="32" t="s">
        <v>2841</v>
      </c>
      <c r="H341" s="30" t="s">
        <v>62</v>
      </c>
      <c r="I341" s="30" t="s">
        <v>383</v>
      </c>
      <c r="J341" s="32" t="s">
        <v>384</v>
      </c>
      <c r="K341" s="30" t="s">
        <v>383</v>
      </c>
      <c r="L341" s="32" t="s">
        <v>384</v>
      </c>
      <c r="M341" s="30" t="s">
        <v>1989</v>
      </c>
      <c r="N341" s="30" t="s">
        <v>1672</v>
      </c>
      <c r="O341" s="33"/>
      <c r="P341" s="33">
        <v>279</v>
      </c>
      <c r="Q341" s="33">
        <v>279</v>
      </c>
      <c r="R341" s="33">
        <v>57</v>
      </c>
      <c r="S341" s="33">
        <v>1</v>
      </c>
      <c r="T341" s="33">
        <v>1</v>
      </c>
      <c r="U341" s="33">
        <v>0</v>
      </c>
      <c r="V341" s="33">
        <v>0</v>
      </c>
      <c r="W341" s="33" t="s">
        <v>50</v>
      </c>
      <c r="X341" s="33">
        <v>4</v>
      </c>
      <c r="Y341" s="30" t="s">
        <v>64</v>
      </c>
      <c r="Z341" s="30" t="s">
        <v>222</v>
      </c>
      <c r="AA341" s="30" t="s">
        <v>222</v>
      </c>
      <c r="AB341" s="30" t="s">
        <v>1315</v>
      </c>
      <c r="AC341" s="30">
        <v>65</v>
      </c>
      <c r="AD341" s="30" t="s">
        <v>1325</v>
      </c>
      <c r="AE341" s="30" t="s">
        <v>869</v>
      </c>
      <c r="AF341" s="30" t="s">
        <v>50</v>
      </c>
      <c r="AG341" s="30" t="s">
        <v>50</v>
      </c>
      <c r="AH341" s="30" t="s">
        <v>50</v>
      </c>
      <c r="AI341" s="30" t="s">
        <v>1673</v>
      </c>
      <c r="AJ341" s="30" t="s">
        <v>187</v>
      </c>
      <c r="AK341" s="30" t="s">
        <v>2842</v>
      </c>
      <c r="AL341" s="30" t="s">
        <v>386</v>
      </c>
      <c r="AM341" s="30" t="s">
        <v>50</v>
      </c>
      <c r="AN341" s="30" t="s">
        <v>50</v>
      </c>
      <c r="AO341" s="30" t="s">
        <v>50</v>
      </c>
      <c r="AP341" s="30" t="s">
        <v>50</v>
      </c>
      <c r="AQ341" s="30" t="s">
        <v>50</v>
      </c>
      <c r="AR341" s="30" t="s">
        <v>50</v>
      </c>
      <c r="AS341" s="30" t="s">
        <v>50</v>
      </c>
      <c r="AT341" s="30" t="s">
        <v>299</v>
      </c>
      <c r="AU341" s="30" t="s">
        <v>50</v>
      </c>
      <c r="AV341" s="34">
        <v>167295915243</v>
      </c>
    </row>
    <row r="342" spans="2:48" ht="15" customHeight="1">
      <c r="B342" s="28">
        <v>336</v>
      </c>
      <c r="C342" s="29" t="s">
        <v>2843</v>
      </c>
      <c r="D342" s="30" t="s">
        <v>50</v>
      </c>
      <c r="E342" s="31" t="s">
        <v>2844</v>
      </c>
      <c r="F342" s="31" t="s">
        <v>50</v>
      </c>
      <c r="G342" s="32" t="s">
        <v>2845</v>
      </c>
      <c r="H342" s="30" t="s">
        <v>73</v>
      </c>
      <c r="I342" s="30" t="s">
        <v>1096</v>
      </c>
      <c r="J342" s="32" t="s">
        <v>1097</v>
      </c>
      <c r="K342" s="30" t="s">
        <v>240</v>
      </c>
      <c r="L342" s="32" t="s">
        <v>804</v>
      </c>
      <c r="M342" s="30" t="s">
        <v>1697</v>
      </c>
      <c r="N342" s="30" t="s">
        <v>1672</v>
      </c>
      <c r="O342" s="33"/>
      <c r="P342" s="33">
        <v>0</v>
      </c>
      <c r="Q342" s="33">
        <v>0</v>
      </c>
      <c r="R342" s="33" t="s">
        <v>158</v>
      </c>
      <c r="S342" s="33">
        <v>0</v>
      </c>
      <c r="T342" s="33" t="s">
        <v>158</v>
      </c>
      <c r="U342" s="33" t="s">
        <v>158</v>
      </c>
      <c r="V342" s="33" t="s">
        <v>158</v>
      </c>
      <c r="W342" s="33" t="s">
        <v>50</v>
      </c>
      <c r="X342" s="33">
        <v>1</v>
      </c>
      <c r="Y342" s="30" t="s">
        <v>75</v>
      </c>
      <c r="Z342" s="30" t="s">
        <v>192</v>
      </c>
      <c r="AA342" s="30" t="s">
        <v>192</v>
      </c>
      <c r="AB342" s="30" t="s">
        <v>1315</v>
      </c>
      <c r="AC342" s="30"/>
      <c r="AD342" s="30" t="s">
        <v>50</v>
      </c>
      <c r="AE342" s="30" t="s">
        <v>50</v>
      </c>
      <c r="AF342" s="30" t="s">
        <v>50</v>
      </c>
      <c r="AG342" s="30" t="s">
        <v>50</v>
      </c>
      <c r="AH342" s="30" t="s">
        <v>50</v>
      </c>
      <c r="AI342" s="30" t="s">
        <v>1673</v>
      </c>
      <c r="AJ342" s="30" t="s">
        <v>50</v>
      </c>
      <c r="AK342" s="30" t="s">
        <v>50</v>
      </c>
      <c r="AL342" s="30" t="s">
        <v>50</v>
      </c>
      <c r="AM342" s="30" t="s">
        <v>50</v>
      </c>
      <c r="AN342" s="30" t="s">
        <v>1681</v>
      </c>
      <c r="AO342" s="30" t="s">
        <v>50</v>
      </c>
      <c r="AP342" s="30" t="s">
        <v>50</v>
      </c>
      <c r="AQ342" s="30" t="s">
        <v>50</v>
      </c>
      <c r="AR342" s="30" t="s">
        <v>50</v>
      </c>
      <c r="AS342" s="30" t="s">
        <v>50</v>
      </c>
      <c r="AT342" s="30" t="s">
        <v>1792</v>
      </c>
      <c r="AU342" s="30" t="s">
        <v>50</v>
      </c>
      <c r="AV342" s="34">
        <v>167361657926</v>
      </c>
    </row>
    <row r="343" spans="2:48" ht="15" customHeight="1">
      <c r="B343" s="28">
        <v>337</v>
      </c>
      <c r="C343" s="29" t="s">
        <v>2846</v>
      </c>
      <c r="D343" s="30" t="s">
        <v>50</v>
      </c>
      <c r="E343" s="31" t="s">
        <v>2847</v>
      </c>
      <c r="F343" s="31" t="s">
        <v>50</v>
      </c>
      <c r="G343" s="32" t="s">
        <v>2848</v>
      </c>
      <c r="H343" s="30" t="s">
        <v>62</v>
      </c>
      <c r="I343" s="30" t="s">
        <v>693</v>
      </c>
      <c r="J343" s="32" t="s">
        <v>694</v>
      </c>
      <c r="K343" s="30" t="s">
        <v>693</v>
      </c>
      <c r="L343" s="32" t="s">
        <v>694</v>
      </c>
      <c r="M343" s="30" t="s">
        <v>1671</v>
      </c>
      <c r="N343" s="30" t="s">
        <v>1672</v>
      </c>
      <c r="O343" s="33"/>
      <c r="P343" s="33">
        <v>112</v>
      </c>
      <c r="Q343" s="33">
        <v>112</v>
      </c>
      <c r="R343" s="33">
        <v>23</v>
      </c>
      <c r="S343" s="33">
        <v>0</v>
      </c>
      <c r="T343" s="33">
        <v>0</v>
      </c>
      <c r="U343" s="33">
        <v>0</v>
      </c>
      <c r="V343" s="33">
        <v>0</v>
      </c>
      <c r="W343" s="33" t="s">
        <v>50</v>
      </c>
      <c r="X343" s="33">
        <v>1</v>
      </c>
      <c r="Y343" s="30" t="s">
        <v>64</v>
      </c>
      <c r="Z343" s="30" t="s">
        <v>186</v>
      </c>
      <c r="AA343" s="30" t="s">
        <v>186</v>
      </c>
      <c r="AB343" s="30"/>
      <c r="AC343" s="30"/>
      <c r="AD343" s="30" t="s">
        <v>50</v>
      </c>
      <c r="AE343" s="30" t="s">
        <v>50</v>
      </c>
      <c r="AF343" s="30" t="s">
        <v>50</v>
      </c>
      <c r="AG343" s="30" t="s">
        <v>50</v>
      </c>
      <c r="AH343" s="30" t="s">
        <v>50</v>
      </c>
      <c r="AI343" s="30" t="s">
        <v>1673</v>
      </c>
      <c r="AJ343" s="30" t="s">
        <v>50</v>
      </c>
      <c r="AK343" s="30" t="s">
        <v>50</v>
      </c>
      <c r="AL343" s="30" t="s">
        <v>50</v>
      </c>
      <c r="AM343" s="30" t="s">
        <v>50</v>
      </c>
      <c r="AN343" s="30" t="s">
        <v>50</v>
      </c>
      <c r="AO343" s="30" t="s">
        <v>50</v>
      </c>
      <c r="AP343" s="30" t="s">
        <v>50</v>
      </c>
      <c r="AQ343" s="30" t="s">
        <v>50</v>
      </c>
      <c r="AR343" s="30" t="s">
        <v>50</v>
      </c>
      <c r="AS343" s="30" t="s">
        <v>50</v>
      </c>
      <c r="AT343" s="30" t="s">
        <v>1682</v>
      </c>
      <c r="AU343" s="30" t="s">
        <v>50</v>
      </c>
      <c r="AV343" s="34">
        <v>167290698921</v>
      </c>
    </row>
    <row r="344" spans="2:48" ht="15" customHeight="1">
      <c r="B344" s="28">
        <v>338</v>
      </c>
      <c r="C344" s="29" t="s">
        <v>2849</v>
      </c>
      <c r="D344" s="30" t="s">
        <v>50</v>
      </c>
      <c r="E344" s="31" t="s">
        <v>2850</v>
      </c>
      <c r="F344" s="31" t="s">
        <v>50</v>
      </c>
      <c r="G344" s="32" t="s">
        <v>2851</v>
      </c>
      <c r="H344" s="30" t="s">
        <v>65</v>
      </c>
      <c r="I344" s="30" t="s">
        <v>865</v>
      </c>
      <c r="J344" s="32" t="s">
        <v>2105</v>
      </c>
      <c r="K344" s="30" t="s">
        <v>502</v>
      </c>
      <c r="L344" s="32" t="s">
        <v>2852</v>
      </c>
      <c r="M344" s="30" t="s">
        <v>1697</v>
      </c>
      <c r="N344" s="30" t="s">
        <v>1672</v>
      </c>
      <c r="O344" s="33">
        <v>5</v>
      </c>
      <c r="P344" s="33">
        <v>5845</v>
      </c>
      <c r="Q344" s="33">
        <v>0</v>
      </c>
      <c r="R344" s="33">
        <v>0</v>
      </c>
      <c r="S344" s="33">
        <v>0</v>
      </c>
      <c r="T344" s="33">
        <v>0</v>
      </c>
      <c r="U344" s="33">
        <v>0</v>
      </c>
      <c r="V344" s="33">
        <v>0</v>
      </c>
      <c r="W344" s="33" t="s">
        <v>50</v>
      </c>
      <c r="X344" s="33">
        <v>1</v>
      </c>
      <c r="Y344" s="30" t="s">
        <v>80</v>
      </c>
      <c r="Z344" s="30" t="s">
        <v>186</v>
      </c>
      <c r="AA344" s="30" t="s">
        <v>192</v>
      </c>
      <c r="AB344" s="30" t="s">
        <v>1316</v>
      </c>
      <c r="AC344" s="30"/>
      <c r="AD344" s="30" t="s">
        <v>50</v>
      </c>
      <c r="AE344" s="30" t="s">
        <v>50</v>
      </c>
      <c r="AF344" s="30" t="s">
        <v>50</v>
      </c>
      <c r="AG344" s="30" t="s">
        <v>50</v>
      </c>
      <c r="AH344" s="30" t="s">
        <v>50</v>
      </c>
      <c r="AI344" s="30" t="s">
        <v>1673</v>
      </c>
      <c r="AJ344" s="30" t="s">
        <v>187</v>
      </c>
      <c r="AK344" s="30" t="s">
        <v>2701</v>
      </c>
      <c r="AL344" s="30" t="s">
        <v>50</v>
      </c>
      <c r="AM344" s="30" t="s">
        <v>50</v>
      </c>
      <c r="AN344" s="30" t="s">
        <v>1681</v>
      </c>
      <c r="AO344" s="30" t="s">
        <v>50</v>
      </c>
      <c r="AP344" s="30" t="s">
        <v>50</v>
      </c>
      <c r="AQ344" s="30" t="s">
        <v>50</v>
      </c>
      <c r="AR344" s="30" t="s">
        <v>50</v>
      </c>
      <c r="AS344" s="30" t="s">
        <v>50</v>
      </c>
      <c r="AT344" s="30" t="s">
        <v>2749</v>
      </c>
      <c r="AU344" s="30" t="s">
        <v>50</v>
      </c>
      <c r="AV344" s="34">
        <v>167290270409</v>
      </c>
    </row>
    <row r="345" spans="2:48" ht="15" customHeight="1">
      <c r="B345" s="28">
        <v>339</v>
      </c>
      <c r="C345" s="29" t="s">
        <v>2853</v>
      </c>
      <c r="D345" s="30" t="s">
        <v>50</v>
      </c>
      <c r="E345" s="31" t="s">
        <v>2854</v>
      </c>
      <c r="F345" s="31" t="s">
        <v>50</v>
      </c>
      <c r="G345" s="32" t="s">
        <v>2855</v>
      </c>
      <c r="H345" s="30" t="s">
        <v>62</v>
      </c>
      <c r="I345" s="30" t="s">
        <v>850</v>
      </c>
      <c r="J345" s="32" t="s">
        <v>851</v>
      </c>
      <c r="K345" s="30" t="s">
        <v>335</v>
      </c>
      <c r="L345" s="32" t="s">
        <v>337</v>
      </c>
      <c r="M345" s="30" t="s">
        <v>1697</v>
      </c>
      <c r="N345" s="30" t="s">
        <v>1672</v>
      </c>
      <c r="O345" s="33">
        <v>1</v>
      </c>
      <c r="P345" s="33">
        <v>66107</v>
      </c>
      <c r="Q345" s="33">
        <v>0</v>
      </c>
      <c r="R345" s="33">
        <v>0</v>
      </c>
      <c r="S345" s="33">
        <v>0</v>
      </c>
      <c r="T345" s="33">
        <v>0</v>
      </c>
      <c r="U345" s="33">
        <v>0</v>
      </c>
      <c r="V345" s="33">
        <v>0</v>
      </c>
      <c r="W345" s="33" t="s">
        <v>50</v>
      </c>
      <c r="X345" s="33">
        <v>1</v>
      </c>
      <c r="Y345" s="30" t="s">
        <v>64</v>
      </c>
      <c r="Z345" s="30" t="s">
        <v>186</v>
      </c>
      <c r="AA345" s="30" t="s">
        <v>222</v>
      </c>
      <c r="AB345" s="30" t="s">
        <v>1316</v>
      </c>
      <c r="AC345" s="30">
        <v>39</v>
      </c>
      <c r="AD345" s="30" t="s">
        <v>50</v>
      </c>
      <c r="AE345" s="30" t="s">
        <v>50</v>
      </c>
      <c r="AF345" s="30" t="s">
        <v>50</v>
      </c>
      <c r="AG345" s="30" t="s">
        <v>50</v>
      </c>
      <c r="AH345" s="30" t="s">
        <v>50</v>
      </c>
      <c r="AI345" s="30" t="s">
        <v>1673</v>
      </c>
      <c r="AJ345" s="30" t="s">
        <v>187</v>
      </c>
      <c r="AK345" s="30" t="s">
        <v>2701</v>
      </c>
      <c r="AL345" s="30" t="s">
        <v>339</v>
      </c>
      <c r="AM345" s="30" t="s">
        <v>50</v>
      </c>
      <c r="AN345" s="30" t="s">
        <v>1681</v>
      </c>
      <c r="AO345" s="30" t="s">
        <v>50</v>
      </c>
      <c r="AP345" s="30" t="s">
        <v>50</v>
      </c>
      <c r="AQ345" s="30" t="s">
        <v>50</v>
      </c>
      <c r="AR345" s="30" t="s">
        <v>50</v>
      </c>
      <c r="AS345" s="30" t="s">
        <v>50</v>
      </c>
      <c r="AT345" s="30" t="s">
        <v>299</v>
      </c>
      <c r="AU345" s="30" t="s">
        <v>50</v>
      </c>
      <c r="AV345" s="34">
        <v>167287706761</v>
      </c>
    </row>
    <row r="346" spans="2:48" ht="15" customHeight="1">
      <c r="B346" s="28">
        <v>340</v>
      </c>
      <c r="C346" s="29" t="s">
        <v>2856</v>
      </c>
      <c r="D346" s="30" t="s">
        <v>50</v>
      </c>
      <c r="E346" s="31" t="s">
        <v>2857</v>
      </c>
      <c r="F346" s="31" t="s">
        <v>50</v>
      </c>
      <c r="G346" s="32" t="s">
        <v>2858</v>
      </c>
      <c r="H346" s="30" t="s">
        <v>62</v>
      </c>
      <c r="I346" s="30" t="s">
        <v>856</v>
      </c>
      <c r="J346" s="32" t="s">
        <v>857</v>
      </c>
      <c r="K346" s="30" t="s">
        <v>663</v>
      </c>
      <c r="L346" s="32" t="s">
        <v>664</v>
      </c>
      <c r="M346" s="30" t="s">
        <v>1697</v>
      </c>
      <c r="N346" s="30" t="s">
        <v>1679</v>
      </c>
      <c r="O346" s="33">
        <v>2</v>
      </c>
      <c r="P346" s="33">
        <v>28057</v>
      </c>
      <c r="Q346" s="33">
        <v>0</v>
      </c>
      <c r="R346" s="33">
        <v>0</v>
      </c>
      <c r="S346" s="33">
        <v>0</v>
      </c>
      <c r="T346" s="33">
        <v>0</v>
      </c>
      <c r="U346" s="33">
        <v>0</v>
      </c>
      <c r="V346" s="33">
        <v>0</v>
      </c>
      <c r="W346" s="33" t="s">
        <v>50</v>
      </c>
      <c r="X346" s="33">
        <v>1</v>
      </c>
      <c r="Y346" s="30" t="s">
        <v>64</v>
      </c>
      <c r="Z346" s="30" t="s">
        <v>186</v>
      </c>
      <c r="AA346" s="30" t="s">
        <v>222</v>
      </c>
      <c r="AB346" s="30" t="s">
        <v>1316</v>
      </c>
      <c r="AC346" s="30">
        <v>36</v>
      </c>
      <c r="AD346" s="30" t="s">
        <v>50</v>
      </c>
      <c r="AE346" s="30" t="s">
        <v>50</v>
      </c>
      <c r="AF346" s="30" t="s">
        <v>50</v>
      </c>
      <c r="AG346" s="30" t="s">
        <v>50</v>
      </c>
      <c r="AH346" s="30" t="s">
        <v>50</v>
      </c>
      <c r="AI346" s="30" t="s">
        <v>1673</v>
      </c>
      <c r="AJ346" s="30" t="s">
        <v>50</v>
      </c>
      <c r="AK346" s="30" t="s">
        <v>50</v>
      </c>
      <c r="AL346" s="30" t="s">
        <v>50</v>
      </c>
      <c r="AM346" s="30" t="s">
        <v>50</v>
      </c>
      <c r="AN346" s="30" t="s">
        <v>1681</v>
      </c>
      <c r="AO346" s="30" t="s">
        <v>50</v>
      </c>
      <c r="AP346" s="30" t="s">
        <v>50</v>
      </c>
      <c r="AQ346" s="30" t="s">
        <v>50</v>
      </c>
      <c r="AR346" s="30" t="s">
        <v>50</v>
      </c>
      <c r="AS346" s="30" t="s">
        <v>50</v>
      </c>
      <c r="AT346" s="30" t="s">
        <v>299</v>
      </c>
      <c r="AU346" s="30" t="s">
        <v>50</v>
      </c>
      <c r="AV346" s="34">
        <v>167287611849</v>
      </c>
    </row>
    <row r="347" spans="2:48" ht="15" customHeight="1">
      <c r="B347" s="28">
        <v>341</v>
      </c>
      <c r="C347" s="29" t="s">
        <v>2859</v>
      </c>
      <c r="D347" s="30" t="s">
        <v>50</v>
      </c>
      <c r="E347" s="31" t="s">
        <v>2860</v>
      </c>
      <c r="F347" s="31" t="s">
        <v>50</v>
      </c>
      <c r="G347" s="32" t="s">
        <v>2861</v>
      </c>
      <c r="H347" s="30" t="s">
        <v>68</v>
      </c>
      <c r="I347" s="30" t="s">
        <v>923</v>
      </c>
      <c r="J347" s="32" t="s">
        <v>924</v>
      </c>
      <c r="K347" s="30" t="s">
        <v>225</v>
      </c>
      <c r="L347" s="32" t="s">
        <v>226</v>
      </c>
      <c r="M347" s="30" t="s">
        <v>1697</v>
      </c>
      <c r="N347" s="30" t="s">
        <v>1679</v>
      </c>
      <c r="O347" s="33"/>
      <c r="P347" s="33">
        <v>258004</v>
      </c>
      <c r="Q347" s="33">
        <v>0</v>
      </c>
      <c r="R347" s="33">
        <v>0</v>
      </c>
      <c r="S347" s="33">
        <v>0</v>
      </c>
      <c r="T347" s="33">
        <v>0</v>
      </c>
      <c r="U347" s="33">
        <v>0</v>
      </c>
      <c r="V347" s="33">
        <v>0</v>
      </c>
      <c r="W347" s="33" t="s">
        <v>50</v>
      </c>
      <c r="X347" s="33">
        <v>1</v>
      </c>
      <c r="Y347" s="30" t="s">
        <v>70</v>
      </c>
      <c r="Z347" s="30" t="s">
        <v>192</v>
      </c>
      <c r="AA347" s="30" t="s">
        <v>192</v>
      </c>
      <c r="AB347" s="30"/>
      <c r="AC347" s="30"/>
      <c r="AD347" s="30" t="s">
        <v>50</v>
      </c>
      <c r="AE347" s="30" t="s">
        <v>50</v>
      </c>
      <c r="AF347" s="30" t="s">
        <v>50</v>
      </c>
      <c r="AG347" s="30" t="s">
        <v>50</v>
      </c>
      <c r="AH347" s="30" t="s">
        <v>50</v>
      </c>
      <c r="AI347" s="30" t="s">
        <v>1673</v>
      </c>
      <c r="AJ347" s="30" t="s">
        <v>50</v>
      </c>
      <c r="AK347" s="30" t="s">
        <v>50</v>
      </c>
      <c r="AL347" s="30" t="s">
        <v>50</v>
      </c>
      <c r="AM347" s="30" t="s">
        <v>50</v>
      </c>
      <c r="AN347" s="30" t="s">
        <v>1681</v>
      </c>
      <c r="AO347" s="30" t="s">
        <v>50</v>
      </c>
      <c r="AP347" s="30" t="s">
        <v>50</v>
      </c>
      <c r="AQ347" s="30" t="s">
        <v>50</v>
      </c>
      <c r="AR347" s="30" t="s">
        <v>50</v>
      </c>
      <c r="AS347" s="30" t="s">
        <v>50</v>
      </c>
      <c r="AT347" s="30" t="s">
        <v>299</v>
      </c>
      <c r="AU347" s="30" t="s">
        <v>50</v>
      </c>
      <c r="AV347" s="34">
        <v>167287063951</v>
      </c>
    </row>
    <row r="348" spans="2:48" ht="15" customHeight="1">
      <c r="B348" s="28">
        <v>342</v>
      </c>
      <c r="C348" s="29" t="s">
        <v>2862</v>
      </c>
      <c r="D348" s="30" t="s">
        <v>50</v>
      </c>
      <c r="E348" s="31" t="s">
        <v>2863</v>
      </c>
      <c r="F348" s="31" t="s">
        <v>50</v>
      </c>
      <c r="G348" s="32" t="s">
        <v>2864</v>
      </c>
      <c r="H348" s="30" t="s">
        <v>68</v>
      </c>
      <c r="I348" s="30" t="s">
        <v>1204</v>
      </c>
      <c r="J348" s="32" t="s">
        <v>1205</v>
      </c>
      <c r="K348" s="30" t="s">
        <v>204</v>
      </c>
      <c r="L348" s="32" t="s">
        <v>205</v>
      </c>
      <c r="M348" s="30" t="s">
        <v>1697</v>
      </c>
      <c r="N348" s="30" t="s">
        <v>1672</v>
      </c>
      <c r="O348" s="33"/>
      <c r="P348" s="33">
        <v>709705</v>
      </c>
      <c r="Q348" s="33">
        <v>1</v>
      </c>
      <c r="R348" s="33">
        <v>0</v>
      </c>
      <c r="S348" s="33">
        <v>8</v>
      </c>
      <c r="T348" s="33">
        <v>8</v>
      </c>
      <c r="U348" s="33">
        <v>0</v>
      </c>
      <c r="V348" s="33">
        <v>0</v>
      </c>
      <c r="W348" s="33" t="s">
        <v>50</v>
      </c>
      <c r="X348" s="33">
        <v>1</v>
      </c>
      <c r="Y348" s="30" t="s">
        <v>70</v>
      </c>
      <c r="Z348" s="30" t="s">
        <v>192</v>
      </c>
      <c r="AA348" s="30" t="s">
        <v>192</v>
      </c>
      <c r="AB348" s="30"/>
      <c r="AC348" s="30"/>
      <c r="AD348" s="30" t="s">
        <v>50</v>
      </c>
      <c r="AE348" s="30" t="s">
        <v>50</v>
      </c>
      <c r="AF348" s="30" t="s">
        <v>50</v>
      </c>
      <c r="AG348" s="30" t="s">
        <v>50</v>
      </c>
      <c r="AH348" s="30" t="s">
        <v>50</v>
      </c>
      <c r="AI348" s="30" t="s">
        <v>1673</v>
      </c>
      <c r="AJ348" s="30" t="s">
        <v>50</v>
      </c>
      <c r="AK348" s="30" t="s">
        <v>50</v>
      </c>
      <c r="AL348" s="30" t="s">
        <v>50</v>
      </c>
      <c r="AM348" s="30" t="s">
        <v>50</v>
      </c>
      <c r="AN348" s="30" t="s">
        <v>1681</v>
      </c>
      <c r="AO348" s="30" t="s">
        <v>50</v>
      </c>
      <c r="AP348" s="30" t="s">
        <v>50</v>
      </c>
      <c r="AQ348" s="30" t="s">
        <v>50</v>
      </c>
      <c r="AR348" s="30" t="s">
        <v>50</v>
      </c>
      <c r="AS348" s="30" t="s">
        <v>50</v>
      </c>
      <c r="AT348" s="30" t="s">
        <v>299</v>
      </c>
      <c r="AU348" s="30" t="s">
        <v>50</v>
      </c>
      <c r="AV348" s="34">
        <v>167286820308</v>
      </c>
    </row>
    <row r="349" spans="2:48" ht="15" customHeight="1">
      <c r="B349" s="28">
        <v>343</v>
      </c>
      <c r="C349" s="29" t="s">
        <v>2865</v>
      </c>
      <c r="D349" s="30" t="s">
        <v>50</v>
      </c>
      <c r="E349" s="31" t="s">
        <v>2866</v>
      </c>
      <c r="F349" s="31" t="s">
        <v>50</v>
      </c>
      <c r="G349" s="32" t="s">
        <v>2867</v>
      </c>
      <c r="H349" s="30" t="s">
        <v>62</v>
      </c>
      <c r="I349" s="30" t="s">
        <v>856</v>
      </c>
      <c r="J349" s="32" t="s">
        <v>857</v>
      </c>
      <c r="K349" s="30" t="s">
        <v>419</v>
      </c>
      <c r="L349" s="32" t="s">
        <v>421</v>
      </c>
      <c r="M349" s="30" t="s">
        <v>1697</v>
      </c>
      <c r="N349" s="30" t="s">
        <v>1679</v>
      </c>
      <c r="O349" s="33">
        <v>2</v>
      </c>
      <c r="P349" s="33">
        <v>23910</v>
      </c>
      <c r="Q349" s="33">
        <v>0</v>
      </c>
      <c r="R349" s="33">
        <v>0</v>
      </c>
      <c r="S349" s="33">
        <v>0</v>
      </c>
      <c r="T349" s="33">
        <v>0</v>
      </c>
      <c r="U349" s="33">
        <v>0</v>
      </c>
      <c r="V349" s="33">
        <v>0</v>
      </c>
      <c r="W349" s="33" t="s">
        <v>50</v>
      </c>
      <c r="X349" s="33">
        <v>1</v>
      </c>
      <c r="Y349" s="30" t="s">
        <v>64</v>
      </c>
      <c r="Z349" s="30" t="s">
        <v>186</v>
      </c>
      <c r="AA349" s="30" t="s">
        <v>222</v>
      </c>
      <c r="AB349" s="30" t="s">
        <v>1316</v>
      </c>
      <c r="AC349" s="30">
        <v>36</v>
      </c>
      <c r="AD349" s="30" t="s">
        <v>50</v>
      </c>
      <c r="AE349" s="30" t="s">
        <v>50</v>
      </c>
      <c r="AF349" s="30" t="s">
        <v>50</v>
      </c>
      <c r="AG349" s="30" t="s">
        <v>50</v>
      </c>
      <c r="AH349" s="30" t="s">
        <v>50</v>
      </c>
      <c r="AI349" s="30" t="s">
        <v>1673</v>
      </c>
      <c r="AJ349" s="30" t="s">
        <v>187</v>
      </c>
      <c r="AK349" s="30" t="s">
        <v>189</v>
      </c>
      <c r="AL349" s="30" t="s">
        <v>189</v>
      </c>
      <c r="AM349" s="30" t="s">
        <v>50</v>
      </c>
      <c r="AN349" s="30" t="s">
        <v>1681</v>
      </c>
      <c r="AO349" s="30" t="s">
        <v>50</v>
      </c>
      <c r="AP349" s="30" t="s">
        <v>50</v>
      </c>
      <c r="AQ349" s="30" t="s">
        <v>50</v>
      </c>
      <c r="AR349" s="30" t="s">
        <v>50</v>
      </c>
      <c r="AS349" s="30" t="s">
        <v>50</v>
      </c>
      <c r="AT349" s="30" t="s">
        <v>299</v>
      </c>
      <c r="AU349" s="30" t="s">
        <v>50</v>
      </c>
      <c r="AV349" s="34">
        <v>167286273926</v>
      </c>
    </row>
    <row r="350" spans="2:48" ht="15" customHeight="1">
      <c r="B350" s="28">
        <v>344</v>
      </c>
      <c r="C350" s="29" t="s">
        <v>2868</v>
      </c>
      <c r="D350" s="30" t="s">
        <v>50</v>
      </c>
      <c r="E350" s="31" t="s">
        <v>2869</v>
      </c>
      <c r="F350" s="31" t="s">
        <v>50</v>
      </c>
      <c r="G350" s="32" t="s">
        <v>2870</v>
      </c>
      <c r="H350" s="30" t="s">
        <v>62</v>
      </c>
      <c r="I350" s="30" t="s">
        <v>853</v>
      </c>
      <c r="J350" s="32" t="s">
        <v>854</v>
      </c>
      <c r="K350" s="30" t="s">
        <v>183</v>
      </c>
      <c r="L350" s="32" t="s">
        <v>185</v>
      </c>
      <c r="M350" s="30" t="s">
        <v>1697</v>
      </c>
      <c r="N350" s="30" t="s">
        <v>1672</v>
      </c>
      <c r="O350" s="33">
        <v>1</v>
      </c>
      <c r="P350" s="33">
        <v>3129</v>
      </c>
      <c r="Q350" s="33">
        <v>303</v>
      </c>
      <c r="R350" s="33">
        <v>0</v>
      </c>
      <c r="S350" s="33">
        <v>0</v>
      </c>
      <c r="T350" s="33">
        <v>0</v>
      </c>
      <c r="U350" s="33">
        <v>0</v>
      </c>
      <c r="V350" s="33">
        <v>0</v>
      </c>
      <c r="W350" s="33" t="s">
        <v>50</v>
      </c>
      <c r="X350" s="33">
        <v>1</v>
      </c>
      <c r="Y350" s="30" t="s">
        <v>64</v>
      </c>
      <c r="Z350" s="30" t="s">
        <v>186</v>
      </c>
      <c r="AA350" s="30" t="s">
        <v>222</v>
      </c>
      <c r="AB350" s="30" t="s">
        <v>1315</v>
      </c>
      <c r="AC350" s="30"/>
      <c r="AD350" s="30" t="s">
        <v>50</v>
      </c>
      <c r="AE350" s="30" t="s">
        <v>50</v>
      </c>
      <c r="AF350" s="30" t="s">
        <v>50</v>
      </c>
      <c r="AG350" s="30" t="s">
        <v>50</v>
      </c>
      <c r="AH350" s="30" t="s">
        <v>50</v>
      </c>
      <c r="AI350" s="30" t="s">
        <v>1673</v>
      </c>
      <c r="AJ350" s="30" t="s">
        <v>187</v>
      </c>
      <c r="AK350" s="30" t="s">
        <v>189</v>
      </c>
      <c r="AL350" s="30" t="s">
        <v>189</v>
      </c>
      <c r="AM350" s="30" t="s">
        <v>50</v>
      </c>
      <c r="AN350" s="30" t="s">
        <v>1681</v>
      </c>
      <c r="AO350" s="30" t="s">
        <v>50</v>
      </c>
      <c r="AP350" s="30" t="s">
        <v>50</v>
      </c>
      <c r="AQ350" s="30" t="s">
        <v>50</v>
      </c>
      <c r="AR350" s="30" t="s">
        <v>50</v>
      </c>
      <c r="AS350" s="30" t="s">
        <v>50</v>
      </c>
      <c r="AT350" s="30" t="s">
        <v>1682</v>
      </c>
      <c r="AU350" s="30" t="s">
        <v>50</v>
      </c>
      <c r="AV350" s="34">
        <v>167264906859</v>
      </c>
    </row>
    <row r="351" spans="2:48" ht="15" customHeight="1">
      <c r="B351" s="28">
        <v>345</v>
      </c>
      <c r="C351" s="29" t="s">
        <v>2871</v>
      </c>
      <c r="D351" s="30" t="s">
        <v>50</v>
      </c>
      <c r="E351" s="31" t="s">
        <v>50</v>
      </c>
      <c r="F351" s="31" t="s">
        <v>2872</v>
      </c>
      <c r="G351" s="32" t="s">
        <v>2873</v>
      </c>
      <c r="H351" s="30" t="s">
        <v>65</v>
      </c>
      <c r="I351" s="30" t="s">
        <v>672</v>
      </c>
      <c r="J351" s="32" t="s">
        <v>2874</v>
      </c>
      <c r="K351" s="30" t="s">
        <v>672</v>
      </c>
      <c r="L351" s="32" t="s">
        <v>2874</v>
      </c>
      <c r="M351" s="30" t="s">
        <v>1671</v>
      </c>
      <c r="N351" s="30" t="s">
        <v>1672</v>
      </c>
      <c r="O351" s="33"/>
      <c r="P351" s="33">
        <v>191</v>
      </c>
      <c r="Q351" s="33">
        <v>191</v>
      </c>
      <c r="R351" s="33">
        <v>97</v>
      </c>
      <c r="S351" s="33">
        <v>0</v>
      </c>
      <c r="T351" s="33">
        <v>0</v>
      </c>
      <c r="U351" s="33">
        <v>0</v>
      </c>
      <c r="V351" s="33">
        <v>0</v>
      </c>
      <c r="W351" s="33" t="s">
        <v>50</v>
      </c>
      <c r="X351" s="33">
        <v>1</v>
      </c>
      <c r="Y351" s="30" t="s">
        <v>67</v>
      </c>
      <c r="Z351" s="30" t="s">
        <v>186</v>
      </c>
      <c r="AA351" s="30" t="s">
        <v>186</v>
      </c>
      <c r="AB351" s="30"/>
      <c r="AC351" s="30"/>
      <c r="AD351" s="30" t="s">
        <v>50</v>
      </c>
      <c r="AE351" s="30" t="s">
        <v>50</v>
      </c>
      <c r="AF351" s="30" t="s">
        <v>50</v>
      </c>
      <c r="AG351" s="30" t="s">
        <v>50</v>
      </c>
      <c r="AH351" s="30" t="s">
        <v>50</v>
      </c>
      <c r="AI351" s="30" t="s">
        <v>50</v>
      </c>
      <c r="AJ351" s="30" t="s">
        <v>50</v>
      </c>
      <c r="AK351" s="30" t="s">
        <v>50</v>
      </c>
      <c r="AL351" s="30" t="s">
        <v>50</v>
      </c>
      <c r="AM351" s="30" t="s">
        <v>50</v>
      </c>
      <c r="AN351" s="30" t="s">
        <v>50</v>
      </c>
      <c r="AO351" s="30" t="s">
        <v>50</v>
      </c>
      <c r="AP351" s="30" t="s">
        <v>50</v>
      </c>
      <c r="AQ351" s="30" t="s">
        <v>50</v>
      </c>
      <c r="AR351" s="30" t="s">
        <v>50</v>
      </c>
      <c r="AS351" s="30" t="s">
        <v>50</v>
      </c>
      <c r="AT351" s="30" t="s">
        <v>1682</v>
      </c>
      <c r="AU351" s="30" t="s">
        <v>50</v>
      </c>
      <c r="AV351" s="34">
        <v>167267176697</v>
      </c>
    </row>
    <row r="352" spans="2:48" ht="15" customHeight="1">
      <c r="B352" s="28">
        <v>346</v>
      </c>
      <c r="C352" s="29" t="s">
        <v>2875</v>
      </c>
      <c r="D352" s="30" t="s">
        <v>50</v>
      </c>
      <c r="E352" s="31" t="s">
        <v>2876</v>
      </c>
      <c r="F352" s="31" t="s">
        <v>50</v>
      </c>
      <c r="G352" s="32" t="s">
        <v>2877</v>
      </c>
      <c r="H352" s="30" t="s">
        <v>62</v>
      </c>
      <c r="I352" s="30" t="s">
        <v>929</v>
      </c>
      <c r="J352" s="32" t="s">
        <v>930</v>
      </c>
      <c r="K352" s="30" t="s">
        <v>762</v>
      </c>
      <c r="L352" s="32" t="s">
        <v>763</v>
      </c>
      <c r="M352" s="30" t="s">
        <v>1697</v>
      </c>
      <c r="N352" s="30" t="s">
        <v>1672</v>
      </c>
      <c r="O352" s="33"/>
      <c r="P352" s="33">
        <v>7</v>
      </c>
      <c r="Q352" s="33">
        <v>377</v>
      </c>
      <c r="R352" s="33">
        <v>0</v>
      </c>
      <c r="S352" s="33">
        <v>0</v>
      </c>
      <c r="T352" s="33">
        <v>0</v>
      </c>
      <c r="U352" s="33">
        <v>0</v>
      </c>
      <c r="V352" s="33">
        <v>0</v>
      </c>
      <c r="W352" s="33" t="s">
        <v>50</v>
      </c>
      <c r="X352" s="33">
        <v>1</v>
      </c>
      <c r="Y352" s="30" t="s">
        <v>64</v>
      </c>
      <c r="Z352" s="30" t="s">
        <v>186</v>
      </c>
      <c r="AA352" s="30" t="s">
        <v>222</v>
      </c>
      <c r="AB352" s="30" t="s">
        <v>1316</v>
      </c>
      <c r="AC352" s="30"/>
      <c r="AD352" s="30" t="s">
        <v>50</v>
      </c>
      <c r="AE352" s="30" t="s">
        <v>50</v>
      </c>
      <c r="AF352" s="30" t="s">
        <v>2203</v>
      </c>
      <c r="AG352" s="30" t="s">
        <v>50</v>
      </c>
      <c r="AH352" s="30" t="s">
        <v>50</v>
      </c>
      <c r="AI352" s="30" t="s">
        <v>1673</v>
      </c>
      <c r="AJ352" s="30" t="s">
        <v>187</v>
      </c>
      <c r="AK352" s="30" t="s">
        <v>2182</v>
      </c>
      <c r="AL352" s="30" t="s">
        <v>764</v>
      </c>
      <c r="AM352" s="30" t="s">
        <v>50</v>
      </c>
      <c r="AN352" s="30" t="s">
        <v>1681</v>
      </c>
      <c r="AO352" s="30" t="s">
        <v>50</v>
      </c>
      <c r="AP352" s="30" t="s">
        <v>50</v>
      </c>
      <c r="AQ352" s="30" t="s">
        <v>50</v>
      </c>
      <c r="AR352" s="30" t="s">
        <v>50</v>
      </c>
      <c r="AS352" s="30" t="s">
        <v>50</v>
      </c>
      <c r="AT352" s="30" t="s">
        <v>1682</v>
      </c>
      <c r="AU352" s="30" t="s">
        <v>50</v>
      </c>
      <c r="AV352" s="34">
        <v>167259426697</v>
      </c>
    </row>
    <row r="353" spans="2:48" ht="15" customHeight="1">
      <c r="B353" s="28">
        <v>347</v>
      </c>
      <c r="C353" s="29" t="s">
        <v>2878</v>
      </c>
      <c r="D353" s="30" t="s">
        <v>50</v>
      </c>
      <c r="E353" s="31" t="s">
        <v>2879</v>
      </c>
      <c r="F353" s="31" t="s">
        <v>50</v>
      </c>
      <c r="G353" s="32" t="s">
        <v>2880</v>
      </c>
      <c r="H353" s="30" t="s">
        <v>65</v>
      </c>
      <c r="I353" s="30" t="s">
        <v>760</v>
      </c>
      <c r="J353" s="32" t="s">
        <v>2881</v>
      </c>
      <c r="K353" s="30" t="s">
        <v>760</v>
      </c>
      <c r="L353" s="32" t="s">
        <v>2881</v>
      </c>
      <c r="M353" s="30" t="s">
        <v>1671</v>
      </c>
      <c r="N353" s="30" t="s">
        <v>1672</v>
      </c>
      <c r="O353" s="33"/>
      <c r="P353" s="33">
        <v>7381</v>
      </c>
      <c r="Q353" s="33">
        <v>7381</v>
      </c>
      <c r="R353" s="33">
        <v>0</v>
      </c>
      <c r="S353" s="33">
        <v>0</v>
      </c>
      <c r="T353" s="33">
        <v>0</v>
      </c>
      <c r="U353" s="33">
        <v>0</v>
      </c>
      <c r="V353" s="33">
        <v>0</v>
      </c>
      <c r="W353" s="33" t="s">
        <v>50</v>
      </c>
      <c r="X353" s="33">
        <v>1</v>
      </c>
      <c r="Y353" s="30" t="s">
        <v>67</v>
      </c>
      <c r="Z353" s="30" t="s">
        <v>186</v>
      </c>
      <c r="AA353" s="30" t="s">
        <v>186</v>
      </c>
      <c r="AB353" s="30"/>
      <c r="AC353" s="30"/>
      <c r="AD353" s="30" t="s">
        <v>50</v>
      </c>
      <c r="AE353" s="30" t="s">
        <v>50</v>
      </c>
      <c r="AF353" s="30" t="s">
        <v>50</v>
      </c>
      <c r="AG353" s="30" t="s">
        <v>50</v>
      </c>
      <c r="AH353" s="30" t="s">
        <v>50</v>
      </c>
      <c r="AI353" s="30" t="s">
        <v>1673</v>
      </c>
      <c r="AJ353" s="30" t="s">
        <v>50</v>
      </c>
      <c r="AK353" s="30" t="s">
        <v>50</v>
      </c>
      <c r="AL353" s="30" t="s">
        <v>50</v>
      </c>
      <c r="AM353" s="30" t="s">
        <v>50</v>
      </c>
      <c r="AN353" s="30" t="s">
        <v>50</v>
      </c>
      <c r="AO353" s="30" t="s">
        <v>50</v>
      </c>
      <c r="AP353" s="30" t="s">
        <v>50</v>
      </c>
      <c r="AQ353" s="30" t="s">
        <v>50</v>
      </c>
      <c r="AR353" s="30" t="s">
        <v>50</v>
      </c>
      <c r="AS353" s="30" t="s">
        <v>50</v>
      </c>
      <c r="AT353" s="30" t="s">
        <v>1682</v>
      </c>
      <c r="AU353" s="30" t="s">
        <v>50</v>
      </c>
      <c r="AV353" s="34">
        <v>167257785066</v>
      </c>
    </row>
    <row r="354" spans="2:48" ht="15" customHeight="1">
      <c r="B354" s="28">
        <v>348</v>
      </c>
      <c r="C354" s="29" t="s">
        <v>2882</v>
      </c>
      <c r="D354" s="30" t="s">
        <v>50</v>
      </c>
      <c r="E354" s="31" t="s">
        <v>2883</v>
      </c>
      <c r="F354" s="31" t="s">
        <v>50</v>
      </c>
      <c r="G354" s="32" t="s">
        <v>2884</v>
      </c>
      <c r="H354" s="30" t="s">
        <v>62</v>
      </c>
      <c r="I354" s="30" t="s">
        <v>937</v>
      </c>
      <c r="J354" s="32" t="s">
        <v>938</v>
      </c>
      <c r="K354" s="30" t="s">
        <v>183</v>
      </c>
      <c r="L354" s="32" t="s">
        <v>185</v>
      </c>
      <c r="M354" s="30" t="s">
        <v>1697</v>
      </c>
      <c r="N354" s="30" t="s">
        <v>1672</v>
      </c>
      <c r="O354" s="33">
        <v>1</v>
      </c>
      <c r="P354" s="33">
        <v>3129</v>
      </c>
      <c r="Q354" s="33">
        <v>777</v>
      </c>
      <c r="R354" s="33">
        <v>0</v>
      </c>
      <c r="S354" s="33">
        <v>0</v>
      </c>
      <c r="T354" s="33">
        <v>0</v>
      </c>
      <c r="U354" s="33">
        <v>0</v>
      </c>
      <c r="V354" s="33">
        <v>0</v>
      </c>
      <c r="W354" s="33" t="s">
        <v>50</v>
      </c>
      <c r="X354" s="33">
        <v>1</v>
      </c>
      <c r="Y354" s="30" t="s">
        <v>64</v>
      </c>
      <c r="Z354" s="30" t="s">
        <v>186</v>
      </c>
      <c r="AA354" s="30" t="s">
        <v>222</v>
      </c>
      <c r="AB354" s="30" t="s">
        <v>1315</v>
      </c>
      <c r="AC354" s="30">
        <v>39</v>
      </c>
      <c r="AD354" s="30" t="s">
        <v>50</v>
      </c>
      <c r="AE354" s="30" t="s">
        <v>50</v>
      </c>
      <c r="AF354" s="30" t="s">
        <v>50</v>
      </c>
      <c r="AG354" s="30" t="s">
        <v>50</v>
      </c>
      <c r="AH354" s="30" t="s">
        <v>50</v>
      </c>
      <c r="AI354" s="30" t="s">
        <v>1673</v>
      </c>
      <c r="AJ354" s="30" t="s">
        <v>187</v>
      </c>
      <c r="AK354" s="30" t="s">
        <v>189</v>
      </c>
      <c r="AL354" s="30" t="s">
        <v>189</v>
      </c>
      <c r="AM354" s="30" t="s">
        <v>50</v>
      </c>
      <c r="AN354" s="30" t="s">
        <v>1681</v>
      </c>
      <c r="AO354" s="30" t="s">
        <v>50</v>
      </c>
      <c r="AP354" s="30" t="s">
        <v>50</v>
      </c>
      <c r="AQ354" s="30" t="s">
        <v>50</v>
      </c>
      <c r="AR354" s="30" t="s">
        <v>50</v>
      </c>
      <c r="AS354" s="30" t="s">
        <v>50</v>
      </c>
      <c r="AT354" s="30" t="s">
        <v>1682</v>
      </c>
      <c r="AU354" s="30" t="s">
        <v>50</v>
      </c>
      <c r="AV354" s="34">
        <v>167255965719</v>
      </c>
    </row>
    <row r="355" spans="2:48" ht="15" customHeight="1">
      <c r="B355" s="28">
        <v>349</v>
      </c>
      <c r="C355" s="29" t="s">
        <v>2885</v>
      </c>
      <c r="D355" s="30" t="s">
        <v>50</v>
      </c>
      <c r="E355" s="31" t="s">
        <v>2886</v>
      </c>
      <c r="F355" s="31" t="s">
        <v>50</v>
      </c>
      <c r="G355" s="32" t="s">
        <v>2887</v>
      </c>
      <c r="H355" s="30" t="s">
        <v>95</v>
      </c>
      <c r="I355" s="30" t="s">
        <v>1024</v>
      </c>
      <c r="J355" s="32" t="s">
        <v>1025</v>
      </c>
      <c r="K355" s="30" t="s">
        <v>802</v>
      </c>
      <c r="L355" s="32" t="s">
        <v>803</v>
      </c>
      <c r="M355" s="30" t="s">
        <v>1697</v>
      </c>
      <c r="N355" s="30" t="s">
        <v>1672</v>
      </c>
      <c r="O355" s="33"/>
      <c r="P355" s="33">
        <v>0</v>
      </c>
      <c r="Q355" s="33">
        <v>0</v>
      </c>
      <c r="R355" s="33" t="s">
        <v>158</v>
      </c>
      <c r="S355" s="33">
        <v>0</v>
      </c>
      <c r="T355" s="33" t="s">
        <v>158</v>
      </c>
      <c r="U355" s="33" t="s">
        <v>158</v>
      </c>
      <c r="V355" s="33" t="s">
        <v>158</v>
      </c>
      <c r="W355" s="33" t="s">
        <v>50</v>
      </c>
      <c r="X355" s="33">
        <v>1</v>
      </c>
      <c r="Y355" s="30" t="s">
        <v>75</v>
      </c>
      <c r="Z355" s="30" t="s">
        <v>192</v>
      </c>
      <c r="AA355" s="30" t="s">
        <v>192</v>
      </c>
      <c r="AB355" s="30"/>
      <c r="AC355" s="30"/>
      <c r="AD355" s="30" t="s">
        <v>50</v>
      </c>
      <c r="AE355" s="30" t="s">
        <v>50</v>
      </c>
      <c r="AF355" s="30" t="s">
        <v>50</v>
      </c>
      <c r="AG355" s="30" t="s">
        <v>50</v>
      </c>
      <c r="AH355" s="30" t="s">
        <v>50</v>
      </c>
      <c r="AI355" s="30" t="s">
        <v>1673</v>
      </c>
      <c r="AJ355" s="30" t="s">
        <v>187</v>
      </c>
      <c r="AK355" s="30" t="s">
        <v>50</v>
      </c>
      <c r="AL355" s="30" t="s">
        <v>50</v>
      </c>
      <c r="AM355" s="30" t="s">
        <v>50</v>
      </c>
      <c r="AN355" s="30" t="s">
        <v>1681</v>
      </c>
      <c r="AO355" s="30" t="s">
        <v>50</v>
      </c>
      <c r="AP355" s="30" t="s">
        <v>50</v>
      </c>
      <c r="AQ355" s="30" t="s">
        <v>50</v>
      </c>
      <c r="AR355" s="30" t="s">
        <v>50</v>
      </c>
      <c r="AS355" s="30" t="s">
        <v>50</v>
      </c>
      <c r="AT355" s="30" t="s">
        <v>1792</v>
      </c>
      <c r="AU355" s="30" t="s">
        <v>50</v>
      </c>
      <c r="AV355" s="34">
        <v>167258092187</v>
      </c>
    </row>
    <row r="356" spans="2:48" ht="15" customHeight="1">
      <c r="B356" s="28">
        <v>350</v>
      </c>
      <c r="C356" s="29" t="s">
        <v>2888</v>
      </c>
      <c r="D356" s="30" t="s">
        <v>50</v>
      </c>
      <c r="E356" s="31" t="s">
        <v>2889</v>
      </c>
      <c r="F356" s="31" t="s">
        <v>50</v>
      </c>
      <c r="G356" s="32" t="s">
        <v>2890</v>
      </c>
      <c r="H356" s="30" t="s">
        <v>62</v>
      </c>
      <c r="I356" s="30" t="s">
        <v>966</v>
      </c>
      <c r="J356" s="32" t="s">
        <v>967</v>
      </c>
      <c r="K356" s="30" t="s">
        <v>426</v>
      </c>
      <c r="L356" s="32" t="s">
        <v>427</v>
      </c>
      <c r="M356" s="30" t="s">
        <v>1697</v>
      </c>
      <c r="N356" s="30" t="s">
        <v>1672</v>
      </c>
      <c r="O356" s="33">
        <v>1</v>
      </c>
      <c r="P356" s="33">
        <v>3256</v>
      </c>
      <c r="Q356" s="33">
        <v>139</v>
      </c>
      <c r="R356" s="33">
        <v>0</v>
      </c>
      <c r="S356" s="33">
        <v>0</v>
      </c>
      <c r="T356" s="33">
        <v>0</v>
      </c>
      <c r="U356" s="33">
        <v>0</v>
      </c>
      <c r="V356" s="33">
        <v>0</v>
      </c>
      <c r="W356" s="33" t="s">
        <v>50</v>
      </c>
      <c r="X356" s="33">
        <v>1</v>
      </c>
      <c r="Y356" s="30" t="s">
        <v>64</v>
      </c>
      <c r="Z356" s="30" t="s">
        <v>186</v>
      </c>
      <c r="AA356" s="30" t="s">
        <v>222</v>
      </c>
      <c r="AB356" s="30" t="s">
        <v>1316</v>
      </c>
      <c r="AC356" s="30"/>
      <c r="AD356" s="30" t="s">
        <v>50</v>
      </c>
      <c r="AE356" s="30" t="s">
        <v>50</v>
      </c>
      <c r="AF356" s="30" t="s">
        <v>50</v>
      </c>
      <c r="AG356" s="30" t="s">
        <v>50</v>
      </c>
      <c r="AH356" s="30" t="s">
        <v>50</v>
      </c>
      <c r="AI356" s="30" t="s">
        <v>1673</v>
      </c>
      <c r="AJ356" s="30" t="s">
        <v>187</v>
      </c>
      <c r="AK356" s="30" t="s">
        <v>2362</v>
      </c>
      <c r="AL356" s="30" t="s">
        <v>428</v>
      </c>
      <c r="AM356" s="30" t="s">
        <v>50</v>
      </c>
      <c r="AN356" s="30" t="s">
        <v>1681</v>
      </c>
      <c r="AO356" s="30" t="s">
        <v>50</v>
      </c>
      <c r="AP356" s="30" t="s">
        <v>50</v>
      </c>
      <c r="AQ356" s="30" t="s">
        <v>50</v>
      </c>
      <c r="AR356" s="30" t="s">
        <v>50</v>
      </c>
      <c r="AS356" s="30" t="s">
        <v>50</v>
      </c>
      <c r="AT356" s="30" t="s">
        <v>1711</v>
      </c>
      <c r="AU356" s="30" t="s">
        <v>50</v>
      </c>
      <c r="AV356" s="34">
        <v>167248595291</v>
      </c>
    </row>
    <row r="357" spans="2:48" ht="15" customHeight="1">
      <c r="B357" s="28">
        <v>351</v>
      </c>
      <c r="C357" s="29" t="s">
        <v>2891</v>
      </c>
      <c r="D357" s="30" t="s">
        <v>50</v>
      </c>
      <c r="E357" s="31" t="s">
        <v>2892</v>
      </c>
      <c r="F357" s="31" t="s">
        <v>50</v>
      </c>
      <c r="G357" s="32" t="s">
        <v>2893</v>
      </c>
      <c r="H357" s="30" t="s">
        <v>65</v>
      </c>
      <c r="I357" s="30" t="s">
        <v>1208</v>
      </c>
      <c r="J357" s="32" t="s">
        <v>2894</v>
      </c>
      <c r="K357" s="30" t="s">
        <v>597</v>
      </c>
      <c r="L357" s="32" t="s">
        <v>2895</v>
      </c>
      <c r="M357" s="30" t="s">
        <v>1671</v>
      </c>
      <c r="N357" s="30" t="s">
        <v>1672</v>
      </c>
      <c r="O357" s="33"/>
      <c r="P357" s="33">
        <v>24982</v>
      </c>
      <c r="Q357" s="33">
        <v>0</v>
      </c>
      <c r="R357" s="33">
        <v>0</v>
      </c>
      <c r="S357" s="33">
        <v>0</v>
      </c>
      <c r="T357" s="33">
        <v>0</v>
      </c>
      <c r="U357" s="33">
        <v>0</v>
      </c>
      <c r="V357" s="33">
        <v>0</v>
      </c>
      <c r="W357" s="33" t="s">
        <v>50</v>
      </c>
      <c r="X357" s="33">
        <v>1</v>
      </c>
      <c r="Y357" s="30" t="s">
        <v>67</v>
      </c>
      <c r="Z357" s="30" t="s">
        <v>186</v>
      </c>
      <c r="AA357" s="30" t="s">
        <v>222</v>
      </c>
      <c r="AB357" s="30"/>
      <c r="AC357" s="30"/>
      <c r="AD357" s="30" t="s">
        <v>50</v>
      </c>
      <c r="AE357" s="30" t="s">
        <v>50</v>
      </c>
      <c r="AF357" s="30" t="s">
        <v>50</v>
      </c>
      <c r="AG357" s="30" t="s">
        <v>50</v>
      </c>
      <c r="AH357" s="30" t="s">
        <v>50</v>
      </c>
      <c r="AI357" s="30" t="s">
        <v>1673</v>
      </c>
      <c r="AJ357" s="30" t="s">
        <v>50</v>
      </c>
      <c r="AK357" s="30" t="s">
        <v>50</v>
      </c>
      <c r="AL357" s="30" t="s">
        <v>50</v>
      </c>
      <c r="AM357" s="30" t="s">
        <v>50</v>
      </c>
      <c r="AN357" s="30" t="s">
        <v>50</v>
      </c>
      <c r="AO357" s="30" t="s">
        <v>50</v>
      </c>
      <c r="AP357" s="30" t="s">
        <v>50</v>
      </c>
      <c r="AQ357" s="30" t="s">
        <v>50</v>
      </c>
      <c r="AR357" s="30" t="s">
        <v>50</v>
      </c>
      <c r="AS357" s="30" t="s">
        <v>50</v>
      </c>
      <c r="AT357" s="30" t="s">
        <v>299</v>
      </c>
      <c r="AU357" s="30" t="s">
        <v>50</v>
      </c>
      <c r="AV357" s="34">
        <v>167237666002</v>
      </c>
    </row>
    <row r="358" spans="2:48" ht="15" customHeight="1">
      <c r="B358" s="28">
        <v>352</v>
      </c>
      <c r="C358" s="29" t="s">
        <v>2896</v>
      </c>
      <c r="D358" s="30" t="s">
        <v>50</v>
      </c>
      <c r="E358" s="31" t="s">
        <v>2897</v>
      </c>
      <c r="F358" s="31" t="s">
        <v>50</v>
      </c>
      <c r="G358" s="32" t="s">
        <v>2898</v>
      </c>
      <c r="H358" s="30" t="s">
        <v>62</v>
      </c>
      <c r="I358" s="30" t="s">
        <v>636</v>
      </c>
      <c r="J358" s="32" t="s">
        <v>637</v>
      </c>
      <c r="K358" s="30" t="s">
        <v>636</v>
      </c>
      <c r="L358" s="32" t="s">
        <v>637</v>
      </c>
      <c r="M358" s="30" t="s">
        <v>1671</v>
      </c>
      <c r="N358" s="30" t="s">
        <v>1672</v>
      </c>
      <c r="O358" s="33"/>
      <c r="P358" s="33">
        <v>303</v>
      </c>
      <c r="Q358" s="33">
        <v>303</v>
      </c>
      <c r="R358" s="33">
        <v>34</v>
      </c>
      <c r="S358" s="33">
        <v>1</v>
      </c>
      <c r="T358" s="33">
        <v>1</v>
      </c>
      <c r="U358" s="33">
        <v>0</v>
      </c>
      <c r="V358" s="33">
        <v>0</v>
      </c>
      <c r="W358" s="33" t="s">
        <v>50</v>
      </c>
      <c r="X358" s="33">
        <v>1</v>
      </c>
      <c r="Y358" s="30" t="s">
        <v>64</v>
      </c>
      <c r="Z358" s="30" t="s">
        <v>186</v>
      </c>
      <c r="AA358" s="30" t="s">
        <v>186</v>
      </c>
      <c r="AB358" s="30"/>
      <c r="AC358" s="30"/>
      <c r="AD358" s="30" t="s">
        <v>50</v>
      </c>
      <c r="AE358" s="30" t="s">
        <v>50</v>
      </c>
      <c r="AF358" s="30" t="s">
        <v>50</v>
      </c>
      <c r="AG358" s="30" t="s">
        <v>50</v>
      </c>
      <c r="AH358" s="30" t="s">
        <v>50</v>
      </c>
      <c r="AI358" s="30" t="s">
        <v>1673</v>
      </c>
      <c r="AJ358" s="30" t="s">
        <v>50</v>
      </c>
      <c r="AK358" s="30" t="s">
        <v>50</v>
      </c>
      <c r="AL358" s="30" t="s">
        <v>50</v>
      </c>
      <c r="AM358" s="30" t="s">
        <v>50</v>
      </c>
      <c r="AN358" s="30" t="s">
        <v>50</v>
      </c>
      <c r="AO358" s="30" t="s">
        <v>50</v>
      </c>
      <c r="AP358" s="30" t="s">
        <v>50</v>
      </c>
      <c r="AQ358" s="30" t="s">
        <v>50</v>
      </c>
      <c r="AR358" s="30" t="s">
        <v>50</v>
      </c>
      <c r="AS358" s="30" t="s">
        <v>50</v>
      </c>
      <c r="AT358" s="30" t="s">
        <v>299</v>
      </c>
      <c r="AU358" s="30" t="s">
        <v>50</v>
      </c>
      <c r="AV358" s="34">
        <v>167231695677</v>
      </c>
    </row>
    <row r="359" spans="2:48" ht="15" customHeight="1">
      <c r="B359" s="28">
        <v>353</v>
      </c>
      <c r="C359" s="29" t="s">
        <v>2899</v>
      </c>
      <c r="D359" s="30" t="s">
        <v>50</v>
      </c>
      <c r="E359" s="31" t="s">
        <v>2900</v>
      </c>
      <c r="F359" s="31" t="s">
        <v>50</v>
      </c>
      <c r="G359" s="32" t="s">
        <v>2901</v>
      </c>
      <c r="H359" s="30" t="s">
        <v>65</v>
      </c>
      <c r="I359" s="30" t="s">
        <v>1157</v>
      </c>
      <c r="J359" s="32" t="s">
        <v>2902</v>
      </c>
      <c r="K359" s="30" t="s">
        <v>737</v>
      </c>
      <c r="L359" s="32" t="s">
        <v>2903</v>
      </c>
      <c r="M359" s="30" t="s">
        <v>1697</v>
      </c>
      <c r="N359" s="30" t="s">
        <v>1679</v>
      </c>
      <c r="O359" s="33"/>
      <c r="P359" s="33">
        <v>1098</v>
      </c>
      <c r="Q359" s="33">
        <v>0</v>
      </c>
      <c r="R359" s="33">
        <v>0</v>
      </c>
      <c r="S359" s="33">
        <v>0</v>
      </c>
      <c r="T359" s="33">
        <v>0</v>
      </c>
      <c r="U359" s="33">
        <v>0</v>
      </c>
      <c r="V359" s="33">
        <v>0</v>
      </c>
      <c r="W359" s="33" t="s">
        <v>50</v>
      </c>
      <c r="X359" s="33">
        <v>1</v>
      </c>
      <c r="Y359" s="30" t="s">
        <v>67</v>
      </c>
      <c r="Z359" s="30" t="s">
        <v>186</v>
      </c>
      <c r="AA359" s="30" t="s">
        <v>192</v>
      </c>
      <c r="AB359" s="30" t="s">
        <v>1316</v>
      </c>
      <c r="AC359" s="30"/>
      <c r="AD359" s="30" t="s">
        <v>50</v>
      </c>
      <c r="AE359" s="30" t="s">
        <v>50</v>
      </c>
      <c r="AF359" s="30" t="s">
        <v>50</v>
      </c>
      <c r="AG359" s="30" t="s">
        <v>50</v>
      </c>
      <c r="AH359" s="30" t="s">
        <v>50</v>
      </c>
      <c r="AI359" s="30" t="s">
        <v>1673</v>
      </c>
      <c r="AJ359" s="30" t="s">
        <v>50</v>
      </c>
      <c r="AK359" s="30" t="s">
        <v>50</v>
      </c>
      <c r="AL359" s="30" t="s">
        <v>50</v>
      </c>
      <c r="AM359" s="30" t="s">
        <v>50</v>
      </c>
      <c r="AN359" s="30" t="s">
        <v>1681</v>
      </c>
      <c r="AO359" s="30" t="s">
        <v>50</v>
      </c>
      <c r="AP359" s="30" t="s">
        <v>50</v>
      </c>
      <c r="AQ359" s="30" t="s">
        <v>50</v>
      </c>
      <c r="AR359" s="30" t="s">
        <v>1681</v>
      </c>
      <c r="AS359" s="30" t="s">
        <v>50</v>
      </c>
      <c r="AT359" s="30" t="s">
        <v>299</v>
      </c>
      <c r="AU359" s="30" t="s">
        <v>50</v>
      </c>
      <c r="AV359" s="34">
        <v>167230286915</v>
      </c>
    </row>
    <row r="360" spans="2:48" ht="15" customHeight="1">
      <c r="B360" s="28">
        <v>354</v>
      </c>
      <c r="C360" s="29" t="s">
        <v>2904</v>
      </c>
      <c r="D360" s="30" t="s">
        <v>50</v>
      </c>
      <c r="E360" s="31" t="s">
        <v>2905</v>
      </c>
      <c r="F360" s="31" t="s">
        <v>50</v>
      </c>
      <c r="G360" s="32" t="s">
        <v>2906</v>
      </c>
      <c r="H360" s="30" t="s">
        <v>62</v>
      </c>
      <c r="I360" s="30" t="s">
        <v>850</v>
      </c>
      <c r="J360" s="32" t="s">
        <v>851</v>
      </c>
      <c r="K360" s="30" t="s">
        <v>429</v>
      </c>
      <c r="L360" s="32" t="s">
        <v>430</v>
      </c>
      <c r="M360" s="30" t="s">
        <v>1697</v>
      </c>
      <c r="N360" s="30" t="s">
        <v>1672</v>
      </c>
      <c r="O360" s="33">
        <v>2</v>
      </c>
      <c r="P360" s="33">
        <v>26134</v>
      </c>
      <c r="Q360" s="33">
        <v>0</v>
      </c>
      <c r="R360" s="33">
        <v>0</v>
      </c>
      <c r="S360" s="33">
        <v>0</v>
      </c>
      <c r="T360" s="33">
        <v>0</v>
      </c>
      <c r="U360" s="33">
        <v>0</v>
      </c>
      <c r="V360" s="33">
        <v>0</v>
      </c>
      <c r="W360" s="33" t="s">
        <v>50</v>
      </c>
      <c r="X360" s="33">
        <v>1</v>
      </c>
      <c r="Y360" s="30" t="s">
        <v>64</v>
      </c>
      <c r="Z360" s="30" t="s">
        <v>186</v>
      </c>
      <c r="AA360" s="30" t="s">
        <v>222</v>
      </c>
      <c r="AB360" s="30" t="s">
        <v>1316</v>
      </c>
      <c r="AC360" s="30">
        <v>39</v>
      </c>
      <c r="AD360" s="30" t="s">
        <v>50</v>
      </c>
      <c r="AE360" s="30" t="s">
        <v>50</v>
      </c>
      <c r="AF360" s="30" t="s">
        <v>50</v>
      </c>
      <c r="AG360" s="30" t="s">
        <v>50</v>
      </c>
      <c r="AH360" s="30" t="s">
        <v>50</v>
      </c>
      <c r="AI360" s="30" t="s">
        <v>1673</v>
      </c>
      <c r="AJ360" s="30" t="s">
        <v>187</v>
      </c>
      <c r="AK360" s="30" t="s">
        <v>1308</v>
      </c>
      <c r="AL360" s="30" t="s">
        <v>432</v>
      </c>
      <c r="AM360" s="30" t="s">
        <v>50</v>
      </c>
      <c r="AN360" s="30" t="s">
        <v>1681</v>
      </c>
      <c r="AO360" s="30" t="s">
        <v>50</v>
      </c>
      <c r="AP360" s="30" t="s">
        <v>50</v>
      </c>
      <c r="AQ360" s="30" t="s">
        <v>50</v>
      </c>
      <c r="AR360" s="30" t="s">
        <v>50</v>
      </c>
      <c r="AS360" s="30" t="s">
        <v>50</v>
      </c>
      <c r="AT360" s="30" t="s">
        <v>299</v>
      </c>
      <c r="AU360" s="30" t="s">
        <v>50</v>
      </c>
      <c r="AV360" s="34">
        <v>167228649401</v>
      </c>
    </row>
    <row r="361" spans="2:48" ht="15" customHeight="1">
      <c r="B361" s="28">
        <v>355</v>
      </c>
      <c r="C361" s="29" t="s">
        <v>2907</v>
      </c>
      <c r="D361" s="30" t="s">
        <v>50</v>
      </c>
      <c r="E361" s="31" t="s">
        <v>2908</v>
      </c>
      <c r="F361" s="31" t="s">
        <v>50</v>
      </c>
      <c r="G361" s="32" t="s">
        <v>2909</v>
      </c>
      <c r="H361" s="30" t="s">
        <v>62</v>
      </c>
      <c r="I361" s="30" t="s">
        <v>850</v>
      </c>
      <c r="J361" s="32" t="s">
        <v>851</v>
      </c>
      <c r="K361" s="30" t="s">
        <v>417</v>
      </c>
      <c r="L361" s="32" t="s">
        <v>418</v>
      </c>
      <c r="M361" s="30" t="s">
        <v>1697</v>
      </c>
      <c r="N361" s="30" t="s">
        <v>1672</v>
      </c>
      <c r="O361" s="33">
        <v>2</v>
      </c>
      <c r="P361" s="33">
        <v>6081</v>
      </c>
      <c r="Q361" s="33">
        <v>0</v>
      </c>
      <c r="R361" s="33">
        <v>0</v>
      </c>
      <c r="S361" s="33">
        <v>0</v>
      </c>
      <c r="T361" s="33">
        <v>0</v>
      </c>
      <c r="U361" s="33">
        <v>0</v>
      </c>
      <c r="V361" s="33">
        <v>0</v>
      </c>
      <c r="W361" s="33" t="s">
        <v>50</v>
      </c>
      <c r="X361" s="33">
        <v>1</v>
      </c>
      <c r="Y361" s="30" t="s">
        <v>64</v>
      </c>
      <c r="Z361" s="30" t="s">
        <v>186</v>
      </c>
      <c r="AA361" s="30" t="s">
        <v>222</v>
      </c>
      <c r="AB361" s="30" t="s">
        <v>1316</v>
      </c>
      <c r="AC361" s="30">
        <v>39</v>
      </c>
      <c r="AD361" s="30" t="s">
        <v>50</v>
      </c>
      <c r="AE361" s="30" t="s">
        <v>50</v>
      </c>
      <c r="AF361" s="30" t="s">
        <v>50</v>
      </c>
      <c r="AG361" s="30" t="s">
        <v>50</v>
      </c>
      <c r="AH361" s="30" t="s">
        <v>50</v>
      </c>
      <c r="AI361" s="30" t="s">
        <v>1673</v>
      </c>
      <c r="AJ361" s="30" t="s">
        <v>187</v>
      </c>
      <c r="AK361" s="30" t="s">
        <v>201</v>
      </c>
      <c r="AL361" s="30" t="s">
        <v>201</v>
      </c>
      <c r="AM361" s="30" t="s">
        <v>50</v>
      </c>
      <c r="AN361" s="30" t="s">
        <v>1681</v>
      </c>
      <c r="AO361" s="30" t="s">
        <v>50</v>
      </c>
      <c r="AP361" s="30" t="s">
        <v>50</v>
      </c>
      <c r="AQ361" s="30" t="s">
        <v>50</v>
      </c>
      <c r="AR361" s="30" t="s">
        <v>50</v>
      </c>
      <c r="AS361" s="30" t="s">
        <v>50</v>
      </c>
      <c r="AT361" s="30" t="s">
        <v>299</v>
      </c>
      <c r="AU361" s="30" t="s">
        <v>50</v>
      </c>
      <c r="AV361" s="34">
        <v>167228253156</v>
      </c>
    </row>
    <row r="362" spans="2:48" ht="15" customHeight="1">
      <c r="B362" s="28">
        <v>356</v>
      </c>
      <c r="C362" s="29" t="s">
        <v>2910</v>
      </c>
      <c r="D362" s="30" t="s">
        <v>2911</v>
      </c>
      <c r="E362" s="31" t="s">
        <v>1676</v>
      </c>
      <c r="F362" s="31" t="s">
        <v>50</v>
      </c>
      <c r="G362" s="32" t="s">
        <v>2912</v>
      </c>
      <c r="H362" s="30" t="s">
        <v>102</v>
      </c>
      <c r="I362" s="30" t="s">
        <v>1195</v>
      </c>
      <c r="J362" s="32" t="s">
        <v>1196</v>
      </c>
      <c r="K362" s="30" t="s">
        <v>281</v>
      </c>
      <c r="L362" s="32" t="s">
        <v>282</v>
      </c>
      <c r="M362" s="30" t="s">
        <v>1678</v>
      </c>
      <c r="N362" s="30" t="s">
        <v>1679</v>
      </c>
      <c r="O362" s="33"/>
      <c r="P362" s="33">
        <v>0</v>
      </c>
      <c r="Q362" s="33">
        <v>0</v>
      </c>
      <c r="R362" s="33">
        <v>0</v>
      </c>
      <c r="S362" s="33">
        <v>0</v>
      </c>
      <c r="T362" s="33">
        <v>0</v>
      </c>
      <c r="U362" s="33">
        <v>0</v>
      </c>
      <c r="V362" s="33">
        <v>0</v>
      </c>
      <c r="W362" s="33" t="s">
        <v>1680</v>
      </c>
      <c r="X362" s="33">
        <v>2</v>
      </c>
      <c r="Y362" s="30" t="s">
        <v>56</v>
      </c>
      <c r="Z362" s="30" t="s">
        <v>192</v>
      </c>
      <c r="AA362" s="30" t="s">
        <v>192</v>
      </c>
      <c r="AB362" s="30" t="s">
        <v>1315</v>
      </c>
      <c r="AC362" s="30"/>
      <c r="AD362" s="30" t="s">
        <v>50</v>
      </c>
      <c r="AE362" s="30" t="s">
        <v>50</v>
      </c>
      <c r="AF362" s="30" t="s">
        <v>50</v>
      </c>
      <c r="AG362" s="30" t="s">
        <v>50</v>
      </c>
      <c r="AH362" s="30" t="s">
        <v>50</v>
      </c>
      <c r="AI362" s="30" t="s">
        <v>1673</v>
      </c>
      <c r="AJ362" s="30" t="s">
        <v>187</v>
      </c>
      <c r="AK362" s="30" t="s">
        <v>50</v>
      </c>
      <c r="AL362" s="30" t="s">
        <v>50</v>
      </c>
      <c r="AM362" s="30" t="s">
        <v>50</v>
      </c>
      <c r="AN362" s="30" t="s">
        <v>1681</v>
      </c>
      <c r="AO362" s="30" t="s">
        <v>50</v>
      </c>
      <c r="AP362" s="30" t="s">
        <v>50</v>
      </c>
      <c r="AQ362" s="30" t="s">
        <v>50</v>
      </c>
      <c r="AR362" s="30" t="s">
        <v>50</v>
      </c>
      <c r="AS362" s="30" t="s">
        <v>50</v>
      </c>
      <c r="AT362" s="30" t="s">
        <v>1682</v>
      </c>
      <c r="AU362" s="30" t="s">
        <v>147</v>
      </c>
      <c r="AV362" s="34">
        <v>167228615906</v>
      </c>
    </row>
    <row r="363" spans="2:48" ht="15" customHeight="1">
      <c r="B363" s="28">
        <v>357</v>
      </c>
      <c r="C363" s="29" t="s">
        <v>2913</v>
      </c>
      <c r="D363" s="30" t="s">
        <v>50</v>
      </c>
      <c r="E363" s="31" t="s">
        <v>2914</v>
      </c>
      <c r="F363" s="31" t="s">
        <v>50</v>
      </c>
      <c r="G363" s="32" t="s">
        <v>2915</v>
      </c>
      <c r="H363" s="30" t="s">
        <v>65</v>
      </c>
      <c r="I363" s="30" t="s">
        <v>1084</v>
      </c>
      <c r="J363" s="32" t="s">
        <v>2916</v>
      </c>
      <c r="K363" s="30" t="s">
        <v>552</v>
      </c>
      <c r="L363" s="32" t="s">
        <v>2917</v>
      </c>
      <c r="M363" s="30" t="s">
        <v>1697</v>
      </c>
      <c r="N363" s="30" t="s">
        <v>1672</v>
      </c>
      <c r="O363" s="33">
        <v>9</v>
      </c>
      <c r="P363" s="33">
        <v>101707</v>
      </c>
      <c r="Q363" s="33">
        <v>0</v>
      </c>
      <c r="R363" s="33">
        <v>0</v>
      </c>
      <c r="S363" s="33">
        <v>0</v>
      </c>
      <c r="T363" s="33">
        <v>0</v>
      </c>
      <c r="U363" s="33">
        <v>0</v>
      </c>
      <c r="V363" s="33">
        <v>0</v>
      </c>
      <c r="W363" s="33" t="s">
        <v>50</v>
      </c>
      <c r="X363" s="33">
        <v>1</v>
      </c>
      <c r="Y363" s="30" t="s">
        <v>80</v>
      </c>
      <c r="Z363" s="30" t="s">
        <v>192</v>
      </c>
      <c r="AA363" s="30" t="s">
        <v>222</v>
      </c>
      <c r="AB363" s="30"/>
      <c r="AC363" s="30"/>
      <c r="AD363" s="30" t="s">
        <v>50</v>
      </c>
      <c r="AE363" s="30" t="s">
        <v>50</v>
      </c>
      <c r="AF363" s="30" t="s">
        <v>50</v>
      </c>
      <c r="AG363" s="30" t="s">
        <v>50</v>
      </c>
      <c r="AH363" s="30" t="s">
        <v>50</v>
      </c>
      <c r="AI363" s="30" t="s">
        <v>1673</v>
      </c>
      <c r="AJ363" s="30" t="s">
        <v>50</v>
      </c>
      <c r="AK363" s="30" t="s">
        <v>50</v>
      </c>
      <c r="AL363" s="30" t="s">
        <v>50</v>
      </c>
      <c r="AM363" s="30" t="s">
        <v>50</v>
      </c>
      <c r="AN363" s="30" t="s">
        <v>1681</v>
      </c>
      <c r="AO363" s="30" t="s">
        <v>50</v>
      </c>
      <c r="AP363" s="30" t="s">
        <v>50</v>
      </c>
      <c r="AQ363" s="30" t="s">
        <v>50</v>
      </c>
      <c r="AR363" s="30" t="s">
        <v>50</v>
      </c>
      <c r="AS363" s="30" t="s">
        <v>50</v>
      </c>
      <c r="AT363" s="30" t="s">
        <v>299</v>
      </c>
      <c r="AU363" s="30" t="s">
        <v>50</v>
      </c>
      <c r="AV363" s="34">
        <v>167198647445</v>
      </c>
    </row>
    <row r="364" spans="2:48" ht="15" customHeight="1">
      <c r="B364" s="28">
        <v>358</v>
      </c>
      <c r="C364" s="29" t="s">
        <v>2918</v>
      </c>
      <c r="D364" s="30" t="s">
        <v>50</v>
      </c>
      <c r="E364" s="31" t="s">
        <v>2919</v>
      </c>
      <c r="F364" s="31" t="s">
        <v>50</v>
      </c>
      <c r="G364" s="32" t="s">
        <v>2920</v>
      </c>
      <c r="H364" s="30" t="s">
        <v>65</v>
      </c>
      <c r="I364" s="30" t="s">
        <v>1015</v>
      </c>
      <c r="J364" s="32" t="s">
        <v>2921</v>
      </c>
      <c r="K364" s="30" t="s">
        <v>614</v>
      </c>
      <c r="L364" s="32" t="s">
        <v>2922</v>
      </c>
      <c r="M364" s="30" t="s">
        <v>1697</v>
      </c>
      <c r="N364" s="30" t="s">
        <v>1672</v>
      </c>
      <c r="O364" s="33"/>
      <c r="P364" s="33">
        <v>8287</v>
      </c>
      <c r="Q364" s="33">
        <v>0</v>
      </c>
      <c r="R364" s="33">
        <v>0</v>
      </c>
      <c r="S364" s="33">
        <v>0</v>
      </c>
      <c r="T364" s="33">
        <v>0</v>
      </c>
      <c r="U364" s="33">
        <v>0</v>
      </c>
      <c r="V364" s="33">
        <v>0</v>
      </c>
      <c r="W364" s="33" t="s">
        <v>50</v>
      </c>
      <c r="X364" s="33">
        <v>1</v>
      </c>
      <c r="Y364" s="30" t="s">
        <v>67</v>
      </c>
      <c r="Z364" s="30" t="s">
        <v>186</v>
      </c>
      <c r="AA364" s="30" t="s">
        <v>222</v>
      </c>
      <c r="AB364" s="30"/>
      <c r="AC364" s="30"/>
      <c r="AD364" s="30" t="s">
        <v>50</v>
      </c>
      <c r="AE364" s="30" t="s">
        <v>50</v>
      </c>
      <c r="AF364" s="30" t="s">
        <v>50</v>
      </c>
      <c r="AG364" s="30" t="s">
        <v>50</v>
      </c>
      <c r="AH364" s="30" t="s">
        <v>50</v>
      </c>
      <c r="AI364" s="30" t="s">
        <v>1673</v>
      </c>
      <c r="AJ364" s="30" t="s">
        <v>50</v>
      </c>
      <c r="AK364" s="30" t="s">
        <v>50</v>
      </c>
      <c r="AL364" s="30" t="s">
        <v>50</v>
      </c>
      <c r="AM364" s="30" t="s">
        <v>50</v>
      </c>
      <c r="AN364" s="30" t="s">
        <v>1681</v>
      </c>
      <c r="AO364" s="30" t="s">
        <v>50</v>
      </c>
      <c r="AP364" s="30" t="s">
        <v>50</v>
      </c>
      <c r="AQ364" s="30" t="s">
        <v>50</v>
      </c>
      <c r="AR364" s="30" t="s">
        <v>50</v>
      </c>
      <c r="AS364" s="30" t="s">
        <v>50</v>
      </c>
      <c r="AT364" s="30" t="s">
        <v>1682</v>
      </c>
      <c r="AU364" s="30" t="s">
        <v>50</v>
      </c>
      <c r="AV364" s="34">
        <v>167184686066</v>
      </c>
    </row>
    <row r="365" spans="2:48" ht="15" customHeight="1">
      <c r="B365" s="28">
        <v>359</v>
      </c>
      <c r="C365" s="29" t="s">
        <v>2923</v>
      </c>
      <c r="D365" s="30" t="s">
        <v>318</v>
      </c>
      <c r="E365" s="31" t="s">
        <v>2924</v>
      </c>
      <c r="F365" s="31" t="s">
        <v>50</v>
      </c>
      <c r="G365" s="32" t="s">
        <v>2925</v>
      </c>
      <c r="H365" s="30" t="s">
        <v>73</v>
      </c>
      <c r="I365" s="30" t="s">
        <v>913</v>
      </c>
      <c r="J365" s="32" t="s">
        <v>914</v>
      </c>
      <c r="K365" s="30" t="s">
        <v>240</v>
      </c>
      <c r="L365" s="32" t="s">
        <v>801</v>
      </c>
      <c r="M365" s="30" t="s">
        <v>1718</v>
      </c>
      <c r="N365" s="30" t="s">
        <v>1679</v>
      </c>
      <c r="O365" s="33"/>
      <c r="P365" s="33">
        <v>0</v>
      </c>
      <c r="Q365" s="33">
        <v>0</v>
      </c>
      <c r="R365" s="33" t="s">
        <v>158</v>
      </c>
      <c r="S365" s="33">
        <v>0</v>
      </c>
      <c r="T365" s="33" t="s">
        <v>158</v>
      </c>
      <c r="U365" s="33" t="s">
        <v>158</v>
      </c>
      <c r="V365" s="33" t="s">
        <v>158</v>
      </c>
      <c r="W365" s="33" t="s">
        <v>50</v>
      </c>
      <c r="X365" s="33">
        <v>1</v>
      </c>
      <c r="Y365" s="30" t="s">
        <v>75</v>
      </c>
      <c r="Z365" s="30" t="s">
        <v>192</v>
      </c>
      <c r="AA365" s="30" t="s">
        <v>192</v>
      </c>
      <c r="AB365" s="30" t="s">
        <v>1315</v>
      </c>
      <c r="AC365" s="30"/>
      <c r="AD365" s="30" t="s">
        <v>50</v>
      </c>
      <c r="AE365" s="30" t="s">
        <v>50</v>
      </c>
      <c r="AF365" s="30" t="s">
        <v>50</v>
      </c>
      <c r="AG365" s="30" t="s">
        <v>50</v>
      </c>
      <c r="AH365" s="30" t="s">
        <v>50</v>
      </c>
      <c r="AI365" s="30" t="s">
        <v>1673</v>
      </c>
      <c r="AJ365" s="30" t="s">
        <v>50</v>
      </c>
      <c r="AK365" s="30" t="s">
        <v>50</v>
      </c>
      <c r="AL365" s="30" t="s">
        <v>50</v>
      </c>
      <c r="AM365" s="30" t="s">
        <v>50</v>
      </c>
      <c r="AN365" s="30" t="s">
        <v>1681</v>
      </c>
      <c r="AO365" s="30" t="s">
        <v>50</v>
      </c>
      <c r="AP365" s="30" t="s">
        <v>50</v>
      </c>
      <c r="AQ365" s="30" t="s">
        <v>50</v>
      </c>
      <c r="AR365" s="30" t="s">
        <v>50</v>
      </c>
      <c r="AS365" s="30" t="s">
        <v>50</v>
      </c>
      <c r="AT365" s="30" t="s">
        <v>1682</v>
      </c>
      <c r="AU365" s="30" t="s">
        <v>50</v>
      </c>
      <c r="AV365" s="34">
        <v>167157068206</v>
      </c>
    </row>
    <row r="366" spans="2:48" ht="15" customHeight="1">
      <c r="B366" s="28">
        <v>360</v>
      </c>
      <c r="C366" s="29" t="s">
        <v>2926</v>
      </c>
      <c r="D366" s="30" t="s">
        <v>2927</v>
      </c>
      <c r="E366" s="31" t="s">
        <v>2928</v>
      </c>
      <c r="F366" s="31" t="s">
        <v>50</v>
      </c>
      <c r="G366" s="32" t="s">
        <v>2929</v>
      </c>
      <c r="H366" s="30" t="s">
        <v>128</v>
      </c>
      <c r="I366" s="30" t="s">
        <v>592</v>
      </c>
      <c r="J366" s="32" t="s">
        <v>129</v>
      </c>
      <c r="K366" s="30" t="s">
        <v>592</v>
      </c>
      <c r="L366" s="32" t="s">
        <v>129</v>
      </c>
      <c r="M366" s="30" t="s">
        <v>2797</v>
      </c>
      <c r="N366" s="30" t="s">
        <v>1672</v>
      </c>
      <c r="O366" s="33"/>
      <c r="P366" s="33">
        <v>2520</v>
      </c>
      <c r="Q366" s="33">
        <v>2520</v>
      </c>
      <c r="R366" s="33">
        <v>0</v>
      </c>
      <c r="S366" s="33">
        <v>0</v>
      </c>
      <c r="T366" s="33">
        <v>0</v>
      </c>
      <c r="U366" s="33">
        <v>0</v>
      </c>
      <c r="V366" s="33">
        <v>0</v>
      </c>
      <c r="W366" s="33" t="s">
        <v>50</v>
      </c>
      <c r="X366" s="33">
        <v>1</v>
      </c>
      <c r="Y366" s="30" t="s">
        <v>60</v>
      </c>
      <c r="Z366" s="30" t="s">
        <v>192</v>
      </c>
      <c r="AA366" s="30" t="s">
        <v>192</v>
      </c>
      <c r="AB366" s="30" t="s">
        <v>1315</v>
      </c>
      <c r="AC366" s="30"/>
      <c r="AD366" s="30" t="s">
        <v>50</v>
      </c>
      <c r="AE366" s="30" t="s">
        <v>50</v>
      </c>
      <c r="AF366" s="30" t="s">
        <v>50</v>
      </c>
      <c r="AG366" s="30" t="s">
        <v>50</v>
      </c>
      <c r="AH366" s="30" t="s">
        <v>50</v>
      </c>
      <c r="AI366" s="30" t="s">
        <v>1673</v>
      </c>
      <c r="AJ366" s="30" t="s">
        <v>187</v>
      </c>
      <c r="AK366" s="30" t="s">
        <v>201</v>
      </c>
      <c r="AL366" s="30" t="s">
        <v>201</v>
      </c>
      <c r="AM366" s="30" t="s">
        <v>50</v>
      </c>
      <c r="AN366" s="30" t="s">
        <v>50</v>
      </c>
      <c r="AO366" s="30" t="s">
        <v>50</v>
      </c>
      <c r="AP366" s="30" t="s">
        <v>50</v>
      </c>
      <c r="AQ366" s="30" t="s">
        <v>50</v>
      </c>
      <c r="AR366" s="30" t="s">
        <v>50</v>
      </c>
      <c r="AS366" s="30" t="s">
        <v>50</v>
      </c>
      <c r="AT366" s="30" t="s">
        <v>1682</v>
      </c>
      <c r="AU366" s="30" t="s">
        <v>50</v>
      </c>
      <c r="AV366" s="34">
        <v>167134342852</v>
      </c>
    </row>
    <row r="367" spans="2:48" ht="15" customHeight="1">
      <c r="B367" s="28">
        <v>361</v>
      </c>
      <c r="C367" s="29" t="s">
        <v>2930</v>
      </c>
      <c r="D367" s="30" t="s">
        <v>50</v>
      </c>
      <c r="E367" s="31" t="s">
        <v>2931</v>
      </c>
      <c r="F367" s="31" t="s">
        <v>50</v>
      </c>
      <c r="G367" s="32" t="s">
        <v>2932</v>
      </c>
      <c r="H367" s="30" t="s">
        <v>76</v>
      </c>
      <c r="I367" s="30" t="s">
        <v>1139</v>
      </c>
      <c r="J367" s="32" t="s">
        <v>1140</v>
      </c>
      <c r="K367" s="30" t="s">
        <v>193</v>
      </c>
      <c r="L367" s="32" t="s">
        <v>195</v>
      </c>
      <c r="M367" s="30" t="s">
        <v>1697</v>
      </c>
      <c r="N367" s="30" t="s">
        <v>1672</v>
      </c>
      <c r="O367" s="33">
        <v>1</v>
      </c>
      <c r="P367" s="33">
        <v>252496</v>
      </c>
      <c r="Q367" s="33">
        <v>127</v>
      </c>
      <c r="R367" s="33">
        <v>0</v>
      </c>
      <c r="S367" s="33">
        <v>0</v>
      </c>
      <c r="T367" s="33">
        <v>0</v>
      </c>
      <c r="U367" s="33">
        <v>0</v>
      </c>
      <c r="V367" s="33">
        <v>0</v>
      </c>
      <c r="W367" s="33" t="s">
        <v>50</v>
      </c>
      <c r="X367" s="33">
        <v>1</v>
      </c>
      <c r="Y367" s="30" t="s">
        <v>64</v>
      </c>
      <c r="Z367" s="30" t="s">
        <v>186</v>
      </c>
      <c r="AA367" s="30" t="s">
        <v>222</v>
      </c>
      <c r="AB367" s="30" t="s">
        <v>1316</v>
      </c>
      <c r="AC367" s="30">
        <v>50</v>
      </c>
      <c r="AD367" s="30" t="s">
        <v>50</v>
      </c>
      <c r="AE367" s="30" t="s">
        <v>50</v>
      </c>
      <c r="AF367" s="30" t="s">
        <v>50</v>
      </c>
      <c r="AG367" s="30" t="s">
        <v>50</v>
      </c>
      <c r="AH367" s="30" t="s">
        <v>50</v>
      </c>
      <c r="AI367" s="30" t="s">
        <v>1673</v>
      </c>
      <c r="AJ367" s="30" t="s">
        <v>187</v>
      </c>
      <c r="AK367" s="30" t="s">
        <v>2568</v>
      </c>
      <c r="AL367" s="30" t="s">
        <v>813</v>
      </c>
      <c r="AM367" s="30" t="s">
        <v>50</v>
      </c>
      <c r="AN367" s="30" t="s">
        <v>1681</v>
      </c>
      <c r="AO367" s="30" t="s">
        <v>50</v>
      </c>
      <c r="AP367" s="30" t="s">
        <v>50</v>
      </c>
      <c r="AQ367" s="30" t="s">
        <v>50</v>
      </c>
      <c r="AR367" s="30" t="s">
        <v>50</v>
      </c>
      <c r="AS367" s="30" t="s">
        <v>50</v>
      </c>
      <c r="AT367" s="30" t="s">
        <v>1711</v>
      </c>
      <c r="AU367" s="30" t="s">
        <v>50</v>
      </c>
      <c r="AV367" s="34">
        <v>167146618570</v>
      </c>
    </row>
    <row r="368" spans="2:48" ht="15" customHeight="1">
      <c r="B368" s="28">
        <v>362</v>
      </c>
      <c r="C368" s="29" t="s">
        <v>2933</v>
      </c>
      <c r="D368" s="30" t="s">
        <v>50</v>
      </c>
      <c r="E368" s="31" t="s">
        <v>2934</v>
      </c>
      <c r="F368" s="31" t="s">
        <v>50</v>
      </c>
      <c r="G368" s="32" t="s">
        <v>2935</v>
      </c>
      <c r="H368" s="30" t="s">
        <v>76</v>
      </c>
      <c r="I368" s="30" t="s">
        <v>979</v>
      </c>
      <c r="J368" s="32" t="s">
        <v>980</v>
      </c>
      <c r="K368" s="30" t="s">
        <v>193</v>
      </c>
      <c r="L368" s="32" t="s">
        <v>195</v>
      </c>
      <c r="M368" s="30" t="s">
        <v>1697</v>
      </c>
      <c r="N368" s="30" t="s">
        <v>1672</v>
      </c>
      <c r="O368" s="33">
        <v>1</v>
      </c>
      <c r="P368" s="33">
        <v>252496</v>
      </c>
      <c r="Q368" s="33">
        <v>575</v>
      </c>
      <c r="R368" s="33">
        <v>0</v>
      </c>
      <c r="S368" s="33">
        <v>0</v>
      </c>
      <c r="T368" s="33">
        <v>0</v>
      </c>
      <c r="U368" s="33">
        <v>0</v>
      </c>
      <c r="V368" s="33">
        <v>0</v>
      </c>
      <c r="W368" s="33" t="s">
        <v>50</v>
      </c>
      <c r="X368" s="33">
        <v>1</v>
      </c>
      <c r="Y368" s="30" t="s">
        <v>64</v>
      </c>
      <c r="Z368" s="30" t="s">
        <v>186</v>
      </c>
      <c r="AA368" s="30" t="s">
        <v>222</v>
      </c>
      <c r="AB368" s="30" t="s">
        <v>1316</v>
      </c>
      <c r="AC368" s="30">
        <v>68</v>
      </c>
      <c r="AD368" s="30" t="s">
        <v>50</v>
      </c>
      <c r="AE368" s="30" t="s">
        <v>50</v>
      </c>
      <c r="AF368" s="30" t="s">
        <v>50</v>
      </c>
      <c r="AG368" s="30" t="s">
        <v>50</v>
      </c>
      <c r="AH368" s="30" t="s">
        <v>50</v>
      </c>
      <c r="AI368" s="30" t="s">
        <v>1673</v>
      </c>
      <c r="AJ368" s="30" t="s">
        <v>187</v>
      </c>
      <c r="AK368" s="30" t="s">
        <v>50</v>
      </c>
      <c r="AL368" s="30" t="s">
        <v>50</v>
      </c>
      <c r="AM368" s="30" t="s">
        <v>50</v>
      </c>
      <c r="AN368" s="30" t="s">
        <v>1681</v>
      </c>
      <c r="AO368" s="30" t="s">
        <v>50</v>
      </c>
      <c r="AP368" s="30" t="s">
        <v>50</v>
      </c>
      <c r="AQ368" s="30" t="s">
        <v>50</v>
      </c>
      <c r="AR368" s="30" t="s">
        <v>50</v>
      </c>
      <c r="AS368" s="30" t="s">
        <v>50</v>
      </c>
      <c r="AT368" s="30" t="s">
        <v>299</v>
      </c>
      <c r="AU368" s="30" t="s">
        <v>50</v>
      </c>
      <c r="AV368" s="34">
        <v>167146602852</v>
      </c>
    </row>
    <row r="369" spans="2:48" ht="15" customHeight="1">
      <c r="B369" s="28">
        <v>363</v>
      </c>
      <c r="C369" s="29" t="s">
        <v>2936</v>
      </c>
      <c r="D369" s="30" t="s">
        <v>2937</v>
      </c>
      <c r="E369" s="31" t="s">
        <v>2937</v>
      </c>
      <c r="F369" s="31" t="s">
        <v>2938</v>
      </c>
      <c r="G369" s="32" t="s">
        <v>2939</v>
      </c>
      <c r="H369" s="30" t="s">
        <v>62</v>
      </c>
      <c r="I369" s="30" t="s">
        <v>789</v>
      </c>
      <c r="J369" s="32" t="s">
        <v>790</v>
      </c>
      <c r="K369" s="30" t="s">
        <v>789</v>
      </c>
      <c r="L369" s="32" t="s">
        <v>790</v>
      </c>
      <c r="M369" s="30" t="s">
        <v>1671</v>
      </c>
      <c r="N369" s="30" t="s">
        <v>1672</v>
      </c>
      <c r="O369" s="33"/>
      <c r="P369" s="33">
        <v>47</v>
      </c>
      <c r="Q369" s="33">
        <v>47</v>
      </c>
      <c r="R369" s="33">
        <v>1</v>
      </c>
      <c r="S369" s="33">
        <v>0</v>
      </c>
      <c r="T369" s="33">
        <v>0</v>
      </c>
      <c r="U369" s="33">
        <v>0</v>
      </c>
      <c r="V369" s="33">
        <v>0</v>
      </c>
      <c r="W369" s="33" t="s">
        <v>50</v>
      </c>
      <c r="X369" s="33">
        <v>1</v>
      </c>
      <c r="Y369" s="30" t="s">
        <v>64</v>
      </c>
      <c r="Z369" s="30" t="s">
        <v>186</v>
      </c>
      <c r="AA369" s="30" t="s">
        <v>186</v>
      </c>
      <c r="AB369" s="30"/>
      <c r="AC369" s="30"/>
      <c r="AD369" s="30" t="s">
        <v>50</v>
      </c>
      <c r="AE369" s="30" t="s">
        <v>50</v>
      </c>
      <c r="AF369" s="30" t="s">
        <v>50</v>
      </c>
      <c r="AG369" s="30" t="s">
        <v>50</v>
      </c>
      <c r="AH369" s="30" t="s">
        <v>50</v>
      </c>
      <c r="AI369" s="30" t="s">
        <v>1673</v>
      </c>
      <c r="AJ369" s="30" t="s">
        <v>187</v>
      </c>
      <c r="AK369" s="30" t="s">
        <v>2182</v>
      </c>
      <c r="AL369" s="30" t="s">
        <v>436</v>
      </c>
      <c r="AM369" s="30" t="s">
        <v>50</v>
      </c>
      <c r="AN369" s="30" t="s">
        <v>50</v>
      </c>
      <c r="AO369" s="30" t="s">
        <v>50</v>
      </c>
      <c r="AP369" s="30" t="s">
        <v>50</v>
      </c>
      <c r="AQ369" s="30" t="s">
        <v>50</v>
      </c>
      <c r="AR369" s="30" t="s">
        <v>50</v>
      </c>
      <c r="AS369" s="30" t="s">
        <v>50</v>
      </c>
      <c r="AT369" s="30" t="s">
        <v>1682</v>
      </c>
      <c r="AU369" s="30" t="s">
        <v>50</v>
      </c>
      <c r="AV369" s="34">
        <v>167124803411</v>
      </c>
    </row>
    <row r="370" spans="2:48" ht="15" customHeight="1">
      <c r="B370" s="28">
        <v>364</v>
      </c>
      <c r="C370" s="29" t="s">
        <v>2940</v>
      </c>
      <c r="D370" s="30" t="s">
        <v>50</v>
      </c>
      <c r="E370" s="31" t="s">
        <v>2941</v>
      </c>
      <c r="F370" s="31" t="s">
        <v>50</v>
      </c>
      <c r="G370" s="32" t="s">
        <v>2942</v>
      </c>
      <c r="H370" s="30" t="s">
        <v>62</v>
      </c>
      <c r="I370" s="30" t="s">
        <v>853</v>
      </c>
      <c r="J370" s="32" t="s">
        <v>854</v>
      </c>
      <c r="K370" s="30" t="s">
        <v>183</v>
      </c>
      <c r="L370" s="32" t="s">
        <v>185</v>
      </c>
      <c r="M370" s="30" t="s">
        <v>1697</v>
      </c>
      <c r="N370" s="30" t="s">
        <v>1672</v>
      </c>
      <c r="O370" s="33">
        <v>1</v>
      </c>
      <c r="P370" s="33">
        <v>3129</v>
      </c>
      <c r="Q370" s="33">
        <v>303</v>
      </c>
      <c r="R370" s="33">
        <v>0</v>
      </c>
      <c r="S370" s="33">
        <v>0</v>
      </c>
      <c r="T370" s="33">
        <v>0</v>
      </c>
      <c r="U370" s="33">
        <v>0</v>
      </c>
      <c r="V370" s="33">
        <v>0</v>
      </c>
      <c r="W370" s="33" t="s">
        <v>50</v>
      </c>
      <c r="X370" s="33">
        <v>1</v>
      </c>
      <c r="Y370" s="30" t="s">
        <v>64</v>
      </c>
      <c r="Z370" s="30" t="s">
        <v>186</v>
      </c>
      <c r="AA370" s="30" t="s">
        <v>222</v>
      </c>
      <c r="AB370" s="30" t="s">
        <v>1315</v>
      </c>
      <c r="AC370" s="30"/>
      <c r="AD370" s="30" t="s">
        <v>50</v>
      </c>
      <c r="AE370" s="30" t="s">
        <v>50</v>
      </c>
      <c r="AF370" s="30" t="s">
        <v>50</v>
      </c>
      <c r="AG370" s="30" t="s">
        <v>50</v>
      </c>
      <c r="AH370" s="30" t="s">
        <v>50</v>
      </c>
      <c r="AI370" s="30" t="s">
        <v>1673</v>
      </c>
      <c r="AJ370" s="30" t="s">
        <v>187</v>
      </c>
      <c r="AK370" s="30" t="s">
        <v>189</v>
      </c>
      <c r="AL370" s="30" t="s">
        <v>189</v>
      </c>
      <c r="AM370" s="30" t="s">
        <v>50</v>
      </c>
      <c r="AN370" s="30" t="s">
        <v>1681</v>
      </c>
      <c r="AO370" s="30" t="s">
        <v>50</v>
      </c>
      <c r="AP370" s="30" t="s">
        <v>50</v>
      </c>
      <c r="AQ370" s="30" t="s">
        <v>50</v>
      </c>
      <c r="AR370" s="30" t="s">
        <v>50</v>
      </c>
      <c r="AS370" s="30" t="s">
        <v>50</v>
      </c>
      <c r="AT370" s="30" t="s">
        <v>1682</v>
      </c>
      <c r="AU370" s="30" t="s">
        <v>50</v>
      </c>
      <c r="AV370" s="34">
        <v>167118276485</v>
      </c>
    </row>
    <row r="371" spans="2:48" ht="15" customHeight="1">
      <c r="B371" s="28">
        <v>365</v>
      </c>
      <c r="C371" s="29" t="s">
        <v>2943</v>
      </c>
      <c r="D371" s="30" t="s">
        <v>50</v>
      </c>
      <c r="E371" s="31" t="s">
        <v>2944</v>
      </c>
      <c r="F371" s="31" t="s">
        <v>50</v>
      </c>
      <c r="G371" s="32" t="s">
        <v>2945</v>
      </c>
      <c r="H371" s="30" t="s">
        <v>76</v>
      </c>
      <c r="I371" s="30" t="s">
        <v>887</v>
      </c>
      <c r="J371" s="32" t="s">
        <v>888</v>
      </c>
      <c r="K371" s="30" t="s">
        <v>193</v>
      </c>
      <c r="L371" s="32" t="s">
        <v>195</v>
      </c>
      <c r="M371" s="30" t="s">
        <v>1697</v>
      </c>
      <c r="N371" s="30" t="s">
        <v>1672</v>
      </c>
      <c r="O371" s="33">
        <v>1</v>
      </c>
      <c r="P371" s="33">
        <v>252496</v>
      </c>
      <c r="Q371" s="33">
        <v>954</v>
      </c>
      <c r="R371" s="33">
        <v>0</v>
      </c>
      <c r="S371" s="33">
        <v>2</v>
      </c>
      <c r="T371" s="33">
        <v>2</v>
      </c>
      <c r="U371" s="33">
        <v>0</v>
      </c>
      <c r="V371" s="33">
        <v>0</v>
      </c>
      <c r="W371" s="33" t="s">
        <v>50</v>
      </c>
      <c r="X371" s="33">
        <v>1</v>
      </c>
      <c r="Y371" s="30" t="s">
        <v>64</v>
      </c>
      <c r="Z371" s="30" t="s">
        <v>186</v>
      </c>
      <c r="AA371" s="30" t="s">
        <v>222</v>
      </c>
      <c r="AB371" s="30" t="s">
        <v>1316</v>
      </c>
      <c r="AC371" s="30">
        <v>60</v>
      </c>
      <c r="AD371" s="30" t="s">
        <v>50</v>
      </c>
      <c r="AE371" s="30" t="s">
        <v>50</v>
      </c>
      <c r="AF371" s="30" t="s">
        <v>50</v>
      </c>
      <c r="AG371" s="30" t="s">
        <v>50</v>
      </c>
      <c r="AH371" s="30" t="s">
        <v>50</v>
      </c>
      <c r="AI371" s="30" t="s">
        <v>1673</v>
      </c>
      <c r="AJ371" s="30" t="s">
        <v>187</v>
      </c>
      <c r="AK371" s="30" t="s">
        <v>2753</v>
      </c>
      <c r="AL371" s="30" t="s">
        <v>889</v>
      </c>
      <c r="AM371" s="30" t="s">
        <v>50</v>
      </c>
      <c r="AN371" s="30" t="s">
        <v>1681</v>
      </c>
      <c r="AO371" s="30" t="s">
        <v>50</v>
      </c>
      <c r="AP371" s="30" t="s">
        <v>50</v>
      </c>
      <c r="AQ371" s="30" t="s">
        <v>50</v>
      </c>
      <c r="AR371" s="30" t="s">
        <v>50</v>
      </c>
      <c r="AS371" s="30" t="s">
        <v>50</v>
      </c>
      <c r="AT371" s="30" t="s">
        <v>1682</v>
      </c>
      <c r="AU371" s="30" t="s">
        <v>50</v>
      </c>
      <c r="AV371" s="34">
        <v>167146793885</v>
      </c>
    </row>
    <row r="372" spans="2:48" ht="15" customHeight="1">
      <c r="B372" s="28">
        <v>366</v>
      </c>
      <c r="C372" s="29" t="s">
        <v>2946</v>
      </c>
      <c r="D372" s="30" t="s">
        <v>50</v>
      </c>
      <c r="E372" s="31" t="s">
        <v>2947</v>
      </c>
      <c r="F372" s="31" t="s">
        <v>50</v>
      </c>
      <c r="G372" s="32" t="s">
        <v>2948</v>
      </c>
      <c r="H372" s="30" t="s">
        <v>76</v>
      </c>
      <c r="I372" s="30" t="s">
        <v>998</v>
      </c>
      <c r="J372" s="32" t="s">
        <v>999</v>
      </c>
      <c r="K372" s="30" t="s">
        <v>193</v>
      </c>
      <c r="L372" s="32" t="s">
        <v>195</v>
      </c>
      <c r="M372" s="30" t="s">
        <v>1697</v>
      </c>
      <c r="N372" s="30" t="s">
        <v>1672</v>
      </c>
      <c r="O372" s="33">
        <v>1</v>
      </c>
      <c r="P372" s="33">
        <v>252487</v>
      </c>
      <c r="Q372" s="33">
        <v>13</v>
      </c>
      <c r="R372" s="33">
        <v>0</v>
      </c>
      <c r="S372" s="33">
        <v>0</v>
      </c>
      <c r="T372" s="33">
        <v>0</v>
      </c>
      <c r="U372" s="33">
        <v>0</v>
      </c>
      <c r="V372" s="33">
        <v>0</v>
      </c>
      <c r="W372" s="33" t="s">
        <v>50</v>
      </c>
      <c r="X372" s="33">
        <v>1</v>
      </c>
      <c r="Y372" s="30" t="s">
        <v>64</v>
      </c>
      <c r="Z372" s="30" t="s">
        <v>186</v>
      </c>
      <c r="AA372" s="30" t="s">
        <v>222</v>
      </c>
      <c r="AB372" s="30" t="s">
        <v>1316</v>
      </c>
      <c r="AC372" s="30"/>
      <c r="AD372" s="30" t="s">
        <v>50</v>
      </c>
      <c r="AE372" s="30" t="s">
        <v>50</v>
      </c>
      <c r="AF372" s="30" t="s">
        <v>50</v>
      </c>
      <c r="AG372" s="30" t="s">
        <v>50</v>
      </c>
      <c r="AH372" s="30" t="s">
        <v>50</v>
      </c>
      <c r="AI372" s="30" t="s">
        <v>1673</v>
      </c>
      <c r="AJ372" s="30" t="s">
        <v>187</v>
      </c>
      <c r="AK372" s="30" t="s">
        <v>2949</v>
      </c>
      <c r="AL372" s="30" t="s">
        <v>197</v>
      </c>
      <c r="AM372" s="30" t="s">
        <v>50</v>
      </c>
      <c r="AN372" s="30" t="s">
        <v>1681</v>
      </c>
      <c r="AO372" s="30" t="s">
        <v>50</v>
      </c>
      <c r="AP372" s="30" t="s">
        <v>50</v>
      </c>
      <c r="AQ372" s="30" t="s">
        <v>50</v>
      </c>
      <c r="AR372" s="30" t="s">
        <v>50</v>
      </c>
      <c r="AS372" s="30" t="s">
        <v>50</v>
      </c>
      <c r="AT372" s="30" t="s">
        <v>299</v>
      </c>
      <c r="AU372" s="30" t="s">
        <v>50</v>
      </c>
      <c r="AV372" s="34">
        <v>167111347771</v>
      </c>
    </row>
    <row r="373" spans="2:48" ht="15" customHeight="1">
      <c r="B373" s="28">
        <v>367</v>
      </c>
      <c r="C373" s="29" t="s">
        <v>2950</v>
      </c>
      <c r="D373" s="30" t="s">
        <v>50</v>
      </c>
      <c r="E373" s="31" t="s">
        <v>2951</v>
      </c>
      <c r="F373" s="31" t="s">
        <v>2952</v>
      </c>
      <c r="G373" s="32" t="s">
        <v>2953</v>
      </c>
      <c r="H373" s="30" t="s">
        <v>116</v>
      </c>
      <c r="I373" s="30" t="s">
        <v>783</v>
      </c>
      <c r="J373" s="32" t="s">
        <v>784</v>
      </c>
      <c r="K373" s="30" t="s">
        <v>783</v>
      </c>
      <c r="L373" s="32" t="s">
        <v>784</v>
      </c>
      <c r="M373" s="30" t="s">
        <v>1671</v>
      </c>
      <c r="N373" s="30" t="s">
        <v>1672</v>
      </c>
      <c r="O373" s="33"/>
      <c r="P373" s="33">
        <v>280</v>
      </c>
      <c r="Q373" s="33">
        <v>280</v>
      </c>
      <c r="R373" s="33">
        <v>694</v>
      </c>
      <c r="S373" s="33">
        <v>4</v>
      </c>
      <c r="T373" s="33">
        <v>4</v>
      </c>
      <c r="U373" s="33">
        <v>0</v>
      </c>
      <c r="V373" s="33">
        <v>0</v>
      </c>
      <c r="W373" s="33" t="s">
        <v>50</v>
      </c>
      <c r="X373" s="33">
        <v>1</v>
      </c>
      <c r="Y373" s="30" t="s">
        <v>80</v>
      </c>
      <c r="Z373" s="30" t="s">
        <v>186</v>
      </c>
      <c r="AA373" s="30" t="s">
        <v>186</v>
      </c>
      <c r="AB373" s="30"/>
      <c r="AC373" s="30"/>
      <c r="AD373" s="30" t="s">
        <v>50</v>
      </c>
      <c r="AE373" s="30" t="s">
        <v>50</v>
      </c>
      <c r="AF373" s="30" t="s">
        <v>50</v>
      </c>
      <c r="AG373" s="30" t="s">
        <v>50</v>
      </c>
      <c r="AH373" s="30" t="s">
        <v>50</v>
      </c>
      <c r="AI373" s="30" t="s">
        <v>1673</v>
      </c>
      <c r="AJ373" s="30" t="s">
        <v>50</v>
      </c>
      <c r="AK373" s="30" t="s">
        <v>50</v>
      </c>
      <c r="AL373" s="30" t="s">
        <v>50</v>
      </c>
      <c r="AM373" s="30" t="s">
        <v>50</v>
      </c>
      <c r="AN373" s="30" t="s">
        <v>50</v>
      </c>
      <c r="AO373" s="30" t="s">
        <v>50</v>
      </c>
      <c r="AP373" s="30" t="s">
        <v>50</v>
      </c>
      <c r="AQ373" s="30" t="s">
        <v>50</v>
      </c>
      <c r="AR373" s="30" t="s">
        <v>50</v>
      </c>
      <c r="AS373" s="30" t="s">
        <v>50</v>
      </c>
      <c r="AT373" s="30" t="s">
        <v>1682</v>
      </c>
      <c r="AU373" s="30" t="s">
        <v>50</v>
      </c>
      <c r="AV373" s="34">
        <v>167112117908</v>
      </c>
    </row>
    <row r="374" spans="2:48" ht="15" customHeight="1">
      <c r="B374" s="28">
        <v>368</v>
      </c>
      <c r="C374" s="29" t="s">
        <v>2954</v>
      </c>
      <c r="D374" s="30" t="s">
        <v>50</v>
      </c>
      <c r="E374" s="31" t="s">
        <v>2955</v>
      </c>
      <c r="F374" s="31" t="s">
        <v>50</v>
      </c>
      <c r="G374" s="32" t="s">
        <v>2956</v>
      </c>
      <c r="H374" s="30" t="s">
        <v>76</v>
      </c>
      <c r="I374" s="30" t="s">
        <v>887</v>
      </c>
      <c r="J374" s="32" t="s">
        <v>888</v>
      </c>
      <c r="K374" s="30" t="s">
        <v>193</v>
      </c>
      <c r="L374" s="32" t="s">
        <v>195</v>
      </c>
      <c r="M374" s="30" t="s">
        <v>1697</v>
      </c>
      <c r="N374" s="30" t="s">
        <v>1679</v>
      </c>
      <c r="O374" s="33">
        <v>1</v>
      </c>
      <c r="P374" s="33">
        <v>252487</v>
      </c>
      <c r="Q374" s="33">
        <v>954</v>
      </c>
      <c r="R374" s="33">
        <v>0</v>
      </c>
      <c r="S374" s="33">
        <v>0</v>
      </c>
      <c r="T374" s="33">
        <v>0</v>
      </c>
      <c r="U374" s="33">
        <v>0</v>
      </c>
      <c r="V374" s="33">
        <v>0</v>
      </c>
      <c r="W374" s="33" t="s">
        <v>50</v>
      </c>
      <c r="X374" s="33">
        <v>1</v>
      </c>
      <c r="Y374" s="30" t="s">
        <v>64</v>
      </c>
      <c r="Z374" s="30" t="s">
        <v>186</v>
      </c>
      <c r="AA374" s="30" t="s">
        <v>222</v>
      </c>
      <c r="AB374" s="30" t="s">
        <v>1316</v>
      </c>
      <c r="AC374" s="30">
        <v>60</v>
      </c>
      <c r="AD374" s="30" t="s">
        <v>50</v>
      </c>
      <c r="AE374" s="30" t="s">
        <v>50</v>
      </c>
      <c r="AF374" s="30" t="s">
        <v>50</v>
      </c>
      <c r="AG374" s="30" t="s">
        <v>50</v>
      </c>
      <c r="AH374" s="30" t="s">
        <v>50</v>
      </c>
      <c r="AI374" s="30" t="s">
        <v>1673</v>
      </c>
      <c r="AJ374" s="30" t="s">
        <v>187</v>
      </c>
      <c r="AK374" s="30" t="s">
        <v>2753</v>
      </c>
      <c r="AL374" s="30" t="s">
        <v>889</v>
      </c>
      <c r="AM374" s="30" t="s">
        <v>50</v>
      </c>
      <c r="AN374" s="30" t="s">
        <v>1681</v>
      </c>
      <c r="AO374" s="30" t="s">
        <v>50</v>
      </c>
      <c r="AP374" s="30" t="s">
        <v>50</v>
      </c>
      <c r="AQ374" s="30" t="s">
        <v>50</v>
      </c>
      <c r="AR374" s="30" t="s">
        <v>50</v>
      </c>
      <c r="AS374" s="30" t="s">
        <v>50</v>
      </c>
      <c r="AT374" s="30" t="s">
        <v>1711</v>
      </c>
      <c r="AU374" s="30" t="s">
        <v>50</v>
      </c>
      <c r="AV374" s="34">
        <v>167106219973</v>
      </c>
    </row>
    <row r="375" spans="2:48" ht="15" customHeight="1">
      <c r="B375" s="28">
        <v>369</v>
      </c>
      <c r="C375" s="29" t="s">
        <v>2957</v>
      </c>
      <c r="D375" s="30" t="s">
        <v>2958</v>
      </c>
      <c r="E375" s="31" t="s">
        <v>2959</v>
      </c>
      <c r="F375" s="31" t="s">
        <v>50</v>
      </c>
      <c r="G375" s="32" t="s">
        <v>800</v>
      </c>
      <c r="H375" s="30" t="s">
        <v>73</v>
      </c>
      <c r="I375" s="30" t="s">
        <v>1104</v>
      </c>
      <c r="J375" s="32" t="s">
        <v>1105</v>
      </c>
      <c r="K375" s="30" t="s">
        <v>318</v>
      </c>
      <c r="L375" s="32" t="s">
        <v>800</v>
      </c>
      <c r="M375" s="30" t="s">
        <v>1686</v>
      </c>
      <c r="N375" s="30" t="s">
        <v>1672</v>
      </c>
      <c r="O375" s="33"/>
      <c r="P375" s="33">
        <v>0</v>
      </c>
      <c r="Q375" s="33">
        <v>0</v>
      </c>
      <c r="R375" s="33" t="s">
        <v>158</v>
      </c>
      <c r="S375" s="33">
        <v>0</v>
      </c>
      <c r="T375" s="33" t="s">
        <v>158</v>
      </c>
      <c r="U375" s="33" t="s">
        <v>158</v>
      </c>
      <c r="V375" s="33" t="s">
        <v>158</v>
      </c>
      <c r="W375" s="33" t="s">
        <v>50</v>
      </c>
      <c r="X375" s="33">
        <v>1</v>
      </c>
      <c r="Y375" s="30" t="s">
        <v>75</v>
      </c>
      <c r="Z375" s="30" t="s">
        <v>192</v>
      </c>
      <c r="AA375" s="30" t="s">
        <v>192</v>
      </c>
      <c r="AB375" s="30" t="s">
        <v>1316</v>
      </c>
      <c r="AC375" s="30"/>
      <c r="AD375" s="30" t="s">
        <v>50</v>
      </c>
      <c r="AE375" s="30" t="s">
        <v>50</v>
      </c>
      <c r="AF375" s="30" t="s">
        <v>50</v>
      </c>
      <c r="AG375" s="30" t="s">
        <v>50</v>
      </c>
      <c r="AH375" s="30" t="s">
        <v>50</v>
      </c>
      <c r="AI375" s="30" t="s">
        <v>1673</v>
      </c>
      <c r="AJ375" s="30" t="s">
        <v>50</v>
      </c>
      <c r="AK375" s="30" t="s">
        <v>50</v>
      </c>
      <c r="AL375" s="30" t="s">
        <v>50</v>
      </c>
      <c r="AM375" s="30" t="s">
        <v>50</v>
      </c>
      <c r="AN375" s="30" t="s">
        <v>1681</v>
      </c>
      <c r="AO375" s="30" t="s">
        <v>50</v>
      </c>
      <c r="AP375" s="30" t="s">
        <v>50</v>
      </c>
      <c r="AQ375" s="30" t="s">
        <v>50</v>
      </c>
      <c r="AR375" s="30" t="s">
        <v>50</v>
      </c>
      <c r="AS375" s="30" t="s">
        <v>50</v>
      </c>
      <c r="AT375" s="30" t="s">
        <v>1682</v>
      </c>
      <c r="AU375" s="30" t="s">
        <v>50</v>
      </c>
      <c r="AV375" s="34">
        <v>167110622546</v>
      </c>
    </row>
    <row r="376" spans="2:48" ht="15" customHeight="1">
      <c r="B376" s="28">
        <v>370</v>
      </c>
      <c r="C376" s="29" t="s">
        <v>2960</v>
      </c>
      <c r="D376" s="30" t="s">
        <v>50</v>
      </c>
      <c r="E376" s="31" t="s">
        <v>2961</v>
      </c>
      <c r="F376" s="31" t="s">
        <v>50</v>
      </c>
      <c r="G376" s="32" t="s">
        <v>2962</v>
      </c>
      <c r="H376" s="30" t="s">
        <v>83</v>
      </c>
      <c r="I376" s="30" t="s">
        <v>754</v>
      </c>
      <c r="J376" s="32" t="s">
        <v>755</v>
      </c>
      <c r="K376" s="30" t="s">
        <v>754</v>
      </c>
      <c r="L376" s="32" t="s">
        <v>755</v>
      </c>
      <c r="M376" s="30" t="s">
        <v>1697</v>
      </c>
      <c r="N376" s="30" t="s">
        <v>1672</v>
      </c>
      <c r="O376" s="33"/>
      <c r="P376" s="33">
        <v>95</v>
      </c>
      <c r="Q376" s="33">
        <v>95</v>
      </c>
      <c r="R376" s="33">
        <v>0</v>
      </c>
      <c r="S376" s="33">
        <v>5</v>
      </c>
      <c r="T376" s="33">
        <v>3</v>
      </c>
      <c r="U376" s="33">
        <v>2</v>
      </c>
      <c r="V376" s="33">
        <v>0</v>
      </c>
      <c r="W376" s="33" t="s">
        <v>50</v>
      </c>
      <c r="X376" s="33">
        <v>1</v>
      </c>
      <c r="Y376" s="30" t="s">
        <v>70</v>
      </c>
      <c r="Z376" s="30" t="s">
        <v>222</v>
      </c>
      <c r="AA376" s="30" t="s">
        <v>222</v>
      </c>
      <c r="AB376" s="30" t="s">
        <v>1316</v>
      </c>
      <c r="AC376" s="30"/>
      <c r="AD376" s="30" t="s">
        <v>50</v>
      </c>
      <c r="AE376" s="30" t="s">
        <v>50</v>
      </c>
      <c r="AF376" s="30" t="s">
        <v>50</v>
      </c>
      <c r="AG376" s="30" t="s">
        <v>50</v>
      </c>
      <c r="AH376" s="30" t="s">
        <v>50</v>
      </c>
      <c r="AI376" s="30" t="s">
        <v>1673</v>
      </c>
      <c r="AJ376" s="30" t="s">
        <v>50</v>
      </c>
      <c r="AK376" s="30" t="s">
        <v>50</v>
      </c>
      <c r="AL376" s="30" t="s">
        <v>50</v>
      </c>
      <c r="AM376" s="30" t="s">
        <v>50</v>
      </c>
      <c r="AN376" s="30" t="s">
        <v>1681</v>
      </c>
      <c r="AO376" s="30" t="s">
        <v>50</v>
      </c>
      <c r="AP376" s="30" t="s">
        <v>50</v>
      </c>
      <c r="AQ376" s="30" t="s">
        <v>50</v>
      </c>
      <c r="AR376" s="30" t="s">
        <v>50</v>
      </c>
      <c r="AS376" s="30" t="s">
        <v>50</v>
      </c>
      <c r="AT376" s="30" t="s">
        <v>1711</v>
      </c>
      <c r="AU376" s="30" t="s">
        <v>50</v>
      </c>
      <c r="AV376" s="34">
        <v>167113107717</v>
      </c>
    </row>
    <row r="377" spans="2:48" ht="15" customHeight="1">
      <c r="B377" s="28">
        <v>371</v>
      </c>
      <c r="C377" s="29" t="s">
        <v>2963</v>
      </c>
      <c r="D377" s="30" t="s">
        <v>50</v>
      </c>
      <c r="E377" s="31" t="s">
        <v>2964</v>
      </c>
      <c r="F377" s="31" t="s">
        <v>50</v>
      </c>
      <c r="G377" s="32" t="s">
        <v>2965</v>
      </c>
      <c r="H377" s="30" t="s">
        <v>62</v>
      </c>
      <c r="I377" s="30" t="s">
        <v>974</v>
      </c>
      <c r="J377" s="32" t="s">
        <v>975</v>
      </c>
      <c r="K377" s="30" t="s">
        <v>242</v>
      </c>
      <c r="L377" s="32" t="s">
        <v>243</v>
      </c>
      <c r="M377" s="30" t="s">
        <v>1697</v>
      </c>
      <c r="N377" s="30" t="s">
        <v>1679</v>
      </c>
      <c r="O377" s="33">
        <v>3</v>
      </c>
      <c r="P377" s="33">
        <v>58418</v>
      </c>
      <c r="Q377" s="33">
        <v>650</v>
      </c>
      <c r="R377" s="33">
        <v>0</v>
      </c>
      <c r="S377" s="33">
        <v>0</v>
      </c>
      <c r="T377" s="33">
        <v>0</v>
      </c>
      <c r="U377" s="33">
        <v>0</v>
      </c>
      <c r="V377" s="33">
        <v>0</v>
      </c>
      <c r="W377" s="33" t="s">
        <v>50</v>
      </c>
      <c r="X377" s="33">
        <v>1</v>
      </c>
      <c r="Y377" s="30" t="s">
        <v>64</v>
      </c>
      <c r="Z377" s="30" t="s">
        <v>186</v>
      </c>
      <c r="AA377" s="30" t="s">
        <v>222</v>
      </c>
      <c r="AB377" s="30" t="s">
        <v>1316</v>
      </c>
      <c r="AC377" s="30"/>
      <c r="AD377" s="30" t="s">
        <v>50</v>
      </c>
      <c r="AE377" s="30" t="s">
        <v>50</v>
      </c>
      <c r="AF377" s="30" t="s">
        <v>50</v>
      </c>
      <c r="AG377" s="30" t="s">
        <v>50</v>
      </c>
      <c r="AH377" s="30" t="s">
        <v>50</v>
      </c>
      <c r="AI377" s="30" t="s">
        <v>1673</v>
      </c>
      <c r="AJ377" s="30" t="s">
        <v>187</v>
      </c>
      <c r="AK377" s="30" t="s">
        <v>50</v>
      </c>
      <c r="AL377" s="30" t="s">
        <v>50</v>
      </c>
      <c r="AM377" s="30" t="s">
        <v>50</v>
      </c>
      <c r="AN377" s="30" t="s">
        <v>1681</v>
      </c>
      <c r="AO377" s="30" t="s">
        <v>50</v>
      </c>
      <c r="AP377" s="30" t="s">
        <v>50</v>
      </c>
      <c r="AQ377" s="30" t="s">
        <v>50</v>
      </c>
      <c r="AR377" s="30" t="s">
        <v>50</v>
      </c>
      <c r="AS377" s="30" t="s">
        <v>50</v>
      </c>
      <c r="AT377" s="30" t="s">
        <v>1682</v>
      </c>
      <c r="AU377" s="30" t="s">
        <v>50</v>
      </c>
      <c r="AV377" s="34">
        <v>167068232911</v>
      </c>
    </row>
    <row r="378" spans="2:48" ht="15" customHeight="1">
      <c r="B378" s="28">
        <v>372</v>
      </c>
      <c r="C378" s="29" t="s">
        <v>2966</v>
      </c>
      <c r="D378" s="30" t="s">
        <v>50</v>
      </c>
      <c r="E378" s="31" t="s">
        <v>2967</v>
      </c>
      <c r="F378" s="31" t="s">
        <v>50</v>
      </c>
      <c r="G378" s="32" t="s">
        <v>2968</v>
      </c>
      <c r="H378" s="30" t="s">
        <v>68</v>
      </c>
      <c r="I378" s="30" t="s">
        <v>1125</v>
      </c>
      <c r="J378" s="32" t="s">
        <v>1126</v>
      </c>
      <c r="K378" s="30" t="s">
        <v>638</v>
      </c>
      <c r="L378" s="32" t="s">
        <v>639</v>
      </c>
      <c r="M378" s="30" t="s">
        <v>1697</v>
      </c>
      <c r="N378" s="30" t="s">
        <v>1672</v>
      </c>
      <c r="O378" s="33"/>
      <c r="P378" s="33">
        <v>45693</v>
      </c>
      <c r="Q378" s="33">
        <v>1</v>
      </c>
      <c r="R378" s="33">
        <v>0</v>
      </c>
      <c r="S378" s="33">
        <v>0</v>
      </c>
      <c r="T378" s="33">
        <v>0</v>
      </c>
      <c r="U378" s="33">
        <v>0</v>
      </c>
      <c r="V378" s="33">
        <v>0</v>
      </c>
      <c r="W378" s="33" t="s">
        <v>50</v>
      </c>
      <c r="X378" s="33">
        <v>1</v>
      </c>
      <c r="Y378" s="30" t="s">
        <v>70</v>
      </c>
      <c r="Z378" s="30" t="s">
        <v>192</v>
      </c>
      <c r="AA378" s="30" t="s">
        <v>192</v>
      </c>
      <c r="AB378" s="30" t="s">
        <v>1316</v>
      </c>
      <c r="AC378" s="30"/>
      <c r="AD378" s="30" t="s">
        <v>50</v>
      </c>
      <c r="AE378" s="30" t="s">
        <v>50</v>
      </c>
      <c r="AF378" s="30" t="s">
        <v>1741</v>
      </c>
      <c r="AG378" s="30" t="s">
        <v>50</v>
      </c>
      <c r="AH378" s="30" t="s">
        <v>50</v>
      </c>
      <c r="AI378" s="30" t="s">
        <v>1673</v>
      </c>
      <c r="AJ378" s="30" t="s">
        <v>50</v>
      </c>
      <c r="AK378" s="30" t="s">
        <v>50</v>
      </c>
      <c r="AL378" s="30" t="s">
        <v>50</v>
      </c>
      <c r="AM378" s="30" t="s">
        <v>50</v>
      </c>
      <c r="AN378" s="30" t="s">
        <v>1681</v>
      </c>
      <c r="AO378" s="30" t="s">
        <v>50</v>
      </c>
      <c r="AP378" s="30" t="s">
        <v>50</v>
      </c>
      <c r="AQ378" s="30" t="s">
        <v>50</v>
      </c>
      <c r="AR378" s="30" t="s">
        <v>50</v>
      </c>
      <c r="AS378" s="30" t="s">
        <v>50</v>
      </c>
      <c r="AT378" s="30" t="s">
        <v>299</v>
      </c>
      <c r="AU378" s="30" t="s">
        <v>50</v>
      </c>
      <c r="AV378" s="34">
        <v>167061311643</v>
      </c>
    </row>
    <row r="379" spans="2:48" ht="15" customHeight="1">
      <c r="B379" s="28">
        <v>373</v>
      </c>
      <c r="C379" s="29" t="s">
        <v>2969</v>
      </c>
      <c r="D379" s="30" t="s">
        <v>50</v>
      </c>
      <c r="E379" s="31" t="s">
        <v>2970</v>
      </c>
      <c r="F379" s="31" t="s">
        <v>50</v>
      </c>
      <c r="G379" s="32" t="s">
        <v>2971</v>
      </c>
      <c r="H379" s="30" t="s">
        <v>83</v>
      </c>
      <c r="I379" s="30" t="s">
        <v>742</v>
      </c>
      <c r="J379" s="32" t="s">
        <v>743</v>
      </c>
      <c r="K379" s="30" t="s">
        <v>742</v>
      </c>
      <c r="L379" s="32" t="s">
        <v>743</v>
      </c>
      <c r="M379" s="30" t="s">
        <v>1697</v>
      </c>
      <c r="N379" s="30" t="s">
        <v>1672</v>
      </c>
      <c r="O379" s="33"/>
      <c r="P379" s="33">
        <v>89</v>
      </c>
      <c r="Q379" s="33">
        <v>89</v>
      </c>
      <c r="R379" s="33">
        <v>0</v>
      </c>
      <c r="S379" s="33">
        <v>1</v>
      </c>
      <c r="T379" s="33">
        <v>0</v>
      </c>
      <c r="U379" s="33">
        <v>1</v>
      </c>
      <c r="V379" s="33">
        <v>0</v>
      </c>
      <c r="W379" s="33" t="s">
        <v>50</v>
      </c>
      <c r="X379" s="33">
        <v>1</v>
      </c>
      <c r="Y379" s="30" t="s">
        <v>70</v>
      </c>
      <c r="Z379" s="30" t="s">
        <v>222</v>
      </c>
      <c r="AA379" s="30" t="s">
        <v>222</v>
      </c>
      <c r="AB379" s="30" t="s">
        <v>1316</v>
      </c>
      <c r="AC379" s="30"/>
      <c r="AD379" s="30" t="s">
        <v>50</v>
      </c>
      <c r="AE379" s="30" t="s">
        <v>50</v>
      </c>
      <c r="AF379" s="30" t="s">
        <v>50</v>
      </c>
      <c r="AG379" s="30" t="s">
        <v>50</v>
      </c>
      <c r="AH379" s="30" t="s">
        <v>50</v>
      </c>
      <c r="AI379" s="30" t="s">
        <v>1673</v>
      </c>
      <c r="AJ379" s="30" t="s">
        <v>50</v>
      </c>
      <c r="AK379" s="30" t="s">
        <v>50</v>
      </c>
      <c r="AL379" s="30" t="s">
        <v>50</v>
      </c>
      <c r="AM379" s="30" t="s">
        <v>50</v>
      </c>
      <c r="AN379" s="30" t="s">
        <v>1681</v>
      </c>
      <c r="AO379" s="30" t="s">
        <v>50</v>
      </c>
      <c r="AP379" s="30" t="s">
        <v>50</v>
      </c>
      <c r="AQ379" s="30" t="s">
        <v>50</v>
      </c>
      <c r="AR379" s="30" t="s">
        <v>50</v>
      </c>
      <c r="AS379" s="30" t="s">
        <v>50</v>
      </c>
      <c r="AT379" s="30" t="s">
        <v>1682</v>
      </c>
      <c r="AU379" s="30" t="s">
        <v>50</v>
      </c>
      <c r="AV379" s="34">
        <v>167063668463</v>
      </c>
    </row>
    <row r="380" spans="2:48" ht="15" customHeight="1">
      <c r="B380" s="28">
        <v>374</v>
      </c>
      <c r="C380" s="29" t="s">
        <v>2972</v>
      </c>
      <c r="D380" s="30" t="s">
        <v>50</v>
      </c>
      <c r="E380" s="31" t="s">
        <v>2973</v>
      </c>
      <c r="F380" s="31" t="s">
        <v>50</v>
      </c>
      <c r="G380" s="32" t="s">
        <v>2974</v>
      </c>
      <c r="H380" s="30" t="s">
        <v>62</v>
      </c>
      <c r="I380" s="30" t="s">
        <v>867</v>
      </c>
      <c r="J380" s="32" t="s">
        <v>868</v>
      </c>
      <c r="K380" s="30" t="s">
        <v>250</v>
      </c>
      <c r="L380" s="32" t="s">
        <v>251</v>
      </c>
      <c r="M380" s="30" t="s">
        <v>1697</v>
      </c>
      <c r="N380" s="30" t="s">
        <v>1679</v>
      </c>
      <c r="O380" s="33">
        <v>2</v>
      </c>
      <c r="P380" s="33">
        <v>49926</v>
      </c>
      <c r="Q380" s="33">
        <v>44</v>
      </c>
      <c r="R380" s="33">
        <v>0</v>
      </c>
      <c r="S380" s="33">
        <v>1</v>
      </c>
      <c r="T380" s="33">
        <v>1</v>
      </c>
      <c r="U380" s="33">
        <v>0</v>
      </c>
      <c r="V380" s="33">
        <v>0</v>
      </c>
      <c r="W380" s="33" t="s">
        <v>50</v>
      </c>
      <c r="X380" s="33">
        <v>1</v>
      </c>
      <c r="Y380" s="30" t="s">
        <v>64</v>
      </c>
      <c r="Z380" s="30" t="s">
        <v>186</v>
      </c>
      <c r="AA380" s="30" t="s">
        <v>222</v>
      </c>
      <c r="AB380" s="30" t="s">
        <v>1316</v>
      </c>
      <c r="AC380" s="30">
        <v>55</v>
      </c>
      <c r="AD380" s="30" t="s">
        <v>1325</v>
      </c>
      <c r="AE380" s="30" t="s">
        <v>869</v>
      </c>
      <c r="AF380" s="30" t="s">
        <v>50</v>
      </c>
      <c r="AG380" s="30" t="s">
        <v>50</v>
      </c>
      <c r="AH380" s="30" t="s">
        <v>50</v>
      </c>
      <c r="AI380" s="30" t="s">
        <v>1673</v>
      </c>
      <c r="AJ380" s="30" t="s">
        <v>187</v>
      </c>
      <c r="AK380" s="30" t="s">
        <v>50</v>
      </c>
      <c r="AL380" s="30" t="s">
        <v>50</v>
      </c>
      <c r="AM380" s="30" t="s">
        <v>50</v>
      </c>
      <c r="AN380" s="30" t="s">
        <v>1681</v>
      </c>
      <c r="AO380" s="30" t="s">
        <v>50</v>
      </c>
      <c r="AP380" s="30" t="s">
        <v>50</v>
      </c>
      <c r="AQ380" s="30" t="s">
        <v>50</v>
      </c>
      <c r="AR380" s="30" t="s">
        <v>50</v>
      </c>
      <c r="AS380" s="30" t="s">
        <v>50</v>
      </c>
      <c r="AT380" s="30" t="s">
        <v>299</v>
      </c>
      <c r="AU380" s="30" t="s">
        <v>50</v>
      </c>
      <c r="AV380" s="34">
        <v>167057266754</v>
      </c>
    </row>
    <row r="381" spans="2:48" ht="15" customHeight="1">
      <c r="B381" s="28">
        <v>375</v>
      </c>
      <c r="C381" s="29" t="s">
        <v>2975</v>
      </c>
      <c r="D381" s="30" t="s">
        <v>50</v>
      </c>
      <c r="E381" s="31" t="s">
        <v>2976</v>
      </c>
      <c r="F381" s="31" t="s">
        <v>50</v>
      </c>
      <c r="G381" s="32" t="s">
        <v>2977</v>
      </c>
      <c r="H381" s="30" t="s">
        <v>62</v>
      </c>
      <c r="I381" s="30" t="s">
        <v>867</v>
      </c>
      <c r="J381" s="32" t="s">
        <v>868</v>
      </c>
      <c r="K381" s="30" t="s">
        <v>250</v>
      </c>
      <c r="L381" s="32" t="s">
        <v>251</v>
      </c>
      <c r="M381" s="30" t="s">
        <v>1697</v>
      </c>
      <c r="N381" s="30" t="s">
        <v>1679</v>
      </c>
      <c r="O381" s="33">
        <v>2</v>
      </c>
      <c r="P381" s="33">
        <v>49926</v>
      </c>
      <c r="Q381" s="33">
        <v>44</v>
      </c>
      <c r="R381" s="33">
        <v>0</v>
      </c>
      <c r="S381" s="33">
        <v>0</v>
      </c>
      <c r="T381" s="33">
        <v>0</v>
      </c>
      <c r="U381" s="33">
        <v>0</v>
      </c>
      <c r="V381" s="33">
        <v>0</v>
      </c>
      <c r="W381" s="33" t="s">
        <v>50</v>
      </c>
      <c r="X381" s="33">
        <v>1</v>
      </c>
      <c r="Y381" s="30" t="s">
        <v>64</v>
      </c>
      <c r="Z381" s="30" t="s">
        <v>186</v>
      </c>
      <c r="AA381" s="30" t="s">
        <v>222</v>
      </c>
      <c r="AB381" s="30" t="s">
        <v>1316</v>
      </c>
      <c r="AC381" s="30">
        <v>55</v>
      </c>
      <c r="AD381" s="30" t="s">
        <v>1325</v>
      </c>
      <c r="AE381" s="30" t="s">
        <v>869</v>
      </c>
      <c r="AF381" s="30" t="s">
        <v>50</v>
      </c>
      <c r="AG381" s="30" t="s">
        <v>50</v>
      </c>
      <c r="AH381" s="30" t="s">
        <v>50</v>
      </c>
      <c r="AI381" s="30" t="s">
        <v>1673</v>
      </c>
      <c r="AJ381" s="30" t="s">
        <v>187</v>
      </c>
      <c r="AK381" s="30" t="s">
        <v>50</v>
      </c>
      <c r="AL381" s="30" t="s">
        <v>50</v>
      </c>
      <c r="AM381" s="30" t="s">
        <v>50</v>
      </c>
      <c r="AN381" s="30" t="s">
        <v>1681</v>
      </c>
      <c r="AO381" s="30" t="s">
        <v>50</v>
      </c>
      <c r="AP381" s="30" t="s">
        <v>50</v>
      </c>
      <c r="AQ381" s="30" t="s">
        <v>50</v>
      </c>
      <c r="AR381" s="30" t="s">
        <v>50</v>
      </c>
      <c r="AS381" s="30" t="s">
        <v>50</v>
      </c>
      <c r="AT381" s="30" t="s">
        <v>299</v>
      </c>
      <c r="AU381" s="30" t="s">
        <v>50</v>
      </c>
      <c r="AV381" s="34">
        <v>167056201314</v>
      </c>
    </row>
    <row r="382" spans="2:48" ht="15" customHeight="1">
      <c r="B382" s="28">
        <v>376</v>
      </c>
      <c r="C382" s="29" t="s">
        <v>2978</v>
      </c>
      <c r="D382" s="30" t="s">
        <v>50</v>
      </c>
      <c r="E382" s="31" t="s">
        <v>2979</v>
      </c>
      <c r="F382" s="31" t="s">
        <v>50</v>
      </c>
      <c r="G382" s="32" t="s">
        <v>2980</v>
      </c>
      <c r="H382" s="30" t="s">
        <v>62</v>
      </c>
      <c r="I382" s="30" t="s">
        <v>867</v>
      </c>
      <c r="J382" s="32" t="s">
        <v>868</v>
      </c>
      <c r="K382" s="30" t="s">
        <v>254</v>
      </c>
      <c r="L382" s="32" t="s">
        <v>255</v>
      </c>
      <c r="M382" s="30" t="s">
        <v>1697</v>
      </c>
      <c r="N382" s="30" t="s">
        <v>1672</v>
      </c>
      <c r="O382" s="33">
        <v>2</v>
      </c>
      <c r="P382" s="33">
        <v>104543</v>
      </c>
      <c r="Q382" s="33">
        <v>44</v>
      </c>
      <c r="R382" s="33">
        <v>0</v>
      </c>
      <c r="S382" s="33">
        <v>0</v>
      </c>
      <c r="T382" s="33">
        <v>0</v>
      </c>
      <c r="U382" s="33">
        <v>0</v>
      </c>
      <c r="V382" s="33">
        <v>0</v>
      </c>
      <c r="W382" s="33" t="s">
        <v>50</v>
      </c>
      <c r="X382" s="33">
        <v>1</v>
      </c>
      <c r="Y382" s="30" t="s">
        <v>64</v>
      </c>
      <c r="Z382" s="30" t="s">
        <v>186</v>
      </c>
      <c r="AA382" s="30" t="s">
        <v>222</v>
      </c>
      <c r="AB382" s="30" t="s">
        <v>1316</v>
      </c>
      <c r="AC382" s="30">
        <v>55</v>
      </c>
      <c r="AD382" s="30" t="s">
        <v>1325</v>
      </c>
      <c r="AE382" s="30" t="s">
        <v>869</v>
      </c>
      <c r="AF382" s="30" t="s">
        <v>50</v>
      </c>
      <c r="AG382" s="30" t="s">
        <v>50</v>
      </c>
      <c r="AH382" s="30" t="s">
        <v>50</v>
      </c>
      <c r="AI382" s="30" t="s">
        <v>1673</v>
      </c>
      <c r="AJ382" s="30" t="s">
        <v>187</v>
      </c>
      <c r="AK382" s="30" t="s">
        <v>2981</v>
      </c>
      <c r="AL382" s="30" t="s">
        <v>257</v>
      </c>
      <c r="AM382" s="30" t="s">
        <v>50</v>
      </c>
      <c r="AN382" s="30" t="s">
        <v>1681</v>
      </c>
      <c r="AO382" s="30" t="s">
        <v>50</v>
      </c>
      <c r="AP382" s="30" t="s">
        <v>50</v>
      </c>
      <c r="AQ382" s="30" t="s">
        <v>50</v>
      </c>
      <c r="AR382" s="30" t="s">
        <v>50</v>
      </c>
      <c r="AS382" s="30" t="s">
        <v>50</v>
      </c>
      <c r="AT382" s="30" t="s">
        <v>299</v>
      </c>
      <c r="AU382" s="30" t="s">
        <v>50</v>
      </c>
      <c r="AV382" s="34">
        <v>167052667724</v>
      </c>
    </row>
    <row r="383" spans="2:48" ht="15" customHeight="1">
      <c r="B383" s="28">
        <v>377</v>
      </c>
      <c r="C383" s="29" t="s">
        <v>2982</v>
      </c>
      <c r="D383" s="30" t="s">
        <v>2983</v>
      </c>
      <c r="E383" s="31" t="s">
        <v>2984</v>
      </c>
      <c r="F383" s="31" t="s">
        <v>50</v>
      </c>
      <c r="G383" s="32" t="s">
        <v>2985</v>
      </c>
      <c r="H383" s="30" t="s">
        <v>68</v>
      </c>
      <c r="I383" s="30" t="s">
        <v>648</v>
      </c>
      <c r="J383" s="32" t="s">
        <v>649</v>
      </c>
      <c r="K383" s="30" t="s">
        <v>648</v>
      </c>
      <c r="L383" s="32" t="s">
        <v>649</v>
      </c>
      <c r="M383" s="30" t="s">
        <v>1671</v>
      </c>
      <c r="N383" s="30" t="s">
        <v>1679</v>
      </c>
      <c r="O383" s="33"/>
      <c r="P383" s="33">
        <v>43</v>
      </c>
      <c r="Q383" s="33">
        <v>43</v>
      </c>
      <c r="R383" s="33">
        <v>0</v>
      </c>
      <c r="S383" s="33">
        <v>0</v>
      </c>
      <c r="T383" s="33">
        <v>0</v>
      </c>
      <c r="U383" s="33">
        <v>0</v>
      </c>
      <c r="V383" s="33">
        <v>0</v>
      </c>
      <c r="W383" s="33" t="s">
        <v>50</v>
      </c>
      <c r="X383" s="33">
        <v>1</v>
      </c>
      <c r="Y383" s="30" t="s">
        <v>70</v>
      </c>
      <c r="Z383" s="30" t="s">
        <v>192</v>
      </c>
      <c r="AA383" s="30" t="s">
        <v>192</v>
      </c>
      <c r="AB383" s="30"/>
      <c r="AC383" s="30"/>
      <c r="AD383" s="30" t="s">
        <v>50</v>
      </c>
      <c r="AE383" s="30" t="s">
        <v>50</v>
      </c>
      <c r="AF383" s="30" t="s">
        <v>1741</v>
      </c>
      <c r="AG383" s="30" t="s">
        <v>50</v>
      </c>
      <c r="AH383" s="30" t="s">
        <v>50</v>
      </c>
      <c r="AI383" s="30" t="s">
        <v>1673</v>
      </c>
      <c r="AJ383" s="30" t="s">
        <v>50</v>
      </c>
      <c r="AK383" s="30" t="s">
        <v>50</v>
      </c>
      <c r="AL383" s="30" t="s">
        <v>50</v>
      </c>
      <c r="AM383" s="30" t="s">
        <v>50</v>
      </c>
      <c r="AN383" s="30" t="s">
        <v>50</v>
      </c>
      <c r="AO383" s="30" t="s">
        <v>50</v>
      </c>
      <c r="AP383" s="30" t="s">
        <v>50</v>
      </c>
      <c r="AQ383" s="30" t="s">
        <v>50</v>
      </c>
      <c r="AR383" s="30" t="s">
        <v>50</v>
      </c>
      <c r="AS383" s="30" t="s">
        <v>50</v>
      </c>
      <c r="AT383" s="30" t="s">
        <v>2715</v>
      </c>
      <c r="AU383" s="30" t="s">
        <v>148</v>
      </c>
      <c r="AV383" s="34">
        <v>167047580582</v>
      </c>
    </row>
    <row r="384" spans="2:48" ht="15" customHeight="1">
      <c r="B384" s="28">
        <v>378</v>
      </c>
      <c r="C384" s="29" t="s">
        <v>2986</v>
      </c>
      <c r="D384" s="30" t="s">
        <v>50</v>
      </c>
      <c r="E384" s="31" t="s">
        <v>2987</v>
      </c>
      <c r="F384" s="31" t="s">
        <v>50</v>
      </c>
      <c r="G384" s="32" t="s">
        <v>2988</v>
      </c>
      <c r="H384" s="30" t="s">
        <v>62</v>
      </c>
      <c r="I384" s="30" t="s">
        <v>853</v>
      </c>
      <c r="J384" s="32" t="s">
        <v>854</v>
      </c>
      <c r="K384" s="30" t="s">
        <v>183</v>
      </c>
      <c r="L384" s="32" t="s">
        <v>185</v>
      </c>
      <c r="M384" s="30" t="s">
        <v>1697</v>
      </c>
      <c r="N384" s="30" t="s">
        <v>1791</v>
      </c>
      <c r="O384" s="33">
        <v>1</v>
      </c>
      <c r="P384" s="33">
        <v>3129</v>
      </c>
      <c r="Q384" s="33">
        <v>303</v>
      </c>
      <c r="R384" s="33">
        <v>0</v>
      </c>
      <c r="S384" s="33">
        <v>0</v>
      </c>
      <c r="T384" s="33">
        <v>0</v>
      </c>
      <c r="U384" s="33">
        <v>0</v>
      </c>
      <c r="V384" s="33">
        <v>0</v>
      </c>
      <c r="W384" s="33" t="s">
        <v>50</v>
      </c>
      <c r="X384" s="33">
        <v>1</v>
      </c>
      <c r="Y384" s="30" t="s">
        <v>64</v>
      </c>
      <c r="Z384" s="30" t="s">
        <v>186</v>
      </c>
      <c r="AA384" s="30" t="s">
        <v>222</v>
      </c>
      <c r="AB384" s="30" t="s">
        <v>1315</v>
      </c>
      <c r="AC384" s="30"/>
      <c r="AD384" s="30" t="s">
        <v>50</v>
      </c>
      <c r="AE384" s="30" t="s">
        <v>50</v>
      </c>
      <c r="AF384" s="30" t="s">
        <v>50</v>
      </c>
      <c r="AG384" s="30" t="s">
        <v>50</v>
      </c>
      <c r="AH384" s="30" t="s">
        <v>50</v>
      </c>
      <c r="AI384" s="30" t="s">
        <v>1673</v>
      </c>
      <c r="AJ384" s="30" t="s">
        <v>187</v>
      </c>
      <c r="AK384" s="30" t="s">
        <v>189</v>
      </c>
      <c r="AL384" s="30" t="s">
        <v>189</v>
      </c>
      <c r="AM384" s="30" t="s">
        <v>50</v>
      </c>
      <c r="AN384" s="30" t="s">
        <v>1681</v>
      </c>
      <c r="AO384" s="30" t="s">
        <v>50</v>
      </c>
      <c r="AP384" s="30" t="s">
        <v>50</v>
      </c>
      <c r="AQ384" s="30" t="s">
        <v>50</v>
      </c>
      <c r="AR384" s="30" t="s">
        <v>50</v>
      </c>
      <c r="AS384" s="30" t="s">
        <v>50</v>
      </c>
      <c r="AT384" s="30" t="s">
        <v>1682</v>
      </c>
      <c r="AU384" s="30" t="s">
        <v>50</v>
      </c>
      <c r="AV384" s="34">
        <v>167045911958</v>
      </c>
    </row>
    <row r="385" spans="2:48" ht="15" customHeight="1">
      <c r="B385" s="28">
        <v>379</v>
      </c>
      <c r="C385" s="29" t="s">
        <v>2989</v>
      </c>
      <c r="D385" s="30" t="s">
        <v>318</v>
      </c>
      <c r="E385" s="31" t="s">
        <v>2990</v>
      </c>
      <c r="F385" s="31" t="s">
        <v>50</v>
      </c>
      <c r="G385" s="32" t="s">
        <v>2991</v>
      </c>
      <c r="H385" s="30" t="s">
        <v>73</v>
      </c>
      <c r="I385" s="30" t="s">
        <v>1224</v>
      </c>
      <c r="J385" s="32" t="s">
        <v>1225</v>
      </c>
      <c r="K385" s="30" t="s">
        <v>310</v>
      </c>
      <c r="L385" s="32" t="s">
        <v>311</v>
      </c>
      <c r="M385" s="30" t="s">
        <v>1718</v>
      </c>
      <c r="N385" s="30" t="s">
        <v>1791</v>
      </c>
      <c r="O385" s="33"/>
      <c r="P385" s="33">
        <v>0</v>
      </c>
      <c r="Q385" s="33">
        <v>0</v>
      </c>
      <c r="R385" s="33" t="s">
        <v>158</v>
      </c>
      <c r="S385" s="33">
        <v>0</v>
      </c>
      <c r="T385" s="33" t="s">
        <v>158</v>
      </c>
      <c r="U385" s="33" t="s">
        <v>158</v>
      </c>
      <c r="V385" s="33" t="s">
        <v>158</v>
      </c>
      <c r="W385" s="33" t="s">
        <v>50</v>
      </c>
      <c r="X385" s="33">
        <v>1</v>
      </c>
      <c r="Y385" s="30" t="s">
        <v>75</v>
      </c>
      <c r="Z385" s="30" t="s">
        <v>192</v>
      </c>
      <c r="AA385" s="30" t="s">
        <v>192</v>
      </c>
      <c r="AB385" s="30" t="s">
        <v>1316</v>
      </c>
      <c r="AC385" s="30"/>
      <c r="AD385" s="30" t="s">
        <v>50</v>
      </c>
      <c r="AE385" s="30" t="s">
        <v>50</v>
      </c>
      <c r="AF385" s="30" t="s">
        <v>50</v>
      </c>
      <c r="AG385" s="30" t="s">
        <v>50</v>
      </c>
      <c r="AH385" s="30" t="s">
        <v>50</v>
      </c>
      <c r="AI385" s="30" t="s">
        <v>1673</v>
      </c>
      <c r="AJ385" s="30" t="s">
        <v>50</v>
      </c>
      <c r="AK385" s="30" t="s">
        <v>50</v>
      </c>
      <c r="AL385" s="30" t="s">
        <v>50</v>
      </c>
      <c r="AM385" s="30" t="s">
        <v>50</v>
      </c>
      <c r="AN385" s="30" t="s">
        <v>1681</v>
      </c>
      <c r="AO385" s="30" t="s">
        <v>50</v>
      </c>
      <c r="AP385" s="30" t="s">
        <v>50</v>
      </c>
      <c r="AQ385" s="30" t="s">
        <v>50</v>
      </c>
      <c r="AR385" s="30" t="s">
        <v>50</v>
      </c>
      <c r="AS385" s="30" t="s">
        <v>50</v>
      </c>
      <c r="AT385" s="30" t="s">
        <v>1682</v>
      </c>
      <c r="AU385" s="30" t="s">
        <v>50</v>
      </c>
      <c r="AV385" s="34">
        <v>167048428703</v>
      </c>
    </row>
    <row r="386" spans="2:48" ht="15" customHeight="1">
      <c r="B386" s="28">
        <v>380</v>
      </c>
      <c r="C386" s="29" t="s">
        <v>2992</v>
      </c>
      <c r="D386" s="30" t="s">
        <v>50</v>
      </c>
      <c r="E386" s="31" t="s">
        <v>2993</v>
      </c>
      <c r="F386" s="31" t="s">
        <v>50</v>
      </c>
      <c r="G386" s="32" t="s">
        <v>2994</v>
      </c>
      <c r="H386" s="30" t="s">
        <v>73</v>
      </c>
      <c r="I386" s="30" t="s">
        <v>1106</v>
      </c>
      <c r="J386" s="32" t="s">
        <v>1107</v>
      </c>
      <c r="K386" s="30" t="s">
        <v>310</v>
      </c>
      <c r="L386" s="32" t="s">
        <v>311</v>
      </c>
      <c r="M386" s="30" t="s">
        <v>1697</v>
      </c>
      <c r="N386" s="30" t="s">
        <v>1672</v>
      </c>
      <c r="O386" s="33"/>
      <c r="P386" s="33">
        <v>0</v>
      </c>
      <c r="Q386" s="33">
        <v>0</v>
      </c>
      <c r="R386" s="33" t="s">
        <v>158</v>
      </c>
      <c r="S386" s="33">
        <v>0</v>
      </c>
      <c r="T386" s="33" t="s">
        <v>158</v>
      </c>
      <c r="U386" s="33" t="s">
        <v>158</v>
      </c>
      <c r="V386" s="33" t="s">
        <v>158</v>
      </c>
      <c r="W386" s="33" t="s">
        <v>50</v>
      </c>
      <c r="X386" s="33">
        <v>1</v>
      </c>
      <c r="Y386" s="30" t="s">
        <v>75</v>
      </c>
      <c r="Z386" s="30" t="s">
        <v>192</v>
      </c>
      <c r="AA386" s="30" t="s">
        <v>192</v>
      </c>
      <c r="AB386" s="30" t="s">
        <v>1316</v>
      </c>
      <c r="AC386" s="30"/>
      <c r="AD386" s="30" t="s">
        <v>50</v>
      </c>
      <c r="AE386" s="30" t="s">
        <v>50</v>
      </c>
      <c r="AF386" s="30" t="s">
        <v>50</v>
      </c>
      <c r="AG386" s="30" t="s">
        <v>50</v>
      </c>
      <c r="AH386" s="30" t="s">
        <v>50</v>
      </c>
      <c r="AI386" s="30" t="s">
        <v>1673</v>
      </c>
      <c r="AJ386" s="30" t="s">
        <v>50</v>
      </c>
      <c r="AK386" s="30" t="s">
        <v>50</v>
      </c>
      <c r="AL386" s="30" t="s">
        <v>50</v>
      </c>
      <c r="AM386" s="30" t="s">
        <v>50</v>
      </c>
      <c r="AN386" s="30" t="s">
        <v>1681</v>
      </c>
      <c r="AO386" s="30" t="s">
        <v>50</v>
      </c>
      <c r="AP386" s="30" t="s">
        <v>50</v>
      </c>
      <c r="AQ386" s="30" t="s">
        <v>50</v>
      </c>
      <c r="AR386" s="30" t="s">
        <v>50</v>
      </c>
      <c r="AS386" s="30" t="s">
        <v>50</v>
      </c>
      <c r="AT386" s="30" t="s">
        <v>1682</v>
      </c>
      <c r="AU386" s="30" t="s">
        <v>50</v>
      </c>
      <c r="AV386" s="34">
        <v>167048410959</v>
      </c>
    </row>
    <row r="387" spans="2:48" ht="15" customHeight="1">
      <c r="B387" s="28">
        <v>381</v>
      </c>
      <c r="C387" s="29" t="s">
        <v>2995</v>
      </c>
      <c r="D387" s="30" t="s">
        <v>50</v>
      </c>
      <c r="E387" s="31" t="s">
        <v>2996</v>
      </c>
      <c r="F387" s="31" t="s">
        <v>50</v>
      </c>
      <c r="G387" s="32" t="s">
        <v>2997</v>
      </c>
      <c r="H387" s="30" t="s">
        <v>106</v>
      </c>
      <c r="I387" s="30" t="s">
        <v>1013</v>
      </c>
      <c r="J387" s="32" t="s">
        <v>1014</v>
      </c>
      <c r="K387" s="30" t="s">
        <v>306</v>
      </c>
      <c r="L387" s="32" t="s">
        <v>307</v>
      </c>
      <c r="M387" s="30" t="s">
        <v>1697</v>
      </c>
      <c r="N387" s="30" t="s">
        <v>1672</v>
      </c>
      <c r="O387" s="33"/>
      <c r="P387" s="33">
        <v>0</v>
      </c>
      <c r="Q387" s="33">
        <v>0</v>
      </c>
      <c r="R387" s="33" t="s">
        <v>158</v>
      </c>
      <c r="S387" s="33">
        <v>0</v>
      </c>
      <c r="T387" s="33" t="s">
        <v>158</v>
      </c>
      <c r="U387" s="33" t="s">
        <v>158</v>
      </c>
      <c r="V387" s="33" t="s">
        <v>158</v>
      </c>
      <c r="W387" s="33" t="s">
        <v>50</v>
      </c>
      <c r="X387" s="33">
        <v>1</v>
      </c>
      <c r="Y387" s="30" t="s">
        <v>75</v>
      </c>
      <c r="Z387" s="30" t="s">
        <v>192</v>
      </c>
      <c r="AA387" s="30" t="s">
        <v>192</v>
      </c>
      <c r="AB387" s="30"/>
      <c r="AC387" s="30"/>
      <c r="AD387" s="30" t="s">
        <v>50</v>
      </c>
      <c r="AE387" s="30" t="s">
        <v>50</v>
      </c>
      <c r="AF387" s="30" t="s">
        <v>50</v>
      </c>
      <c r="AG387" s="30" t="s">
        <v>50</v>
      </c>
      <c r="AH387" s="30" t="s">
        <v>50</v>
      </c>
      <c r="AI387" s="30" t="s">
        <v>1673</v>
      </c>
      <c r="AJ387" s="30" t="s">
        <v>187</v>
      </c>
      <c r="AK387" s="30" t="s">
        <v>50</v>
      </c>
      <c r="AL387" s="30" t="s">
        <v>50</v>
      </c>
      <c r="AM387" s="30" t="s">
        <v>50</v>
      </c>
      <c r="AN387" s="30" t="s">
        <v>1681</v>
      </c>
      <c r="AO387" s="30" t="s">
        <v>50</v>
      </c>
      <c r="AP387" s="30" t="s">
        <v>50</v>
      </c>
      <c r="AQ387" s="30" t="s">
        <v>50</v>
      </c>
      <c r="AR387" s="30" t="s">
        <v>50</v>
      </c>
      <c r="AS387" s="30" t="s">
        <v>50</v>
      </c>
      <c r="AT387" s="30" t="s">
        <v>299</v>
      </c>
      <c r="AU387" s="30" t="s">
        <v>50</v>
      </c>
      <c r="AV387" s="34">
        <v>167053137616</v>
      </c>
    </row>
    <row r="388" spans="2:48" ht="15" customHeight="1">
      <c r="B388" s="28">
        <v>382</v>
      </c>
      <c r="C388" s="29" t="s">
        <v>2998</v>
      </c>
      <c r="D388" s="30" t="s">
        <v>50</v>
      </c>
      <c r="E388" s="31" t="s">
        <v>2999</v>
      </c>
      <c r="F388" s="31" t="s">
        <v>3000</v>
      </c>
      <c r="G388" s="32" t="s">
        <v>3001</v>
      </c>
      <c r="H388" s="30" t="s">
        <v>62</v>
      </c>
      <c r="I388" s="30" t="s">
        <v>379</v>
      </c>
      <c r="J388" s="32" t="s">
        <v>380</v>
      </c>
      <c r="K388" s="30" t="s">
        <v>379</v>
      </c>
      <c r="L388" s="32" t="s">
        <v>380</v>
      </c>
      <c r="M388" s="30" t="s">
        <v>1671</v>
      </c>
      <c r="N388" s="30" t="s">
        <v>1791</v>
      </c>
      <c r="O388" s="33">
        <v>54</v>
      </c>
      <c r="P388" s="33">
        <v>9315</v>
      </c>
      <c r="Q388" s="33">
        <v>9315</v>
      </c>
      <c r="R388" s="33">
        <v>2681</v>
      </c>
      <c r="S388" s="33">
        <v>8</v>
      </c>
      <c r="T388" s="33">
        <v>4</v>
      </c>
      <c r="U388" s="33">
        <v>2</v>
      </c>
      <c r="V388" s="33">
        <v>2</v>
      </c>
      <c r="W388" s="33" t="s">
        <v>50</v>
      </c>
      <c r="X388" s="33">
        <v>1</v>
      </c>
      <c r="Y388" s="30" t="s">
        <v>64</v>
      </c>
      <c r="Z388" s="30" t="s">
        <v>186</v>
      </c>
      <c r="AA388" s="30" t="s">
        <v>186</v>
      </c>
      <c r="AB388" s="30"/>
      <c r="AC388" s="30"/>
      <c r="AD388" s="30" t="s">
        <v>50</v>
      </c>
      <c r="AE388" s="30" t="s">
        <v>50</v>
      </c>
      <c r="AF388" s="30" t="s">
        <v>50</v>
      </c>
      <c r="AG388" s="30" t="s">
        <v>50</v>
      </c>
      <c r="AH388" s="30" t="s">
        <v>50</v>
      </c>
      <c r="AI388" s="30" t="s">
        <v>1673</v>
      </c>
      <c r="AJ388" s="30" t="s">
        <v>50</v>
      </c>
      <c r="AK388" s="30" t="s">
        <v>50</v>
      </c>
      <c r="AL388" s="30" t="s">
        <v>50</v>
      </c>
      <c r="AM388" s="30" t="s">
        <v>50</v>
      </c>
      <c r="AN388" s="30" t="s">
        <v>50</v>
      </c>
      <c r="AO388" s="30" t="s">
        <v>50</v>
      </c>
      <c r="AP388" s="30" t="s">
        <v>50</v>
      </c>
      <c r="AQ388" s="30" t="s">
        <v>50</v>
      </c>
      <c r="AR388" s="30" t="s">
        <v>50</v>
      </c>
      <c r="AS388" s="30" t="s">
        <v>50</v>
      </c>
      <c r="AT388" s="30" t="s">
        <v>299</v>
      </c>
      <c r="AU388" s="30" t="s">
        <v>50</v>
      </c>
      <c r="AV388" s="34">
        <v>167024948847</v>
      </c>
    </row>
    <row r="389" spans="2:48" ht="15" customHeight="1">
      <c r="B389" s="28">
        <v>383</v>
      </c>
      <c r="C389" s="29" t="s">
        <v>3002</v>
      </c>
      <c r="D389" s="30" t="s">
        <v>50</v>
      </c>
      <c r="E389" s="31" t="s">
        <v>3003</v>
      </c>
      <c r="F389" s="31" t="s">
        <v>50</v>
      </c>
      <c r="G389" s="32" t="s">
        <v>3004</v>
      </c>
      <c r="H389" s="30" t="s">
        <v>106</v>
      </c>
      <c r="I389" s="30" t="s">
        <v>1057</v>
      </c>
      <c r="J389" s="32" t="s">
        <v>1058</v>
      </c>
      <c r="K389" s="30" t="s">
        <v>306</v>
      </c>
      <c r="L389" s="32" t="s">
        <v>307</v>
      </c>
      <c r="M389" s="30" t="s">
        <v>1697</v>
      </c>
      <c r="N389" s="30" t="s">
        <v>1679</v>
      </c>
      <c r="O389" s="33"/>
      <c r="P389" s="33">
        <v>0</v>
      </c>
      <c r="Q389" s="33">
        <v>0</v>
      </c>
      <c r="R389" s="33" t="s">
        <v>158</v>
      </c>
      <c r="S389" s="33">
        <v>0</v>
      </c>
      <c r="T389" s="33" t="s">
        <v>158</v>
      </c>
      <c r="U389" s="33" t="s">
        <v>158</v>
      </c>
      <c r="V389" s="33" t="s">
        <v>158</v>
      </c>
      <c r="W389" s="33" t="s">
        <v>50</v>
      </c>
      <c r="X389" s="33">
        <v>1</v>
      </c>
      <c r="Y389" s="30" t="s">
        <v>75</v>
      </c>
      <c r="Z389" s="30" t="s">
        <v>192</v>
      </c>
      <c r="AA389" s="30" t="s">
        <v>192</v>
      </c>
      <c r="AB389" s="30"/>
      <c r="AC389" s="30"/>
      <c r="AD389" s="30" t="s">
        <v>50</v>
      </c>
      <c r="AE389" s="30" t="s">
        <v>50</v>
      </c>
      <c r="AF389" s="30" t="s">
        <v>50</v>
      </c>
      <c r="AG389" s="30" t="s">
        <v>50</v>
      </c>
      <c r="AH389" s="30" t="s">
        <v>50</v>
      </c>
      <c r="AI389" s="30" t="s">
        <v>1673</v>
      </c>
      <c r="AJ389" s="30" t="s">
        <v>187</v>
      </c>
      <c r="AK389" s="30" t="s">
        <v>50</v>
      </c>
      <c r="AL389" s="30" t="s">
        <v>50</v>
      </c>
      <c r="AM389" s="30" t="s">
        <v>50</v>
      </c>
      <c r="AN389" s="30" t="s">
        <v>1681</v>
      </c>
      <c r="AO389" s="30" t="s">
        <v>50</v>
      </c>
      <c r="AP389" s="30" t="s">
        <v>50</v>
      </c>
      <c r="AQ389" s="30" t="s">
        <v>50</v>
      </c>
      <c r="AR389" s="30" t="s">
        <v>50</v>
      </c>
      <c r="AS389" s="30" t="s">
        <v>50</v>
      </c>
      <c r="AT389" s="30" t="s">
        <v>299</v>
      </c>
      <c r="AU389" s="30" t="s">
        <v>50</v>
      </c>
      <c r="AV389" s="34">
        <v>167031093939</v>
      </c>
    </row>
    <row r="390" spans="2:48" ht="15" customHeight="1">
      <c r="B390" s="28">
        <v>384</v>
      </c>
      <c r="C390" s="29" t="s">
        <v>3005</v>
      </c>
      <c r="D390" s="30" t="s">
        <v>50</v>
      </c>
      <c r="E390" s="31" t="s">
        <v>3006</v>
      </c>
      <c r="F390" s="31" t="s">
        <v>50</v>
      </c>
      <c r="G390" s="32" t="s">
        <v>3007</v>
      </c>
      <c r="H390" s="30" t="s">
        <v>62</v>
      </c>
      <c r="I390" s="30" t="s">
        <v>362</v>
      </c>
      <c r="J390" s="32" t="s">
        <v>363</v>
      </c>
      <c r="K390" s="30" t="s">
        <v>362</v>
      </c>
      <c r="L390" s="32" t="s">
        <v>363</v>
      </c>
      <c r="M390" s="30" t="s">
        <v>1671</v>
      </c>
      <c r="N390" s="30" t="s">
        <v>1672</v>
      </c>
      <c r="O390" s="33"/>
      <c r="P390" s="33">
        <v>347</v>
      </c>
      <c r="Q390" s="33">
        <v>347</v>
      </c>
      <c r="R390" s="33">
        <v>0</v>
      </c>
      <c r="S390" s="33">
        <v>0</v>
      </c>
      <c r="T390" s="33">
        <v>0</v>
      </c>
      <c r="U390" s="33">
        <v>0</v>
      </c>
      <c r="V390" s="33">
        <v>0</v>
      </c>
      <c r="W390" s="33" t="s">
        <v>50</v>
      </c>
      <c r="X390" s="33">
        <v>1</v>
      </c>
      <c r="Y390" s="30" t="s">
        <v>64</v>
      </c>
      <c r="Z390" s="30" t="s">
        <v>222</v>
      </c>
      <c r="AA390" s="30" t="s">
        <v>222</v>
      </c>
      <c r="AB390" s="30" t="s">
        <v>1315</v>
      </c>
      <c r="AC390" s="30">
        <v>46</v>
      </c>
      <c r="AD390" s="30" t="s">
        <v>1325</v>
      </c>
      <c r="AE390" s="30" t="s">
        <v>50</v>
      </c>
      <c r="AF390" s="30" t="s">
        <v>50</v>
      </c>
      <c r="AG390" s="30" t="s">
        <v>50</v>
      </c>
      <c r="AH390" s="30" t="s">
        <v>50</v>
      </c>
      <c r="AI390" s="30" t="s">
        <v>1673</v>
      </c>
      <c r="AJ390" s="30" t="s">
        <v>187</v>
      </c>
      <c r="AK390" s="30" t="s">
        <v>189</v>
      </c>
      <c r="AL390" s="30" t="s">
        <v>189</v>
      </c>
      <c r="AM390" s="30" t="s">
        <v>50</v>
      </c>
      <c r="AN390" s="30" t="s">
        <v>50</v>
      </c>
      <c r="AO390" s="30" t="s">
        <v>50</v>
      </c>
      <c r="AP390" s="30" t="s">
        <v>50</v>
      </c>
      <c r="AQ390" s="30" t="s">
        <v>50</v>
      </c>
      <c r="AR390" s="30" t="s">
        <v>50</v>
      </c>
      <c r="AS390" s="30" t="s">
        <v>50</v>
      </c>
      <c r="AT390" s="30" t="s">
        <v>1711</v>
      </c>
      <c r="AU390" s="30" t="s">
        <v>50</v>
      </c>
      <c r="AV390" s="34">
        <v>167014292268</v>
      </c>
    </row>
    <row r="391" spans="2:48" ht="15" customHeight="1">
      <c r="B391" s="28">
        <v>385</v>
      </c>
      <c r="C391" s="29" t="s">
        <v>3008</v>
      </c>
      <c r="D391" s="30" t="s">
        <v>2456</v>
      </c>
      <c r="E391" s="31" t="s">
        <v>3009</v>
      </c>
      <c r="F391" s="31" t="s">
        <v>50</v>
      </c>
      <c r="G391" s="32" t="s">
        <v>3010</v>
      </c>
      <c r="H391" s="30" t="s">
        <v>91</v>
      </c>
      <c r="I391" s="30" t="s">
        <v>1264</v>
      </c>
      <c r="J391" s="32" t="s">
        <v>1265</v>
      </c>
      <c r="K391" s="30" t="s">
        <v>208</v>
      </c>
      <c r="L391" s="32" t="s">
        <v>209</v>
      </c>
      <c r="M391" s="30" t="s">
        <v>1671</v>
      </c>
      <c r="N391" s="30" t="s">
        <v>1672</v>
      </c>
      <c r="O391" s="33"/>
      <c r="P391" s="33">
        <v>0</v>
      </c>
      <c r="Q391" s="33">
        <v>0</v>
      </c>
      <c r="R391" s="33">
        <v>0</v>
      </c>
      <c r="S391" s="33">
        <v>0</v>
      </c>
      <c r="T391" s="33">
        <v>0</v>
      </c>
      <c r="U391" s="33">
        <v>0</v>
      </c>
      <c r="V391" s="33">
        <v>0</v>
      </c>
      <c r="W391" s="33" t="s">
        <v>50</v>
      </c>
      <c r="X391" s="33">
        <v>1</v>
      </c>
      <c r="Y391" s="30" t="s">
        <v>70</v>
      </c>
      <c r="Z391" s="30" t="s">
        <v>192</v>
      </c>
      <c r="AA391" s="30" t="s">
        <v>192</v>
      </c>
      <c r="AB391" s="30"/>
      <c r="AC391" s="30"/>
      <c r="AD391" s="30" t="s">
        <v>50</v>
      </c>
      <c r="AE391" s="30" t="s">
        <v>50</v>
      </c>
      <c r="AF391" s="30" t="s">
        <v>50</v>
      </c>
      <c r="AG391" s="30" t="s">
        <v>50</v>
      </c>
      <c r="AH391" s="30" t="s">
        <v>50</v>
      </c>
      <c r="AI391" s="30" t="s">
        <v>1673</v>
      </c>
      <c r="AJ391" s="30" t="s">
        <v>50</v>
      </c>
      <c r="AK391" s="30" t="s">
        <v>50</v>
      </c>
      <c r="AL391" s="30" t="s">
        <v>50</v>
      </c>
      <c r="AM391" s="30" t="s">
        <v>50</v>
      </c>
      <c r="AN391" s="30" t="s">
        <v>50</v>
      </c>
      <c r="AO391" s="30" t="s">
        <v>50</v>
      </c>
      <c r="AP391" s="30" t="s">
        <v>50</v>
      </c>
      <c r="AQ391" s="30" t="s">
        <v>50</v>
      </c>
      <c r="AR391" s="30" t="s">
        <v>50</v>
      </c>
      <c r="AS391" s="30" t="s">
        <v>50</v>
      </c>
      <c r="AT391" s="30" t="s">
        <v>299</v>
      </c>
      <c r="AU391" s="30" t="s">
        <v>50</v>
      </c>
      <c r="AV391" s="34">
        <v>167050936718</v>
      </c>
    </row>
    <row r="392" spans="2:48" ht="15" customHeight="1">
      <c r="B392" s="28">
        <v>386</v>
      </c>
      <c r="C392" s="29" t="s">
        <v>3011</v>
      </c>
      <c r="D392" s="30" t="s">
        <v>50</v>
      </c>
      <c r="E392" s="31" t="s">
        <v>3012</v>
      </c>
      <c r="F392" s="31" t="s">
        <v>50</v>
      </c>
      <c r="G392" s="32" t="s">
        <v>3013</v>
      </c>
      <c r="H392" s="30" t="s">
        <v>132</v>
      </c>
      <c r="I392" s="30" t="s">
        <v>1129</v>
      </c>
      <c r="J392" s="32" t="s">
        <v>1131</v>
      </c>
      <c r="K392" s="30" t="s">
        <v>795</v>
      </c>
      <c r="L392" s="32" t="s">
        <v>796</v>
      </c>
      <c r="M392" s="30" t="s">
        <v>1697</v>
      </c>
      <c r="N392" s="30" t="s">
        <v>1672</v>
      </c>
      <c r="O392" s="33"/>
      <c r="P392" s="33">
        <v>0</v>
      </c>
      <c r="Q392" s="33">
        <v>0</v>
      </c>
      <c r="R392" s="33">
        <v>0</v>
      </c>
      <c r="S392" s="33">
        <v>0</v>
      </c>
      <c r="T392" s="33">
        <v>0</v>
      </c>
      <c r="U392" s="33">
        <v>0</v>
      </c>
      <c r="V392" s="33">
        <v>0</v>
      </c>
      <c r="W392" s="33" t="s">
        <v>50</v>
      </c>
      <c r="X392" s="33">
        <v>1</v>
      </c>
      <c r="Y392" s="30" t="s">
        <v>70</v>
      </c>
      <c r="Z392" s="30" t="s">
        <v>192</v>
      </c>
      <c r="AA392" s="30" t="s">
        <v>192</v>
      </c>
      <c r="AB392" s="30"/>
      <c r="AC392" s="30"/>
      <c r="AD392" s="30" t="s">
        <v>50</v>
      </c>
      <c r="AE392" s="30" t="s">
        <v>50</v>
      </c>
      <c r="AF392" s="30" t="s">
        <v>50</v>
      </c>
      <c r="AG392" s="30" t="s">
        <v>50</v>
      </c>
      <c r="AH392" s="30" t="s">
        <v>50</v>
      </c>
      <c r="AI392" s="30" t="s">
        <v>1673</v>
      </c>
      <c r="AJ392" s="30" t="s">
        <v>50</v>
      </c>
      <c r="AK392" s="30" t="s">
        <v>50</v>
      </c>
      <c r="AL392" s="30" t="s">
        <v>50</v>
      </c>
      <c r="AM392" s="30" t="s">
        <v>50</v>
      </c>
      <c r="AN392" s="30" t="s">
        <v>1681</v>
      </c>
      <c r="AO392" s="30" t="s">
        <v>50</v>
      </c>
      <c r="AP392" s="30" t="s">
        <v>50</v>
      </c>
      <c r="AQ392" s="30" t="s">
        <v>50</v>
      </c>
      <c r="AR392" s="30" t="s">
        <v>50</v>
      </c>
      <c r="AS392" s="30" t="s">
        <v>50</v>
      </c>
      <c r="AT392" s="30" t="s">
        <v>299</v>
      </c>
      <c r="AU392" s="30" t="s">
        <v>148</v>
      </c>
      <c r="AV392" s="34">
        <v>167013982366</v>
      </c>
    </row>
    <row r="393" spans="2:48" ht="15" customHeight="1">
      <c r="B393" s="28">
        <v>387</v>
      </c>
      <c r="C393" s="29" t="s">
        <v>3014</v>
      </c>
      <c r="D393" s="30" t="s">
        <v>318</v>
      </c>
      <c r="E393" s="31" t="s">
        <v>3015</v>
      </c>
      <c r="F393" s="31" t="s">
        <v>50</v>
      </c>
      <c r="G393" s="32" t="s">
        <v>3016</v>
      </c>
      <c r="H393" s="30" t="s">
        <v>73</v>
      </c>
      <c r="I393" s="30" t="s">
        <v>858</v>
      </c>
      <c r="J393" s="32" t="s">
        <v>859</v>
      </c>
      <c r="K393" s="30" t="s">
        <v>240</v>
      </c>
      <c r="L393" s="32" t="s">
        <v>797</v>
      </c>
      <c r="M393" s="30" t="s">
        <v>1718</v>
      </c>
      <c r="N393" s="30" t="s">
        <v>1672</v>
      </c>
      <c r="O393" s="33"/>
      <c r="P393" s="33">
        <v>0</v>
      </c>
      <c r="Q393" s="33">
        <v>0</v>
      </c>
      <c r="R393" s="33" t="s">
        <v>158</v>
      </c>
      <c r="S393" s="33">
        <v>0</v>
      </c>
      <c r="T393" s="33" t="s">
        <v>158</v>
      </c>
      <c r="U393" s="33" t="s">
        <v>158</v>
      </c>
      <c r="V393" s="33" t="s">
        <v>158</v>
      </c>
      <c r="W393" s="33" t="s">
        <v>50</v>
      </c>
      <c r="X393" s="33">
        <v>1</v>
      </c>
      <c r="Y393" s="30" t="s">
        <v>75</v>
      </c>
      <c r="Z393" s="30" t="s">
        <v>192</v>
      </c>
      <c r="AA393" s="30" t="s">
        <v>192</v>
      </c>
      <c r="AB393" s="30" t="s">
        <v>1316</v>
      </c>
      <c r="AC393" s="30"/>
      <c r="AD393" s="30" t="s">
        <v>50</v>
      </c>
      <c r="AE393" s="30" t="s">
        <v>50</v>
      </c>
      <c r="AF393" s="30" t="s">
        <v>50</v>
      </c>
      <c r="AG393" s="30" t="s">
        <v>50</v>
      </c>
      <c r="AH393" s="30" t="s">
        <v>50</v>
      </c>
      <c r="AI393" s="30" t="s">
        <v>1673</v>
      </c>
      <c r="AJ393" s="30" t="s">
        <v>50</v>
      </c>
      <c r="AK393" s="30" t="s">
        <v>50</v>
      </c>
      <c r="AL393" s="30" t="s">
        <v>50</v>
      </c>
      <c r="AM393" s="30" t="s">
        <v>50</v>
      </c>
      <c r="AN393" s="30" t="s">
        <v>1681</v>
      </c>
      <c r="AO393" s="30" t="s">
        <v>50</v>
      </c>
      <c r="AP393" s="30" t="s">
        <v>50</v>
      </c>
      <c r="AQ393" s="30" t="s">
        <v>50</v>
      </c>
      <c r="AR393" s="30" t="s">
        <v>50</v>
      </c>
      <c r="AS393" s="30" t="s">
        <v>50</v>
      </c>
      <c r="AT393" s="30" t="s">
        <v>1792</v>
      </c>
      <c r="AU393" s="30" t="s">
        <v>50</v>
      </c>
      <c r="AV393" s="34">
        <v>167007115285</v>
      </c>
    </row>
    <row r="394" spans="2:48" ht="15" customHeight="1">
      <c r="B394" s="28">
        <v>388</v>
      </c>
      <c r="C394" s="29" t="s">
        <v>3017</v>
      </c>
      <c r="D394" s="30" t="s">
        <v>3018</v>
      </c>
      <c r="E394" s="31" t="s">
        <v>3019</v>
      </c>
      <c r="F394" s="31" t="s">
        <v>3020</v>
      </c>
      <c r="G394" s="32" t="s">
        <v>3021</v>
      </c>
      <c r="H394" s="30" t="s">
        <v>76</v>
      </c>
      <c r="I394" s="30" t="s">
        <v>333</v>
      </c>
      <c r="J394" s="32" t="s">
        <v>559</v>
      </c>
      <c r="K394" s="30" t="s">
        <v>333</v>
      </c>
      <c r="L394" s="32" t="s">
        <v>559</v>
      </c>
      <c r="M394" s="30" t="s">
        <v>1671</v>
      </c>
      <c r="N394" s="30" t="s">
        <v>1791</v>
      </c>
      <c r="O394" s="33">
        <v>5</v>
      </c>
      <c r="P394" s="33">
        <v>2679</v>
      </c>
      <c r="Q394" s="33">
        <v>2679</v>
      </c>
      <c r="R394" s="33">
        <v>0</v>
      </c>
      <c r="S394" s="33">
        <v>0</v>
      </c>
      <c r="T394" s="33">
        <v>0</v>
      </c>
      <c r="U394" s="33">
        <v>0</v>
      </c>
      <c r="V394" s="33">
        <v>0</v>
      </c>
      <c r="W394" s="33" t="s">
        <v>50</v>
      </c>
      <c r="X394" s="33">
        <v>2</v>
      </c>
      <c r="Y394" s="30" t="s">
        <v>64</v>
      </c>
      <c r="Z394" s="30" t="s">
        <v>186</v>
      </c>
      <c r="AA394" s="30" t="s">
        <v>186</v>
      </c>
      <c r="AB394" s="30"/>
      <c r="AC394" s="30"/>
      <c r="AD394" s="30" t="s">
        <v>50</v>
      </c>
      <c r="AE394" s="30" t="s">
        <v>50</v>
      </c>
      <c r="AF394" s="30" t="s">
        <v>50</v>
      </c>
      <c r="AG394" s="30" t="s">
        <v>50</v>
      </c>
      <c r="AH394" s="30" t="s">
        <v>50</v>
      </c>
      <c r="AI394" s="30" t="s">
        <v>1673</v>
      </c>
      <c r="AJ394" s="30" t="s">
        <v>187</v>
      </c>
      <c r="AK394" s="30" t="s">
        <v>2132</v>
      </c>
      <c r="AL394" s="30" t="s">
        <v>237</v>
      </c>
      <c r="AM394" s="30" t="s">
        <v>50</v>
      </c>
      <c r="AN394" s="30" t="s">
        <v>50</v>
      </c>
      <c r="AO394" s="30" t="s">
        <v>50</v>
      </c>
      <c r="AP394" s="30" t="s">
        <v>50</v>
      </c>
      <c r="AQ394" s="30" t="s">
        <v>50</v>
      </c>
      <c r="AR394" s="30" t="s">
        <v>50</v>
      </c>
      <c r="AS394" s="30" t="s">
        <v>50</v>
      </c>
      <c r="AT394" s="30" t="s">
        <v>299</v>
      </c>
      <c r="AU394" s="30" t="s">
        <v>50</v>
      </c>
      <c r="AV394" s="34">
        <v>167001241418</v>
      </c>
    </row>
    <row r="395" spans="2:48" ht="15" customHeight="1">
      <c r="B395" s="28">
        <v>389</v>
      </c>
      <c r="C395" s="29" t="s">
        <v>3017</v>
      </c>
      <c r="D395" s="30" t="s">
        <v>50</v>
      </c>
      <c r="E395" s="31" t="s">
        <v>3022</v>
      </c>
      <c r="F395" s="31" t="s">
        <v>3023</v>
      </c>
      <c r="G395" s="32" t="s">
        <v>3024</v>
      </c>
      <c r="H395" s="30" t="s">
        <v>62</v>
      </c>
      <c r="I395" s="30" t="s">
        <v>333</v>
      </c>
      <c r="J395" s="32" t="s">
        <v>334</v>
      </c>
      <c r="K395" s="30" t="s">
        <v>333</v>
      </c>
      <c r="L395" s="32" t="s">
        <v>334</v>
      </c>
      <c r="M395" s="30" t="s">
        <v>1671</v>
      </c>
      <c r="N395" s="30" t="s">
        <v>1791</v>
      </c>
      <c r="O395" s="33"/>
      <c r="P395" s="33">
        <v>3804</v>
      </c>
      <c r="Q395" s="33">
        <v>3804</v>
      </c>
      <c r="R395" s="33">
        <v>146</v>
      </c>
      <c r="S395" s="33">
        <v>1</v>
      </c>
      <c r="T395" s="33">
        <v>1</v>
      </c>
      <c r="U395" s="33">
        <v>0</v>
      </c>
      <c r="V395" s="33">
        <v>0</v>
      </c>
      <c r="W395" s="33" t="s">
        <v>50</v>
      </c>
      <c r="X395" s="33">
        <v>2</v>
      </c>
      <c r="Y395" s="30" t="s">
        <v>64</v>
      </c>
      <c r="Z395" s="30" t="s">
        <v>186</v>
      </c>
      <c r="AA395" s="30" t="s">
        <v>186</v>
      </c>
      <c r="AB395" s="30"/>
      <c r="AC395" s="30"/>
      <c r="AD395" s="30" t="s">
        <v>50</v>
      </c>
      <c r="AE395" s="30" t="s">
        <v>50</v>
      </c>
      <c r="AF395" s="30" t="s">
        <v>50</v>
      </c>
      <c r="AG395" s="30" t="s">
        <v>50</v>
      </c>
      <c r="AH395" s="30" t="s">
        <v>50</v>
      </c>
      <c r="AI395" s="30" t="s">
        <v>1673</v>
      </c>
      <c r="AJ395" s="30" t="s">
        <v>187</v>
      </c>
      <c r="AK395" s="30" t="s">
        <v>2132</v>
      </c>
      <c r="AL395" s="30" t="s">
        <v>237</v>
      </c>
      <c r="AM395" s="30" t="s">
        <v>50</v>
      </c>
      <c r="AN395" s="30" t="s">
        <v>50</v>
      </c>
      <c r="AO395" s="30" t="s">
        <v>50</v>
      </c>
      <c r="AP395" s="30" t="s">
        <v>50</v>
      </c>
      <c r="AQ395" s="30" t="s">
        <v>50</v>
      </c>
      <c r="AR395" s="30" t="s">
        <v>50</v>
      </c>
      <c r="AS395" s="30" t="s">
        <v>50</v>
      </c>
      <c r="AT395" s="30" t="s">
        <v>299</v>
      </c>
      <c r="AU395" s="30" t="s">
        <v>50</v>
      </c>
      <c r="AV395" s="34">
        <v>167000940699</v>
      </c>
    </row>
  </sheetData>
  <autoFilter ref="B6:AV6"/>
  <hyperlinks>
    <hyperlink ref="C1" location="Содержание!B4" display="К содержанию"/>
    <hyperlink ref="G7" r:id="rId1" display="https://hron-prostatit.ru/forum/viewtopic.php?p=445520#p445520"/>
    <hyperlink ref="J7" r:id="rId2" display="https://hron-prostatit.ru/authors/vito54"/>
    <hyperlink ref="L7" r:id="rId3" display="https://hron-prostatit.ru/forum/viewforum.php?f=4"/>
    <hyperlink ref="G8" r:id="rId4" display="https://www.ozon.ru/product/711343209/reviews?ruuid=019e7ecb-9eff-789f-a6ed-b6758e8a2c4f"/>
    <hyperlink ref="J8" r:id="rId5" display="https://www.ozon.ru/context/client_opinion/ClientGuid/00000000-0000-0000-0000-000000000000#Юлия Р."/>
    <hyperlink ref="L8" r:id="rId6" display="https://www.ozon.ru/context/detail/id/711343209"/>
    <hyperlink ref="G9" r:id="rId7" display="https://sprosivracha.com/questions/4368061-babushka-stala-sovsem-ploho-hodit"/>
    <hyperlink ref="J9" r:id="rId8" display="https://sprosivracha.com/authors/Анастасия"/>
    <hyperlink ref="L9" r:id="rId9" display="https://sprosivracha.com/questions/4368061-babushka-stala-sovsem-ploho-hodit"/>
    <hyperlink ref="G10" r:id="rId10" display="https://telegram.me/kristheme/2387"/>
    <hyperlink ref="J10" r:id="rId11" display="https://telegram.me/kristheme"/>
    <hyperlink ref="L10" r:id="rId12" display="https://telegram.me/kristheme"/>
    <hyperlink ref="G11" r:id="rId13" display="https://telegram.me/chatmcf/839298"/>
    <hyperlink ref="J11" r:id="rId14" display="https://telegram.me/7062911248"/>
    <hyperlink ref="L11" r:id="rId15" display="https://telegram.me/chatmcf"/>
    <hyperlink ref="G12" r:id="rId16" display="http://vk.com/video-228862181_456240079"/>
    <hyperlink ref="J12" r:id="rId17" display="http://vk.com/club228862181"/>
    <hyperlink ref="L12" r:id="rId18" display="http://vk.com/club228862181"/>
    <hyperlink ref="G13" r:id="rId19" display="https://telegram.me/c/1699667973/125321"/>
    <hyperlink ref="J13" r:id="rId20" display="https://telegram.me/499174279"/>
    <hyperlink ref="L13" r:id="rId21" display="https://telegram.me/1699667973"/>
    <hyperlink ref="G14" r:id="rId22" display="https://dzen.ru/a/ahMaswHUETd2nlLV?comment-request=1#comment_3336411963"/>
    <hyperlink ref="J14" r:id="rId23" display="https://dzen.ru/id/6252046f5fa8243b3e3fa422"/>
    <hyperlink ref="L14" r:id="rId24" display="https://dzen.ru/id/62107cb555365a370a816f80"/>
    <hyperlink ref="G15" r:id="rId25" display="https://www.threads.com/@mommycine/post/DY_tECnjoMo"/>
    <hyperlink ref="J15" r:id="rId26" display="https://threads.com/@mommycine"/>
    <hyperlink ref="L15" r:id="rId27" display="https://threads.com/@mommycine"/>
    <hyperlink ref="G16" r:id="rId28" display="https://sprosivracha.com/questions/4368183-rozha-otek-nogi-infekciya#a28013838"/>
    <hyperlink ref="J16" r:id="rId29" display="https://sprosivracha.com/authors/Нина Извозчикова"/>
    <hyperlink ref="L16" r:id="rId30" display="https://sprosivracha.com/questions/4368183-rozha-otek-nogi-infekciya"/>
    <hyperlink ref="G17" r:id="rId31" display="https://telegram.me/like_in_cash/48668"/>
    <hyperlink ref="J17" r:id="rId32" display="https://telegram.me/parser_part_bot"/>
    <hyperlink ref="L17" r:id="rId33" display="https://telegram.me/like_in_cash"/>
    <hyperlink ref="G18" r:id="rId34" display="https://max.ru/clariryofmind/AZ54-FYTc8k"/>
    <hyperlink ref="J18" r:id="rId35" display="https://max.ru/clariryofmind"/>
    <hyperlink ref="L18" r:id="rId36" display="https://max.ru/clariryofmind"/>
    <hyperlink ref="G19" r:id="rId37" display="http://vk.com/wall-233198825_737"/>
    <hyperlink ref="J19" r:id="rId38" display="http://vk.com/club233198825"/>
    <hyperlink ref="L19" r:id="rId39" display="http://vk.com/club233198825"/>
    <hyperlink ref="G20" r:id="rId40" display="http://vk.com/wall-219255672_263846?reply=266019&amp;thread=263911"/>
    <hyperlink ref="J20" r:id="rId41" display="http://vk.com/id264045142"/>
    <hyperlink ref="L20" r:id="rId42" display="http://vk.com/club219255672"/>
    <hyperlink ref="G21" r:id="rId43" display="http://vk.com/wall-177710119_195978?reply=196002"/>
    <hyperlink ref="J21" r:id="rId44" display="http://vk.com/id719231073"/>
    <hyperlink ref="L21" r:id="rId45" display="http://vk.com/club177710119"/>
    <hyperlink ref="G22" r:id="rId46" display="https://dzen.ru/a/ahgi2ogxz0zpK-Gf?comment-request=1#comment_3333844993"/>
    <hyperlink ref="J22" r:id="rId47" display="https://dzen.ru/id/683a5da203a9ab31d4266a8b"/>
    <hyperlink ref="L22" r:id="rId48" display="https://dzen.ru/id/5d9a22f96f5f6f00adf62457"/>
    <hyperlink ref="G23" r:id="rId49" display="http://vk.com/wall-192553540_632731?reply=634478&amp;thread=633946"/>
    <hyperlink ref="J23" r:id="rId50" display="http://vk.com/id741139354"/>
    <hyperlink ref="L23" r:id="rId51" display="http://vk.com/club192553540"/>
    <hyperlink ref="G24" r:id="rId52" display="https://telegram.me/beremennost_pregnancy/2340749"/>
    <hyperlink ref="J24" r:id="rId53" display="https://telegram.me/1053760904"/>
    <hyperlink ref="L24" r:id="rId54" display="https://telegram.me/beremennost_pregnancy"/>
    <hyperlink ref="G25" r:id="rId55" display="http://vk.com/wall-17990792_94713?reply=94720&amp;thread=94715"/>
    <hyperlink ref="J25" r:id="rId56" display="http://vk.com/id708739638"/>
    <hyperlink ref="L25" r:id="rId57" display="http://vk.com/club17990792"/>
    <hyperlink ref="G26" r:id="rId58" display="http://vk.com/wall-17990792_94713?reply=94719&amp;thread=94715"/>
    <hyperlink ref="J26" r:id="rId59" display="http://vk.com/id110659096"/>
    <hyperlink ref="L26" r:id="rId60" display="http://vk.com/club17990792"/>
    <hyperlink ref="G27" r:id="rId61" display="http://vk.com/wall-17990792_94713?reply=94718&amp;thread=94715"/>
    <hyperlink ref="J27" r:id="rId62" display="http://vk.com/id708739638"/>
    <hyperlink ref="L27" r:id="rId63" display="http://vk.com/club17990792"/>
    <hyperlink ref="G28" r:id="rId64" display="http://vk.com/wall-17990792_94713?reply=94715"/>
    <hyperlink ref="J28" r:id="rId65" display="http://vk.com/id110659096"/>
    <hyperlink ref="L28" r:id="rId66" display="http://vk.com/club17990792"/>
    <hyperlink ref="G29" r:id="rId67" display="http://www.youtube.com/watch?v=LUC8YPpAPgA&amp;lc=UgzD2KPjeydBmCvYDJB4AaABAg.AXM6CZAlcxgAXNhfKqmko5"/>
    <hyperlink ref="J29" r:id="rId68" display="http://www.youtube.com/channel/UCeJzEuWiO54RfOaCMk71yKA"/>
    <hyperlink ref="L29" r:id="rId69" display="http://www.youtube.com/channel/UCACxYUqXai-PhTBwBJEBB7g"/>
    <hyperlink ref="G30" r:id="rId70" display="https://www.tiktok.com/@dok.kirillova/video/7644783009299942669#7645056282018562817:7645021445789614856"/>
    <hyperlink ref="J30" r:id="rId71" display="https://www.tiktok.com/@laizan02"/>
    <hyperlink ref="L30" r:id="rId72" display="https://www.tiktok.com/@dok.kirillova"/>
    <hyperlink ref="G31" r:id="rId73" display="https://www.threads.com/@gnomic8801/post/DY5aqcwDsPv"/>
    <hyperlink ref="J31" r:id="rId74" display="https://threads.com/@gnomic8801"/>
    <hyperlink ref="L31" r:id="rId75" display="https://threads.com/@gnomic8801"/>
    <hyperlink ref="G32" r:id="rId76" display="https://telegram.me/babiesinjune_andmoms/1423403"/>
    <hyperlink ref="J32" r:id="rId77" display="https://telegram.me/anastasiyaspadareva"/>
    <hyperlink ref="L32" r:id="rId78" display="https://telegram.me/babiesinjune_andmoms"/>
    <hyperlink ref="G33" r:id="rId79" display="https://telegram.me/c/1407442894/183794"/>
    <hyperlink ref="J33" r:id="rId80" display="https://telegram.me/1030201087"/>
    <hyperlink ref="L33" r:id="rId81" display="https://telegram.me/1407442894"/>
    <hyperlink ref="G34" r:id="rId82" display="https://www.wildberries.ru/catalog/138992242/detail.aspx#review_xqrbAUWCPkAipAyJMLQs"/>
    <hyperlink ref="J34" r:id="rId83" display="https://www.wildberries.ru/profile/RWHbm5SgopupK0XLs4SjDklqX5rw1br0U6tZx3UOisaz"/>
    <hyperlink ref="L34" r:id="rId84" display="https://www.wildberries.ru/catalog/138992242/detail.aspx"/>
    <hyperlink ref="G35" r:id="rId85" display="http://www.youtube.com/watch?v=gvckIX9ZWIc&amp;lc=UgweZMFaiBzoQu05_LZ4AaABAg"/>
    <hyperlink ref="J35" r:id="rId86" display="http://www.youtube.com/channel/UCwNb5iZXBZsjwon0FacVTMQ"/>
    <hyperlink ref="L35" r:id="rId87" display="http://www.youtube.com/channel/UCiXRoPtKroEsb7LRL-8esHg"/>
    <hyperlink ref="G36" r:id="rId88" display="https://www.otzyvru.com/trental/review-2258841#comment2258841"/>
    <hyperlink ref="J36" r:id="rId89" display="https://www.otzyvru.com/authors/Гость"/>
    <hyperlink ref="L36" r:id="rId90" display="https://www.otzyvru.com/trental"/>
    <hyperlink ref="G37" r:id="rId91" display="http://vk.com/wall-112497291_293850?reply=293947"/>
    <hyperlink ref="J37" r:id="rId92" display="http://vk.com/id235493743"/>
    <hyperlink ref="L37" r:id="rId93" display="http://vk.com/club112497291"/>
    <hyperlink ref="G38" r:id="rId94" display="https://dzen.ru/a/ahWffhUdvlFXrVeB?comment-request=1#comment_3322404282"/>
    <hyperlink ref="J38" r:id="rId95" display="https://dzen.ru/id/69673fb99ddcd57294641e04"/>
    <hyperlink ref="L38" r:id="rId96" display="https://dzen.ru/id/59c4d5894bf161c6efdacbb0"/>
    <hyperlink ref="G39" r:id="rId97" display="https://otzovik.com/review_18382383.html"/>
    <hyperlink ref="J39" r:id="rId98" display="https://otzovik.com/profile/Дивная+Полина"/>
    <hyperlink ref="L39" r:id="rId99" display="https://otzovik.com/reviews/trental_soteks"/>
    <hyperlink ref="G40" r:id="rId100" display="https://telegram.me/beremennost_pregnancy/2336393"/>
    <hyperlink ref="J40" r:id="rId101" display="https://telegram.me/1053760904"/>
    <hyperlink ref="L40" r:id="rId102" display="https://telegram.me/beremennost_pregnancy"/>
    <hyperlink ref="G41" r:id="rId103" display="http://vk.com/wall-218277808_2907"/>
    <hyperlink ref="J41" r:id="rId104" display="http://vk.com/club218277808"/>
    <hyperlink ref="L41" r:id="rId105" display="http://vk.com/club218277808"/>
    <hyperlink ref="G42" r:id="rId106" display="https://otzovik.com/review_18381772.html"/>
    <hyperlink ref="J42" r:id="rId107" display="https://otzovik.com/profile/Андриановна"/>
    <hyperlink ref="L42" r:id="rId108" display="https://otzovik.com/reviews/trental_soteks"/>
    <hyperlink ref="G43" r:id="rId109" display="https://mom.life/post/6a17dc6b2f1ba69e8c095fdb#6a17e0f5b9076d2bfa0c23f9"/>
    <hyperlink ref="J43" r:id="rId110" display="https://mom.life/user/6691732f883d963458177ce6"/>
    <hyperlink ref="L43" r:id="rId111" display="https://mom.life/channel/5d4811d6ebdb000de72653af"/>
    <hyperlink ref="G44" r:id="rId112" display="https://www.vashe-mnenie.com/reviews.php?name=trental#date=2026-05-28 08:48:45"/>
    <hyperlink ref="J44" r:id="rId113" display="https://www.vashe-mnenie.com/authors/Гость"/>
    <hyperlink ref="L44" r:id="rId114" display="https://www.vashe-mnenie.com/reviews.php?name=trental"/>
    <hyperlink ref="G45" r:id="rId115" display="https://telegram.me/zdorovie_i_me/1480"/>
    <hyperlink ref="J45" r:id="rId116" display="https://telegram.me/zdorovie_i_me"/>
    <hyperlink ref="L45" r:id="rId117" display="https://telegram.me/zdorovie_i_me"/>
    <hyperlink ref="G46" r:id="rId118" display="https://pikabu.ru/story/kak_ne_poteryat_nogi_14011323?cid=393713519"/>
    <hyperlink ref="J46" r:id="rId119" display="https://pikabu.ru/@svlads"/>
    <hyperlink ref="L46" r:id="rId120" display="https://pikabu.ru/story/_14011323"/>
    <hyperlink ref="G47" r:id="rId121" display="https://telegram.me/glomerulonefritiga/149011"/>
    <hyperlink ref="J47" r:id="rId122" display="https://telegram.me/annamuklaeva"/>
    <hyperlink ref="L47" r:id="rId123" display="https://telegram.me/glomerulonefritiga"/>
    <hyperlink ref="G48" r:id="rId124" display="https://sprosivracha.com/questions/4361026-sineyu-na-holode#a27953506"/>
    <hyperlink ref="J48" r:id="rId125" display="https://sprosivracha.com/authors/Юлия Рудоманова"/>
    <hyperlink ref="L48" r:id="rId126" display="https://sprosivracha.com/questions/4361026-sineyu-na-holode"/>
    <hyperlink ref="G49" r:id="rId127" display="https://www.instagram.com/p/DY12EKOt2r8/"/>
    <hyperlink ref="J49" r:id="rId128" display="https://instagram.com/pro_talina"/>
    <hyperlink ref="L49" r:id="rId129" display="https://instagram.com/pro_talina"/>
    <hyperlink ref="G50" r:id="rId130" display="https://dzen.ru/a/ahWffhUdvlFXrVeB?comment-request=1#comment_3320876162"/>
    <hyperlink ref="J50" r:id="rId131" display="https://dzen.ru/id/615dfcc3ca7ecd0395063799"/>
    <hyperlink ref="L50" r:id="rId132" display="https://dzen.ru/id/59c4d5894bf161c6efdacbb0"/>
    <hyperlink ref="G51" r:id="rId133" display="https://www.babyblog.ru/community/happypregn/post/3778760"/>
    <hyperlink ref="J51" r:id="rId134" display="https://www.babyblog.ru/user/onalesya1"/>
    <hyperlink ref="L51" r:id="rId135" display="https://www.babyblog.ru/community/happypregn"/>
    <hyperlink ref="G52" r:id="rId136" display="http://vk.com/wall-236733457_17894"/>
    <hyperlink ref="J52" r:id="rId137" display="http://vk.com/club236733457"/>
    <hyperlink ref="L52" r:id="rId138" display="http://vk.com/club236733457"/>
    <hyperlink ref="G53" r:id="rId139" display="https://irecommend.ru/content/tolko-maskiruet-no-krovopodteki-ne-lechit"/>
    <hyperlink ref="J53" r:id="rId140" display="https://irecommend.ru/users/zimma208"/>
    <hyperlink ref="L53" r:id="rId141" display="https://irecommend.ru/content/gel-doktor-biokon-sinyak-dlya-ekspress-udaleniya-sinyakov-s-toniruyushchim-effektom"/>
    <hyperlink ref="G54" r:id="rId142" display="https://dzen.ru/a/ahWffhUdvlFXrVeB?comment-request=1#comment_3320564522"/>
    <hyperlink ref="J54" r:id="rId143" display="https://dzen.ru/user/edef6s10opi3ve84lz63es7gr1u"/>
    <hyperlink ref="L54" r:id="rId144" display="https://dzen.ru/id/59c4d5894bf161c6efdacbb0"/>
    <hyperlink ref="G55" r:id="rId145" display="https://otzovik.com/review_18378774.html"/>
    <hyperlink ref="J55" r:id="rId146" display="https://otzovik.com/profile/AlisSia27"/>
    <hyperlink ref="L55" r:id="rId147" display="https://otzovik.com/reviews/klinika_zdravklinik_russia_moscow"/>
    <hyperlink ref="G56" r:id="rId148" display="https://otzyv.pro/reviews/otzyvy-trental-515525.html"/>
    <hyperlink ref="J56" r:id="rId149" display="https://otzyv.pro/user/aleksafomina"/>
    <hyperlink ref="L56" r:id="rId150" display="https://otzyv.pro/category/nootropnyie-preparatyi/25346-trental.html"/>
    <hyperlink ref="G57" r:id="rId151" display="http://www.youtube.com/watch?v=bq4slT-imsM&amp;lc=UgwDIRxFK5SPjXYlIF94AaABAg"/>
    <hyperlink ref="J57" r:id="rId152" display="http://www.youtube.com/channel/UCNGqyR3VwHyjJidsmfdw6Pw"/>
    <hyperlink ref="L57" r:id="rId153" display="http://www.youtube.com/channel/UCWaPTBsDgQ84bQQDBykfgsw"/>
    <hyperlink ref="G58" r:id="rId154" display="https://market.yandex.ru/user/0n8c3nhne2au0fdbvvqxctkq4g/reviews#t9IP0L9H4d_F_4JEMmNwtFJQnAnioouOo"/>
    <hyperlink ref="J58" r:id="rId155" display="https://market.yandex.ru/user/0n8c3nhne2au0fdbvvqxctkq4g"/>
    <hyperlink ref="L58" r:id="rId156" display="https://market.yandex.ru/product/1401075805"/>
    <hyperlink ref="G59" r:id="rId157" display="http://vk.com/wall-74822124_1025509?reply=1025558&amp;thread=1025551"/>
    <hyperlink ref="J59" r:id="rId158" display="http://vk.com/id330920114"/>
    <hyperlink ref="L59" r:id="rId159" display="http://vk.com/club74822124"/>
    <hyperlink ref="G60" r:id="rId160" display="https://www.instagram.com/p/DYzm_NmurSh/c/18084043559254854"/>
    <hyperlink ref="J60" r:id="rId161" display="https://instagram.com/kireeva2879"/>
    <hyperlink ref="L60" r:id="rId162" display="https://instagram.com/pro_vizor888"/>
    <hyperlink ref="G61" r:id="rId163" display="http://www.youtube.com/watch?v=bq4slT-imsM&amp;lc=Ugy5_AsUFKup5akIoax4AaABAg"/>
    <hyperlink ref="J61" r:id="rId164" display="http://www.youtube.com/channel/UCzcBeIBDmIi3AoSEEiVsXVA"/>
    <hyperlink ref="L61" r:id="rId165" display="http://www.youtube.com/channel/UCWaPTBsDgQ84bQQDBykfgsw"/>
    <hyperlink ref="G62" r:id="rId166" display="http://vk.com/wall-149047382_3170626?reply=3171250"/>
    <hyperlink ref="J62" r:id="rId167" display="http://vk.com/id1115732629"/>
    <hyperlink ref="L62" r:id="rId168" display="http://vk.com/club149047382"/>
    <hyperlink ref="G63" r:id="rId169" display="https://www.otzyvru.com/trental/review-2257694#comment2257694"/>
    <hyperlink ref="J63" r:id="rId170" display="https://www.otzyvru.com/authors/Гость"/>
    <hyperlink ref="L63" r:id="rId171" display="https://www.otzyvru.com/trental"/>
    <hyperlink ref="G64" r:id="rId172" display="https://irecommend.ru/content/otlichnyi-preparat-n11492328"/>
    <hyperlink ref="J64" r:id="rId173" display="https://irecommend.ru/users/polyalugovaya"/>
    <hyperlink ref="L64" r:id="rId174" display="https://irecommend.ru/content/vazodilatiruyushchee-sredstvo-sanofi-aventis-trental"/>
    <hyperlink ref="G65" r:id="rId175" display="https://www.vashe-mnenie.com/reviews.php?name=trental#date=2026-05-26 13:22:24"/>
    <hyperlink ref="J65" r:id="rId176" display="https://www.vashe-mnenie.com/authors/Гость"/>
    <hyperlink ref="L65" r:id="rId177" display="https://www.vashe-mnenie.com/reviews.php?name=trental"/>
    <hyperlink ref="G66" r:id="rId178" display="https://www.tiktok.com/@makarov_batumi/video/7644054557630287122#7644127787347575570"/>
    <hyperlink ref="J66" r:id="rId179" display="https://www.tiktok.com/@shamulba"/>
    <hyperlink ref="L66" r:id="rId180" display="https://www.tiktok.com/@makarov_batumi"/>
    <hyperlink ref="G67" r:id="rId181" display="https://telegram.me/dgdschat/127944"/>
    <hyperlink ref="J67" r:id="rId182" display="https://telegram.me/zovkredit"/>
    <hyperlink ref="L67" r:id="rId183" display="https://telegram.me/dgdschat"/>
    <hyperlink ref="G68" r:id="rId184" display="http://vk.com/wall-232208667_1004?reply=1043&amp;thread=1006"/>
    <hyperlink ref="J68" r:id="rId185" display="http://vk.com/id678931674"/>
    <hyperlink ref="L68" r:id="rId186" display="http://vk.com/club232208667"/>
    <hyperlink ref="G69" r:id="rId187" display="https://rutube.ru/video/68df469ee6527b62e4e9b238aaf23165/#1779759048733896266"/>
    <hyperlink ref="J69" r:id="rId188" display="https://rutube.ru/video/person/24179634"/>
    <hyperlink ref="L69" r:id="rId189" display="https://rutube.ru/video/person/41619480"/>
    <hyperlink ref="G70" r:id="rId190" display="https://rutube.ru/video/68df469ee6527b62e4e9b238aaf23165/#1779732148346748689"/>
    <hyperlink ref="J70" r:id="rId191" display="https://rutube.ru/video/person/28404014"/>
    <hyperlink ref="L70" r:id="rId192" display="https://rutube.ru/video/person/41619480"/>
    <hyperlink ref="G71" r:id="rId193" display="https://www.woman.ru/chat-room/thread-khram-prekrasnogo-pana-id6425242/88/#m104094004"/>
    <hyperlink ref="J71" r:id="rId194" display="https://www.woman.ru/forum/user-statuses/editorial/#gold_message"/>
    <hyperlink ref="L71" r:id="rId195" display="https://www.woman.ru/forum/all/chat-room/thread-khram-prekrasnogo-pana-id6425242/88"/>
    <hyperlink ref="G72" r:id="rId196" display="http://ok.ru/group/55077875286120/topic/157766621207912"/>
    <hyperlink ref="J72" r:id="rId197" display="http://ok.ru/group/55077875286120"/>
    <hyperlink ref="L72" r:id="rId198" display="http://ok.ru/group/55077875286120"/>
    <hyperlink ref="G73" r:id="rId199" display="http://vk.com/wall-110220095_399323?reply=399551&amp;thread=399381"/>
    <hyperlink ref="J73" r:id="rId200" display="http://vk.com/id171254440"/>
    <hyperlink ref="L73" r:id="rId201" display="http://vk.com/club110220095"/>
    <hyperlink ref="G74" r:id="rId202" display="https://mom.life/post/6a145e41e7e59a4b79052faa#6a14678be4842a0f6b06a2f9"/>
    <hyperlink ref="J74" r:id="rId203" display="https://mom.life/user/6a14345a8a40cc102e0bb78d"/>
    <hyperlink ref="L74" r:id="rId204" display="https://mom.life/user/5d92597f47da0052e87d2560"/>
    <hyperlink ref="G75" r:id="rId205" display="http://www.youtube.com/watch?v=s9oQMAD7EjQ"/>
    <hyperlink ref="J75" r:id="rId206" display="http://www.youtube.com/channel/UCKuzqICdyXvnNNGPkbQivnw"/>
    <hyperlink ref="L75" r:id="rId207" display="http://www.youtube.com/channel/UCKuzqICdyXvnNNGPkbQivnw"/>
    <hyperlink ref="G76" r:id="rId208" display="http://vk.com/wall-118324715_646827"/>
    <hyperlink ref="J76" r:id="rId209" display="http://vk.com/club118324715"/>
    <hyperlink ref="L76" r:id="rId210" display="http://vk.com/club118324715"/>
    <hyperlink ref="G77" r:id="rId211" display="http://vk.com/wall-213047982_46097?reply=46165"/>
    <hyperlink ref="J77" r:id="rId212" display="http://vk.com/id1115732629"/>
    <hyperlink ref="L77" r:id="rId213" display="http://vk.com/club213047982"/>
    <hyperlink ref="G78" r:id="rId214" display="http://vk.com/wall-64697447_2117704?reply=2117834"/>
    <hyperlink ref="J78" r:id="rId215" display="http://vk.com/id1115732629"/>
    <hyperlink ref="L78" r:id="rId216" display="http://vk.com/club64697447"/>
    <hyperlink ref="G79" r:id="rId217" display="http://vk.com/wall-25882042_1065634?reply=1776552&amp;thread=1776473"/>
    <hyperlink ref="J79" r:id="rId218" display="http://vk.com/club179849289"/>
    <hyperlink ref="L79" r:id="rId219" display="http://vk.com/club25882042"/>
    <hyperlink ref="G80" r:id="rId220" display="http://vk.com/wall-236733457_17346"/>
    <hyperlink ref="J80" r:id="rId221" display="http://vk.com/club236733457"/>
    <hyperlink ref="L80" r:id="rId222" display="http://vk.com/club236733457"/>
    <hyperlink ref="G81" r:id="rId223" display="https://pikabu.ru/story/pro_varikoz_13999811?cid=393396548"/>
    <hyperlink ref="J81" r:id="rId224" display="https://pikabu.ru/@FFSet"/>
    <hyperlink ref="L81" r:id="rId225" display="https://pikabu.ru/story/_13999811"/>
    <hyperlink ref="G82" r:id="rId226" display="https://teletype.in/@dominantazdorovja/4pymDcqHEnw"/>
    <hyperlink ref="J82" r:id="rId227" display="https://teletype.in/@dominantazdorovja"/>
    <hyperlink ref="L82" r:id="rId228" display="https://teletype.in/@dominantazdorovja"/>
    <hyperlink ref="G83" r:id="rId229" display="https://www.instagram.com/p/DYv5kgyCJ9d/c/18204860104345910"/>
    <hyperlink ref="J83" r:id="rId230" display="https://instagram.com/doctor.kean"/>
    <hyperlink ref="L83" r:id="rId231" display="https://instagram.com/doctor.kean"/>
    <hyperlink ref="G84" r:id="rId232" display="http://vk.com/wall-25882042_1065634?reply=1776473"/>
    <hyperlink ref="J84" r:id="rId233" display="http://vk.com/id3789070"/>
    <hyperlink ref="L84" r:id="rId234" display="http://vk.com/club25882042"/>
    <hyperlink ref="G85" r:id="rId235" display="http://vk.com/wall-61570233_117048"/>
    <hyperlink ref="J85" r:id="rId236" display="http://vk.com/club61570233"/>
    <hyperlink ref="L85" r:id="rId237" display="http://vk.com/club61570233"/>
    <hyperlink ref="G86" r:id="rId238" display="http://ok.ru/group/52171764269129/topic/158358884756297"/>
    <hyperlink ref="J86" r:id="rId239" display="http://ok.ru/group/52171764269129"/>
    <hyperlink ref="L86" r:id="rId240" display="http://ok.ru/group/52171764269129"/>
    <hyperlink ref="G87" r:id="rId241" display="http://vk.com/wall-229000699_2769?reply=4352"/>
    <hyperlink ref="J87" r:id="rId242" display="http://vk.com/id833615399"/>
    <hyperlink ref="L87" r:id="rId243" display="http://vk.com/club229000699"/>
    <hyperlink ref="G88" r:id="rId244" display="https://www.facebook.com/27121093024168059"/>
    <hyperlink ref="J88" r:id="rId245" display="http://www.facebook.com/profile.php?id=100000821827539"/>
    <hyperlink ref="L88" r:id="rId246" display="http://www.facebook.com/profile.php?id=100000821827539"/>
    <hyperlink ref="G89" r:id="rId247" display="https://www.facebook.com/27354609880824271"/>
    <hyperlink ref="J89" r:id="rId248" display="http://www.facebook.com/profile.php?id=100001058827965"/>
    <hyperlink ref="L89" r:id="rId249" display="http://www.facebook.com/profile.php?id=100001058827965"/>
    <hyperlink ref="G90" r:id="rId250" display="http://vk.com/wall-15967739_196586?reply=196628"/>
    <hyperlink ref="J90" r:id="rId251" display="http://vk.com/id204487094"/>
    <hyperlink ref="L90" r:id="rId252" display="http://vk.com/club15967739"/>
    <hyperlink ref="G91" r:id="rId253" display="https://telegram.me/c/2214211507/9290"/>
    <hyperlink ref="J91" r:id="rId254" display="https://telegram.me/2214211507"/>
    <hyperlink ref="L91" r:id="rId255" display="https://telegram.me/2214211507"/>
    <hyperlink ref="G92" r:id="rId256" display="http://vk.com/wall-17990792_94638?reply=94700&amp;thread=94639"/>
    <hyperlink ref="J92" r:id="rId257" display="http://vk.com/id851594044"/>
    <hyperlink ref="L92" r:id="rId258" display="http://vk.com/club17990792"/>
    <hyperlink ref="G93" r:id="rId259" display="http://vk.com/wall-35402404_92772"/>
    <hyperlink ref="J93" r:id="rId260" display="http://vk.com/club35402404"/>
    <hyperlink ref="L93" r:id="rId261" display="http://vk.com/club35402404"/>
    <hyperlink ref="G94" r:id="rId262" display="http://ok.ru/group/52161146519625/topic/158358191778633"/>
    <hyperlink ref="J94" r:id="rId263" display="http://ok.ru/group/52161146519625"/>
    <hyperlink ref="L94" r:id="rId264" display="http://ok.ru/group/52161146519625"/>
    <hyperlink ref="G95" r:id="rId265" display="https://telegram.me/d04a_chat/710147"/>
    <hyperlink ref="J95" r:id="rId266" display="https://telegram.me/d04a_chat"/>
    <hyperlink ref="L95" r:id="rId267" display="https://telegram.me/d04a_chat"/>
    <hyperlink ref="G96" r:id="rId268" display="https://www.instagram.com/p/DYp8V1PM1yM/c/18211921429335132"/>
    <hyperlink ref="J96" r:id="rId269" display="https://instagram.com/pigasovanina"/>
    <hyperlink ref="L96" r:id="rId270" display="https://instagram.com/doctor.eni"/>
    <hyperlink ref="G97" r:id="rId271" display="https://www.instagram.com/p/DYrJF4jCM5x/c/18083717720563188"/>
    <hyperlink ref="J97" r:id="rId272" display="https://instagram.com/svetik_kiss_13"/>
    <hyperlink ref="L97" r:id="rId273" display="https://instagram.com/pavel_chukhnov"/>
    <hyperlink ref="G98" r:id="rId274" display="https://www.facebook.com/26942006132119644"/>
    <hyperlink ref="J98" r:id="rId275" display="http://www.facebook.com/profile.php?id=100002108655362"/>
    <hyperlink ref="L98" r:id="rId276" display="http://www.facebook.com/profile.php?id=100002108655362"/>
    <hyperlink ref="G99" r:id="rId277" display="https://www.facebook.com/35983682207942218"/>
    <hyperlink ref="J99" r:id="rId278" display="http://www.facebook.com/profile.php?id=100001816816435"/>
    <hyperlink ref="L99" r:id="rId279" display="http://www.facebook.com/profile.php?id=100001816816435"/>
    <hyperlink ref="G100" r:id="rId280" display="http://vk.com/wall-177710119_194780?reply=195003&amp;thread=194782"/>
    <hyperlink ref="J100" r:id="rId281" display="http://vk.com/id719231073"/>
    <hyperlink ref="L100" r:id="rId282" display="http://vk.com/club177710119"/>
    <hyperlink ref="G101" r:id="rId283" display="https://www.facebook.com/26969656152674030"/>
    <hyperlink ref="J101" r:id="rId284" display="http://www.facebook.com/profile.php?id=100001690301142"/>
    <hyperlink ref="L101" r:id="rId285" display="http://www.facebook.com/profile.php?id=100001690301142"/>
    <hyperlink ref="G102" r:id="rId286" display="https://sprosivracha.com/questions/4352389-ishemicheskiy-pravostoronniy-insult-u-dedushki-90-let"/>
    <hyperlink ref="J102" r:id="rId287" display="https://sprosivracha.com/authors/Екатерина"/>
    <hyperlink ref="L102" r:id="rId288" display="https://sprosivracha.com/questions/4352389-ishemicheskiy-pravostoronniy-insult-u-dedushki-90-let"/>
    <hyperlink ref="G103" r:id="rId289" display="https://www.instagram.com/p/DYrJF4jCM5x/c/18088664735525519"/>
    <hyperlink ref="J103" r:id="rId290" display="https://instagram.com/pavel_chukhnov"/>
    <hyperlink ref="L103" r:id="rId291" display="https://instagram.com/pavel_chukhnov"/>
    <hyperlink ref="G104" r:id="rId292" display="https://telegram.me/c/1572358258/3503"/>
    <hyperlink ref="J104" r:id="rId293" display="https://telegram.me/airpumpservice"/>
    <hyperlink ref="L104" r:id="rId294" display="https://telegram.me/1572358258"/>
    <hyperlink ref="G105" r:id="rId295" display="https://www.facebook.com/10162493280336574"/>
    <hyperlink ref="J105" r:id="rId296" display="http://www.facebook.com/profile.php?id=694726573"/>
    <hyperlink ref="L105" r:id="rId297" display="http://www.facebook.com/profile.php?id=694726573"/>
    <hyperlink ref="G106" r:id="rId298" display="https://www.facebook.com/26846825188345304"/>
    <hyperlink ref="J106" r:id="rId299" display="http://www.facebook.com/profile.php?id=61587142363160"/>
    <hyperlink ref="L106" r:id="rId300" display="http://www.facebook.com/profile.php?id=458554734265709"/>
    <hyperlink ref="G107" r:id="rId301" display="https://dzen.ru/a/ag_kWpPDW1dCESDt"/>
    <hyperlink ref="J107" r:id="rId302" display="https://dzen.ru/id/5e6f8929a238dc1744a2e67f"/>
    <hyperlink ref="L107" r:id="rId303" display="https://dzen.ru/id/5e6f8929a238dc1744a2e67f"/>
    <hyperlink ref="G108" r:id="rId304" display="https://dzen.ru/a/aeuIKfbGIGIOJcxM?comment-request=1#comment_3323360113"/>
    <hyperlink ref="J108" r:id="rId305" display="https://dzen.ru/user/77lhfkslznwclbekteqdvvxx_fm"/>
    <hyperlink ref="L108" r:id="rId306" display="https://dzen.ru/id/5ea3fd8b22b6bd32eecb63f5"/>
    <hyperlink ref="G109" r:id="rId307" display="http://vk.com/wall-131908471_1106285?reply=1107410&amp;thread=1107126"/>
    <hyperlink ref="J109" r:id="rId308" display="http://vk.com/id201751826"/>
    <hyperlink ref="L109" r:id="rId309" display="http://vk.com/club131908471"/>
    <hyperlink ref="G110" r:id="rId310" display="https://dzen.ru/a/ahA9pixNszI8ywXe"/>
    <hyperlink ref="J110" r:id="rId311" display="https://dzen.ru/id/698d829de5a6106bda5a3db0"/>
    <hyperlink ref="L110" r:id="rId312" display="https://dzen.ru/id/698d829de5a6106bda5a3db0"/>
    <hyperlink ref="G111" r:id="rId313" display="https://dzen.ru/a/ag6wz2B0RSFn86Qw?comment-request=1#comment_3317824864"/>
    <hyperlink ref="J111" r:id="rId314" display="https://dzen.ru/user/edef6s10opi3ve84lz63es7gr1u"/>
    <hyperlink ref="L111" r:id="rId315" display="https://dzen.ru/id/5eaafa59cf77ee27c9421287"/>
    <hyperlink ref="G112" r:id="rId316" display="https://dzen.ru/a/ag4x51GLZX3P1oQZ?comment-request=1#comment_3308786891"/>
    <hyperlink ref="J112" r:id="rId317" display="https://dzen.ru/id/69424d3d4f8ad6248027232e"/>
    <hyperlink ref="L112" r:id="rId318" display="https://dzen.ru/id/5b5f6cb0320be700acd65bfe"/>
    <hyperlink ref="G113" r:id="rId319" display="http://vk.com/wall-171736200_5750?reply=5767"/>
    <hyperlink ref="J113" r:id="rId320" display="http://vk.com/id501949024"/>
    <hyperlink ref="L113" r:id="rId321" display="http://vk.com/club171736200"/>
    <hyperlink ref="G114" r:id="rId322" display="http://vk.com/wall-171736200_5750?reply=5760"/>
    <hyperlink ref="J114" r:id="rId323" display="http://vk.com/id383835053"/>
    <hyperlink ref="L114" r:id="rId324" display="http://vk.com/club171736200"/>
    <hyperlink ref="G115" r:id="rId325" display="http://vk.com/wall-171736200_5750?reply=5757"/>
    <hyperlink ref="J115" r:id="rId326" display="http://vk.com/id383835053"/>
    <hyperlink ref="L115" r:id="rId327" display="http://vk.com/club171736200"/>
    <hyperlink ref="G116" r:id="rId328" display="http://vk.com/video-171736200_456240278"/>
    <hyperlink ref="J116" r:id="rId329" display="http://vk.com/club171736200"/>
    <hyperlink ref="L116" r:id="rId330" display="http://vk.com/club171736200"/>
    <hyperlink ref="G117" r:id="rId331" display="https://telegram.me/ecoterina_blog/4539"/>
    <hyperlink ref="J117" r:id="rId332" display="https://telegram.me/ecoterina_blog"/>
    <hyperlink ref="L117" r:id="rId333" display="https://telegram.me/ecoterina_blog"/>
    <hyperlink ref="G118" r:id="rId334" display="http://vk.com/wall-49066148_1685605?reply=1685630&amp;thread=1685628"/>
    <hyperlink ref="J118" r:id="rId335" display="http://vk.com/id7627055"/>
    <hyperlink ref="L118" r:id="rId336" display="http://vk.com/club49066148"/>
    <hyperlink ref="G119" r:id="rId337" display="http://www.youtube.com/watch?v=JDLrq88-YRs&amp;lc=Ugy4BFQbUl5lu1JVUG14AaABAg"/>
    <hyperlink ref="J119" r:id="rId338" display="http://www.youtube.com/channel/UC8rCPm9QZMfOBgR1c5bMpYQ"/>
    <hyperlink ref="L119" r:id="rId339" display="http://www.youtube.com/channel/UCWaPTBsDgQ84bQQDBykfgsw"/>
    <hyperlink ref="G120" r:id="rId340" display="https://telegram.me/oncolyachat/155203"/>
    <hyperlink ref="J120" r:id="rId341" display="https://telegram.me/1798766867"/>
    <hyperlink ref="L120" r:id="rId342" display="https://telegram.me/oncolyachat"/>
    <hyperlink ref="G121" r:id="rId343" display="http://vk.com/wall-132664992_1285592?reply=1285688"/>
    <hyperlink ref="J121" r:id="rId344" display="http://vk.com/id1115732629"/>
    <hyperlink ref="L121" r:id="rId345" display="http://vk.com/club132664992"/>
    <hyperlink ref="G122" r:id="rId346" display="https://telegram.me/dr_sveta/6038?comment=44895"/>
    <hyperlink ref="J122" r:id="rId347" display="https://telegram.me/nataliya_1"/>
    <hyperlink ref="L122" r:id="rId348" display="https://telegram.me/dr_sveta"/>
    <hyperlink ref="G123" r:id="rId349" display="http://vk.com/wall-217589574_51620?reply=52128&amp;thread=51651"/>
    <hyperlink ref="J123" r:id="rId350" display="http://vk.com/id165307226"/>
    <hyperlink ref="L123" r:id="rId351" display="http://vk.com/club217589574"/>
    <hyperlink ref="G124" r:id="rId352" display="http://vk.com/wall-226299499_1040"/>
    <hyperlink ref="J124" r:id="rId353" display="http://vk.com/club226299499"/>
    <hyperlink ref="L124" r:id="rId354" display="http://vk.com/club226299499"/>
    <hyperlink ref="G125" r:id="rId355" display="https://telegram.me/grizhapro/1077786"/>
    <hyperlink ref="J125" r:id="rId356" display="https://telegram.me/sanechekk"/>
    <hyperlink ref="L125" r:id="rId357" display="https://telegram.me/grizhapro"/>
    <hyperlink ref="G126" r:id="rId358" display="http://vk.com/wall-131908471_1104520?reply=1105976&amp;thread=1104870"/>
    <hyperlink ref="J126" r:id="rId359" display="http://vk.com/id2123550"/>
    <hyperlink ref="L126" r:id="rId360" display="http://vk.com/club131908471"/>
    <hyperlink ref="G127" r:id="rId361" display="http://vk.com/wall-49066148_1685585"/>
    <hyperlink ref="J127" r:id="rId362" display="http://vk.com/id7627055"/>
    <hyperlink ref="L127" r:id="rId363" display="http://vk.com/club49066148"/>
    <hyperlink ref="G128" r:id="rId364" display="http://www.youtube.com/watch?v=7a8PtV2wUug&amp;lc=UgwrEulzts90nk1hfVx4AaABAg.AX11bomQr-1AX2yZxqTnAu"/>
    <hyperlink ref="J128" r:id="rId365" display="http://www.youtube.com/channel/UCdbCk6qf4f4yYyit8_9U5cQ"/>
    <hyperlink ref="L128" r:id="rId366" display="http://www.youtube.com/channel/UCWaPTBsDgQ84bQQDBykfgsw"/>
    <hyperlink ref="G129" r:id="rId367" display="http://vk.com/wall-217589574_51620?reply=52105&amp;thread=51651"/>
    <hyperlink ref="J129" r:id="rId368" display="http://vk.com/id268284622"/>
    <hyperlink ref="L129" r:id="rId369" display="http://vk.com/club217589574"/>
    <hyperlink ref="G130" r:id="rId370" display="http://vk.com/wall-217589574_51620?reply=52100&amp;thread=51651"/>
    <hyperlink ref="J130" r:id="rId371" display="http://vk.com/id165307226"/>
    <hyperlink ref="L130" r:id="rId372" display="http://vk.com/club217589574"/>
    <hyperlink ref="G131" r:id="rId373" display="https://telegram.me/cybers/35612?comment=896390"/>
    <hyperlink ref="J131" r:id="rId374" display="https://telegram.me/maker072"/>
    <hyperlink ref="L131" r:id="rId375" display="https://telegram.me/cybers"/>
    <hyperlink ref="G132" r:id="rId376" display="http://www.youtube.com/watch?v=_kRmHYnJ3zA&amp;lc=Ugxw7nI7TZUovsh-H9x4AaABAg.AX1JZurfFarAX2BWGJcKeC"/>
    <hyperlink ref="J132" r:id="rId377" display="http://www.youtube.com/channel/UCFNfF6U3o-Z8BBpc0bSbfCA"/>
    <hyperlink ref="L132" r:id="rId378" display="http://www.youtube.com/channel/UCxRnwT5qacpzhJx1JR-8Gbg"/>
    <hyperlink ref="G133" r:id="rId379" display="https://sprosivracha.com/questions/4346985-sovmestnyy-priem-lekarstv#a27833581"/>
    <hyperlink ref="J133" r:id="rId380" display="https://sprosivracha.com/authors/Нурлан Иманов"/>
    <hyperlink ref="L133" r:id="rId381" display="https://sprosivracha.com/questions/4346985-sovmestnyy-priem-lekarstv"/>
    <hyperlink ref="G134" r:id="rId382" display="https://sprosivracha.com/questions/4346985-sovmestnyy-priem-lekarstv"/>
    <hyperlink ref="J134" r:id="rId383" display="https://sprosivracha.com/authors/Мария"/>
    <hyperlink ref="L134" r:id="rId384" display="https://sprosivracha.com/questions/4346985-sovmestnyy-priem-lekarstv"/>
    <hyperlink ref="G135" r:id="rId385" display="http://vk.com/wall-149047382_3167932?reply=3168605"/>
    <hyperlink ref="J135" r:id="rId386" display="http://vk.com/id1115732629"/>
    <hyperlink ref="L135" r:id="rId387" display="http://vk.com/club149047382"/>
    <hyperlink ref="G136" r:id="rId388" display="https://dzen.ru/a/agy3ghUdvlFXoT2M?comment-request=1#comment_3310515982"/>
    <hyperlink ref="J136" r:id="rId389" display="https://dzen.ru/user/edef6s10opi3ve84lz63es7gr1u"/>
    <hyperlink ref="L136" r:id="rId390" display="https://dzen.ru/id/5959e452d7d0a6883223aee1"/>
    <hyperlink ref="G137" r:id="rId391" display="http://vk.com/wall-193354828_50819?reply=50859"/>
    <hyperlink ref="J137" r:id="rId392" display="http://vk.com/id1115732629"/>
    <hyperlink ref="L137" r:id="rId393" display="http://vk.com/club193354828"/>
    <hyperlink ref="G138" r:id="rId394" display="http://vk.com/wall-238438025_15"/>
    <hyperlink ref="J138" r:id="rId395" display="http://vk.com/club238438025"/>
    <hyperlink ref="L138" r:id="rId396" display="http://vk.com/club238438025"/>
    <hyperlink ref="G139" r:id="rId397" display="https://sprosivracha.com/questions/4345843-bolezn-byurgera#a27824442"/>
    <hyperlink ref="J139" r:id="rId398" display="https://sprosivracha.com/authors/Андрей Кулешов"/>
    <hyperlink ref="L139" r:id="rId399" display="https://sprosivracha.com/questions/4345843-bolezn-byurgera"/>
    <hyperlink ref="G140" r:id="rId400" display="https://sprosivracha.com/questions/4345843-bolezn-byurgera"/>
    <hyperlink ref="J140" r:id="rId401" display="https://sprosivracha.com/authors/Людмила"/>
    <hyperlink ref="L140" r:id="rId402" display="https://sprosivracha.com/questions/4345843-bolezn-byurgera"/>
    <hyperlink ref="G141" r:id="rId403" display="http://vk.com/wall-131908471_1104520?reply=1104870"/>
    <hyperlink ref="J141" r:id="rId404" display="http://vk.com/id2123550"/>
    <hyperlink ref="L141" r:id="rId405" display="http://vk.com/club131908471"/>
    <hyperlink ref="G142" r:id="rId406" display="https://sprosivracha.com/questions/4343588-nemeet-guba-i-nos-posle-ushiba-glaza#a27815572"/>
    <hyperlink ref="J142" r:id="rId407" display="https://sprosivracha.com/authors/Лилия Акбашева"/>
    <hyperlink ref="L142" r:id="rId408" display="https://sprosivracha.com/questions/4343588-nemeet-guba-i-nos-posle-ushiba-glaza"/>
    <hyperlink ref="G143" r:id="rId409" display="http://www.youtube.com/watch?v=EovQNlTpgKc&amp;lc=UgwCH4YQUQ2E6F9tGox4AaABAg.AWzOlGC9OYxAWzTVj6-FIJ"/>
    <hyperlink ref="J143" r:id="rId410" display="http://www.youtube.com/channel/UCxOrMcy80l0areWExDLFgaA"/>
    <hyperlink ref="L143" r:id="rId411" display="http://www.youtube.com/channel/UCxOrMcy80l0areWExDLFgaA"/>
    <hyperlink ref="G144" r:id="rId412" display="http://ok.ru/profile/523027629056/statuses/165573283678208"/>
    <hyperlink ref="J144" r:id="rId413" display="http://ok.ru/profile/523027629056"/>
    <hyperlink ref="L144" r:id="rId414" display="http://ok.ru/profile/523027629056"/>
    <hyperlink ref="G145" r:id="rId415" display="https://dzen.ru/a/agv9Pex7iXku7fG5"/>
    <hyperlink ref="J145" r:id="rId416" display="https://dzen.ru/id/5eaafa59cf77ee27c9421287"/>
    <hyperlink ref="L145" r:id="rId417" display="https://dzen.ru/id/5eaafa59cf77ee27c9421287"/>
    <hyperlink ref="G146" r:id="rId418" display="https://dzen.ru/a/agrvVPuzlCw_axpw?comment-request=1#comment_3308169932"/>
    <hyperlink ref="J146" r:id="rId419" display="https://dzen.ru/user/edef6s10opi3ve84lz63es7gr1u"/>
    <hyperlink ref="L146" r:id="rId420" display="https://dzen.ru/id/5eaafa59cf77ee27c9421287"/>
    <hyperlink ref="G147" r:id="rId421" display="https://telegram.me/mseshnyichat/39933"/>
    <hyperlink ref="J147" r:id="rId422" display="https://telegram.me/lp_stepanida"/>
    <hyperlink ref="L147" r:id="rId423" display="https://telegram.me/mseshnyichat"/>
    <hyperlink ref="G148" r:id="rId424" display="https://sprosivracha.com/questions/4342996-nemeet-ruka#a27801056"/>
    <hyperlink ref="J148" r:id="rId425" display="https://sprosivracha.com/authors/Лилия Акбашева"/>
    <hyperlink ref="L148" r:id="rId426" display="https://sprosivracha.com/questions/4342996-nemeet-ruka"/>
    <hyperlink ref="G149" r:id="rId427" display="https://telegram.me/mostodaychat/3484935"/>
    <hyperlink ref="J149" r:id="rId428" display="https://telegram.me/8865043918"/>
    <hyperlink ref="L149" r:id="rId429" display="https://telegram.me/mostodaychat"/>
    <hyperlink ref="G150" r:id="rId430" display="https://www.instagram.com/p/DYeYMH2Iryq/c/17875288278664049"/>
    <hyperlink ref="J150" r:id="rId431" display="https://instagram.com/m.u.life"/>
    <hyperlink ref="L150" r:id="rId432" display="https://instagram.com/morozov.andrei.official"/>
    <hyperlink ref="G151" r:id="rId433" display="http://www.youtube.com/watch?v=gD1Fo-6areI"/>
    <hyperlink ref="J151" r:id="rId434" display="http://www.youtube.com/channel/UCxOrMcy80l0areWExDLFgaA"/>
    <hyperlink ref="L151" r:id="rId435" display="http://www.youtube.com/channel/UCxOrMcy80l0areWExDLFgaA"/>
    <hyperlink ref="G152" r:id="rId436" display="https://telegram.me/revmomoscow/581490"/>
    <hyperlink ref="J152" r:id="rId437" display="https://telegram.me/natem_sam"/>
    <hyperlink ref="L152" r:id="rId438" display="https://telegram.me/revmomoscow"/>
    <hyperlink ref="G153" r:id="rId439" display="https://telegram.me/revmomoscow/581485"/>
    <hyperlink ref="J153" r:id="rId440" display="https://telegram.me/lp_stepanida"/>
    <hyperlink ref="L153" r:id="rId441" display="https://telegram.me/revmomoscow"/>
    <hyperlink ref="G154" r:id="rId442" display="https://mom.life/post/6a09ca16a04f49e152070092#6a0ac84e1a1f332cc3007f95"/>
    <hyperlink ref="J154" r:id="rId443" display="https://mom.life/user/69dfa987d0b306af410c0268"/>
    <hyperlink ref="L154" r:id="rId444" display="https://mom.life/user/65205d9de7d91d4302481a33"/>
    <hyperlink ref="G155" r:id="rId445" display="https://telegram.me/infect_voenmed/47147?comment=216834"/>
    <hyperlink ref="J155" r:id="rId446" display="https://telegram.me/1647708250"/>
    <hyperlink ref="L155" r:id="rId447" display="https://telegram.me/infect_voenmed"/>
    <hyperlink ref="G156" r:id="rId448" display="http://vk.com/wall450124649_86190"/>
    <hyperlink ref="J156" r:id="rId449" display="http://vk.com/id450124649"/>
    <hyperlink ref="L156" r:id="rId450" display="http://vk.com/id450124649"/>
    <hyperlink ref="G157" r:id="rId451" display="http://vk.com/wall-25201586_516009"/>
    <hyperlink ref="J157" r:id="rId452" display="http://vk.com/club25201586"/>
    <hyperlink ref="L157" r:id="rId453" display="http://vk.com/club25201586"/>
    <hyperlink ref="G158" r:id="rId454" display="http://ok.ru/group/55695437463587/topic/158664905968931"/>
    <hyperlink ref="J158" r:id="rId455" display="http://ok.ru/group/55695437463587"/>
    <hyperlink ref="L158" r:id="rId456" display="http://ok.ru/group/55695437463587"/>
    <hyperlink ref="G159" r:id="rId457" display="http://vk.com/wall-235865439_12"/>
    <hyperlink ref="J159" r:id="rId458" display="http://vk.com/club235865439"/>
    <hyperlink ref="L159" r:id="rId459" display="http://vk.com/club235865439"/>
    <hyperlink ref="G160" r:id="rId460" display="http://www.youtube.com/watch?v=EovQNlTpgKc"/>
    <hyperlink ref="J160" r:id="rId461" display="http://www.youtube.com/channel/UCxOrMcy80l0areWExDLFgaA"/>
    <hyperlink ref="L160" r:id="rId462" display="http://www.youtube.com/channel/UCxOrMcy80l0areWExDLFgaA"/>
    <hyperlink ref="G161" r:id="rId463" display="https://telegram.me/c/1610051836/1654779"/>
    <hyperlink ref="J161" r:id="rId464" display="https://telegram.me/5305078907"/>
    <hyperlink ref="L161" r:id="rId465" display="https://telegram.me/1610051836"/>
    <hyperlink ref="G162" r:id="rId466" display="http://vk.com/wall-42224436_341171?reply=341201"/>
    <hyperlink ref="J162" r:id="rId467" display="http://vk.com/id1072210181"/>
    <hyperlink ref="L162" r:id="rId468" display="http://vk.com/club42224436"/>
    <hyperlink ref="G163" r:id="rId469" display="http://vk.com/wall-118474860_6063754"/>
    <hyperlink ref="J163" r:id="rId470" display="http://vk.com/club118474860"/>
    <hyperlink ref="L163" r:id="rId471" display="http://vk.com/club118474860"/>
    <hyperlink ref="G164" r:id="rId472" display="http://vk.com/wall-42224436_341171"/>
    <hyperlink ref="J164" r:id="rId473" display="http://vk.com/club42224436"/>
    <hyperlink ref="L164" r:id="rId474" display="http://vk.com/club42224436"/>
    <hyperlink ref="G165" r:id="rId475" display="https://medihost.ru/questions?id=342170#answer-1480369"/>
    <hyperlink ref="J165" r:id="rId476" display="https://medihost.ru/authors/нви"/>
    <hyperlink ref="L165" r:id="rId477" display="https://medihost.ru/questions?id=342170"/>
    <hyperlink ref="G166" r:id="rId478" display="https://www.woman.ru/relations/sex/thread-devochki-posovetuyte-nash-vozbuditel-id6424968/#m103988973"/>
    <hyperlink ref="J166" r:id="rId479" display="https://www.woman.ru/user/str-id401270608"/>
    <hyperlink ref="L166" r:id="rId480" display="https://www.woman.ru/forum/3/relations/sex/thread-devochki-posovetuyte-nash-vozbuditel-id6424968"/>
    <hyperlink ref="G167" r:id="rId481" display="http://vk.com/wall-30913680_435524"/>
    <hyperlink ref="J167" r:id="rId482" display="http://vk.com/club30913680"/>
    <hyperlink ref="L167" r:id="rId483" display="http://vk.com/club30913680"/>
    <hyperlink ref="G168" r:id="rId484" display="http://vk.com/wall-29445319_703421"/>
    <hyperlink ref="J168" r:id="rId485" display="http://vk.com/club29445319"/>
    <hyperlink ref="L168" r:id="rId486" display="http://vk.com/club29445319"/>
    <hyperlink ref="G169" r:id="rId487" display="http://ok.ru/group/51625046769845/topic/162502662413237"/>
    <hyperlink ref="J169" r:id="rId488" display="http://ok.ru/group/51625046769845"/>
    <hyperlink ref="L169" r:id="rId489" display="http://ok.ru/group/51625046769845"/>
    <hyperlink ref="G170" r:id="rId490" display="http://vk.com/wall-42217841_135214"/>
    <hyperlink ref="J170" r:id="rId491" display="http://vk.com/club42217841"/>
    <hyperlink ref="L170" r:id="rId492" display="http://vk.com/club42217841"/>
    <hyperlink ref="G171" r:id="rId493" display="http://vk.com/wall-17990792_94267?reply=94653"/>
    <hyperlink ref="J171" r:id="rId494" display="http://vk.com/id1209585"/>
    <hyperlink ref="L171" r:id="rId495" display="http://vk.com/club17990792"/>
    <hyperlink ref="G172" r:id="rId496" display="https://telegram.me/batr_fit/5562"/>
    <hyperlink ref="J172" r:id="rId497" display="https://telegram.me/batr_fit"/>
    <hyperlink ref="L172" r:id="rId498" display="https://telegram.me/batr_fit"/>
    <hyperlink ref="G173" r:id="rId499" display="https://www.instagram.com/p/DYZIXCktkHU/c/17868138621681179"/>
    <hyperlink ref="J173" r:id="rId500" display="https://instagram.com/leharostovskii"/>
    <hyperlink ref="L173" r:id="rId501" display="https://instagram.com/ps.popov"/>
    <hyperlink ref="G174" r:id="rId502" display="https://www.instagram.com/p/DYZIXCktkHU/c/18143197912508118/r/18061823048459742"/>
    <hyperlink ref="J174" r:id="rId503" display="https://instagram.com/mirzaev.186"/>
    <hyperlink ref="L174" r:id="rId504" display="https://instagram.com/ps.popov"/>
    <hyperlink ref="G175" r:id="rId505" display="https://www.instagram.com/p/DYZIXCktkHU/c/18143197912508118/r/18163403944432274"/>
    <hyperlink ref="J175" r:id="rId506" display="https://instagram.com/mirzaev.186"/>
    <hyperlink ref="L175" r:id="rId507" display="https://instagram.com/ps.popov"/>
    <hyperlink ref="G176" r:id="rId508" display="https://telegram.me/semaglu/1925962"/>
    <hyperlink ref="J176" r:id="rId509" display="https://telegram.me/770870676"/>
    <hyperlink ref="L176" r:id="rId510" display="https://telegram.me/semaglu"/>
    <hyperlink ref="G177" r:id="rId511" display="https://nup.ru/topic/10258-viden-3-ja-popytka/page/25/#elControls_256514_menu"/>
    <hyperlink ref="J177" r:id="rId512" display="https://nup.ru/#ViDen"/>
    <hyperlink ref="L177" r:id="rId513" display="https://nup.ru/topic/10258-viden-3-ja-popytka"/>
    <hyperlink ref="G178" r:id="rId514" display="https://www.babyblog.ru/community/happypregn/post/3777872?go_comment_id=165945932"/>
    <hyperlink ref="J178" r:id="rId515" display="https://www.babyblog.ru/user/blackparazittt"/>
    <hyperlink ref="L178" r:id="rId516" display="https://www.babyblog.ru/community/happypregn"/>
    <hyperlink ref="G179" r:id="rId517" display="https://nup.ru/topic/10258-viden-3-ja-popytka/page/25/#elControls_256512_menu"/>
    <hyperlink ref="J179" r:id="rId518" display="https://nup.ru/#rewet"/>
    <hyperlink ref="L179" r:id="rId519" display="https://nup.ru/topic/10258-viden-3-ja-popytka"/>
    <hyperlink ref="G180" r:id="rId520" display="https://dzen.ru/a/agaB9gNDpTbfcFiV?comment-request=1#comment_3299589221"/>
    <hyperlink ref="J180" r:id="rId521" display="https://dzen.ru/id/5f10c2705b8c597418428eae"/>
    <hyperlink ref="L180" r:id="rId522" display="https://dzen.ru/id/5f10c2705b8c597418428eae"/>
    <hyperlink ref="G181" r:id="rId523" display="https://nup.ru/topic/10258-viden-3-ja-popytka/page/25/#elControls_256505_menu"/>
    <hyperlink ref="J181" r:id="rId524" display="https://nup.ru/#pollightman"/>
    <hyperlink ref="L181" r:id="rId525" display="https://nup.ru/topic/10258-viden-3-ja-popytka"/>
    <hyperlink ref="G182" r:id="rId526" display="https://nup.ru/topic/10258-viden-3-ja-popytka/page/25/#elControls_256496_menu"/>
    <hyperlink ref="J182" r:id="rId527" display="https://nup.ru/#ViDen"/>
    <hyperlink ref="L182" r:id="rId528" display="https://nup.ru/topic/10258-viden-3-ja-popytka"/>
    <hyperlink ref="G183" r:id="rId529" display="https://telegram.me/epifanovnews/1103?comment=103235"/>
    <hyperlink ref="J183" r:id="rId530" display="https://telegram.me/doc_kolesnik"/>
    <hyperlink ref="L183" r:id="rId531" display="https://telegram.me/epifanovnews"/>
    <hyperlink ref="G184" r:id="rId532" display="http://www.youtube.com/watch?v=yVqhTupwoJQ&amp;lc=UgwJXVPNUmEETuMAlrN4AaABAg"/>
    <hyperlink ref="J184" r:id="rId533" display="http://www.youtube.com/channel/UCZ1RK8q-3ekd6Lv090ui_Mg"/>
    <hyperlink ref="L184" r:id="rId534" display="http://www.youtube.com/channel/UCxLwhz0ILbvCiWhSYe3jPeg"/>
    <hyperlink ref="G185" r:id="rId535" display="https://telegram.me/epifanovnews/1103?comment=103088"/>
    <hyperlink ref="J185" r:id="rId536" display="https://telegram.me/podkotik"/>
    <hyperlink ref="L185" r:id="rId537" display="https://telegram.me/epifanovnews"/>
    <hyperlink ref="G186" r:id="rId538" display="http://vk.com/wall-175752600_26593?reply=26621"/>
    <hyperlink ref="J186" r:id="rId539" display="http://vk.com/id1111874705"/>
    <hyperlink ref="L186" r:id="rId540" display="http://vk.com/club175752600"/>
    <hyperlink ref="G187" r:id="rId541" display="https://telegram.me/nmic_blokhina/5857"/>
    <hyperlink ref="J187" r:id="rId542" display="https://telegram.me/nmic_blokhina"/>
    <hyperlink ref="L187" r:id="rId543" display="https://telegram.me/nmic_blokhina"/>
    <hyperlink ref="G188" r:id="rId544" display="https://www.threads.com/@madame_cle_/post/DYUwGuxiMxZ"/>
    <hyperlink ref="J188" r:id="rId545" display="https://threads.com/@madame_cle_"/>
    <hyperlink ref="L188" r:id="rId546" display="https://threads.com/@madame_cle_"/>
    <hyperlink ref="G189" r:id="rId547" display="http://vk.com/wall13041644_3233"/>
    <hyperlink ref="J189" r:id="rId548" display="http://vk.com/id13041644"/>
    <hyperlink ref="L189" r:id="rId549" display="http://vk.com/id13041644"/>
    <hyperlink ref="G190" r:id="rId550" display="http://vk.com/wall-17990792_94614?reply=94634&amp;thread=94615"/>
    <hyperlink ref="J190" r:id="rId551" display="http://vk.com/id1209585"/>
    <hyperlink ref="L190" r:id="rId552" display="http://vk.com/club17990792"/>
    <hyperlink ref="G191" r:id="rId553" display="https://telegram.me/semaglu/1919274"/>
    <hyperlink ref="J191" r:id="rId554" display="https://telegram.me/5277775963"/>
    <hyperlink ref="L191" r:id="rId555" display="https://telegram.me/semaglu"/>
    <hyperlink ref="G192" r:id="rId556" display="http://vk.com/wall-235912791_45"/>
    <hyperlink ref="J192" r:id="rId557" display="http://vk.com/club235912791"/>
    <hyperlink ref="L192" r:id="rId558" display="http://vk.com/club235912791"/>
    <hyperlink ref="G193" r:id="rId559" display="http://vk.com/wall-117764704_5705749?reply=5707049&amp;thread=5706390"/>
    <hyperlink ref="J193" r:id="rId560" display="http://vk.com/id1111874705"/>
    <hyperlink ref="L193" r:id="rId561" display="http://vk.com/club117764704"/>
    <hyperlink ref="G194" r:id="rId562" display="http://vk.com/wall-117764704_5705749?reply=5707048&amp;thread=5706390"/>
    <hyperlink ref="J194" r:id="rId563" display="http://vk.com/id1111874705"/>
    <hyperlink ref="L194" r:id="rId564" display="http://vk.com/club117764704"/>
    <hyperlink ref="G195" r:id="rId565" display="https://dzen.ru/a/agUol5ne4hbd7M9R?comment-request=1#comment_3310286133"/>
    <hyperlink ref="J195" r:id="rId566" display="https://dzen.ru/user/1669098787"/>
    <hyperlink ref="L195" r:id="rId567" display="https://dzen.ru/id/65d0c3e1762e4434e05212bf"/>
    <hyperlink ref="G196" r:id="rId568" display="http://vk.com/wall-61570233_115656?reply=115826"/>
    <hyperlink ref="J196" r:id="rId569" display="http://vk.com/id1111874705"/>
    <hyperlink ref="L196" r:id="rId570" display="http://vk.com/club61570233"/>
    <hyperlink ref="G197" r:id="rId571" display="http://vk.com/wall-58170807_14234223?reply=14235126&amp;thread=14235114"/>
    <hyperlink ref="J197" r:id="rId572" display="http://vk.com/id208945354"/>
    <hyperlink ref="L197" r:id="rId573" display="http://vk.com/club58170807"/>
    <hyperlink ref="G198" r:id="rId574" display="http://vk.com/wall-223258406_10449?reply=10707"/>
    <hyperlink ref="J198" r:id="rId575" display="http://vk.com/id228593450"/>
    <hyperlink ref="L198" r:id="rId576" display="http://vk.com/club223258406"/>
    <hyperlink ref="G199" r:id="rId577" display="http://vk.com/wall-223258406_8886?reply=10575&amp;thread=9121"/>
    <hyperlink ref="J199" r:id="rId578" display="http://vk.com/id715304648"/>
    <hyperlink ref="L199" r:id="rId579" display="http://vk.com/club223258406"/>
    <hyperlink ref="G200" r:id="rId580" display="https://otvet.mail.ru/question/269797507?reply=4422201376"/>
    <hyperlink ref="J200" r:id="rId581" display="https://otvet.mail.ru/profile/id22388379"/>
    <hyperlink ref="L200" r:id="rId582" display="https://otvet.mail.ru/profile/id317415007"/>
    <hyperlink ref="G201" r:id="rId583" display="https://www.instagram.com/p/DYStFpSto3E/"/>
    <hyperlink ref="J201" r:id="rId584" display="https://instagram.com/mila.fomina"/>
    <hyperlink ref="L201" r:id="rId585" display="https://instagram.com/mila.fomina"/>
    <hyperlink ref="G202" r:id="rId586" display="http://vk.com/wall-169469876_2949345?reply=2949476&amp;thread=2949404"/>
    <hyperlink ref="J202" r:id="rId587" display="http://vk.com/id170936222"/>
    <hyperlink ref="L202" r:id="rId588" display="http://vk.com/club169469876"/>
    <hyperlink ref="G203" r:id="rId589" display="http://www.youtube.com/watch?v=X6Npv1UnVgA&amp;lc=Ugw9A4pCIjvqzZBFl7Z4AaABAg"/>
    <hyperlink ref="J203" r:id="rId590" display="http://www.youtube.com/channel/UC3gDRwAdO7J1D4wTRuW3IDg"/>
    <hyperlink ref="L203" r:id="rId591" display="http://www.youtube.com/channel/UCvaXsE0Uokmax_yXrG2sjYA"/>
    <hyperlink ref="G204" r:id="rId592" display="https://mom.life/post/6a02e5eab578637f2c0a6e3b#6a0478922035d73e360a7a50"/>
    <hyperlink ref="J204" r:id="rId593" display="https://mom.life/user/6a03e35a7e15d5832e0a91d0"/>
    <hyperlink ref="L204" r:id="rId594" display="https://mom.life/channel/55d0e592853983ed068b456a"/>
    <hyperlink ref="G205" r:id="rId595" display="https://dzen.ru/a/agIAh0cwAkGzc3PX?comment-request=1#comment_3299475272"/>
    <hyperlink ref="J205" r:id="rId596" display="https://dzen.ru/user/2356853477"/>
    <hyperlink ref="L205" r:id="rId597" display="https://dzen.ru/id/64a2e86494176c3852e42e53"/>
    <hyperlink ref="G206" r:id="rId598" display="http://vk.com/wall-149695687_65596?reply=65621"/>
    <hyperlink ref="J206" r:id="rId599" display="http://vk.com/id861782734"/>
    <hyperlink ref="L206" r:id="rId600" display="http://vk.com/club149695687"/>
    <hyperlink ref="G207" r:id="rId601" display="https://www.instagram.com/p/DYP5LenuI6Q/c/18105165776499692"/>
    <hyperlink ref="J207" r:id="rId602" display="https://instagram.com/kiira_satu"/>
    <hyperlink ref="L207" r:id="rId603" display="https://instagram.com/luly_abdula"/>
    <hyperlink ref="G208" r:id="rId604" display="http://vk.com/wall-226248434_97"/>
    <hyperlink ref="J208" r:id="rId605" display="http://vk.com/club226248434"/>
    <hyperlink ref="L208" r:id="rId606" display="http://vk.com/club226248434"/>
    <hyperlink ref="G209" r:id="rId607" display="http://vk.com/wall318581728_1506"/>
    <hyperlink ref="J209" r:id="rId608" display="http://vk.com/id318581728"/>
    <hyperlink ref="L209" r:id="rId609" display="http://vk.com/id318581728"/>
    <hyperlink ref="G210" r:id="rId610" display="https://dzen.ru/a/agO_WxUdvlFXlczq?comment-request=1#comment_3308560483"/>
    <hyperlink ref="J210" r:id="rId611" display="https://dzen.ru/id/66fedf8396beda649868a689"/>
    <hyperlink ref="L210" r:id="rId612" display="https://dzen.ru/id/5e3d24f28103b13abd405c70"/>
    <hyperlink ref="G211" r:id="rId613" display="https://forum.steelfactor.ru/index.php?showtopic=46978&amp;page=59#entry1059868602"/>
    <hyperlink ref="J211" r:id="rId614" display="https://forum.steelfactor.ru/index.php?showuser=61513"/>
    <hyperlink ref="L211" r:id="rId615" display="https://forum.steelfactor.ru/index.php?showtopic=46978"/>
    <hyperlink ref="G212" r:id="rId616" display="http://vk.com/wall-227669108_6"/>
    <hyperlink ref="J212" r:id="rId617" display="http://vk.com/club227669108"/>
    <hyperlink ref="L212" r:id="rId618" display="http://vk.com/club227669108"/>
    <hyperlink ref="G213" r:id="rId619" display="https://telegram.me/d04a_chat/707427"/>
    <hyperlink ref="J213" r:id="rId620" display="https://telegram.me/bigmegabong"/>
    <hyperlink ref="L213" r:id="rId621" display="https://telegram.me/d04a_chat"/>
    <hyperlink ref="G214" r:id="rId622" display="http://vk.com/wall-182515813_19071?reply=19072"/>
    <hyperlink ref="J214" r:id="rId623" display="http://vk.com/id534244568"/>
    <hyperlink ref="L214" r:id="rId624" display="http://vk.com/club182515813"/>
    <hyperlink ref="G215" r:id="rId625" display="https://www.babyblog.ru/community/happypregn/post/3777546?go_comment_id=165940500"/>
    <hyperlink ref="J215" r:id="rId626" display="https://www.babyblog.ru/user/id2295545"/>
    <hyperlink ref="L215" r:id="rId627" display="https://www.babyblog.ru/community/happypregn"/>
    <hyperlink ref="G216" r:id="rId628" display="http://vk.com/wall-17990792_94569?reply=94628"/>
    <hyperlink ref="J216" r:id="rId629" display="http://vk.com/id1209585"/>
    <hyperlink ref="L216" r:id="rId630" display="http://vk.com/club17990792"/>
    <hyperlink ref="G217" r:id="rId631" display="https://www.instagram.com/p/DYPHQIauPFV/c/18359411767227628"/>
    <hyperlink ref="J217" r:id="rId632" display="https://instagram.com/r_e_a_l_b_o_y_58"/>
    <hyperlink ref="L217" r:id="rId633" display="https://instagram.com/arm_buller"/>
    <hyperlink ref="G218" r:id="rId634" display="http://vk.com/wall-17990792_94569?reply=94625&amp;thread=94623"/>
    <hyperlink ref="J218" r:id="rId635" display="http://vk.com/id773113250"/>
    <hyperlink ref="L218" r:id="rId636" display="http://vk.com/club17990792"/>
    <hyperlink ref="G219" r:id="rId637" display="http://vk.com/wall-17990792_94569?reply=94623"/>
    <hyperlink ref="J219" r:id="rId638" display="http://vk.com/id5286837"/>
    <hyperlink ref="L219" r:id="rId639" display="http://vk.com/club17990792"/>
    <hyperlink ref="G220" r:id="rId640" display="https://telegram.me/hamovnikipoleznychatik/219659"/>
    <hyperlink ref="J220" r:id="rId641" display="https://telegram.me/nikolai198726"/>
    <hyperlink ref="L220" r:id="rId642" display="https://telegram.me/hamovnikipoleznychatik"/>
    <hyperlink ref="G221" r:id="rId643" display="https://hron-prostatit.ru/forum/viewtopic.php?p=445329#p445329"/>
    <hyperlink ref="J221" r:id="rId644" display="https://hron-prostatit.ru/authors/Кас"/>
    <hyperlink ref="L221" r:id="rId645" display="https://hron-prostatit.ru/forum/viewforum.php?f=4"/>
    <hyperlink ref="G222" r:id="rId646" display="https://telegram.me/ecoterina_blog/4507"/>
    <hyperlink ref="J222" r:id="rId647" display="https://telegram.me/ecoterina_blog"/>
    <hyperlink ref="L222" r:id="rId648" display="https://telegram.me/ecoterina_blog"/>
    <hyperlink ref="G223" r:id="rId649" display="http://vk.com/wall-237474828_9"/>
    <hyperlink ref="J223" r:id="rId650" display="http://vk.com/club237474828"/>
    <hyperlink ref="L223" r:id="rId651" display="http://vk.com/club237474828"/>
    <hyperlink ref="G224" r:id="rId652" display="https://telegram.me/hamovnikipoleznychatik/219654"/>
    <hyperlink ref="J224" r:id="rId653" display="https://telegram.me/nataliya_1"/>
    <hyperlink ref="L224" r:id="rId654" display="https://telegram.me/hamovnikipoleznychatik"/>
    <hyperlink ref="G225" r:id="rId655" display="https://telegram.me/hamovnikipoleznychatik/219653"/>
    <hyperlink ref="J225" r:id="rId656" display="https://telegram.me/nataliya_1"/>
    <hyperlink ref="L225" r:id="rId657" display="https://telegram.me/hamovnikipoleznychatik"/>
    <hyperlink ref="G226" r:id="rId658" display="https://dzen.ru/a/afiBsoA08Tr-2mHL?comment-request=1#comment_3301538724"/>
    <hyperlink ref="J226" r:id="rId659" display="https://dzen.ru/user/widz-9ttzstlu5wquzbaljwtnka"/>
    <hyperlink ref="L226" r:id="rId660" display="https://dzen.ru/id/5eaafa59cf77ee27c9421287"/>
    <hyperlink ref="G227" r:id="rId661" display="http://vk.com/wall-172880205_412995?reply=413058"/>
    <hyperlink ref="J227" r:id="rId662" display="http://vk.com/id1111874705"/>
    <hyperlink ref="L227" r:id="rId663" display="http://vk.com/club172880205"/>
    <hyperlink ref="G228" r:id="rId664" display="https://www.threads.com/@dimasikdoc/post/DYOpdNHjXZx"/>
    <hyperlink ref="J228" r:id="rId665" display="https://threads.com/@dimasikdoc"/>
    <hyperlink ref="L228" r:id="rId666" display="https://threads.com/@dimasikdoc"/>
    <hyperlink ref="G229" r:id="rId667" display="https://www.threads.com/@artem1983m/post/DYOXZS5CHVW"/>
    <hyperlink ref="J229" r:id="rId668" display="https://threads.com/@artem1983m"/>
    <hyperlink ref="L229" r:id="rId669" display="https://threads.com/@artem1983m"/>
    <hyperlink ref="G230" r:id="rId670" display="https://dzen.ru/a/aHQggDhDE1HS3wnR?comment-request=1#comment_3306710963"/>
    <hyperlink ref="J230" r:id="rId671" display="https://dzen.ru/user/tthloi0zbn4jpz9s_9jo3kpk8zi"/>
    <hyperlink ref="L230" r:id="rId672" display="https://dzen.ru/id/5935bc1cd7d0a62756e9cd78"/>
    <hyperlink ref="G231" r:id="rId673" display="http://vk.com/wall-206214408_304226?reply=304467&amp;thread=304229"/>
    <hyperlink ref="J231" r:id="rId674" display="http://vk.com/id1087103557"/>
    <hyperlink ref="L231" r:id="rId675" display="http://vk.com/club206214408"/>
    <hyperlink ref="G232" r:id="rId676" display="https://telegram.me/hamovnikipoleznychatik/219644"/>
    <hyperlink ref="J232" r:id="rId677" display="https://telegram.me/mska2025"/>
    <hyperlink ref="L232" r:id="rId678" display="https://telegram.me/hamovnikipoleznychatik"/>
    <hyperlink ref="G233" r:id="rId679" display="http://vk.com/wall708630637_39"/>
    <hyperlink ref="J233" r:id="rId680" display="http://vk.com/id708630637"/>
    <hyperlink ref="L233" r:id="rId681" display="http://vk.com/id708630637"/>
    <hyperlink ref="G234" r:id="rId682" display="https://sprosivracha.com/questions/4326468-onemenie-v-oblasti-pyatok-i-tyazhest-v-nogah-posle-operacii#a27672653"/>
    <hyperlink ref="J234" r:id="rId683" display="https://sprosivracha.com/authors/Лилия Акбашева"/>
    <hyperlink ref="L234" r:id="rId684" display="https://sprosivracha.com/questions/4326468-onemenie-v-oblasti-pyatok-i-tyazhest-v-nogah-posle-operacii"/>
    <hyperlink ref="G235" r:id="rId685" display="https://www.instagram.com/p/DYMsfCcoRXS/c/18143553541444401"/>
    <hyperlink ref="J235" r:id="rId686" display="https://instagram.com/alexey_t18"/>
    <hyperlink ref="L235" r:id="rId687" display="https://instagram.com/kahidov"/>
    <hyperlink ref="G236" r:id="rId688" display="https://telegram.me/actualphlebology/84269"/>
    <hyperlink ref="J236" r:id="rId689" display="https://telegram.me/actualphlebology"/>
    <hyperlink ref="L236" r:id="rId690" display="https://telegram.me/actualphlebology"/>
    <hyperlink ref="G237" r:id="rId691" display="https://www.instagram.com/p/DYMwpBxKpso/"/>
    <hyperlink ref="J237" r:id="rId692" display="https://instagram.com/dr_kozlova_antonina"/>
    <hyperlink ref="L237" r:id="rId693" display="https://instagram.com/dr_kozlova_antonina"/>
    <hyperlink ref="G238" r:id="rId694" display="http://ok.ru/group/50657161838784/topic/157623534274752#QUFBQm5oYlFMaVVnM3c9PToxNTc2MjM1MzQyNzQ3NTI6MQ=="/>
    <hyperlink ref="J238" r:id="rId695" display="http://ok.ru/profile/572037868304"/>
    <hyperlink ref="L238" r:id="rId696" display="http://ok.ru/group/50657161838784"/>
    <hyperlink ref="G239" r:id="rId697" display="https://www.facebook.com/2210987229649504"/>
    <hyperlink ref="J239" r:id="rId698" display="http://www.facebook.com/profile.php?id=100022147444966"/>
    <hyperlink ref="L239" r:id="rId699" display="http://www.facebook.com/profile.php?id=100022147444966"/>
    <hyperlink ref="G240" r:id="rId700" display="https://telegram.me/actualphlebology/84263"/>
    <hyperlink ref="J240" r:id="rId701" display="https://telegram.me/angiodoc"/>
    <hyperlink ref="L240" r:id="rId702" display="https://telegram.me/actualphlebology"/>
    <hyperlink ref="G241" r:id="rId703" display="https://www.facebook.com/2225082011643764"/>
    <hyperlink ref="J241" r:id="rId704" display="http://www.facebook.com/profile.php?id=100024259613570"/>
    <hyperlink ref="L241" r:id="rId705" display="http://www.facebook.com/profile.php?id=100024259613570"/>
    <hyperlink ref="G242" r:id="rId706" display="https://www.facebook.com/10164176398984628"/>
    <hyperlink ref="J242" r:id="rId707" display="http://www.facebook.com/profile.php?id=799794627"/>
    <hyperlink ref="L242" r:id="rId708" display="http://www.facebook.com/profile.php?id=799794627"/>
    <hyperlink ref="G243" r:id="rId709" display="https://telegram.me/c/1407442894/177052"/>
    <hyperlink ref="J243" r:id="rId710" display="https://telegram.me/1030201087"/>
    <hyperlink ref="L243" r:id="rId711" display="https://telegram.me/1407442894"/>
    <hyperlink ref="G244" r:id="rId712" display="http://vk.com/wall123313021_17321"/>
    <hyperlink ref="J244" r:id="rId713" display="http://vk.com/id123313021"/>
    <hyperlink ref="L244" r:id="rId714" display="http://vk.com/id123313021"/>
    <hyperlink ref="G245" r:id="rId715" display="https://telegram.me/c/1395655902/8086289"/>
    <hyperlink ref="J245" r:id="rId716" display="https://telegram.me/yougurtripper"/>
    <hyperlink ref="L245" r:id="rId717" display="https://telegram.me/1395655902"/>
    <hyperlink ref="G246" r:id="rId718" display="https://sprosivracha.com/questions/4323146-pochemu-vnizu-nog-zhzhenie-i-krovopodteki#a27652955"/>
    <hyperlink ref="J246" r:id="rId719" display="https://sprosivracha.com/authors/Александр Жуков"/>
    <hyperlink ref="L246" r:id="rId720" display="https://sprosivracha.com/questions/4323146-pochemu-vnizu-nog-zhzhenie-i-krovopodteki"/>
    <hyperlink ref="G247" r:id="rId721" display="https://sprosivracha.com/questions/4323146-pochemu-vnizu-nog-zhzhenie-i-krovopodteki#a27652036"/>
    <hyperlink ref="J247" r:id="rId722" display="https://sprosivracha.com/authors/Екатерина Ежова"/>
    <hyperlink ref="L247" r:id="rId723" display="https://sprosivracha.com/questions/4323146-pochemu-vnizu-nog-zhzhenie-i-krovopodteki"/>
    <hyperlink ref="G248" r:id="rId724" display="http://ok.ru/group/68602594918435/topic/158657077759267"/>
    <hyperlink ref="J248" r:id="rId725" display="http://ok.ru/group/68602594918435"/>
    <hyperlink ref="L248" r:id="rId726" display="http://ok.ru/group/68602594918435"/>
    <hyperlink ref="G249" r:id="rId727" display="http://ok.ru/group/64968977350691/topic/158657072909603"/>
    <hyperlink ref="J249" r:id="rId728" display="http://ok.ru/group/64968977350691"/>
    <hyperlink ref="L249" r:id="rId729" display="http://ok.ru/group/64968977350691"/>
    <hyperlink ref="G250" r:id="rId730" display="http://www.youtube.com/watch?v=3VoJUSWFS_8&amp;lc=Ugz7pdi9kQIuVsXQkYt4AaABAg.AWcFa2zREKUAWcL2bdvnvR"/>
    <hyperlink ref="J250" r:id="rId731" display="http://www.youtube.com/channel/UCzSNNl6SMjzeqk2505Oeq4A"/>
    <hyperlink ref="L250" r:id="rId732" display="http://www.youtube.com/channel/UCosNTG9GrBdebSefMoeGRcg"/>
    <hyperlink ref="G251" r:id="rId733" display="http://ok.ru/group/70000002368282/topic/158270539730202"/>
    <hyperlink ref="J251" r:id="rId734" display="http://ok.ru/group/70000002368282"/>
    <hyperlink ref="L251" r:id="rId735" display="http://ok.ru/group/70000002368282"/>
    <hyperlink ref="G252" r:id="rId736" display="http://ok.ru/group/65900379045923/topic/158657067470115"/>
    <hyperlink ref="J252" r:id="rId737" display="http://ok.ru/group/65900379045923"/>
    <hyperlink ref="L252" r:id="rId738" display="http://ok.ru/group/65900379045923"/>
    <hyperlink ref="G253" r:id="rId739" display="http://ok.ru/group/66285485228067/topic/158657063472419"/>
    <hyperlink ref="J253" r:id="rId740" display="http://ok.ru/group/66285485228067"/>
    <hyperlink ref="L253" r:id="rId741" display="http://ok.ru/group/66285485228067"/>
    <hyperlink ref="G254" r:id="rId742" display="http://ok.ru/group/62637872906275/topic/158657060785443"/>
    <hyperlink ref="J254" r:id="rId743" display="http://ok.ru/group/62637872906275"/>
    <hyperlink ref="L254" r:id="rId744" display="http://ok.ru/group/62637872906275"/>
    <hyperlink ref="G255" r:id="rId745" display="http://ok.ru/group/65890095595555/topic/158657060654371"/>
    <hyperlink ref="J255" r:id="rId746" display="http://ok.ru/group/65890095595555"/>
    <hyperlink ref="L255" r:id="rId747" display="http://ok.ru/group/65890095595555"/>
    <hyperlink ref="G256" r:id="rId748" display="http://ok.ru/group/66453854027811/topic/158657051479331"/>
    <hyperlink ref="J256" r:id="rId749" display="http://ok.ru/group/66453854027811"/>
    <hyperlink ref="L256" r:id="rId750" display="http://ok.ru/group/66453854027811"/>
    <hyperlink ref="G257" r:id="rId751" display="https://sprosivracha.com/questions/4323707-perelom-dzhonsa"/>
    <hyperlink ref="J257" r:id="rId752" display="https://sprosivracha.com/authors/Юлия"/>
    <hyperlink ref="L257" r:id="rId753" display="https://sprosivracha.com/questions/4323707-perelom-dzhonsa"/>
    <hyperlink ref="G258" r:id="rId754" display="https://telegram.me/pharmacomlabsnews/5515"/>
    <hyperlink ref="J258" r:id="rId755" display="https://telegram.me/pharmacomlabsnews"/>
    <hyperlink ref="L258" r:id="rId756" display="https://telegram.me/pharmacomlabsnews"/>
    <hyperlink ref="G259" r:id="rId757" display="https://telegram.me/informchane/15788292"/>
    <hyperlink ref="J259" r:id="rId758" display="https://telegram.me/penesyer"/>
    <hyperlink ref="L259" r:id="rId759" display="https://telegram.me/informchane"/>
    <hyperlink ref="G260" r:id="rId760" display="https://telegram.me/informchane/15788288"/>
    <hyperlink ref="J260" r:id="rId761" display="https://telegram.me/penesyer"/>
    <hyperlink ref="L260" r:id="rId762" display="https://telegram.me/informchane"/>
    <hyperlink ref="G261" r:id="rId763" display="https://rutube.ru/video/67849f02f4eace26ab0fb5ad8f5636fb/"/>
    <hyperlink ref="J261" r:id="rId764" display="https://rutube.ru/video/person/78253766"/>
    <hyperlink ref="L261" r:id="rId765" display="https://rutube.ru/video/person/78253766"/>
    <hyperlink ref="G262" r:id="rId766" display="http://vk.com/wall-231508037_3004?reply=6485&amp;thread=6479"/>
    <hyperlink ref="J262" r:id="rId767" display="http://vk.com/id766994370"/>
    <hyperlink ref="L262" r:id="rId768" display="http://vk.com/club231508037"/>
    <hyperlink ref="G263" r:id="rId769" display="http://vk.com/wall753636546_6587"/>
    <hyperlink ref="J263" r:id="rId770" display="http://vk.com/id753636546"/>
    <hyperlink ref="L263" r:id="rId771" display="http://vk.com/id753636546"/>
    <hyperlink ref="G264" r:id="rId772" display="http://vk.com/wall-32572053_91333?reply=91595"/>
    <hyperlink ref="J264" r:id="rId773" display="http://vk.com/id1023616008"/>
    <hyperlink ref="L264" r:id="rId774" display="http://vk.com/club32572053"/>
    <hyperlink ref="G265" r:id="rId775" display="http://vk.com/wall-209406938_89343?reply=89353&amp;thread=89352"/>
    <hyperlink ref="J265" r:id="rId776" display="http://vk.com/id206129022"/>
    <hyperlink ref="L265" r:id="rId777" display="http://vk.com/club209406938"/>
    <hyperlink ref="G266" r:id="rId778" display="http://www.youtube.com/watch?v=X6Npv1UnVgA&amp;lc=UgxceKbMaYE2iDDPzKd4AaABAg"/>
    <hyperlink ref="J266" r:id="rId779" display="http://www.youtube.com/channel/UCCLQw9Y_QMNz6aWEU3CsnbQ"/>
    <hyperlink ref="L266" r:id="rId780" display="http://www.youtube.com/channel/UCvaXsE0Uokmax_yXrG2sjYA"/>
    <hyperlink ref="G267" r:id="rId781" display="http://www.youtube.com/watch?v=X6Npv1UnVgA"/>
    <hyperlink ref="J267" r:id="rId782" display="http://www.youtube.com/channel/UCvaXsE0Uokmax_yXrG2sjYA"/>
    <hyperlink ref="L267" r:id="rId783" display="http://www.youtube.com/channel/UCvaXsE0Uokmax_yXrG2sjYA"/>
    <hyperlink ref="G268" r:id="rId784" display="http://vk.com/wall-50079856_1448915?reply=1449933"/>
    <hyperlink ref="J268" r:id="rId785" display="http://vk.com/id441154094"/>
    <hyperlink ref="L268" r:id="rId786" display="http://vk.com/club50079856"/>
    <hyperlink ref="G269" r:id="rId787" display="https://sprosivracha.com/questions/4321477-bolit-stopa#a27631612"/>
    <hyperlink ref="J269" r:id="rId788" display="https://sprosivracha.com/authors/Лилия Акбашева"/>
    <hyperlink ref="L269" r:id="rId789" display="https://sprosivracha.com/questions/4321477-bolit-stopa"/>
    <hyperlink ref="G270" r:id="rId790" display="https://www.facebook.com/4341714079382308"/>
    <hyperlink ref="J270" r:id="rId791" display="http://www.facebook.com/profile.php?id=100006312763962"/>
    <hyperlink ref="L270" r:id="rId792" display="http://www.facebook.com/profile.php?id=100006312763962"/>
    <hyperlink ref="G271" r:id="rId793" display="https://www.woman.ru/health/medley7/thread/4982316/2/#m103883691"/>
    <hyperlink ref="J271" r:id="rId794" display="https://www.woman.ru/authors/Гость [3614837798]"/>
    <hyperlink ref="L271" r:id="rId795" display="https://www.woman.ru/health/medley7/thread/4982316"/>
    <hyperlink ref="G272" r:id="rId796" display="https://www.facebook.com/27014442684856550"/>
    <hyperlink ref="J272" r:id="rId797" display="http://www.facebook.com/profile.php?id=100001525526292"/>
    <hyperlink ref="L272" r:id="rId798" display="http://www.facebook.com/profile.php?id=100001525526292"/>
    <hyperlink ref="G273" r:id="rId799" display="https://telegram.me/menyanakrilo/1440026"/>
    <hyperlink ref="J273" r:id="rId800" display="https://telegram.me/nastyadushk"/>
    <hyperlink ref="L273" r:id="rId801" display="https://telegram.me/menyanakrilo"/>
    <hyperlink ref="G274" r:id="rId802" display="https://www.facebook.com/3146579549063808"/>
    <hyperlink ref="J274" r:id="rId803" display="http://www.facebook.com/profile.php?id=100011353800327"/>
    <hyperlink ref="L274" r:id="rId804" display="http://www.facebook.com/profile.php?id=100011353800327"/>
    <hyperlink ref="G275" r:id="rId805" display="https://www.facebook.com/4270782516505552"/>
    <hyperlink ref="J275" r:id="rId806" display="http://www.facebook.com/profile.php?id=100007215365532"/>
    <hyperlink ref="L275" r:id="rId807" display="http://www.facebook.com/profile.php?id=100007215365532"/>
    <hyperlink ref="G276" r:id="rId808" display="https://www.facebook.com/2177791156342271"/>
    <hyperlink ref="J276" r:id="rId809" display="http://www.facebook.com/profile.php?id=100023342230421"/>
    <hyperlink ref="L276" r:id="rId810" display="http://www.facebook.com/profile.php?id=100023342230421"/>
    <hyperlink ref="G277" r:id="rId811" display="http://vk.com/wall199272441_9678"/>
    <hyperlink ref="J277" r:id="rId812" display="http://vk.com/id199272441"/>
    <hyperlink ref="L277" r:id="rId813" display="http://vk.com/id199272441"/>
    <hyperlink ref="G278" r:id="rId814" display="https://www.facebook.com/27566638152939792"/>
    <hyperlink ref="J278" r:id="rId815" display="http://www.facebook.com/profile.php?id=100000609345114"/>
    <hyperlink ref="L278" r:id="rId816" display="http://www.facebook.com/profile.php?id=100000609345114"/>
    <hyperlink ref="G279" r:id="rId817" display="http://www.youtube.com/watch?v=o9t1cO2VPRM&amp;lc=Ugz4qbEtp9pjROn9SrJ4AaABAg.AWYzBmxiyJdAWZ-NeDfiXe"/>
    <hyperlink ref="J279" r:id="rId818" display="http://www.youtube.com/channel/UCBnIG6SKJyBAeP5Mvz-_U7Q"/>
    <hyperlink ref="L279" r:id="rId819" display="http://www.youtube.com/channel/UCKOzubpp5HC1t7-cUjrGlIg"/>
    <hyperlink ref="G280" r:id="rId820" display="http://ok.ru/profile/575282624141/statuses/158752479219853"/>
    <hyperlink ref="J280" r:id="rId821" display="http://ok.ru/profile/575282624141"/>
    <hyperlink ref="L280" r:id="rId822" display="http://ok.ru/profile/575282624141"/>
    <hyperlink ref="G281" r:id="rId823" display="https://www.facebook.com/2458026427963145"/>
    <hyperlink ref="J281" r:id="rId824" display="http://www.facebook.com/profile.php?id=100012674343660"/>
    <hyperlink ref="L281" r:id="rId825" display="http://www.facebook.com/profile.php?id=100012674343660"/>
    <hyperlink ref="G282" r:id="rId826" display="https://www.facebook.com/3319448958233909"/>
    <hyperlink ref="J282" r:id="rId827" display="http://www.facebook.com/profile.php?id=100005065122372"/>
    <hyperlink ref="L282" r:id="rId828" display="http://www.facebook.com/profile.php?id=100005065122372"/>
    <hyperlink ref="G283" r:id="rId829" display="http://vk.com/wall-119027_522632?reply=522647"/>
    <hyperlink ref="J283" r:id="rId830" display="http://vk.com/id17552547"/>
    <hyperlink ref="L283" r:id="rId831" display="http://vk.com/club119027"/>
    <hyperlink ref="G284" r:id="rId832" display="http://vk.com/wall-119027_522632"/>
    <hyperlink ref="J284" r:id="rId833" display="http://vk.com/id110528668"/>
    <hyperlink ref="L284" r:id="rId834" display="http://vk.com/club119027"/>
    <hyperlink ref="G285" r:id="rId835" display="http://vk.com/wall-58175895_907?reply=3145"/>
    <hyperlink ref="J285" r:id="rId836" display="http://vk.com/id602488614"/>
    <hyperlink ref="L285" r:id="rId837" display="http://vk.com/club58175895"/>
    <hyperlink ref="G286" r:id="rId838" display="http://www.youtube.com/watch?v=38rDcd9Cj48&amp;lc=UgxUxWNjIW8FkCat2GV4AaABAg.AWYNyNPzw8RAWYOlF0SPw3"/>
    <hyperlink ref="J286" r:id="rId839" display="http://www.youtube.com/channel/UC9lwQ7VwYPMndl94Yatb7Ww"/>
    <hyperlink ref="L286" r:id="rId840" display="http://www.youtube.com/channel/UCksniXe-K1I7NC8tmNDGNjA"/>
    <hyperlink ref="G287" r:id="rId841" display="https://www.facebook.com/3697546320401997"/>
    <hyperlink ref="J287" r:id="rId842" display="http://www.facebook.com/profile.php?id=100004399958144"/>
    <hyperlink ref="L287" r:id="rId843" display="http://www.facebook.com/profile.php?id=100004399958144"/>
    <hyperlink ref="G288" r:id="rId844" display="https://telegram.me/epifanovnews1/102443"/>
    <hyperlink ref="J288" r:id="rId845" display="https://telegram.me/udzhin80"/>
    <hyperlink ref="L288" r:id="rId846" display="https://telegram.me/epifanovnews1"/>
    <hyperlink ref="G289" r:id="rId847" display="https://www.facebook.com/2855744877929588"/>
    <hyperlink ref="J289" r:id="rId848" display="http://www.facebook.com/profile.php?id=100004823103752"/>
    <hyperlink ref="L289" r:id="rId849" display="http://www.facebook.com/profile.php?id=100004823103752"/>
    <hyperlink ref="G290" r:id="rId850" display="https://sprosivracha.com/questions/4318945-povyshennyy-gemoglobin-u-muzhchiny#a27620042"/>
    <hyperlink ref="J290" r:id="rId851" display="https://sprosivracha.com/authors/Екатерина Плотникова"/>
    <hyperlink ref="L290" r:id="rId852" display="https://sprosivracha.com/questions/4318945-povyshennyy-gemoglobin-u-muzhchiny"/>
    <hyperlink ref="G291" r:id="rId853" display="https://sprosivracha.com/questions/4318945-povyshennyy-gemoglobin-u-muzhchiny#a27619995"/>
    <hyperlink ref="J291" r:id="rId854" display="https://sprosivracha.com/authors/Вика"/>
    <hyperlink ref="L291" r:id="rId855" display="https://sprosivracha.com/questions/4318945-povyshennyy-gemoglobin-u-muzhchiny"/>
    <hyperlink ref="G292" r:id="rId856" display="https://sprosivracha.com/questions/4318945-povyshennyy-gemoglobin-u-muzhchiny#a27619924"/>
    <hyperlink ref="J292" r:id="rId857" display="https://sprosivracha.com/authors/Вика"/>
    <hyperlink ref="L292" r:id="rId858" display="https://sprosivracha.com/questions/4318945-povyshennyy-gemoglobin-u-muzhchiny"/>
    <hyperlink ref="G293" r:id="rId859" display="http://vk.com/wall-211243521_27268?reply=27379"/>
    <hyperlink ref="J293" r:id="rId860" display="http://vk.com/id772168005"/>
    <hyperlink ref="L293" r:id="rId861" display="http://vk.com/club211243521"/>
    <hyperlink ref="G294" r:id="rId862" display="http://vk.com/wall-197092538_142634?reply=142635"/>
    <hyperlink ref="J294" r:id="rId863" display="http://vk.com/id861782734"/>
    <hyperlink ref="L294" r:id="rId864" display="http://vk.com/club197092538"/>
    <hyperlink ref="G295" r:id="rId865" display="http://vk.com/wall193966433_137488"/>
    <hyperlink ref="J295" r:id="rId866" display="http://vk.com/id193966433"/>
    <hyperlink ref="L295" r:id="rId867" display="http://vk.com/id193966433"/>
    <hyperlink ref="G296" r:id="rId868" display="https://www.facebook.com/26283595121337074"/>
    <hyperlink ref="J296" r:id="rId869" display="http://www.facebook.com/profile.php?id=100003398325503"/>
    <hyperlink ref="L296" r:id="rId870" display="http://www.facebook.com/profile.php?id=100003398325503"/>
    <hyperlink ref="G297" r:id="rId871" display="https://www.facebook.com/100005165671504/posts/3368594746656015"/>
    <hyperlink ref="J297" r:id="rId872" display="http://www.facebook.com/profile.php?id=100005165671504"/>
    <hyperlink ref="L297" r:id="rId873" display="http://www.facebook.com/profile.php?id=100005165671504"/>
    <hyperlink ref="G298" r:id="rId874" display="http://vk.com/wall-88570414_284324?reply=284368"/>
    <hyperlink ref="J298" r:id="rId875" display="http://vk.com/id1111874705"/>
    <hyperlink ref="L298" r:id="rId876" display="http://vk.com/club88570414"/>
    <hyperlink ref="G299" r:id="rId877" display="https://forum.baby.ru/blogs/post/2635337922-2574673918/#comment2635344570"/>
    <hyperlink ref="J299" r:id="rId878" display="https://forum.baby.ru/u/usr2231337"/>
    <hyperlink ref="L299" r:id="rId879" display="https://forum.baby.ru/u/usr2132532"/>
    <hyperlink ref="G300" r:id="rId880" display="https://dzen.ru/a/afxgP1U4_3gzMjJM?comment-request=1#comment_3295704034"/>
    <hyperlink ref="J300" r:id="rId881" display="https://dzen.ru/user/edef6s10opi3ve84lz63es7gr1u"/>
    <hyperlink ref="L300" r:id="rId882" display="https://dzen.ru/id/595f6ede3c50f7579cfcac0c"/>
    <hyperlink ref="G301" r:id="rId883" display="https://dzen.ru/a/afpTufrI7SJ8oO1G?comment-request=1#comment_3295641134"/>
    <hyperlink ref="J301" r:id="rId884" display="https://dzen.ru/user/1678962437"/>
    <hyperlink ref="L301" r:id="rId885" display="https://dzen.ru/id/622275bf78e29463273cba64"/>
    <hyperlink ref="G302" r:id="rId886" display="https://www.facebook.com/1663207778201819"/>
    <hyperlink ref="J302" r:id="rId887" display="http://www.facebook.com/profile.php?id=100035378387882"/>
    <hyperlink ref="L302" r:id="rId888" display="http://www.facebook.com/profile.php?id=100035378387882"/>
    <hyperlink ref="G303" r:id="rId889" display="https://www.facebook.com/3986936568116634"/>
    <hyperlink ref="J303" r:id="rId890" display="http://www.facebook.com/profile.php?id=100004009910617"/>
    <hyperlink ref="L303" r:id="rId891" display="http://www.facebook.com/profile.php?id=100004009910617"/>
    <hyperlink ref="G304" r:id="rId892" display="https://dzen.ru/a/afoO8zFnET4Ieus_?comment-request=1#comment_3295589724"/>
    <hyperlink ref="J304" r:id="rId893" display="https://dzen.ru/id/5d394fc5e4f39f00ae200d32"/>
    <hyperlink ref="L304" r:id="rId894" display="https://dzen.ru/id/622275bf78e29463273cba64"/>
    <hyperlink ref="G305" r:id="rId895" display="https://www.facebook.com/26660940306933794"/>
    <hyperlink ref="J305" r:id="rId896" display="http://www.facebook.com/profile.php?id=61587142363160"/>
    <hyperlink ref="L305" r:id="rId897" display="http://www.facebook.com/profile.php?id=458554734265709"/>
    <hyperlink ref="G306" r:id="rId898" display="https://www.facebook.com/2304050573457643"/>
    <hyperlink ref="J306" r:id="rId899" display="http://www.facebook.com/profile.php?id=100007192570040"/>
    <hyperlink ref="L306" r:id="rId900" display="http://www.facebook.com/profile.php?id=180047975857924"/>
    <hyperlink ref="G307" r:id="rId901" display="https://dzen.ru/a/afjAO370Rn0ayo9j"/>
    <hyperlink ref="J307" r:id="rId902" display="https://dzen.ru/id/5e6f8929a238dc1744a2e67f"/>
    <hyperlink ref="L307" r:id="rId903" display="https://dzen.ru/id/5e6f8929a238dc1744a2e67f"/>
    <hyperlink ref="G308" r:id="rId904" display="https://dzen.ru/a/afoO8zFnET4Ieus_?comment-request=1#comment_3295120474"/>
    <hyperlink ref="J308" r:id="rId905" display="https://dzen.ru/id/63986528ad3abc63a232847f"/>
    <hyperlink ref="L308" r:id="rId906" display="https://dzen.ru/id/622275bf78e29463273cba64"/>
    <hyperlink ref="G309" r:id="rId907" display="https://telegram.me/ecoterina_blog/4499"/>
    <hyperlink ref="J309" r:id="rId908" display="https://telegram.me/ecoterina_blog"/>
    <hyperlink ref="L309" r:id="rId909" display="https://telegram.me/ecoterina_blog"/>
    <hyperlink ref="G310" r:id="rId910" display="http://vk.com/wall-17990792_94569?reply=94570"/>
    <hyperlink ref="J310" r:id="rId911" display="http://vk.com/id1209585"/>
    <hyperlink ref="L310" r:id="rId912" display="http://vk.com/club17990792"/>
    <hyperlink ref="G311" r:id="rId913" display="https://forums.rusmedserv.com/showpost.php?p=3139132&amp;postcount=3"/>
    <hyperlink ref="J311" r:id="rId914" display="https://forums.rusmedserv.com/authors/Vinto"/>
    <hyperlink ref="L311" r:id="rId915" display="https://forums.rusmedserv.com/showthread.php?t=501236"/>
    <hyperlink ref="G312" r:id="rId916" display="http://vk.com/wall-166491509_870591?reply=870802"/>
    <hyperlink ref="J312" r:id="rId917" display="http://vk.com/id370695184"/>
    <hyperlink ref="L312" r:id="rId918" display="http://vk.com/club166491509"/>
    <hyperlink ref="G313" r:id="rId919" display="http://vk.com/wall-118324715_644837?reply=644857"/>
    <hyperlink ref="J313" r:id="rId920" display="http://vk.com/id760792914"/>
    <hyperlink ref="L313" r:id="rId921" display="http://vk.com/club118324715"/>
    <hyperlink ref="G314" r:id="rId922" display="http://www.youtube.com/watch?v=MGHOR2C0g0g&amp;lc=UgybgyJv9AS6ufMLbXB4AaABAg"/>
    <hyperlink ref="J314" r:id="rId923" display="http://www.youtube.com/channel/UClJhxoTP2ELanup9QKcst3w"/>
    <hyperlink ref="L314" r:id="rId924" display="http://www.youtube.com/channel/UC_C5Vm1gvOBo8vlSYY4MnmA"/>
    <hyperlink ref="G315" r:id="rId925" display="http://vk.com/wall-118324715_644748?reply=644814"/>
    <hyperlink ref="J315" r:id="rId926" display="http://vk.com/id861782734"/>
    <hyperlink ref="L315" r:id="rId927" display="http://vk.com/club118324715"/>
    <hyperlink ref="G316" r:id="rId928" display="http://vk.com/wall-153134547_1597?reply=1598"/>
    <hyperlink ref="J316" r:id="rId929" display="http://vk.com/id1111874705"/>
    <hyperlink ref="L316" r:id="rId930" display="http://vk.com/club153134547"/>
    <hyperlink ref="G317" r:id="rId931" display="http://vk.com/wall-222205353_67412?reply=67438"/>
    <hyperlink ref="J317" r:id="rId932" display="http://vk.com/id1111874705"/>
    <hyperlink ref="L317" r:id="rId933" display="http://vk.com/club222205353"/>
    <hyperlink ref="G318" r:id="rId934" display="http://vk.com/wall-213272284_2040?reply=10603&amp;thread=2041"/>
    <hyperlink ref="J318" r:id="rId935" display="http://vk.com/id160392480"/>
    <hyperlink ref="L318" r:id="rId936" display="http://vk.com/club213272284"/>
    <hyperlink ref="G319" r:id="rId937" display="http://vk.com/wall-213272284_3186?reply=10602"/>
    <hyperlink ref="J319" r:id="rId938" display="http://vk.com/id160392480"/>
    <hyperlink ref="L319" r:id="rId939" display="http://vk.com/club213272284"/>
    <hyperlink ref="G320" r:id="rId940" display="https://telegram.me/dariashuer_chat/138363"/>
    <hyperlink ref="J320" r:id="rId941" display="https://telegram.me/beketovrk"/>
    <hyperlink ref="L320" r:id="rId942" display="https://telegram.me/dariashuer_chat"/>
    <hyperlink ref="G321" r:id="rId943" display="http://vk.com/wall-235949966_989"/>
    <hyperlink ref="J321" r:id="rId944" display="http://vk.com/club235949966"/>
    <hyperlink ref="L321" r:id="rId945" display="http://vk.com/club235949966"/>
    <hyperlink ref="G322" r:id="rId946" display="http://ok.ru/group/55780516757702/topic/157461700921542"/>
    <hyperlink ref="J322" r:id="rId947" display="http://ok.ru/group/55780516757702"/>
    <hyperlink ref="L322" r:id="rId948" display="http://ok.ru/group/55780516757702"/>
    <hyperlink ref="G323" r:id="rId949" display="https://www.ozon.ru/product/754700631/reviews?ruuid=019dfdd0-bbdf-7103-823e-8df716f756e4"/>
    <hyperlink ref="J323" r:id="rId950" display="https://www.ozon.ru/context/client_opinion/ClientGuid/00000000-0000-0000-0000-000000000000#Михаил К."/>
    <hyperlink ref="L323" r:id="rId951" display="https://www.ozon.ru/context/detail/id/754700631"/>
    <hyperlink ref="G324" r:id="rId952" display="https://telegram.me/forums_rms/10466"/>
    <hyperlink ref="J324" r:id="rId953" display="https://telegram.me/forums_rms"/>
    <hyperlink ref="L324" r:id="rId954" display="https://telegram.me/forums_rms"/>
    <hyperlink ref="G325" r:id="rId955" display="https://forums.rusmedserv.com/showpost.php?p=3139049&amp;postcount=1"/>
    <hyperlink ref="J325" r:id="rId956" display="https://forums.rusmedserv.com/authors/Nataliya0401"/>
    <hyperlink ref="L325" r:id="rId957" display="https://forums.rusmedserv.com/showthread.php?t=501236"/>
    <hyperlink ref="G326" r:id="rId958" display="http://vk.com/wall-231508037_6308?reply=6389&amp;thread=6320"/>
    <hyperlink ref="J326" r:id="rId959" display="http://vk.com/id890364807"/>
    <hyperlink ref="L326" r:id="rId960" display="http://vk.com/club231508037"/>
    <hyperlink ref="G327" r:id="rId961" display="https://sojuzpharma.ru/news/20434-zakryvaem_na_karantin_obzor_aprelskih_pisem_roszdravnadzora"/>
    <hyperlink ref="J327" r:id="rId962" display="http://sojuzpharma.ru"/>
    <hyperlink ref="L327" r:id="rId963" display="http://sojuzpharma.ru"/>
    <hyperlink ref="G328" r:id="rId964" display="https://mom.life/post/69f747fe2de14efde303cbd5#69fac3d8e8c6822ae4011c05#69faf9da454f54ae7a03399a"/>
    <hyperlink ref="J328" r:id="rId965" display="https://mom.life/user/691c555d258168052e026ef0"/>
    <hyperlink ref="L328" r:id="rId966" display="https://mom.life/user/699a006386aa2543640a2ece"/>
    <hyperlink ref="G329" r:id="rId967" display="http://vk.com/wall-149047382_3160608?reply=3160981"/>
    <hyperlink ref="J329" r:id="rId968" display="http://vk.com/id861782734"/>
    <hyperlink ref="L329" r:id="rId969" display="http://vk.com/club149047382"/>
    <hyperlink ref="G330" r:id="rId970" display="https://sprosivracha.com/questions/4315220-oslozhneniya-posle-operacii-na-pozvonochnike#a27581739"/>
    <hyperlink ref="J330" r:id="rId971" display="https://sprosivracha.com/authors/Лилия Акбашева"/>
    <hyperlink ref="L330" r:id="rId972" display="https://sprosivracha.com/questions/4315220-oslozhneniya-posle-operacii-na-pozvonochnike"/>
    <hyperlink ref="G331" r:id="rId973" display="https://dzen.ru/a/afXo7pQU6TCKBLMB?comment-request=1#comment_3292156994"/>
    <hyperlink ref="J331" r:id="rId974" display="https://dzen.ru/user/edef6s10opi3ve84lz63es7gr1u"/>
    <hyperlink ref="L331" r:id="rId975" display="https://dzen.ru/id/5eaafa59cf77ee27c9421287"/>
    <hyperlink ref="G332" r:id="rId976" display="http://vk.com/wall-17990792_94483?reply=94565&amp;thread=94506"/>
    <hyperlink ref="J332" r:id="rId977" display="http://vk.com/id653692873"/>
    <hyperlink ref="L332" r:id="rId978" display="http://vk.com/club17990792"/>
    <hyperlink ref="G333" r:id="rId979" display="https://telegram.me/chatmcf/833168"/>
    <hyperlink ref="J333" r:id="rId980" display="https://telegram.me/papri_ka"/>
    <hyperlink ref="L333" r:id="rId981" display="https://telegram.me/chatmcf"/>
    <hyperlink ref="G334" r:id="rId982" display="https://www.threads.com/@kirill19720708/post/DX-2smniNAc"/>
    <hyperlink ref="J334" r:id="rId983" display="https://threads.com/@kirill19720708"/>
    <hyperlink ref="L334" r:id="rId984" display="https://threads.com/@kirill19720708"/>
    <hyperlink ref="G335" r:id="rId985" display="https://dzen.ru/a/aflmXVU4_3gzLpFg?comment-request=1#comment_3291663484"/>
    <hyperlink ref="J335" r:id="rId986" display="https://dzen.ru/id/61d0906bf5cf2400b384a3a3"/>
    <hyperlink ref="L335" r:id="rId987" display="https://dzen.ru/id/5a0b09f2a936f43df63f4406"/>
    <hyperlink ref="G336" r:id="rId988" display="https://telegram.me/dgdschat/120927"/>
    <hyperlink ref="J336" r:id="rId989" display="https://telegram.me/zovkredit"/>
    <hyperlink ref="L336" r:id="rId990" display="https://telegram.me/dgdschat"/>
    <hyperlink ref="G337" r:id="rId991" display="https://dzen.ru/a/afioQdsi4zPEjbpu?comment-request=1#comment_3296707653"/>
    <hyperlink ref="J337" r:id="rId992" display="https://dzen.ru/id/5f72066cba91764cb5da7d65"/>
    <hyperlink ref="L337" r:id="rId993" display="https://dzen.ru/id/5ea3fd8b22b6bd32eecb63f5"/>
    <hyperlink ref="G338" r:id="rId994" display="http://vk.com/wall-17990792_94549?reply=94564"/>
    <hyperlink ref="J338" r:id="rId995" display="http://vk.com/id773113250"/>
    <hyperlink ref="L338" r:id="rId996" display="http://vk.com/club17990792"/>
    <hyperlink ref="G339" r:id="rId997" display="https://hron-prostatit.ru/forum/viewtopic.php?p=445285#p445285"/>
    <hyperlink ref="J339" r:id="rId998" display="https://hron-prostatit.ru/authors/deni4"/>
    <hyperlink ref="L339" r:id="rId999" display="https://hron-prostatit.ru/forum/viewforum.php?f=4"/>
    <hyperlink ref="G340" r:id="rId1000" display="https://rutube.ru/video/79f85b419d01b3bdd36fb4ed836d4ce5/"/>
    <hyperlink ref="J340" r:id="rId1001" display="https://rutube.ru/video/person/73643784"/>
    <hyperlink ref="L340" r:id="rId1002" display="https://rutube.ru/video/person/73643784"/>
    <hyperlink ref="G341" r:id="rId1003" display="http://vk.com/wall207151277_3014"/>
    <hyperlink ref="J341" r:id="rId1004" display="http://vk.com/id207151277"/>
    <hyperlink ref="L341" r:id="rId1005" display="http://vk.com/id207151277"/>
    <hyperlink ref="G342" r:id="rId1006" display="https://sprosivracha.com/questions/4308136-gzt-v-38-let-nizkiy-testosteron#a27564208"/>
    <hyperlink ref="J342" r:id="rId1007" display="https://sprosivracha.com/authors/Сергей"/>
    <hyperlink ref="L342" r:id="rId1008" display="https://sprosivracha.com/questions/4308136-gzt-v-38-let-nizkiy-testosteron"/>
    <hyperlink ref="G343" r:id="rId1009" display="http://vk.com/wall-226278715_1065"/>
    <hyperlink ref="J343" r:id="rId1010" display="http://vk.com/club226278715"/>
    <hyperlink ref="L343" r:id="rId1011" display="http://vk.com/club226278715"/>
    <hyperlink ref="G344" r:id="rId1012" display="https://telegram.me/ivnvo/12458?comment=279989"/>
    <hyperlink ref="J344" r:id="rId1013" display="https://telegram.me/nataliya_1"/>
    <hyperlink ref="L344" r:id="rId1014" display="https://telegram.me/ivnvo"/>
    <hyperlink ref="G345" r:id="rId1015" display="http://vk.com/wall-61391520_829584?reply=829602"/>
    <hyperlink ref="J345" r:id="rId1016" display="http://vk.com/id1111874705"/>
    <hyperlink ref="L345" r:id="rId1017" display="http://vk.com/club61391520"/>
    <hyperlink ref="G346" r:id="rId1018" display="http://vk.com/wall-221308444_4582?reply=4587"/>
    <hyperlink ref="J346" r:id="rId1019" display="http://vk.com/id861782734"/>
    <hyperlink ref="L346" r:id="rId1020" display="http://vk.com/club221308444"/>
    <hyperlink ref="G347" r:id="rId1021" display="https://dzen.ru/a/afYkC6OOEmuhhdGQ?comment-request=1#comment_3290450624"/>
    <hyperlink ref="J347" r:id="rId1022" display="https://dzen.ru/user/widz-9ttzstlu5wquzbaljwtnka"/>
    <hyperlink ref="L347" r:id="rId1023" display="https://dzen.ru/id/5ea3fd8b22b6bd32eecb63f5"/>
    <hyperlink ref="G348" r:id="rId1024" display="https://dzen.ru/a/afjanVU4_3gzLhql?comment-request=1#comment_3282913531"/>
    <hyperlink ref="J348" r:id="rId1025" display="https://dzen.ru/user/zy8xn3v5arsgfi8gpyu_asblbeq"/>
    <hyperlink ref="L348" r:id="rId1026" display="https://dzen.ru/id/59c4d5894bf161c6efdacbb0"/>
    <hyperlink ref="G349" r:id="rId1027" display="http://vk.com/wall-37094416_1421649?reply=1421677"/>
    <hyperlink ref="J349" r:id="rId1028" display="http://vk.com/id861782734"/>
    <hyperlink ref="L349" r:id="rId1029" display="http://vk.com/club37094416"/>
    <hyperlink ref="G350" r:id="rId1030" display="http://vk.com/wall-17990792_94549?reply=94554"/>
    <hyperlink ref="J350" r:id="rId1031" display="http://vk.com/id1209585"/>
    <hyperlink ref="L350" r:id="rId1032" display="http://vk.com/club17990792"/>
    <hyperlink ref="G351" r:id="rId1033" display="https://telegram.me/koikchan/7494"/>
    <hyperlink ref="J351" r:id="rId1034" display="https://telegram.me/koikchan"/>
    <hyperlink ref="L351" r:id="rId1035" display="https://telegram.me/koikchan"/>
    <hyperlink ref="G352" r:id="rId1036" display="http://vk.com/wall-185694161_87?reply=88"/>
    <hyperlink ref="J352" r:id="rId1037" display="http://vk.com/id260441521"/>
    <hyperlink ref="L352" r:id="rId1038" display="http://vk.com/club185694161"/>
    <hyperlink ref="G353" r:id="rId1039" display="https://telegram.me/c/2605536942/19032"/>
    <hyperlink ref="J353" r:id="rId1040" display="https://telegram.me/2605536942"/>
    <hyperlink ref="L353" r:id="rId1041" display="https://telegram.me/2605536942"/>
    <hyperlink ref="G354" r:id="rId1042" display="http://vk.com/wall-17990792_94549?reply=94550"/>
    <hyperlink ref="J354" r:id="rId1043" display="http://vk.com/id15401333"/>
    <hyperlink ref="L354" r:id="rId1044" display="http://vk.com/club17990792"/>
    <hyperlink ref="G355" r:id="rId1045" display="https://pikabu.ru/story/zhaluyus_13943619?cid=391420434"/>
    <hyperlink ref="J355" r:id="rId1046" display="https://pikabu.ru/@paranoidLynx"/>
    <hyperlink ref="L355" r:id="rId1047" display="https://pikabu.ru/story/_13943619"/>
    <hyperlink ref="G356" r:id="rId1048" display="http://vk.com/wall-5626752_98449?reply=98495&amp;thread=98452"/>
    <hyperlink ref="J356" r:id="rId1049" display="http://vk.com/id67152682"/>
    <hyperlink ref="L356" r:id="rId1050" display="http://vk.com/club5626752"/>
    <hyperlink ref="G357" r:id="rId1051" display="https://telegram.me/darixana_nukus/2480383"/>
    <hyperlink ref="J357" r:id="rId1052" display="https://telegram.me/2141007721"/>
    <hyperlink ref="L357" r:id="rId1053" display="https://telegram.me/darixana_nukus"/>
    <hyperlink ref="G358" r:id="rId1054" display="http://vk.com/wall-215871371_1850"/>
    <hyperlink ref="J358" r:id="rId1055" display="http://vk.com/club215871371"/>
    <hyperlink ref="L358" r:id="rId1056" display="http://vk.com/club215871371"/>
    <hyperlink ref="G359" r:id="rId1057" display="https://telegram.me/boston_terrier_here/54052"/>
    <hyperlink ref="J359" r:id="rId1058" display="https://telegram.me/xeniatu"/>
    <hyperlink ref="L359" r:id="rId1059" display="https://telegram.me/boston_terrier_here"/>
    <hyperlink ref="G360" r:id="rId1060" display="http://vk.com/wall-126883252_374658?reply=374676"/>
    <hyperlink ref="J360" r:id="rId1061" display="http://vk.com/id1111874705"/>
    <hyperlink ref="L360" r:id="rId1062" display="http://vk.com/club126883252"/>
    <hyperlink ref="G361" r:id="rId1063" display="http://vk.com/wall-55541786_309162?reply=309171"/>
    <hyperlink ref="J361" r:id="rId1064" display="http://vk.com/id1111874705"/>
    <hyperlink ref="L361" r:id="rId1065" display="http://vk.com/club55541786"/>
    <hyperlink ref="G362" r:id="rId1066" display="https://www.ozon.ru/product/711343209/reviews?ruuid=019df117-8bf9-7aef-8220-54de348dfa00"/>
    <hyperlink ref="J362" r:id="rId1067" display="https://www.ozon.ru/context/client_opinion/ClientGuid/00000000-0000-0000-0000-000000000000#Павел Р."/>
    <hyperlink ref="L362" r:id="rId1068" display="https://www.ozon.ru/context/detail/id/711343209"/>
    <hyperlink ref="G363" r:id="rId1069" display="https://telegram.me/pravoslavievtelege/32022?comment=2532958"/>
    <hyperlink ref="J363" r:id="rId1070" display="https://telegram.me/alpentour"/>
    <hyperlink ref="L363" r:id="rId1071" display="https://telegram.me/pravoslavievtelege"/>
    <hyperlink ref="G364" r:id="rId1072" display="https://telegram.me/c/1455776108/86183"/>
    <hyperlink ref="J364" r:id="rId1073" display="https://telegram.me/trean_den"/>
    <hyperlink ref="L364" r:id="rId1074" display="https://telegram.me/1455776108"/>
    <hyperlink ref="G365" r:id="rId1075" display="https://sprosivracha.com/questions/4308352-prolezhni-na-pyatke#a27526577"/>
    <hyperlink ref="J365" r:id="rId1076" display="https://sprosivracha.com/authors/Андрей Кулешов"/>
    <hyperlink ref="L365" r:id="rId1077" display="https://sprosivracha.com/questions/4308352-prolezhni-na-pyatke"/>
    <hyperlink ref="G366" r:id="rId1078" display="https://dadanews.ru/obschestvo/pochemu-nemeet-podborodok-u-vzroslogo-muzhchiny/"/>
    <hyperlink ref="J366" r:id="rId1079" display="http://dadanews.ru"/>
    <hyperlink ref="L366" r:id="rId1080" display="http://dadanews.ru"/>
    <hyperlink ref="G367" r:id="rId1081" display="http://ok.ru/group/70000001016930/topic/157362037103970#QUFBQm5lbk9zSzBpbHc9PToxNTczNjIwMzcxMDM5NzA6MQ=="/>
    <hyperlink ref="J367" r:id="rId1082" display="http://ok.ru/profile/594299744169"/>
    <hyperlink ref="L367" r:id="rId1083" display="http://ok.ru/group/70000001016930"/>
    <hyperlink ref="G368" r:id="rId1084" display="http://ok.ru/group/70000001016930/topic/157362037103970#QUFBQm5lbktZeTAvNHc9PToxNTczNjIwMzcxMDM5NzA6MQ=="/>
    <hyperlink ref="J368" r:id="rId1085" display="http://ok.ru/profile/572835117014"/>
    <hyperlink ref="L368" r:id="rId1086" display="http://ok.ru/group/70000001016930"/>
    <hyperlink ref="G369" r:id="rId1087" display="http://vk.com/video-237610432_456239650"/>
    <hyperlink ref="J369" r:id="rId1088" display="http://vk.com/club237610432"/>
    <hyperlink ref="L369" r:id="rId1089" display="http://vk.com/club237610432"/>
    <hyperlink ref="G370" r:id="rId1090" display="http://vk.com/wall-17990792_94516?reply=94531&amp;thread=94525"/>
    <hyperlink ref="J370" r:id="rId1091" display="http://vk.com/id1209585"/>
    <hyperlink ref="L370" r:id="rId1092" display="http://vk.com/club17990792"/>
    <hyperlink ref="G371" r:id="rId1093" display="http://ok.ru/group/70000001016930/topic/157362037103970#QUFBQm5laHJpSjBISnc9PToxNTczNjIwMzcxMDM5NzA6MQ=="/>
    <hyperlink ref="J371" r:id="rId1094" display="http://ok.ru/profile/557381638366"/>
    <hyperlink ref="L371" r:id="rId1095" display="http://ok.ru/group/70000001016930"/>
    <hyperlink ref="G372" r:id="rId1096" display="http://ok.ru/group/70000001016930/topic/157362037103970#QUFBQm5laFpSUjArOFE9PToxNTczNjIwMzcxMDM5NzA6MQ=="/>
    <hyperlink ref="J372" r:id="rId1097" display="http://ok.ru/profile/418187866754"/>
    <hyperlink ref="L372" r:id="rId1098" display="http://ok.ru/group/70000001016930"/>
    <hyperlink ref="G373" r:id="rId1099" display="https://max.ru/id7730183173_biz/AZ3oTiz3Ro4"/>
    <hyperlink ref="J373" r:id="rId1100" display="https://max.ru/id7730183173_biz"/>
    <hyperlink ref="L373" r:id="rId1101" display="https://max.ru/id7730183173_biz"/>
    <hyperlink ref="G374" r:id="rId1102" display="http://ok.ru/group/70000001016930/topic/157362037103970#QUFBQm5lZ0J4d1FiK3c9PToxNTczNjIwMzcxMDM5NzA6MQ=="/>
    <hyperlink ref="J374" r:id="rId1103" display="http://ok.ru/profile/557381638366"/>
    <hyperlink ref="L374" r:id="rId1104" display="http://ok.ru/group/70000001016930"/>
    <hyperlink ref="G375" r:id="rId1105" display="https://sprosivracha.com/questions/4306509-boli-pri-mocheispuskanii"/>
    <hyperlink ref="J375" r:id="rId1106" display="https://sprosivracha.com/authors/Оксана"/>
    <hyperlink ref="L375" r:id="rId1107" display="https://sprosivracha.com/questions/4306509-boli-pri-mocheispuskanii"/>
    <hyperlink ref="G376" r:id="rId1108" display="https://www.threads.com/@oksanaderunets/post/DXzjcwhiJZU"/>
    <hyperlink ref="J376" r:id="rId1109" display="https://threads.com/@oksanaderunets"/>
    <hyperlink ref="L376" r:id="rId1110" display="https://threads.com/@oksanaderunets"/>
    <hyperlink ref="G377" r:id="rId1111" display="http://vk.com/wall-50079856_1448049?reply=1448219&amp;thread=1448201"/>
    <hyperlink ref="J377" r:id="rId1112" display="http://vk.com/id3364355"/>
    <hyperlink ref="L377" r:id="rId1113" display="http://vk.com/club50079856"/>
    <hyperlink ref="G378" r:id="rId1114" display="https://dzen.ru/video/watch/69f486532464ba6c78065e52?comment-request=1#comment_3290396633"/>
    <hyperlink ref="J378" r:id="rId1115" display="https://dzen.ru/id/64d3745696905b12eb226804"/>
    <hyperlink ref="L378" r:id="rId1116" display="https://dzen.ru/id/614adc4dfebd966f417ce21b"/>
    <hyperlink ref="G379" r:id="rId1117" display="https://www.threads.com/@tatjana.onufrieva/post/DXzO_aPjeYm"/>
    <hyperlink ref="J379" r:id="rId1118" display="https://threads.com/@tatjana.onufrieva"/>
    <hyperlink ref="L379" r:id="rId1119" display="https://threads.com/@tatjana.onufrieva"/>
    <hyperlink ref="G380" r:id="rId1120" display="http://vk.com/wall-15752015_302735?reply=302816&amp;thread=302795"/>
    <hyperlink ref="J380" r:id="rId1121" display="http://vk.com/id244938783"/>
    <hyperlink ref="L380" r:id="rId1122" display="http://vk.com/club15752015"/>
    <hyperlink ref="G381" r:id="rId1123" display="http://vk.com/wall-15752015_302735?reply=302808"/>
    <hyperlink ref="J381" r:id="rId1124" display="http://vk.com/id244938783"/>
    <hyperlink ref="L381" r:id="rId1125" display="http://vk.com/club15752015"/>
    <hyperlink ref="G382" r:id="rId1126" display="http://vk.com/wall-88570414_283946?reply=284019"/>
    <hyperlink ref="J382" r:id="rId1127" display="http://vk.com/id244938783"/>
    <hyperlink ref="L382" r:id="rId1128" display="http://vk.com/club88570414"/>
    <hyperlink ref="G383" r:id="rId1129" display="https://dzen.ru/a/afSFvhFy5VS5ykfz"/>
    <hyperlink ref="J383" r:id="rId1130" display="https://dzen.ru/id/63d576d904f91437db4f6079"/>
    <hyperlink ref="L383" r:id="rId1131" display="https://dzen.ru/id/63d576d904f91437db4f6079"/>
    <hyperlink ref="G384" r:id="rId1132" display="http://vk.com/wall-17990792_94483?reply=94521&amp;thread=94506"/>
    <hyperlink ref="J384" r:id="rId1133" display="http://vk.com/id1209585"/>
    <hyperlink ref="L384" r:id="rId1134" display="http://vk.com/club17990792"/>
    <hyperlink ref="G385" r:id="rId1135" display="https://sprosivracha.com/questions/4304858-odyshka-posle-aksh#a27499163"/>
    <hyperlink ref="J385" r:id="rId1136" display="https://sprosivracha.com/authors/Алена Шейпук"/>
    <hyperlink ref="L385" r:id="rId1137" display="https://sprosivracha.com/questions/4304858-odyshka-posle-aksh"/>
    <hyperlink ref="G386" r:id="rId1138" display="https://sprosivracha.com/questions/4304858-odyshka-posle-aksh#a27499100"/>
    <hyperlink ref="J386" r:id="rId1139" display="https://sprosivracha.com/authors/Жанна"/>
    <hyperlink ref="L386" r:id="rId1140" display="https://sprosivracha.com/questions/4304858-odyshka-posle-aksh"/>
    <hyperlink ref="G387" r:id="rId1141" display="https://www.babyplan.ru/forums/topic/139903-povtorjajushhiesja-bhb/?do=findComment&amp;comment=22361671"/>
    <hyperlink ref="J387" r:id="rId1142" display="https://www.babyplan.ru/profile/127076-la-belle"/>
    <hyperlink ref="L387" r:id="rId1143" display="https://www.babyplan.ru/forums/topic/139903-povtorjajushhiesja-bhb"/>
    <hyperlink ref="G388" r:id="rId1144" display="http://vk.com/wall-99694181_1417030"/>
    <hyperlink ref="J388" r:id="rId1145" display="http://vk.com/club99694181"/>
    <hyperlink ref="L388" r:id="rId1146" display="http://vk.com/club99694181"/>
    <hyperlink ref="G389" r:id="rId1147" display="https://www.babyplan.ru/forums/topic/139903-povtorjajushhiesja-bhb/?do=findComment&amp;comment=22361575"/>
    <hyperlink ref="J389" r:id="rId1148" display="https://www.babyplan.ru/profile/361817-darja-smirnova"/>
    <hyperlink ref="L389" r:id="rId1149" display="https://www.babyplan.ru/forums/topic/139903-povtorjajushhiesja-bhb"/>
    <hyperlink ref="G390" r:id="rId1150" display="http://vk.com/wall2084950_519"/>
    <hyperlink ref="J390" r:id="rId1151" display="http://vk.com/id2084950"/>
    <hyperlink ref="L390" r:id="rId1152" display="http://vk.com/id2084950"/>
    <hyperlink ref="G391" r:id="rId1153" display="https://hron-prostatit.ru/forum/viewtopic.php?p=445237#p445237"/>
    <hyperlink ref="J391" r:id="rId1154" display="https://hron-prostatit.ru/authors/Bevel"/>
    <hyperlink ref="L391" r:id="rId1155" display="https://hron-prostatit.ru/forum/viewforum.php?f=4"/>
    <hyperlink ref="G392" r:id="rId1156" display="https://ftour.otzyv.ru/tema/269515/1340/#9031488"/>
    <hyperlink ref="J392" r:id="rId1157" display="https://otzyv.ru/profile.php?id=75489"/>
    <hyperlink ref="L392" r:id="rId1158" display="https://ftour.otzyv.ru/tema/269515/1340"/>
    <hyperlink ref="G393" r:id="rId1159" display="https://sprosivracha.com/questions/4302256-rasseyanyy-skleroz-vozmozhno-obostrenie#a27491471"/>
    <hyperlink ref="J393" r:id="rId1160" display="https://sprosivracha.com/authors/Лилия Акбашева"/>
    <hyperlink ref="L393" r:id="rId1161" display="https://sprosivracha.com/questions/4302256-rasseyanyy-skleroz-vozmozhno-obostrenie"/>
    <hyperlink ref="G394" r:id="rId1162" display="http://ok.ru/group/54782456954971/topic/157785426277211"/>
    <hyperlink ref="J394" r:id="rId1163" display="http://ok.ru/group/54782456954971"/>
    <hyperlink ref="L394" r:id="rId1164" display="http://ok.ru/group/54782456954971"/>
    <hyperlink ref="G395" r:id="rId1165" display="http://vk.com/wall-64593569_108201"/>
    <hyperlink ref="J395" r:id="rId1166" display="http://vk.com/club64593569"/>
    <hyperlink ref="L395" r:id="rId1167" display="http://vk.com/club64593569"/>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10289ba-2b0f-4407-b926-7f9173b40f21}">
  <dimension ref="B1:K6"/>
  <sheetViews>
    <sheetView showGridLines="0" workbookViewId="0" topLeftCell="A1"/>
  </sheetViews>
  <sheetFormatPr defaultRowHeight="12.75"/>
  <cols>
    <col min="1" max="1" width="4.714285714285714" customWidth="1"/>
    <col min="2" max="2" width="22.714285714285715" customWidth="1"/>
    <col min="3" max="3" width="60.714285714285715" customWidth="1"/>
    <col min="4" max="11" width="16.285714285714285" customWidth="1"/>
  </cols>
  <sheetData>
    <row r="1" spans="2:3" s="1" customFormat="1" ht="30" customHeight="1">
      <c r="B1" s="1" t="s">
        <v>0</v>
      </c>
      <c r="C1" s="4" t="s">
        <v>2</v>
      </c>
    </row>
    <row r="4" spans="2:2" ht="12.75">
      <c r="B4" s="2" t="s">
        <v>6</v>
      </c>
    </row>
    <row r="6" spans="2:11" ht="30" customHeight="1">
      <c r="B6" s="5" t="s">
        <v>841</v>
      </c>
      <c r="C6" s="5" t="s">
        <v>842</v>
      </c>
      <c r="D6" s="5" t="s">
        <v>5</v>
      </c>
      <c r="E6" s="5" t="s">
        <v>33</v>
      </c>
      <c r="F6" s="5" t="s">
        <v>34</v>
      </c>
      <c r="G6" s="5" t="s">
        <v>177</v>
      </c>
      <c r="H6" s="5" t="s">
        <v>178</v>
      </c>
      <c r="I6" s="5" t="s">
        <v>179</v>
      </c>
      <c r="J6" s="5" t="s">
        <v>36</v>
      </c>
      <c r="K6" s="5" t="s">
        <v>38</v>
      </c>
    </row>
  </sheetData>
  <hyperlinks>
    <hyperlink ref="C1" location="Содержание!B4" display="К содержанию"/>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4b1df2d-f2c6-4a0d-8d44-1e2a25a07f5d}">
  <dimension ref="B1:H98"/>
  <sheetViews>
    <sheetView showGridLines="0" workbookViewId="0" topLeftCell="A1"/>
  </sheetViews>
  <sheetFormatPr defaultRowHeight="12.75"/>
  <cols>
    <col min="1" max="1" width="4.714285714285714" customWidth="1"/>
    <col min="2" max="2" width="22.714285714285715" customWidth="1"/>
    <col min="3" max="8" width="17.571428571428573" customWidth="1"/>
  </cols>
  <sheetData>
    <row r="1" spans="2:3" s="1" customFormat="1" ht="30" customHeight="1">
      <c r="B1" s="1" t="s">
        <v>0</v>
      </c>
      <c r="C1" s="4" t="s">
        <v>2</v>
      </c>
    </row>
    <row r="4" spans="2:2" ht="12.75">
      <c r="B4" s="2" t="s">
        <v>7</v>
      </c>
    </row>
    <row r="6" spans="2:2"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spans="2:2"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spans="2:2"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spans="2:8" ht="30" customHeight="1">
      <c r="B66" s="5" t="s">
        <v>26</v>
      </c>
      <c r="C66" s="6" t="s">
        <v>36</v>
      </c>
      <c r="D66" s="6" t="s">
        <v>57</v>
      </c>
      <c r="E66" s="6" t="s">
        <v>38</v>
      </c>
      <c r="F66" s="6" t="s">
        <v>140</v>
      </c>
      <c r="G66" s="6" t="s">
        <v>141</v>
      </c>
      <c r="H66" s="6" t="s">
        <v>142</v>
      </c>
    </row>
    <row r="67" spans="2:8" ht="15" customHeight="1">
      <c r="B67" s="13">
        <v>46143</v>
      </c>
      <c r="C67" s="8">
        <v>4</v>
      </c>
      <c r="D67" s="8">
        <v>9</v>
      </c>
      <c r="E67" s="8">
        <v>5</v>
      </c>
      <c r="F67" s="21">
        <f>IF(SUM(C67,D67,E67)=0,0,C67/SUM(C67,D67,E67))</f>
      </c>
      <c r="G67" s="21">
        <f>IF(SUM(C67,D67,E67)=0,0,D67/SUM(C67,D67,E67))</f>
      </c>
      <c r="H67" s="21">
        <f>IF(SUM(C67,D67,E67)=0,0,E67/SUM(C67,D67,E67))</f>
      </c>
    </row>
    <row r="68" spans="2:8" ht="15" customHeight="1">
      <c r="B68" s="13">
        <v>46144</v>
      </c>
      <c r="C68" s="8">
        <v>2</v>
      </c>
      <c r="D68" s="8">
        <v>7</v>
      </c>
      <c r="E68" s="8">
        <v>0</v>
      </c>
      <c r="F68" s="21">
        <f>IF(SUM(C68,D68,E68)=0,0,C68/SUM(C68,D68,E68))</f>
      </c>
      <c r="G68" s="21">
        <f>IF(SUM(C68,D68,E68)=0,0,D68/SUM(C68,D68,E68))</f>
      </c>
      <c r="H68" s="21">
        <f>IF(SUM(C68,D68,E68)=0,0,E68/SUM(C68,D68,E68))</f>
      </c>
    </row>
    <row r="69" spans="2:8" ht="15" customHeight="1">
      <c r="B69" s="13">
        <v>46145</v>
      </c>
      <c r="C69" s="8">
        <v>1</v>
      </c>
      <c r="D69" s="8">
        <v>4</v>
      </c>
      <c r="E69" s="8">
        <v>0</v>
      </c>
      <c r="F69" s="21">
        <f>IF(SUM(C69,D69,E69)=0,0,C69/SUM(C69,D69,E69))</f>
      </c>
      <c r="G69" s="21">
        <f>IF(SUM(C69,D69,E69)=0,0,D69/SUM(C69,D69,E69))</f>
      </c>
      <c r="H69" s="21">
        <f>IF(SUM(C69,D69,E69)=0,0,E69/SUM(C69,D69,E69))</f>
      </c>
    </row>
    <row r="70" spans="2:8" ht="15" customHeight="1">
      <c r="B70" s="13">
        <v>46146</v>
      </c>
      <c r="C70" s="8">
        <v>2</v>
      </c>
      <c r="D70" s="8">
        <v>7</v>
      </c>
      <c r="E70" s="8">
        <v>0</v>
      </c>
      <c r="F70" s="21">
        <f>IF(SUM(C70,D70,E70)=0,0,C70/SUM(C70,D70,E70))</f>
      </c>
      <c r="G70" s="21">
        <f>IF(SUM(C70,D70,E70)=0,0,D70/SUM(C70,D70,E70))</f>
      </c>
      <c r="H70" s="21">
        <f>IF(SUM(C70,D70,E70)=0,0,E70/SUM(C70,D70,E70))</f>
      </c>
    </row>
    <row r="71" spans="2:8" ht="15" customHeight="1">
      <c r="B71" s="13">
        <v>46147</v>
      </c>
      <c r="C71" s="8">
        <v>4</v>
      </c>
      <c r="D71" s="8">
        <v>13</v>
      </c>
      <c r="E71" s="8">
        <v>1</v>
      </c>
      <c r="F71" s="21">
        <f>IF(SUM(C71,D71,E71)=0,0,C71/SUM(C71,D71,E71))</f>
      </c>
      <c r="G71" s="21">
        <f>IF(SUM(C71,D71,E71)=0,0,D71/SUM(C71,D71,E71))</f>
      </c>
      <c r="H71" s="21">
        <f>IF(SUM(C71,D71,E71)=0,0,E71/SUM(C71,D71,E71))</f>
      </c>
    </row>
    <row r="72" spans="2:8" ht="15" customHeight="1">
      <c r="B72" s="13">
        <v>46148</v>
      </c>
      <c r="C72" s="8">
        <v>3</v>
      </c>
      <c r="D72" s="8">
        <v>13</v>
      </c>
      <c r="E72" s="8">
        <v>0</v>
      </c>
      <c r="F72" s="21">
        <f>IF(SUM(C72,D72,E72)=0,0,C72/SUM(C72,D72,E72))</f>
      </c>
      <c r="G72" s="21">
        <f>IF(SUM(C72,D72,E72)=0,0,D72/SUM(C72,D72,E72))</f>
      </c>
      <c r="H72" s="21">
        <f>IF(SUM(C72,D72,E72)=0,0,E72/SUM(C72,D72,E72))</f>
      </c>
    </row>
    <row r="73" spans="2:8" ht="15" customHeight="1">
      <c r="B73" s="13">
        <v>46149</v>
      </c>
      <c r="C73" s="8">
        <v>3</v>
      </c>
      <c r="D73" s="8">
        <v>4</v>
      </c>
      <c r="E73" s="8">
        <v>1</v>
      </c>
      <c r="F73" s="21">
        <f>IF(SUM(C73,D73,E73)=0,0,C73/SUM(C73,D73,E73))</f>
      </c>
      <c r="G73" s="21">
        <f>IF(SUM(C73,D73,E73)=0,0,D73/SUM(C73,D73,E73))</f>
      </c>
      <c r="H73" s="21">
        <f>IF(SUM(C73,D73,E73)=0,0,E73/SUM(C73,D73,E73))</f>
      </c>
    </row>
    <row r="74" spans="2:8" ht="15" customHeight="1">
      <c r="B74" s="13">
        <v>46150</v>
      </c>
      <c r="C74" s="8">
        <v>8</v>
      </c>
      <c r="D74" s="8">
        <v>25</v>
      </c>
      <c r="E74" s="8">
        <v>0</v>
      </c>
      <c r="F74" s="21">
        <f>IF(SUM(C74,D74,E74)=0,0,C74/SUM(C74,D74,E74))</f>
      </c>
      <c r="G74" s="21">
        <f>IF(SUM(C74,D74,E74)=0,0,D74/SUM(C74,D74,E74))</f>
      </c>
      <c r="H74" s="21">
        <f>IF(SUM(C74,D74,E74)=0,0,E74/SUM(C74,D74,E74))</f>
      </c>
    </row>
    <row r="75" spans="2:8" ht="15" customHeight="1">
      <c r="B75" s="13">
        <v>46151</v>
      </c>
      <c r="C75" s="8">
        <v>4</v>
      </c>
      <c r="D75" s="8">
        <v>10</v>
      </c>
      <c r="E75" s="8">
        <v>1</v>
      </c>
      <c r="F75" s="21">
        <f>IF(SUM(C75,D75,E75)=0,0,C75/SUM(C75,D75,E75))</f>
      </c>
      <c r="G75" s="21">
        <f>IF(SUM(C75,D75,E75)=0,0,D75/SUM(C75,D75,E75))</f>
      </c>
      <c r="H75" s="21">
        <f>IF(SUM(C75,D75,E75)=0,0,E75/SUM(C75,D75,E75))</f>
      </c>
    </row>
    <row r="76" spans="2:8" ht="15" customHeight="1">
      <c r="B76" s="13">
        <v>46152</v>
      </c>
      <c r="C76" s="8">
        <v>2</v>
      </c>
      <c r="D76" s="8">
        <v>18</v>
      </c>
      <c r="E76" s="8">
        <v>0</v>
      </c>
      <c r="F76" s="21">
        <f>IF(SUM(C76,D76,E76)=0,0,C76/SUM(C76,D76,E76))</f>
      </c>
      <c r="G76" s="21">
        <f>IF(SUM(C76,D76,E76)=0,0,D76/SUM(C76,D76,E76))</f>
      </c>
      <c r="H76" s="21">
        <f>IF(SUM(C76,D76,E76)=0,0,E76/SUM(C76,D76,E76))</f>
      </c>
    </row>
    <row r="77" spans="2:8" ht="15" customHeight="1">
      <c r="B77" s="13">
        <v>46153</v>
      </c>
      <c r="C77" s="8">
        <v>2</v>
      </c>
      <c r="D77" s="8">
        <v>8</v>
      </c>
      <c r="E77" s="8">
        <v>2</v>
      </c>
      <c r="F77" s="21">
        <f>IF(SUM(C77,D77,E77)=0,0,C77/SUM(C77,D77,E77))</f>
      </c>
      <c r="G77" s="21">
        <f>IF(SUM(C77,D77,E77)=0,0,D77/SUM(C77,D77,E77))</f>
      </c>
      <c r="H77" s="21">
        <f>IF(SUM(C77,D77,E77)=0,0,E77/SUM(C77,D77,E77))</f>
      </c>
    </row>
    <row r="78" spans="2:8" ht="15" customHeight="1">
      <c r="B78" s="13">
        <v>46154</v>
      </c>
      <c r="C78" s="8">
        <v>5</v>
      </c>
      <c r="D78" s="8">
        <v>7</v>
      </c>
      <c r="E78" s="8">
        <v>4</v>
      </c>
      <c r="F78" s="21">
        <f>IF(SUM(C78,D78,E78)=0,0,C78/SUM(C78,D78,E78))</f>
      </c>
      <c r="G78" s="21">
        <f>IF(SUM(C78,D78,E78)=0,0,D78/SUM(C78,D78,E78))</f>
      </c>
      <c r="H78" s="21">
        <f>IF(SUM(C78,D78,E78)=0,0,E78/SUM(C78,D78,E78))</f>
      </c>
    </row>
    <row r="79" spans="2:8" ht="15" customHeight="1">
      <c r="B79" s="13">
        <v>46155</v>
      </c>
      <c r="C79" s="8">
        <v>7</v>
      </c>
      <c r="D79" s="8">
        <v>6</v>
      </c>
      <c r="E79" s="8">
        <v>2</v>
      </c>
      <c r="F79" s="21">
        <f>IF(SUM(C79,D79,E79)=0,0,C79/SUM(C79,D79,E79))</f>
      </c>
      <c r="G79" s="21">
        <f>IF(SUM(C79,D79,E79)=0,0,D79/SUM(C79,D79,E79))</f>
      </c>
      <c r="H79" s="21">
        <f>IF(SUM(C79,D79,E79)=0,0,E79/SUM(C79,D79,E79))</f>
      </c>
    </row>
    <row r="80" spans="2:8" ht="15" customHeight="1">
      <c r="B80" s="13">
        <v>46156</v>
      </c>
      <c r="C80" s="8">
        <v>4</v>
      </c>
      <c r="D80" s="8">
        <v>10</v>
      </c>
      <c r="E80" s="8">
        <v>0</v>
      </c>
      <c r="F80" s="21">
        <f>IF(SUM(C80,D80,E80)=0,0,C80/SUM(C80,D80,E80))</f>
      </c>
      <c r="G80" s="21">
        <f>IF(SUM(C80,D80,E80)=0,0,D80/SUM(C80,D80,E80))</f>
      </c>
      <c r="H80" s="21">
        <f>IF(SUM(C80,D80,E80)=0,0,E80/SUM(C80,D80,E80))</f>
      </c>
    </row>
    <row r="81" spans="2:8" ht="15" customHeight="1">
      <c r="B81" s="13">
        <v>46157</v>
      </c>
      <c r="C81" s="8">
        <v>0</v>
      </c>
      <c r="D81" s="8">
        <v>5</v>
      </c>
      <c r="E81" s="8">
        <v>0</v>
      </c>
      <c r="F81" s="21">
        <f>IF(SUM(C81,D81,E81)=0,0,C81/SUM(C81,D81,E81))</f>
      </c>
      <c r="G81" s="21">
        <f>IF(SUM(C81,D81,E81)=0,0,D81/SUM(C81,D81,E81))</f>
      </c>
      <c r="H81" s="21">
        <f>IF(SUM(C81,D81,E81)=0,0,E81/SUM(C81,D81,E81))</f>
      </c>
    </row>
    <row r="82" spans="2:8" ht="15" customHeight="1">
      <c r="B82" s="13">
        <v>46158</v>
      </c>
      <c r="C82" s="8">
        <v>3</v>
      </c>
      <c r="D82" s="8">
        <v>6</v>
      </c>
      <c r="E82" s="8">
        <v>0</v>
      </c>
      <c r="F82" s="21">
        <f>IF(SUM(C82,D82,E82)=0,0,C82/SUM(C82,D82,E82))</f>
      </c>
      <c r="G82" s="21">
        <f>IF(SUM(C82,D82,E82)=0,0,D82/SUM(C82,D82,E82))</f>
      </c>
      <c r="H82" s="21">
        <f>IF(SUM(C82,D82,E82)=0,0,E82/SUM(C82,D82,E82))</f>
      </c>
    </row>
    <row r="83" spans="2:8" ht="15" customHeight="1">
      <c r="B83" s="13">
        <v>46159</v>
      </c>
      <c r="C83" s="8">
        <v>2</v>
      </c>
      <c r="D83" s="8">
        <v>10</v>
      </c>
      <c r="E83" s="8">
        <v>2</v>
      </c>
      <c r="F83" s="21">
        <f>IF(SUM(C83,D83,E83)=0,0,C83/SUM(C83,D83,E83))</f>
      </c>
      <c r="G83" s="21">
        <f>IF(SUM(C83,D83,E83)=0,0,D83/SUM(C83,D83,E83))</f>
      </c>
      <c r="H83" s="21">
        <f>IF(SUM(C83,D83,E83)=0,0,E83/SUM(C83,D83,E83))</f>
      </c>
    </row>
    <row r="84" spans="2:8" ht="15" customHeight="1">
      <c r="B84" s="13">
        <v>46160</v>
      </c>
      <c r="C84" s="8">
        <v>1</v>
      </c>
      <c r="D84" s="8">
        <v>7</v>
      </c>
      <c r="E84" s="8">
        <v>0</v>
      </c>
      <c r="F84" s="21">
        <f>IF(SUM(C84,D84,E84)=0,0,C84/SUM(C84,D84,E84))</f>
      </c>
      <c r="G84" s="21">
        <f>IF(SUM(C84,D84,E84)=0,0,D84/SUM(C84,D84,E84))</f>
      </c>
      <c r="H84" s="21">
        <f>IF(SUM(C84,D84,E84)=0,0,E84/SUM(C84,D84,E84))</f>
      </c>
    </row>
    <row r="85" spans="2:8" ht="15" customHeight="1">
      <c r="B85" s="13">
        <v>46161</v>
      </c>
      <c r="C85" s="8">
        <v>2</v>
      </c>
      <c r="D85" s="8">
        <v>4</v>
      </c>
      <c r="E85" s="8">
        <v>2</v>
      </c>
      <c r="F85" s="21">
        <f>IF(SUM(C85,D85,E85)=0,0,C85/SUM(C85,D85,E85))</f>
      </c>
      <c r="G85" s="21">
        <f>IF(SUM(C85,D85,E85)=0,0,D85/SUM(C85,D85,E85))</f>
      </c>
      <c r="H85" s="21">
        <f>IF(SUM(C85,D85,E85)=0,0,E85/SUM(C85,D85,E85))</f>
      </c>
    </row>
    <row r="86" spans="2:8" ht="15" customHeight="1">
      <c r="B86" s="13">
        <v>46162</v>
      </c>
      <c r="C86" s="8">
        <v>0</v>
      </c>
      <c r="D86" s="8">
        <v>3</v>
      </c>
      <c r="E86" s="8">
        <v>3</v>
      </c>
      <c r="F86" s="21">
        <f>IF(SUM(C86,D86,E86)=0,0,C86/SUM(C86,D86,E86))</f>
      </c>
      <c r="G86" s="21">
        <f>IF(SUM(C86,D86,E86)=0,0,D86/SUM(C86,D86,E86))</f>
      </c>
      <c r="H86" s="21">
        <f>IF(SUM(C86,D86,E86)=0,0,E86/SUM(C86,D86,E86))</f>
      </c>
    </row>
    <row r="87" spans="2:8" ht="15" customHeight="1">
      <c r="B87" s="13">
        <v>46163</v>
      </c>
      <c r="C87" s="8">
        <v>5</v>
      </c>
      <c r="D87" s="8">
        <v>15</v>
      </c>
      <c r="E87" s="8">
        <v>1</v>
      </c>
      <c r="F87" s="21">
        <f>IF(SUM(C87,D87,E87)=0,0,C87/SUM(C87,D87,E87))</f>
      </c>
      <c r="G87" s="21">
        <f>IF(SUM(C87,D87,E87)=0,0,D87/SUM(C87,D87,E87))</f>
      </c>
      <c r="H87" s="21">
        <f>IF(SUM(C87,D87,E87)=0,0,E87/SUM(C87,D87,E87))</f>
      </c>
    </row>
    <row r="88" spans="2:8" ht="15" customHeight="1">
      <c r="B88" s="13">
        <v>46164</v>
      </c>
      <c r="C88" s="8">
        <v>2</v>
      </c>
      <c r="D88" s="8">
        <v>5</v>
      </c>
      <c r="E88" s="8">
        <v>0</v>
      </c>
      <c r="F88" s="21">
        <f>IF(SUM(C88,D88,E88)=0,0,C88/SUM(C88,D88,E88))</f>
      </c>
      <c r="G88" s="21">
        <f>IF(SUM(C88,D88,E88)=0,0,D88/SUM(C88,D88,E88))</f>
      </c>
      <c r="H88" s="21">
        <f>IF(SUM(C88,D88,E88)=0,0,E88/SUM(C88,D88,E88))</f>
      </c>
    </row>
    <row r="89" spans="2:8" ht="15" customHeight="1">
      <c r="B89" s="13">
        <v>46165</v>
      </c>
      <c r="C89" s="8">
        <v>1</v>
      </c>
      <c r="D89" s="8">
        <v>11</v>
      </c>
      <c r="E89" s="8">
        <v>0</v>
      </c>
      <c r="F89" s="21">
        <f>IF(SUM(C89,D89,E89)=0,0,C89/SUM(C89,D89,E89))</f>
      </c>
      <c r="G89" s="21">
        <f>IF(SUM(C89,D89,E89)=0,0,D89/SUM(C89,D89,E89))</f>
      </c>
      <c r="H89" s="21">
        <f>IF(SUM(C89,D89,E89)=0,0,E89/SUM(C89,D89,E89))</f>
      </c>
    </row>
    <row r="90" spans="2:8" ht="15" customHeight="1">
      <c r="B90" s="13">
        <v>46166</v>
      </c>
      <c r="C90" s="8">
        <v>1</v>
      </c>
      <c r="D90" s="8">
        <v>10</v>
      </c>
      <c r="E90" s="8">
        <v>0</v>
      </c>
      <c r="F90" s="21">
        <f>IF(SUM(C90,D90,E90)=0,0,C90/SUM(C90,D90,E90))</f>
      </c>
      <c r="G90" s="21">
        <f>IF(SUM(C90,D90,E90)=0,0,D90/SUM(C90,D90,E90))</f>
      </c>
      <c r="H90" s="21">
        <f>IF(SUM(C90,D90,E90)=0,0,E90/SUM(C90,D90,E90))</f>
      </c>
    </row>
    <row r="91" spans="2:8" ht="15" customHeight="1">
      <c r="B91" s="13">
        <v>46167</v>
      </c>
      <c r="C91" s="8">
        <v>1</v>
      </c>
      <c r="D91" s="8">
        <v>14</v>
      </c>
      <c r="E91" s="8">
        <v>0</v>
      </c>
      <c r="F91" s="21">
        <f>IF(SUM(C91,D91,E91)=0,0,C91/SUM(C91,D91,E91))</f>
      </c>
      <c r="G91" s="21">
        <f>IF(SUM(C91,D91,E91)=0,0,D91/SUM(C91,D91,E91))</f>
      </c>
      <c r="H91" s="21">
        <f>IF(SUM(C91,D91,E91)=0,0,E91/SUM(C91,D91,E91))</f>
      </c>
    </row>
    <row r="92" spans="2:8" ht="15" customHeight="1">
      <c r="B92" s="13">
        <v>46168</v>
      </c>
      <c r="C92" s="8">
        <v>5</v>
      </c>
      <c r="D92" s="8">
        <v>9</v>
      </c>
      <c r="E92" s="8">
        <v>0</v>
      </c>
      <c r="F92" s="21">
        <f>IF(SUM(C92,D92,E92)=0,0,C92/SUM(C92,D92,E92))</f>
      </c>
      <c r="G92" s="21">
        <f>IF(SUM(C92,D92,E92)=0,0,D92/SUM(C92,D92,E92))</f>
      </c>
      <c r="H92" s="21">
        <f>IF(SUM(C92,D92,E92)=0,0,E92/SUM(C92,D92,E92))</f>
      </c>
    </row>
    <row r="93" spans="2:8" ht="15" customHeight="1">
      <c r="B93" s="13">
        <v>46169</v>
      </c>
      <c r="C93" s="8">
        <v>3</v>
      </c>
      <c r="D93" s="8">
        <v>5</v>
      </c>
      <c r="E93" s="8">
        <v>2</v>
      </c>
      <c r="F93" s="21">
        <f>IF(SUM(C93,D93,E93)=0,0,C93/SUM(C93,D93,E93))</f>
      </c>
      <c r="G93" s="21">
        <f>IF(SUM(C93,D93,E93)=0,0,D93/SUM(C93,D93,E93))</f>
      </c>
      <c r="H93" s="21">
        <f>IF(SUM(C93,D93,E93)=0,0,E93/SUM(C93,D93,E93))</f>
      </c>
    </row>
    <row r="94" spans="2:8" ht="15" customHeight="1">
      <c r="B94" s="13">
        <v>46170</v>
      </c>
      <c r="C94" s="8">
        <v>8</v>
      </c>
      <c r="D94" s="8">
        <v>4</v>
      </c>
      <c r="E94" s="8">
        <v>1</v>
      </c>
      <c r="F94" s="21">
        <f>IF(SUM(C94,D94,E94)=0,0,C94/SUM(C94,D94,E94))</f>
      </c>
      <c r="G94" s="21">
        <f>IF(SUM(C94,D94,E94)=0,0,D94/SUM(C94,D94,E94))</f>
      </c>
      <c r="H94" s="21">
        <f>IF(SUM(C94,D94,E94)=0,0,E94/SUM(C94,D94,E94))</f>
      </c>
    </row>
    <row r="95" spans="2:8" ht="15" customHeight="1">
      <c r="B95" s="13">
        <v>46171</v>
      </c>
      <c r="C95" s="8">
        <v>6</v>
      </c>
      <c r="D95" s="8">
        <v>7</v>
      </c>
      <c r="E95" s="8">
        <v>0</v>
      </c>
      <c r="F95" s="21">
        <f>IF(SUM(C95,D95,E95)=0,0,C95/SUM(C95,D95,E95))</f>
      </c>
      <c r="G95" s="21">
        <f>IF(SUM(C95,D95,E95)=0,0,D95/SUM(C95,D95,E95))</f>
      </c>
      <c r="H95" s="21">
        <f>IF(SUM(C95,D95,E95)=0,0,E95/SUM(C95,D95,E95))</f>
      </c>
    </row>
    <row r="96" spans="2:8" ht="15" customHeight="1">
      <c r="B96" s="13">
        <v>46172</v>
      </c>
      <c r="C96" s="8">
        <v>1</v>
      </c>
      <c r="D96" s="8">
        <v>3</v>
      </c>
      <c r="E96" s="8">
        <v>0</v>
      </c>
      <c r="F96" s="21">
        <f>IF(SUM(C96,D96,E96)=0,0,C96/SUM(C96,D96,E96))</f>
      </c>
      <c r="G96" s="21">
        <f>IF(SUM(C96,D96,E96)=0,0,D96/SUM(C96,D96,E96))</f>
      </c>
      <c r="H96" s="21">
        <f>IF(SUM(C96,D96,E96)=0,0,E96/SUM(C96,D96,E96))</f>
      </c>
    </row>
    <row r="97" spans="2:8" ht="15" customHeight="1">
      <c r="B97" s="13">
        <v>46173</v>
      </c>
      <c r="C97" s="8">
        <v>2</v>
      </c>
      <c r="D97" s="8">
        <v>9</v>
      </c>
      <c r="E97" s="8">
        <v>0</v>
      </c>
      <c r="F97" s="21">
        <f>IF(SUM(C97,D97,E97)=0,0,C97/SUM(C97,D97,E97))</f>
      </c>
      <c r="G97" s="21">
        <f>IF(SUM(C97,D97,E97)=0,0,D97/SUM(C97,D97,E97))</f>
      </c>
      <c r="H97" s="21">
        <f>IF(SUM(C97,D97,E97)=0,0,E97/SUM(C97,D97,E97))</f>
      </c>
    </row>
    <row r="98" spans="2:8" ht="20" customHeight="1">
      <c r="B98" s="15" t="s">
        <v>21</v>
      </c>
      <c r="C98" s="10">
        <v>94</v>
      </c>
      <c r="D98" s="10">
        <v>268</v>
      </c>
      <c r="E98" s="10">
        <v>27</v>
      </c>
      <c r="F98" s="22">
        <f>IF(SUM(C98,D98,E98)=0,0,C98/SUM(C98,D98,E98))</f>
      </c>
      <c r="G98" s="22">
        <f>IF(SUM(C98,D98,E98)=0,0,D98/SUM(C98,D98,E98))</f>
      </c>
      <c r="H98" s="22">
        <f>IF(SUM(C98,D98,E98)=0,0,E98/SUM(C98,D98,E98))</f>
      </c>
    </row>
  </sheetData>
  <hyperlinks>
    <hyperlink ref="C1" location="Содержание!B4" display="К содержанию"/>
  </hyperlink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aaafeb4-ea86-4dfa-a2a8-9035a24fb20c}">
  <dimension ref="B1:F22"/>
  <sheetViews>
    <sheetView showGridLines="0" workbookViewId="0" topLeftCell="A1"/>
  </sheetViews>
  <sheetFormatPr defaultRowHeight="12.75"/>
  <cols>
    <col min="1" max="1" width="4.714285714285714" customWidth="1"/>
    <col min="2" max="2" width="46.857142857142854" customWidth="1"/>
    <col min="3" max="6" width="20.714285714285715" customWidth="1"/>
  </cols>
  <sheetData>
    <row r="1" spans="2:3" s="1" customFormat="1" ht="30" customHeight="1">
      <c r="B1" s="1" t="s">
        <v>0</v>
      </c>
      <c r="C1" s="4" t="s">
        <v>2</v>
      </c>
    </row>
    <row r="4" spans="2:2" ht="12.75">
      <c r="B4" s="2" t="s">
        <v>8</v>
      </c>
    </row>
    <row r="6" spans="2:2" ht="14" customHeight="1"/>
    <row r="7" ht="14" customHeight="1"/>
    <row r="8" ht="14" customHeight="1"/>
    <row r="9" ht="14" customHeight="1"/>
    <row r="10" ht="14" customHeight="1"/>
    <row r="11" ht="14" customHeight="1"/>
    <row r="12" ht="14" customHeight="1"/>
    <row r="13" ht="14" customHeight="1"/>
    <row r="14" ht="14" customHeight="1"/>
    <row r="15" ht="14" customHeight="1"/>
    <row r="16" ht="14" customHeight="1"/>
    <row r="17" ht="14" customHeight="1"/>
    <row r="18" ht="14" customHeight="1"/>
    <row r="19" spans="2:6" ht="30" customHeight="1">
      <c r="B19" s="5" t="s">
        <v>31</v>
      </c>
      <c r="C19" s="6" t="s">
        <v>32</v>
      </c>
      <c r="D19" s="6" t="s">
        <v>5</v>
      </c>
      <c r="E19" s="6" t="s">
        <v>33</v>
      </c>
      <c r="F19" s="6" t="s">
        <v>34</v>
      </c>
    </row>
    <row r="20" spans="2:6" ht="15" customHeight="1">
      <c r="B20" s="16" t="s">
        <v>35</v>
      </c>
      <c r="C20" s="17" t="s">
        <v>36</v>
      </c>
      <c r="D20" s="8">
        <v>27</v>
      </c>
      <c r="E20" s="8">
        <v>227807</v>
      </c>
      <c r="F20" s="8">
        <v>314</v>
      </c>
    </row>
    <row r="21" spans="2:6" ht="15" customHeight="1">
      <c r="B21" s="16" t="s">
        <v>37</v>
      </c>
      <c r="C21" s="17" t="s">
        <v>38</v>
      </c>
      <c r="D21" s="8">
        <v>8</v>
      </c>
      <c r="E21" s="8">
        <v>27262</v>
      </c>
      <c r="F21" s="8">
        <v>1</v>
      </c>
    </row>
    <row r="22" spans="2:6" ht="15" customHeight="1">
      <c r="B22" s="16" t="s">
        <v>39</v>
      </c>
      <c r="C22" s="17" t="s">
        <v>36</v>
      </c>
      <c r="D22" s="8">
        <v>1</v>
      </c>
      <c r="E22" s="8">
        <v>145545</v>
      </c>
      <c r="F22" s="8">
        <v>0</v>
      </c>
    </row>
  </sheetData>
  <hyperlinks>
    <hyperlink ref="C1" location="Содержание!B4" display="К содержанию"/>
  </hyperlink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32c91f0-a096-4c67-be0c-c2814e427183}">
  <dimension ref="B1:F76"/>
  <sheetViews>
    <sheetView showGridLines="0" workbookViewId="0" topLeftCell="A1"/>
  </sheetViews>
  <sheetFormatPr defaultRowHeight="12.75"/>
  <cols>
    <col min="1" max="1" width="4.714285714285714" customWidth="1"/>
    <col min="2" max="2" width="30.857142857142858" customWidth="1"/>
    <col min="3" max="6" width="26.714285714285715" customWidth="1"/>
  </cols>
  <sheetData>
    <row r="1" spans="2:3" s="1" customFormat="1" ht="30" customHeight="1">
      <c r="B1" s="1" t="s">
        <v>0</v>
      </c>
      <c r="C1" s="4" t="s">
        <v>2</v>
      </c>
    </row>
    <row r="4" spans="2:2" ht="12.75">
      <c r="B4" s="2" t="s">
        <v>9</v>
      </c>
    </row>
    <row r="6" spans="2:2"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spans="2:6" ht="30" customHeight="1">
      <c r="B24" s="5" t="s">
        <v>145</v>
      </c>
      <c r="C24" s="6" t="s">
        <v>5</v>
      </c>
      <c r="D24" s="6" t="s">
        <v>36</v>
      </c>
      <c r="E24" s="6" t="s">
        <v>57</v>
      </c>
      <c r="F24" s="6" t="s">
        <v>38</v>
      </c>
    </row>
    <row r="25" spans="2:6" ht="15" customHeight="1">
      <c r="B25" s="16" t="s">
        <v>146</v>
      </c>
      <c r="C25" s="16">
        <v>2</v>
      </c>
      <c r="D25" s="16">
        <v>0</v>
      </c>
      <c r="E25" s="16">
        <v>2</v>
      </c>
      <c r="F25" s="16">
        <v>0</v>
      </c>
    </row>
    <row r="26" spans="2:6" ht="15" customHeight="1">
      <c r="B26" s="16" t="s">
        <v>147</v>
      </c>
      <c r="C26" s="16">
        <v>5</v>
      </c>
      <c r="D26" s="16">
        <v>5</v>
      </c>
      <c r="E26" s="16">
        <v>0</v>
      </c>
      <c r="F26" s="16">
        <v>0</v>
      </c>
    </row>
    <row r="27" spans="2:6" ht="15" customHeight="1">
      <c r="B27" s="16" t="s">
        <v>148</v>
      </c>
      <c r="C27" s="16">
        <v>12</v>
      </c>
      <c r="D27" s="16">
        <v>7</v>
      </c>
      <c r="E27" s="16">
        <v>4</v>
      </c>
      <c r="F27" s="16">
        <v>1</v>
      </c>
    </row>
    <row r="28" spans="2:6" ht="12.75"/>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spans="2:5" ht="30" customHeight="1">
      <c r="B45" s="5" t="s">
        <v>149</v>
      </c>
      <c r="C45" s="6" t="s">
        <v>148</v>
      </c>
      <c r="D45" s="6" t="s">
        <v>147</v>
      </c>
      <c r="E45" s="6" t="s">
        <v>146</v>
      </c>
    </row>
    <row r="46" spans="2:5" ht="15" customHeight="1">
      <c r="B46" s="13">
        <v>46143</v>
      </c>
      <c r="C46" s="8">
        <v>2</v>
      </c>
      <c r="D46" s="8">
        <v>0</v>
      </c>
      <c r="E46" s="8">
        <v>0</v>
      </c>
    </row>
    <row r="47" spans="2:5" ht="15" customHeight="1">
      <c r="B47" s="13">
        <v>46144</v>
      </c>
      <c r="C47" s="8">
        <v>0</v>
      </c>
      <c r="D47" s="8">
        <v>0</v>
      </c>
      <c r="E47" s="8">
        <v>0</v>
      </c>
    </row>
    <row r="48" spans="2:5" ht="15" customHeight="1">
      <c r="B48" s="13">
        <v>46145</v>
      </c>
      <c r="C48" s="8">
        <v>0</v>
      </c>
      <c r="D48" s="8">
        <v>0</v>
      </c>
      <c r="E48" s="8">
        <v>0</v>
      </c>
    </row>
    <row r="49" spans="2:5" ht="15" customHeight="1">
      <c r="B49" s="13">
        <v>46146</v>
      </c>
      <c r="C49" s="8">
        <v>0</v>
      </c>
      <c r="D49" s="8">
        <v>1</v>
      </c>
      <c r="E49" s="8">
        <v>0</v>
      </c>
    </row>
    <row r="50" spans="2:5" ht="15" customHeight="1">
      <c r="B50" s="13">
        <v>46147</v>
      </c>
      <c r="C50" s="8">
        <v>0</v>
      </c>
      <c r="D50" s="8">
        <v>0</v>
      </c>
      <c r="E50" s="8">
        <v>0</v>
      </c>
    </row>
    <row r="51" spans="2:5" ht="15" customHeight="1">
      <c r="B51" s="13">
        <v>46148</v>
      </c>
      <c r="C51" s="8">
        <v>1</v>
      </c>
      <c r="D51" s="8">
        <v>1</v>
      </c>
      <c r="E51" s="8">
        <v>0</v>
      </c>
    </row>
    <row r="52" spans="2:5" ht="15" customHeight="1">
      <c r="B52" s="13">
        <v>46149</v>
      </c>
      <c r="C52" s="8">
        <v>0</v>
      </c>
      <c r="D52" s="8">
        <v>0</v>
      </c>
      <c r="E52" s="8">
        <v>0</v>
      </c>
    </row>
    <row r="53" spans="2:5" ht="15" customHeight="1">
      <c r="B53" s="13">
        <v>46150</v>
      </c>
      <c r="C53" s="8">
        <v>0</v>
      </c>
      <c r="D53" s="8">
        <v>0</v>
      </c>
      <c r="E53" s="8">
        <v>0</v>
      </c>
    </row>
    <row r="54" spans="2:5" ht="15" customHeight="1">
      <c r="B54" s="13">
        <v>46151</v>
      </c>
      <c r="C54" s="8">
        <v>1</v>
      </c>
      <c r="D54" s="8">
        <v>0</v>
      </c>
      <c r="E54" s="8">
        <v>0</v>
      </c>
    </row>
    <row r="55" spans="2:5" ht="15" customHeight="1">
      <c r="B55" s="13">
        <v>46152</v>
      </c>
      <c r="C55" s="8">
        <v>1</v>
      </c>
      <c r="D55" s="8">
        <v>0</v>
      </c>
      <c r="E55" s="8">
        <v>0</v>
      </c>
    </row>
    <row r="56" spans="2:5" ht="15" customHeight="1">
      <c r="B56" s="13">
        <v>46153</v>
      </c>
      <c r="C56" s="8">
        <v>0</v>
      </c>
      <c r="D56" s="8">
        <v>0</v>
      </c>
      <c r="E56" s="8">
        <v>0</v>
      </c>
    </row>
    <row r="57" spans="2:5" ht="15" customHeight="1">
      <c r="B57" s="13">
        <v>46154</v>
      </c>
      <c r="C57" s="8">
        <v>1</v>
      </c>
      <c r="D57" s="8">
        <v>0</v>
      </c>
      <c r="E57" s="8">
        <v>0</v>
      </c>
    </row>
    <row r="58" spans="2:5" ht="15" customHeight="1">
      <c r="B58" s="13">
        <v>46155</v>
      </c>
      <c r="C58" s="8">
        <v>2</v>
      </c>
      <c r="D58" s="8">
        <v>0</v>
      </c>
      <c r="E58" s="8">
        <v>0</v>
      </c>
    </row>
    <row r="59" spans="2:5" ht="15" customHeight="1">
      <c r="B59" s="13">
        <v>46156</v>
      </c>
      <c r="C59" s="8">
        <v>0</v>
      </c>
      <c r="D59" s="8">
        <v>0</v>
      </c>
      <c r="E59" s="8">
        <v>0</v>
      </c>
    </row>
    <row r="60" spans="2:5" ht="15" customHeight="1">
      <c r="B60" s="13">
        <v>46157</v>
      </c>
      <c r="C60" s="8">
        <v>0</v>
      </c>
      <c r="D60" s="8">
        <v>0</v>
      </c>
      <c r="E60" s="8">
        <v>0</v>
      </c>
    </row>
    <row r="61" spans="2:5" ht="15" customHeight="1">
      <c r="B61" s="13">
        <v>46158</v>
      </c>
      <c r="C61" s="8">
        <v>0</v>
      </c>
      <c r="D61" s="8">
        <v>0</v>
      </c>
      <c r="E61" s="8">
        <v>0</v>
      </c>
    </row>
    <row r="62" spans="2:5" ht="15" customHeight="1">
      <c r="B62" s="13">
        <v>46159</v>
      </c>
      <c r="C62" s="8">
        <v>0</v>
      </c>
      <c r="D62" s="8">
        <v>0</v>
      </c>
      <c r="E62" s="8">
        <v>0</v>
      </c>
    </row>
    <row r="63" spans="2:5" ht="15" customHeight="1">
      <c r="B63" s="13">
        <v>46160</v>
      </c>
      <c r="C63" s="8">
        <v>0</v>
      </c>
      <c r="D63" s="8">
        <v>0</v>
      </c>
      <c r="E63" s="8">
        <v>0</v>
      </c>
    </row>
    <row r="64" spans="2:5" ht="15" customHeight="1">
      <c r="B64" s="13">
        <v>46161</v>
      </c>
      <c r="C64" s="8">
        <v>1</v>
      </c>
      <c r="D64" s="8">
        <v>0</v>
      </c>
      <c r="E64" s="8">
        <v>0</v>
      </c>
    </row>
    <row r="65" spans="2:5" ht="15" customHeight="1">
      <c r="B65" s="13">
        <v>46162</v>
      </c>
      <c r="C65" s="8">
        <v>0</v>
      </c>
      <c r="D65" s="8">
        <v>0</v>
      </c>
      <c r="E65" s="8">
        <v>0</v>
      </c>
    </row>
    <row r="66" spans="2:5" ht="15" customHeight="1">
      <c r="B66" s="13">
        <v>46163</v>
      </c>
      <c r="C66" s="8">
        <v>0</v>
      </c>
      <c r="D66" s="8">
        <v>0</v>
      </c>
      <c r="E66" s="8">
        <v>0</v>
      </c>
    </row>
    <row r="67" spans="2:5" ht="15" customHeight="1">
      <c r="B67" s="13">
        <v>46164</v>
      </c>
      <c r="C67" s="8">
        <v>0</v>
      </c>
      <c r="D67" s="8">
        <v>0</v>
      </c>
      <c r="E67" s="8">
        <v>1</v>
      </c>
    </row>
    <row r="68" spans="2:5" ht="15" customHeight="1">
      <c r="B68" s="13">
        <v>46165</v>
      </c>
      <c r="C68" s="8">
        <v>0</v>
      </c>
      <c r="D68" s="8">
        <v>0</v>
      </c>
      <c r="E68" s="8">
        <v>0</v>
      </c>
    </row>
    <row r="69" spans="2:5" ht="15" customHeight="1">
      <c r="B69" s="13">
        <v>46166</v>
      </c>
      <c r="C69" s="8">
        <v>0</v>
      </c>
      <c r="D69" s="8">
        <v>0</v>
      </c>
      <c r="E69" s="8">
        <v>1</v>
      </c>
    </row>
    <row r="70" spans="2:5" ht="15" customHeight="1">
      <c r="B70" s="13">
        <v>46167</v>
      </c>
      <c r="C70" s="8">
        <v>0</v>
      </c>
      <c r="D70" s="8">
        <v>0</v>
      </c>
      <c r="E70" s="8">
        <v>0</v>
      </c>
    </row>
    <row r="71" spans="2:5" ht="15" customHeight="1">
      <c r="B71" s="13">
        <v>46168</v>
      </c>
      <c r="C71" s="8">
        <v>2</v>
      </c>
      <c r="D71" s="8">
        <v>1</v>
      </c>
      <c r="E71" s="8">
        <v>0</v>
      </c>
    </row>
    <row r="72" spans="2:5" ht="15" customHeight="1">
      <c r="B72" s="13">
        <v>46169</v>
      </c>
      <c r="C72" s="8">
        <v>1</v>
      </c>
      <c r="D72" s="8">
        <v>0</v>
      </c>
      <c r="E72" s="8">
        <v>0</v>
      </c>
    </row>
    <row r="73" spans="2:5" ht="15" customHeight="1">
      <c r="B73" s="13">
        <v>46170</v>
      </c>
      <c r="C73" s="8">
        <v>0</v>
      </c>
      <c r="D73" s="8">
        <v>0</v>
      </c>
      <c r="E73" s="8">
        <v>0</v>
      </c>
    </row>
    <row r="74" spans="2:5" ht="15" customHeight="1">
      <c r="B74" s="13">
        <v>46171</v>
      </c>
      <c r="C74" s="8">
        <v>0</v>
      </c>
      <c r="D74" s="8">
        <v>1</v>
      </c>
      <c r="E74" s="8">
        <v>0</v>
      </c>
    </row>
    <row r="75" spans="2:5" ht="15" customHeight="1">
      <c r="B75" s="13">
        <v>46172</v>
      </c>
      <c r="C75" s="8">
        <v>0</v>
      </c>
      <c r="D75" s="8">
        <v>0</v>
      </c>
      <c r="E75" s="8">
        <v>0</v>
      </c>
    </row>
    <row r="76" spans="2:5" ht="15" customHeight="1">
      <c r="B76" s="13">
        <v>46173</v>
      </c>
      <c r="C76" s="8">
        <v>0</v>
      </c>
      <c r="D76" s="8">
        <v>1</v>
      </c>
      <c r="E76" s="8">
        <v>0</v>
      </c>
    </row>
  </sheetData>
  <hyperlinks>
    <hyperlink ref="C1" location="Содержание!B4" display="К содержанию"/>
  </hyperlinks>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b557af7-3f91-49dd-88f2-1e4e502a74b0}">
  <dimension ref="B1:I6"/>
  <sheetViews>
    <sheetView showGridLines="0" workbookViewId="0" topLeftCell="A1"/>
  </sheetViews>
  <sheetFormatPr defaultRowHeight="12.75"/>
  <cols>
    <col min="1" max="1" width="4.714285714285714" customWidth="1"/>
    <col min="2" max="2" width="22.714285714285715" customWidth="1"/>
    <col min="3" max="3" width="17.714285714285715" customWidth="1"/>
    <col min="4" max="4" width="25.714285714285715" customWidth="1"/>
    <col min="5" max="9" width="17.714285714285715" customWidth="1"/>
  </cols>
  <sheetData>
    <row r="1" spans="2:3" s="1" customFormat="1" ht="30" customHeight="1">
      <c r="B1" s="1" t="s">
        <v>0</v>
      </c>
      <c r="C1" s="4" t="s">
        <v>2</v>
      </c>
    </row>
    <row r="4" spans="2:2" ht="12.75">
      <c r="B4" s="2" t="s">
        <v>10</v>
      </c>
    </row>
    <row r="6" spans="2:9" ht="30" customHeight="1">
      <c r="B6" s="5" t="s">
        <v>143</v>
      </c>
      <c r="C6" s="5" t="s">
        <v>354</v>
      </c>
      <c r="D6" s="5" t="s">
        <v>355</v>
      </c>
      <c r="E6" s="6" t="s">
        <v>5</v>
      </c>
      <c r="F6" s="6" t="s">
        <v>58</v>
      </c>
      <c r="G6" s="6" t="s">
        <v>33</v>
      </c>
      <c r="H6" s="6" t="s">
        <v>144</v>
      </c>
      <c r="I6" s="6" t="s">
        <v>51</v>
      </c>
    </row>
  </sheetData>
  <hyperlinks>
    <hyperlink ref="C1" location="Содержание!B4" display="К содержанию"/>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13afc7a-687d-4d10-b5ec-53250db5bec9}">
  <dimension ref="B1:H6"/>
  <sheetViews>
    <sheetView showGridLines="0" workbookViewId="0" topLeftCell="A1"/>
  </sheetViews>
  <sheetFormatPr defaultRowHeight="12.75"/>
  <cols>
    <col min="1" max="1" width="4.714285714285714" customWidth="1"/>
    <col min="2" max="2" width="40.714285714285715" customWidth="1"/>
    <col min="3" max="6" width="15.714285714285714" customWidth="1"/>
    <col min="7" max="7" width="17.714285714285715" customWidth="1"/>
    <col min="8" max="8" width="15.714285714285714" customWidth="1"/>
  </cols>
  <sheetData>
    <row r="1" spans="2:3" s="1" customFormat="1" ht="30" customHeight="1">
      <c r="B1" s="1" t="s">
        <v>0</v>
      </c>
      <c r="C1" s="4" t="s">
        <v>2</v>
      </c>
    </row>
    <row r="4" spans="2:2" ht="12.75">
      <c r="B4" s="2" t="s">
        <v>11</v>
      </c>
    </row>
    <row r="6" spans="2:8" ht="30" customHeight="1">
      <c r="B6" s="5" t="s">
        <v>143</v>
      </c>
      <c r="C6" s="5" t="s">
        <v>10</v>
      </c>
      <c r="D6" s="5" t="s">
        <v>5</v>
      </c>
      <c r="E6" s="5" t="s">
        <v>58</v>
      </c>
      <c r="F6" s="5" t="s">
        <v>33</v>
      </c>
      <c r="G6" s="5" t="s">
        <v>144</v>
      </c>
      <c r="H6" s="5" t="s">
        <v>51</v>
      </c>
    </row>
  </sheetData>
  <hyperlinks>
    <hyperlink ref="C1" location="Содержание!B4" display="К содержанию"/>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fbbfe31-b5d0-47fc-bb77-847255098475}">
  <dimension ref="B1:H102"/>
  <sheetViews>
    <sheetView showGridLines="0" workbookViewId="0" topLeftCell="A1"/>
  </sheetViews>
  <sheetFormatPr defaultRowHeight="12.75"/>
  <cols>
    <col min="1" max="1" width="4.714285714285714" customWidth="1"/>
    <col min="2" max="2" width="22.714285714285715" customWidth="1"/>
    <col min="3" max="8" width="17.857142857142858" customWidth="1"/>
  </cols>
  <sheetData>
    <row r="1" spans="2:3" s="1" customFormat="1" ht="30" customHeight="1">
      <c r="B1" s="1" t="s">
        <v>0</v>
      </c>
      <c r="C1" s="4" t="s">
        <v>2</v>
      </c>
    </row>
    <row r="4" spans="2:2" ht="12.75">
      <c r="B4" s="2" t="s">
        <v>12</v>
      </c>
    </row>
    <row r="6" spans="2:3" ht="30" customHeight="1">
      <c r="B6" s="5" t="s">
        <v>14</v>
      </c>
      <c r="C6" s="6" t="s">
        <v>15</v>
      </c>
    </row>
    <row r="7" spans="2:3" ht="15" customHeight="1">
      <c r="B7" s="7" t="s">
        <v>16</v>
      </c>
      <c r="C7" s="8">
        <v>12</v>
      </c>
    </row>
    <row r="8" spans="2:3" ht="15" customHeight="1">
      <c r="B8" s="7" t="s">
        <v>17</v>
      </c>
      <c r="C8" s="8">
        <v>1</v>
      </c>
    </row>
    <row r="9" spans="2:3" ht="15" customHeight="1">
      <c r="B9" s="7" t="s">
        <v>18</v>
      </c>
      <c r="C9" s="8">
        <v>1</v>
      </c>
    </row>
    <row r="10" spans="2:3" ht="15" customHeight="1">
      <c r="B10" s="7" t="s">
        <v>19</v>
      </c>
      <c r="C10" s="8">
        <v>0</v>
      </c>
    </row>
    <row r="11" spans="2:3" ht="15" customHeight="1">
      <c r="B11" s="7" t="s">
        <v>20</v>
      </c>
      <c r="C11" s="8">
        <v>1</v>
      </c>
    </row>
    <row r="12" spans="2:3" ht="20" customHeight="1">
      <c r="B12" s="9" t="s">
        <v>21</v>
      </c>
      <c r="C12" s="10">
        <f>SUM(C7:C11)</f>
      </c>
    </row>
    <row r="13" spans="2:3" ht="20" customHeight="1">
      <c r="B13" s="9" t="s">
        <v>22</v>
      </c>
      <c r="C13" s="11">
        <f>IF(C12=0,0,(C7*5+C8*4+C9*3+C10*2+C11*1)/C12)</f>
      </c>
    </row>
    <row r="16" spans="2:2" ht="14" customHeight="1"/>
    <row r="17" ht="14" customHeight="1"/>
    <row r="18" ht="14" customHeight="1"/>
    <row r="19" ht="14" customHeight="1"/>
    <row r="20" ht="14" customHeight="1"/>
    <row r="21" ht="14" customHeight="1"/>
    <row r="22" ht="14" customHeight="1"/>
    <row r="23" ht="14" customHeight="1"/>
    <row r="24" ht="14" customHeight="1"/>
    <row r="25" ht="14" customHeight="1"/>
    <row r="26" ht="14" customHeight="1"/>
    <row r="27" ht="14" customHeight="1"/>
    <row r="28" ht="14" customHeight="1"/>
    <row r="29" ht="14" customHeight="1"/>
    <row r="30" ht="14" customHeight="1"/>
    <row r="31" ht="14" customHeight="1"/>
    <row r="32" ht="14" customHeight="1"/>
    <row r="33" ht="14" customHeight="1"/>
    <row r="34" ht="14" customHeight="1"/>
    <row r="35" ht="14" customHeight="1"/>
    <row r="36" ht="14" customHeight="1"/>
    <row r="37" ht="14" customHeight="1"/>
    <row r="38" ht="14" customHeight="1"/>
    <row r="39" ht="14" customHeight="1"/>
    <row r="40" ht="14" customHeight="1"/>
    <row r="41" ht="14" customHeight="1"/>
    <row r="42" spans="2:2" ht="12.75">
      <c r="B42" s="12" t="s">
        <v>25</v>
      </c>
    </row>
    <row r="44" spans="2:8" ht="30" customHeight="1">
      <c r="B44" s="5" t="s">
        <v>26</v>
      </c>
      <c r="C44" s="6" t="s">
        <v>16</v>
      </c>
      <c r="D44" s="6" t="s">
        <v>17</v>
      </c>
      <c r="E44" s="6" t="s">
        <v>18</v>
      </c>
      <c r="F44" s="6" t="s">
        <v>19</v>
      </c>
      <c r="G44" s="6" t="s">
        <v>20</v>
      </c>
      <c r="H44" s="6" t="s">
        <v>22</v>
      </c>
    </row>
    <row r="45" spans="2:8" ht="15" customHeight="1">
      <c r="B45" s="13">
        <v>46143</v>
      </c>
      <c r="C45" s="8">
        <v>0</v>
      </c>
      <c r="D45" s="8">
        <v>0</v>
      </c>
      <c r="E45" s="8">
        <v>0</v>
      </c>
      <c r="F45" s="8">
        <v>0</v>
      </c>
      <c r="G45" s="8">
        <v>0</v>
      </c>
      <c r="H45" s="14">
        <f>IF(SUM(C45:G45)=0,0,SUM(C45*5,D45*4,E45*3,F45*2,G45*1)/SUM(C45:G45))</f>
      </c>
    </row>
    <row r="46" spans="2:8" ht="15" customHeight="1">
      <c r="B46" s="13">
        <v>46144</v>
      </c>
      <c r="C46" s="8">
        <v>0</v>
      </c>
      <c r="D46" s="8">
        <v>0</v>
      </c>
      <c r="E46" s="8">
        <v>0</v>
      </c>
      <c r="F46" s="8">
        <v>0</v>
      </c>
      <c r="G46" s="8">
        <v>0</v>
      </c>
      <c r="H46" s="14">
        <f>IF(SUM(C46:G46)=0,0,SUM(C46*5,D46*4,E46*3,F46*2,G46*1)/SUM(C46:G46))</f>
      </c>
    </row>
    <row r="47" spans="2:8" ht="15" customHeight="1">
      <c r="B47" s="13">
        <v>46145</v>
      </c>
      <c r="C47" s="8">
        <v>0</v>
      </c>
      <c r="D47" s="8">
        <v>0</v>
      </c>
      <c r="E47" s="8">
        <v>0</v>
      </c>
      <c r="F47" s="8">
        <v>0</v>
      </c>
      <c r="G47" s="8">
        <v>0</v>
      </c>
      <c r="H47" s="14">
        <f>IF(SUM(C47:G47)=0,0,SUM(C47*5,D47*4,E47*3,F47*2,G47*1)/SUM(C47:G47))</f>
      </c>
    </row>
    <row r="48" spans="2:8" ht="15" customHeight="1">
      <c r="B48" s="13">
        <v>46146</v>
      </c>
      <c r="C48" s="8">
        <v>1</v>
      </c>
      <c r="D48" s="8">
        <v>0</v>
      </c>
      <c r="E48" s="8">
        <v>0</v>
      </c>
      <c r="F48" s="8">
        <v>0</v>
      </c>
      <c r="G48" s="8">
        <v>0</v>
      </c>
      <c r="H48" s="14">
        <f>IF(SUM(C48:G48)=0,0,SUM(C48*5,D48*4,E48*3,F48*2,G48*1)/SUM(C48:G48))</f>
      </c>
    </row>
    <row r="49" spans="2:8" ht="15" customHeight="1">
      <c r="B49" s="13">
        <v>46147</v>
      </c>
      <c r="C49" s="8">
        <v>0</v>
      </c>
      <c r="D49" s="8">
        <v>0</v>
      </c>
      <c r="E49" s="8">
        <v>0</v>
      </c>
      <c r="F49" s="8">
        <v>0</v>
      </c>
      <c r="G49" s="8">
        <v>0</v>
      </c>
      <c r="H49" s="14">
        <f>IF(SUM(C49:G49)=0,0,SUM(C49*5,D49*4,E49*3,F49*2,G49*1)/SUM(C49:G49))</f>
      </c>
    </row>
    <row r="50" spans="2:8" ht="15" customHeight="1">
      <c r="B50" s="13">
        <v>46148</v>
      </c>
      <c r="C50" s="8">
        <v>1</v>
      </c>
      <c r="D50" s="8">
        <v>0</v>
      </c>
      <c r="E50" s="8">
        <v>0</v>
      </c>
      <c r="F50" s="8">
        <v>0</v>
      </c>
      <c r="G50" s="8">
        <v>0</v>
      </c>
      <c r="H50" s="14">
        <f>IF(SUM(C50:G50)=0,0,SUM(C50*5,D50*4,E50*3,F50*2,G50*1)/SUM(C50:G50))</f>
      </c>
    </row>
    <row r="51" spans="2:8" ht="15" customHeight="1">
      <c r="B51" s="13">
        <v>46149</v>
      </c>
      <c r="C51" s="8">
        <v>0</v>
      </c>
      <c r="D51" s="8">
        <v>0</v>
      </c>
      <c r="E51" s="8">
        <v>0</v>
      </c>
      <c r="F51" s="8">
        <v>0</v>
      </c>
      <c r="G51" s="8">
        <v>0</v>
      </c>
      <c r="H51" s="14">
        <f>IF(SUM(C51:G51)=0,0,SUM(C51*5,D51*4,E51*3,F51*2,G51*1)/SUM(C51:G51))</f>
      </c>
    </row>
    <row r="52" spans="2:8" ht="15" customHeight="1">
      <c r="B52" s="13">
        <v>46150</v>
      </c>
      <c r="C52" s="8">
        <v>0</v>
      </c>
      <c r="D52" s="8">
        <v>0</v>
      </c>
      <c r="E52" s="8">
        <v>0</v>
      </c>
      <c r="F52" s="8">
        <v>0</v>
      </c>
      <c r="G52" s="8">
        <v>0</v>
      </c>
      <c r="H52" s="14">
        <f>IF(SUM(C52:G52)=0,0,SUM(C52*5,D52*4,E52*3,F52*2,G52*1)/SUM(C52:G52))</f>
      </c>
    </row>
    <row r="53" spans="2:8" ht="15" customHeight="1">
      <c r="B53" s="13">
        <v>46151</v>
      </c>
      <c r="C53" s="8">
        <v>0</v>
      </c>
      <c r="D53" s="8">
        <v>0</v>
      </c>
      <c r="E53" s="8">
        <v>0</v>
      </c>
      <c r="F53" s="8">
        <v>0</v>
      </c>
      <c r="G53" s="8">
        <v>0</v>
      </c>
      <c r="H53" s="14">
        <f>IF(SUM(C53:G53)=0,0,SUM(C53*5,D53*4,E53*3,F53*2,G53*1)/SUM(C53:G53))</f>
      </c>
    </row>
    <row r="54" spans="2:8" ht="15" customHeight="1">
      <c r="B54" s="13">
        <v>46152</v>
      </c>
      <c r="C54" s="8">
        <v>0</v>
      </c>
      <c r="D54" s="8">
        <v>0</v>
      </c>
      <c r="E54" s="8">
        <v>0</v>
      </c>
      <c r="F54" s="8">
        <v>0</v>
      </c>
      <c r="G54" s="8">
        <v>0</v>
      </c>
      <c r="H54" s="14">
        <f>IF(SUM(C54:G54)=0,0,SUM(C54*5,D54*4,E54*3,F54*2,G54*1)/SUM(C54:G54))</f>
      </c>
    </row>
    <row r="55" spans="2:8" ht="15" customHeight="1">
      <c r="B55" s="13">
        <v>46153</v>
      </c>
      <c r="C55" s="8">
        <v>0</v>
      </c>
      <c r="D55" s="8">
        <v>0</v>
      </c>
      <c r="E55" s="8">
        <v>0</v>
      </c>
      <c r="F55" s="8">
        <v>0</v>
      </c>
      <c r="G55" s="8">
        <v>0</v>
      </c>
      <c r="H55" s="14">
        <f>IF(SUM(C55:G55)=0,0,SUM(C55*5,D55*4,E55*3,F55*2,G55*1)/SUM(C55:G55))</f>
      </c>
    </row>
    <row r="56" spans="2:8" ht="15" customHeight="1">
      <c r="B56" s="13">
        <v>46154</v>
      </c>
      <c r="C56" s="8">
        <v>0</v>
      </c>
      <c r="D56" s="8">
        <v>0</v>
      </c>
      <c r="E56" s="8">
        <v>0</v>
      </c>
      <c r="F56" s="8">
        <v>0</v>
      </c>
      <c r="G56" s="8">
        <v>0</v>
      </c>
      <c r="H56" s="14">
        <f>IF(SUM(C56:G56)=0,0,SUM(C56*5,D56*4,E56*3,F56*2,G56*1)/SUM(C56:G56))</f>
      </c>
    </row>
    <row r="57" spans="2:8" ht="15" customHeight="1">
      <c r="B57" s="13">
        <v>46155</v>
      </c>
      <c r="C57" s="8">
        <v>0</v>
      </c>
      <c r="D57" s="8">
        <v>0</v>
      </c>
      <c r="E57" s="8">
        <v>0</v>
      </c>
      <c r="F57" s="8">
        <v>0</v>
      </c>
      <c r="G57" s="8">
        <v>0</v>
      </c>
      <c r="H57" s="14">
        <f>IF(SUM(C57:G57)=0,0,SUM(C57*5,D57*4,E57*3,F57*2,G57*1)/SUM(C57:G57))</f>
      </c>
    </row>
    <row r="58" spans="2:8" ht="15" customHeight="1">
      <c r="B58" s="13">
        <v>46156</v>
      </c>
      <c r="C58" s="8">
        <v>0</v>
      </c>
      <c r="D58" s="8">
        <v>0</v>
      </c>
      <c r="E58" s="8">
        <v>0</v>
      </c>
      <c r="F58" s="8">
        <v>0</v>
      </c>
      <c r="G58" s="8">
        <v>0</v>
      </c>
      <c r="H58" s="14">
        <f>IF(SUM(C58:G58)=0,0,SUM(C58*5,D58*4,E58*3,F58*2,G58*1)/SUM(C58:G58))</f>
      </c>
    </row>
    <row r="59" spans="2:8" ht="15" customHeight="1">
      <c r="B59" s="13">
        <v>46157</v>
      </c>
      <c r="C59" s="8">
        <v>0</v>
      </c>
      <c r="D59" s="8">
        <v>0</v>
      </c>
      <c r="E59" s="8">
        <v>0</v>
      </c>
      <c r="F59" s="8">
        <v>0</v>
      </c>
      <c r="G59" s="8">
        <v>0</v>
      </c>
      <c r="H59" s="14">
        <f>IF(SUM(C59:G59)=0,0,SUM(C59*5,D59*4,E59*3,F59*2,G59*1)/SUM(C59:G59))</f>
      </c>
    </row>
    <row r="60" spans="2:8" ht="15" customHeight="1">
      <c r="B60" s="13">
        <v>46158</v>
      </c>
      <c r="C60" s="8">
        <v>0</v>
      </c>
      <c r="D60" s="8">
        <v>0</v>
      </c>
      <c r="E60" s="8">
        <v>0</v>
      </c>
      <c r="F60" s="8">
        <v>0</v>
      </c>
      <c r="G60" s="8">
        <v>0</v>
      </c>
      <c r="H60" s="14">
        <f>IF(SUM(C60:G60)=0,0,SUM(C60*5,D60*4,E60*3,F60*2,G60*1)/SUM(C60:G60))</f>
      </c>
    </row>
    <row r="61" spans="2:8" ht="15" customHeight="1">
      <c r="B61" s="13">
        <v>46159</v>
      </c>
      <c r="C61" s="8">
        <v>0</v>
      </c>
      <c r="D61" s="8">
        <v>0</v>
      </c>
      <c r="E61" s="8">
        <v>0</v>
      </c>
      <c r="F61" s="8">
        <v>0</v>
      </c>
      <c r="G61" s="8">
        <v>0</v>
      </c>
      <c r="H61" s="14">
        <f>IF(SUM(C61:G61)=0,0,SUM(C61*5,D61*4,E61*3,F61*2,G61*1)/SUM(C61:G61))</f>
      </c>
    </row>
    <row r="62" spans="2:8" ht="15" customHeight="1">
      <c r="B62" s="13">
        <v>46160</v>
      </c>
      <c r="C62" s="8">
        <v>0</v>
      </c>
      <c r="D62" s="8">
        <v>0</v>
      </c>
      <c r="E62" s="8">
        <v>0</v>
      </c>
      <c r="F62" s="8">
        <v>0</v>
      </c>
      <c r="G62" s="8">
        <v>0</v>
      </c>
      <c r="H62" s="14">
        <f>IF(SUM(C62:G62)=0,0,SUM(C62*5,D62*4,E62*3,F62*2,G62*1)/SUM(C62:G62))</f>
      </c>
    </row>
    <row r="63" spans="2:8" ht="15" customHeight="1">
      <c r="B63" s="13">
        <v>46161</v>
      </c>
      <c r="C63" s="8">
        <v>0</v>
      </c>
      <c r="D63" s="8">
        <v>0</v>
      </c>
      <c r="E63" s="8">
        <v>0</v>
      </c>
      <c r="F63" s="8">
        <v>0</v>
      </c>
      <c r="G63" s="8">
        <v>0</v>
      </c>
      <c r="H63" s="14">
        <f>IF(SUM(C63:G63)=0,0,SUM(C63*5,D63*4,E63*3,F63*2,G63*1)/SUM(C63:G63))</f>
      </c>
    </row>
    <row r="64" spans="2:8" ht="15" customHeight="1">
      <c r="B64" s="13">
        <v>46162</v>
      </c>
      <c r="C64" s="8">
        <v>0</v>
      </c>
      <c r="D64" s="8">
        <v>0</v>
      </c>
      <c r="E64" s="8">
        <v>0</v>
      </c>
      <c r="F64" s="8">
        <v>0</v>
      </c>
      <c r="G64" s="8">
        <v>0</v>
      </c>
      <c r="H64" s="14">
        <f>IF(SUM(C64:G64)=0,0,SUM(C64*5,D64*4,E64*3,F64*2,G64*1)/SUM(C64:G64))</f>
      </c>
    </row>
    <row r="65" spans="2:8" ht="15" customHeight="1">
      <c r="B65" s="13">
        <v>46163</v>
      </c>
      <c r="C65" s="8">
        <v>0</v>
      </c>
      <c r="D65" s="8">
        <v>0</v>
      </c>
      <c r="E65" s="8">
        <v>0</v>
      </c>
      <c r="F65" s="8">
        <v>0</v>
      </c>
      <c r="G65" s="8">
        <v>0</v>
      </c>
      <c r="H65" s="14">
        <f>IF(SUM(C65:G65)=0,0,SUM(C65*5,D65*4,E65*3,F65*2,G65*1)/SUM(C65:G65))</f>
      </c>
    </row>
    <row r="66" spans="2:8" ht="15" customHeight="1">
      <c r="B66" s="13">
        <v>46164</v>
      </c>
      <c r="C66" s="8">
        <v>0</v>
      </c>
      <c r="D66" s="8">
        <v>0</v>
      </c>
      <c r="E66" s="8">
        <v>0</v>
      </c>
      <c r="F66" s="8">
        <v>0</v>
      </c>
      <c r="G66" s="8">
        <v>0</v>
      </c>
      <c r="H66" s="14">
        <f>IF(SUM(C66:G66)=0,0,SUM(C66*5,D66*4,E66*3,F66*2,G66*1)/SUM(C66:G66))</f>
      </c>
    </row>
    <row r="67" spans="2:8" ht="15" customHeight="1">
      <c r="B67" s="13">
        <v>46165</v>
      </c>
      <c r="C67" s="8">
        <v>0</v>
      </c>
      <c r="D67" s="8">
        <v>0</v>
      </c>
      <c r="E67" s="8">
        <v>0</v>
      </c>
      <c r="F67" s="8">
        <v>0</v>
      </c>
      <c r="G67" s="8">
        <v>0</v>
      </c>
      <c r="H67" s="14">
        <f>IF(SUM(C67:G67)=0,0,SUM(C67*5,D67*4,E67*3,F67*2,G67*1)/SUM(C67:G67))</f>
      </c>
    </row>
    <row r="68" spans="2:8" ht="15" customHeight="1">
      <c r="B68" s="13">
        <v>46166</v>
      </c>
      <c r="C68" s="8">
        <v>0</v>
      </c>
      <c r="D68" s="8">
        <v>0</v>
      </c>
      <c r="E68" s="8">
        <v>0</v>
      </c>
      <c r="F68" s="8">
        <v>0</v>
      </c>
      <c r="G68" s="8">
        <v>0</v>
      </c>
      <c r="H68" s="14">
        <f>IF(SUM(C68:G68)=0,0,SUM(C68*5,D68*4,E68*3,F68*2,G68*1)/SUM(C68:G68))</f>
      </c>
    </row>
    <row r="69" spans="2:8" ht="15" customHeight="1">
      <c r="B69" s="13">
        <v>46167</v>
      </c>
      <c r="C69" s="8">
        <v>0</v>
      </c>
      <c r="D69" s="8">
        <v>0</v>
      </c>
      <c r="E69" s="8">
        <v>0</v>
      </c>
      <c r="F69" s="8">
        <v>0</v>
      </c>
      <c r="G69" s="8">
        <v>0</v>
      </c>
      <c r="H69" s="14">
        <f>IF(SUM(C69:G69)=0,0,SUM(C69*5,D69*4,E69*3,F69*2,G69*1)/SUM(C69:G69))</f>
      </c>
    </row>
    <row r="70" spans="2:8" ht="15" customHeight="1">
      <c r="B70" s="13">
        <v>46168</v>
      </c>
      <c r="C70" s="8">
        <v>3</v>
      </c>
      <c r="D70" s="8">
        <v>1</v>
      </c>
      <c r="E70" s="8">
        <v>0</v>
      </c>
      <c r="F70" s="8">
        <v>0</v>
      </c>
      <c r="G70" s="8">
        <v>0</v>
      </c>
      <c r="H70" s="14">
        <f>IF(SUM(C70:G70)=0,0,SUM(C70*5,D70*4,E70*3,F70*2,G70*1)/SUM(C70:G70))</f>
      </c>
    </row>
    <row r="71" spans="2:8" ht="15" customHeight="1">
      <c r="B71" s="13">
        <v>46169</v>
      </c>
      <c r="C71" s="8">
        <v>1</v>
      </c>
      <c r="D71" s="8">
        <v>0</v>
      </c>
      <c r="E71" s="8">
        <v>1</v>
      </c>
      <c r="F71" s="8">
        <v>0</v>
      </c>
      <c r="G71" s="8">
        <v>1</v>
      </c>
      <c r="H71" s="14">
        <f>IF(SUM(C71:G71)=0,0,SUM(C71*5,D71*4,E71*3,F71*2,G71*1)/SUM(C71:G71))</f>
      </c>
    </row>
    <row r="72" spans="2:8" ht="15" customHeight="1">
      <c r="B72" s="13">
        <v>46170</v>
      </c>
      <c r="C72" s="8">
        <v>4</v>
      </c>
      <c r="D72" s="8">
        <v>0</v>
      </c>
      <c r="E72" s="8">
        <v>0</v>
      </c>
      <c r="F72" s="8">
        <v>0</v>
      </c>
      <c r="G72" s="8">
        <v>0</v>
      </c>
      <c r="H72" s="14">
        <f>IF(SUM(C72:G72)=0,0,SUM(C72*5,D72*4,E72*3,F72*2,G72*1)/SUM(C72:G72))</f>
      </c>
    </row>
    <row r="73" spans="2:8" ht="15" customHeight="1">
      <c r="B73" s="13">
        <v>46171</v>
      </c>
      <c r="C73" s="8">
        <v>1</v>
      </c>
      <c r="D73" s="8">
        <v>0</v>
      </c>
      <c r="E73" s="8">
        <v>0</v>
      </c>
      <c r="F73" s="8">
        <v>0</v>
      </c>
      <c r="G73" s="8">
        <v>0</v>
      </c>
      <c r="H73" s="14">
        <f>IF(SUM(C73:G73)=0,0,SUM(C73*5,D73*4,E73*3,F73*2,G73*1)/SUM(C73:G73))</f>
      </c>
    </row>
    <row r="74" spans="2:8" ht="15" customHeight="1">
      <c r="B74" s="13">
        <v>46172</v>
      </c>
      <c r="C74" s="8">
        <v>0</v>
      </c>
      <c r="D74" s="8">
        <v>0</v>
      </c>
      <c r="E74" s="8">
        <v>0</v>
      </c>
      <c r="F74" s="8">
        <v>0</v>
      </c>
      <c r="G74" s="8">
        <v>0</v>
      </c>
      <c r="H74" s="14">
        <f>IF(SUM(C74:G74)=0,0,SUM(C74*5,D74*4,E74*3,F74*2,G74*1)/SUM(C74:G74))</f>
      </c>
    </row>
    <row r="75" spans="2:8" ht="15" customHeight="1">
      <c r="B75" s="13">
        <v>46173</v>
      </c>
      <c r="C75" s="8">
        <v>1</v>
      </c>
      <c r="D75" s="8">
        <v>0</v>
      </c>
      <c r="E75" s="8">
        <v>0</v>
      </c>
      <c r="F75" s="8">
        <v>0</v>
      </c>
      <c r="G75" s="8">
        <v>0</v>
      </c>
      <c r="H75" s="14">
        <f>IF(SUM(C75:G75)=0,0,SUM(C75*5,D75*4,E75*3,F75*2,G75*1)/SUM(C75:G75))</f>
      </c>
    </row>
    <row r="76" spans="2:8" ht="20" customHeight="1">
      <c r="B76" s="15" t="s">
        <v>21</v>
      </c>
      <c r="C76" s="10">
        <f>SUM(C45:C75)</f>
      </c>
      <c r="D76" s="10">
        <f>SUM(D45:D75)</f>
      </c>
      <c r="E76" s="10">
        <f>SUM(E45:E75)</f>
      </c>
      <c r="F76" s="10">
        <f>SUM(F45:F75)</f>
      </c>
      <c r="G76" s="10">
        <f>SUM(G45:G75)</f>
      </c>
      <c r="H76" s="11">
        <f>IF(SUM(C76:G76)=0,0,SUM(C76*5,D76*4,E76*3,F76*2,G76*1)/SUM(C76:G76))</f>
      </c>
    </row>
    <row r="78" spans="2:2" ht="14" customHeight="1"/>
    <row r="79" ht="14" customHeight="1"/>
    <row r="80" ht="14" customHeight="1"/>
    <row r="81" ht="14" customHeight="1"/>
    <row r="82" ht="14" customHeight="1"/>
    <row r="83" ht="14" customHeight="1"/>
    <row r="84" ht="14" customHeight="1"/>
    <row r="85" ht="14" customHeight="1"/>
    <row r="86" ht="14" customHeight="1"/>
    <row r="87" ht="14" customHeight="1"/>
    <row r="88" ht="14" customHeight="1"/>
    <row r="89" ht="14" customHeight="1"/>
    <row r="90" ht="14" customHeight="1"/>
    <row r="91" ht="14" customHeight="1"/>
    <row r="92" ht="14" customHeight="1"/>
    <row r="93" ht="14" customHeight="1"/>
    <row r="94" ht="14" customHeight="1"/>
    <row r="95" ht="14" customHeight="1"/>
    <row r="96" ht="14" customHeight="1"/>
    <row r="97" ht="14" customHeight="1"/>
    <row r="98" ht="14" customHeight="1"/>
    <row r="99" ht="14" customHeight="1"/>
    <row r="100" ht="14" customHeight="1"/>
    <row r="101" ht="14" customHeight="1"/>
    <row r="102" spans="2:2" ht="14" customHeight="1"/>
    <row r="103" ht="14" customHeight="1"/>
    <row r="104" ht="14" customHeight="1"/>
    <row r="105" ht="14" customHeight="1"/>
    <row r="106" ht="14" customHeight="1"/>
    <row r="107" ht="14" customHeight="1"/>
    <row r="108" ht="14" customHeight="1"/>
    <row r="109" ht="14" customHeight="1"/>
    <row r="110" ht="14" customHeight="1"/>
    <row r="111" ht="14" customHeight="1"/>
    <row r="112" ht="14" customHeight="1"/>
    <row r="113" ht="14" customHeight="1"/>
    <row r="114" ht="14" customHeight="1"/>
    <row r="115" ht="14" customHeight="1"/>
    <row r="116" ht="14" customHeight="1"/>
    <row r="117" ht="14" customHeight="1"/>
    <row r="118" ht="14" customHeight="1"/>
    <row r="119" ht="14" customHeight="1"/>
    <row r="120" ht="14" customHeight="1"/>
    <row r="121" ht="14" customHeight="1"/>
    <row r="122" ht="14" customHeight="1"/>
    <row r="123" ht="14" customHeight="1"/>
    <row r="124" ht="14" customHeight="1"/>
    <row r="125" ht="14" customHeight="1"/>
    <row r="126" ht="14" customHeight="1"/>
    <row r="127" ht="14" customHeight="1"/>
  </sheetData>
  <hyperlinks>
    <hyperlink ref="C1" location="Содержание!B4" display="К содержанию"/>
  </hyperlinks>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d090bd5-b284-4142-8b4e-56552d226196}">
  <dimension ref="B1:J32"/>
  <sheetViews>
    <sheetView showGridLines="0" workbookViewId="0" topLeftCell="A1"/>
  </sheetViews>
  <sheetFormatPr defaultRowHeight="12.75"/>
  <cols>
    <col min="1" max="1" width="4.714285714285714" customWidth="1"/>
    <col min="2" max="2" width="22.714285714285715" customWidth="1"/>
    <col min="3" max="10" width="17.857142857142858" customWidth="1"/>
  </cols>
  <sheetData>
    <row r="1" spans="2:3" s="1" customFormat="1" ht="30" customHeight="1">
      <c r="B1" s="1" t="s">
        <v>0</v>
      </c>
      <c r="C1" s="4" t="s">
        <v>2</v>
      </c>
    </row>
    <row r="4" spans="2:2" ht="12.75">
      <c r="B4" s="2" t="s">
        <v>13</v>
      </c>
    </row>
    <row r="6" spans="2:2" ht="12.75"/>
    <row r="31" spans="2:10" ht="30" customHeight="1">
      <c r="B31" s="5" t="s">
        <v>50</v>
      </c>
      <c r="C31" s="6" t="s">
        <v>52</v>
      </c>
      <c r="D31" s="6" t="s">
        <v>53</v>
      </c>
      <c r="E31" s="6" t="s">
        <v>55</v>
      </c>
      <c r="F31" s="6" t="s">
        <v>56</v>
      </c>
      <c r="G31" s="6" t="s">
        <v>58</v>
      </c>
      <c r="H31" s="6" t="s">
        <v>59</v>
      </c>
      <c r="I31" s="6" t="s">
        <v>60</v>
      </c>
      <c r="J31" s="6" t="s">
        <v>61</v>
      </c>
    </row>
    <row r="32" spans="2:10" ht="12.75">
      <c r="B32" s="16" t="s">
        <v>61</v>
      </c>
      <c r="C32" s="8">
        <v>198</v>
      </c>
      <c r="D32" s="8">
        <v>20</v>
      </c>
      <c r="E32" s="8">
        <v>40</v>
      </c>
      <c r="F32" s="8">
        <v>15</v>
      </c>
      <c r="G32" s="8">
        <v>68</v>
      </c>
      <c r="H32" s="8">
        <v>46</v>
      </c>
      <c r="I32" s="8">
        <v>2</v>
      </c>
      <c r="J32" s="8">
        <f>SUM(C32:I32)</f>
      </c>
    </row>
  </sheetData>
  <hyperlinks>
    <hyperlink ref="C1" location="Содержание!B4" display="К содержанию"/>
  </hyperlinks>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6f67949-9a7c-4662-9d3e-f916b98286f4}">
  <dimension ref="B1:O64"/>
  <sheetViews>
    <sheetView showGridLines="0" workbookViewId="0" topLeftCell="A1"/>
  </sheetViews>
  <sheetFormatPr defaultRowHeight="12.75"/>
  <cols>
    <col min="1" max="1" width="4.714285714285714" customWidth="1"/>
    <col min="2" max="2" width="22.714285714285715" customWidth="1"/>
    <col min="3" max="3" width="23" customWidth="1"/>
    <col min="4" max="4" width="14.714285714285714" customWidth="1"/>
    <col min="5" max="15" width="17.428571428571427" customWidth="1"/>
  </cols>
  <sheetData>
    <row r="1" spans="2:3" s="1" customFormat="1" ht="30" customHeight="1">
      <c r="B1" s="1" t="s">
        <v>0</v>
      </c>
      <c r="C1" s="4" t="s">
        <v>2</v>
      </c>
    </row>
    <row r="4" spans="2:2" ht="12.75">
      <c r="B4" s="2" t="s">
        <v>23</v>
      </c>
    </row>
    <row r="6" spans="2:2"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spans="2:2" ht="12.75">
      <c r="B25" s="12" t="s">
        <v>47</v>
      </c>
    </row>
    <row r="27" spans="2:15" ht="30" customHeight="1">
      <c r="B27" s="5" t="s">
        <v>48</v>
      </c>
      <c r="C27" s="5" t="s">
        <v>49</v>
      </c>
      <c r="D27" s="5" t="s">
        <v>32</v>
      </c>
      <c r="E27" s="6" t="s">
        <v>5</v>
      </c>
      <c r="F27" s="6" t="s">
        <v>33</v>
      </c>
      <c r="G27" s="6" t="s">
        <v>51</v>
      </c>
      <c r="H27" s="6" t="s">
        <v>34</v>
      </c>
      <c r="I27" s="6" t="s">
        <v>54</v>
      </c>
      <c r="J27" s="6" t="s">
        <v>22</v>
      </c>
      <c r="K27" s="6" t="s">
        <v>36</v>
      </c>
      <c r="L27" s="6" t="s">
        <v>57</v>
      </c>
      <c r="M27" s="6" t="s">
        <v>38</v>
      </c>
      <c r="N27" s="6" t="s">
        <v>28</v>
      </c>
      <c r="O27" s="6" t="s">
        <v>27</v>
      </c>
    </row>
    <row r="28" spans="2:15" ht="15" customHeight="1">
      <c r="B28" s="16" t="s">
        <v>62</v>
      </c>
      <c r="C28" s="16" t="s">
        <v>63</v>
      </c>
      <c r="D28" s="16" t="s">
        <v>64</v>
      </c>
      <c r="E28" s="8">
        <v>127</v>
      </c>
      <c r="F28" s="8">
        <v>18018028</v>
      </c>
      <c r="G28" s="8">
        <v>43984</v>
      </c>
      <c r="H28" s="8">
        <v>236</v>
      </c>
      <c r="I28" s="8">
        <v>906</v>
      </c>
      <c r="J28" s="8">
        <v>0</v>
      </c>
      <c r="K28" s="8">
        <v>36</v>
      </c>
      <c r="L28" s="8">
        <v>82</v>
      </c>
      <c r="M28" s="8">
        <v>9</v>
      </c>
      <c r="N28" s="8">
        <v>108</v>
      </c>
      <c r="O28" s="8">
        <v>86</v>
      </c>
    </row>
    <row r="29" spans="2:15" ht="15" customHeight="1">
      <c r="B29" s="16" t="s">
        <v>65</v>
      </c>
      <c r="C29" s="16" t="s">
        <v>66</v>
      </c>
      <c r="D29" s="16" t="s">
        <v>67</v>
      </c>
      <c r="E29" s="8">
        <v>40</v>
      </c>
      <c r="F29" s="8">
        <v>443120</v>
      </c>
      <c r="G29" s="8">
        <v>0</v>
      </c>
      <c r="H29" s="8">
        <v>0</v>
      </c>
      <c r="I29" s="8">
        <v>0</v>
      </c>
      <c r="J29" s="8">
        <v>0</v>
      </c>
      <c r="K29" s="8">
        <v>8</v>
      </c>
      <c r="L29" s="8">
        <v>29</v>
      </c>
      <c r="M29" s="8">
        <v>3</v>
      </c>
      <c r="N29" s="8">
        <v>35</v>
      </c>
      <c r="O29" s="8">
        <v>28</v>
      </c>
    </row>
    <row r="30" spans="2:15" ht="15" customHeight="1">
      <c r="B30" s="16" t="s">
        <v>68</v>
      </c>
      <c r="C30" s="16" t="s">
        <v>69</v>
      </c>
      <c r="D30" s="16" t="s">
        <v>70</v>
      </c>
      <c r="E30" s="8">
        <v>31</v>
      </c>
      <c r="F30" s="8">
        <v>3080366</v>
      </c>
      <c r="G30" s="8">
        <v>55834</v>
      </c>
      <c r="H30" s="8">
        <v>767</v>
      </c>
      <c r="I30" s="8">
        <v>0</v>
      </c>
      <c r="J30" s="8">
        <v>0</v>
      </c>
      <c r="K30" s="8">
        <v>14</v>
      </c>
      <c r="L30" s="8">
        <v>14</v>
      </c>
      <c r="M30" s="8">
        <v>3</v>
      </c>
      <c r="N30" s="8">
        <v>28</v>
      </c>
      <c r="O30" s="8">
        <v>19</v>
      </c>
    </row>
    <row r="31" spans="2:15" ht="15" customHeight="1">
      <c r="B31" s="16" t="s">
        <v>71</v>
      </c>
      <c r="C31" s="16" t="s">
        <v>72</v>
      </c>
      <c r="D31" s="16" t="s">
        <v>64</v>
      </c>
      <c r="E31" s="8">
        <v>26</v>
      </c>
      <c r="F31" s="8">
        <v>46312</v>
      </c>
      <c r="G31" s="8">
        <v>0</v>
      </c>
      <c r="H31" s="8">
        <v>0</v>
      </c>
      <c r="I31" s="8">
        <v>57</v>
      </c>
      <c r="J31" s="8">
        <v>0</v>
      </c>
      <c r="K31" s="8">
        <v>0</v>
      </c>
      <c r="L31" s="8">
        <v>26</v>
      </c>
      <c r="M31" s="8">
        <v>0</v>
      </c>
      <c r="N31" s="8">
        <v>25</v>
      </c>
      <c r="O31" s="8">
        <v>25</v>
      </c>
    </row>
    <row r="32" spans="2:15" ht="15" customHeight="1">
      <c r="B32" s="16" t="s">
        <v>73</v>
      </c>
      <c r="C32" s="16" t="s">
        <v>74</v>
      </c>
      <c r="D32" s="16" t="s">
        <v>75</v>
      </c>
      <c r="E32" s="8">
        <v>25</v>
      </c>
      <c r="F32" s="8">
        <v>0</v>
      </c>
      <c r="G32" s="8">
        <v>0</v>
      </c>
      <c r="H32" s="8">
        <v>0</v>
      </c>
      <c r="I32" s="8">
        <v>0</v>
      </c>
      <c r="J32" s="8">
        <v>0</v>
      </c>
      <c r="K32" s="8">
        <v>4</v>
      </c>
      <c r="L32" s="8">
        <v>18</v>
      </c>
      <c r="M32" s="8">
        <v>3</v>
      </c>
      <c r="N32" s="8">
        <v>24</v>
      </c>
      <c r="O32" s="8">
        <v>19</v>
      </c>
    </row>
    <row r="33" spans="2:15" ht="15" customHeight="1">
      <c r="B33" s="16" t="s">
        <v>76</v>
      </c>
      <c r="C33" s="16" t="s">
        <v>77</v>
      </c>
      <c r="D33" s="16" t="s">
        <v>64</v>
      </c>
      <c r="E33" s="8">
        <v>23</v>
      </c>
      <c r="F33" s="8">
        <v>2989611</v>
      </c>
      <c r="G33" s="8">
        <v>0</v>
      </c>
      <c r="H33" s="8">
        <v>207</v>
      </c>
      <c r="I33" s="8">
        <v>349</v>
      </c>
      <c r="J33" s="8">
        <v>0</v>
      </c>
      <c r="K33" s="8">
        <v>2</v>
      </c>
      <c r="L33" s="8">
        <v>19</v>
      </c>
      <c r="M33" s="8">
        <v>2</v>
      </c>
      <c r="N33" s="8">
        <v>22</v>
      </c>
      <c r="O33" s="8">
        <v>19</v>
      </c>
    </row>
    <row r="34" spans="2:15" ht="15" customHeight="1">
      <c r="B34" s="16" t="s">
        <v>78</v>
      </c>
      <c r="C34" s="16" t="s">
        <v>79</v>
      </c>
      <c r="D34" s="16" t="s">
        <v>70</v>
      </c>
      <c r="E34" s="8">
        <v>19</v>
      </c>
      <c r="F34" s="8">
        <v>4750875</v>
      </c>
      <c r="G34" s="8">
        <v>35465</v>
      </c>
      <c r="H34" s="8">
        <v>1391</v>
      </c>
      <c r="I34" s="8">
        <v>438</v>
      </c>
      <c r="J34" s="8">
        <v>0</v>
      </c>
      <c r="K34" s="8">
        <v>2</v>
      </c>
      <c r="L34" s="8">
        <v>13</v>
      </c>
      <c r="M34" s="8">
        <v>4</v>
      </c>
      <c r="N34" s="8">
        <v>17</v>
      </c>
      <c r="O34" s="8">
        <v>12</v>
      </c>
    </row>
    <row r="35" spans="2:15" ht="15" customHeight="1">
      <c r="B35" s="16" t="s">
        <v>65</v>
      </c>
      <c r="C35" s="16" t="s">
        <v>66</v>
      </c>
      <c r="D35" s="16" t="s">
        <v>80</v>
      </c>
      <c r="E35" s="8">
        <v>18</v>
      </c>
      <c r="F35" s="8">
        <v>2090900</v>
      </c>
      <c r="G35" s="8">
        <v>19505</v>
      </c>
      <c r="H35" s="8">
        <v>1130</v>
      </c>
      <c r="I35" s="8">
        <v>2226</v>
      </c>
      <c r="J35" s="8">
        <v>0</v>
      </c>
      <c r="K35" s="8">
        <v>2</v>
      </c>
      <c r="L35" s="8">
        <v>16</v>
      </c>
      <c r="M35" s="8">
        <v>0</v>
      </c>
      <c r="N35" s="8">
        <v>16</v>
      </c>
      <c r="O35" s="8">
        <v>15</v>
      </c>
    </row>
    <row r="36" spans="2:15" ht="15" customHeight="1">
      <c r="B36" s="16" t="s">
        <v>81</v>
      </c>
      <c r="C36" s="16" t="s">
        <v>82</v>
      </c>
      <c r="D36" s="16" t="s">
        <v>64</v>
      </c>
      <c r="E36" s="8">
        <v>15</v>
      </c>
      <c r="F36" s="8">
        <v>2498355</v>
      </c>
      <c r="G36" s="8">
        <v>3343</v>
      </c>
      <c r="H36" s="8">
        <v>37</v>
      </c>
      <c r="I36" s="8">
        <v>132</v>
      </c>
      <c r="J36" s="8">
        <v>0</v>
      </c>
      <c r="K36" s="8">
        <v>2</v>
      </c>
      <c r="L36" s="8">
        <v>12</v>
      </c>
      <c r="M36" s="8">
        <v>1</v>
      </c>
      <c r="N36" s="8">
        <v>14</v>
      </c>
      <c r="O36" s="8">
        <v>12</v>
      </c>
    </row>
    <row r="37" spans="2:15" ht="15" customHeight="1">
      <c r="B37" s="16" t="s">
        <v>83</v>
      </c>
      <c r="C37" s="16" t="s">
        <v>84</v>
      </c>
      <c r="D37" s="16" t="s">
        <v>70</v>
      </c>
      <c r="E37" s="8">
        <v>8</v>
      </c>
      <c r="F37" s="8">
        <v>2053</v>
      </c>
      <c r="G37" s="8">
        <v>0</v>
      </c>
      <c r="H37" s="8">
        <v>12</v>
      </c>
      <c r="I37" s="8">
        <v>0</v>
      </c>
      <c r="J37" s="8">
        <v>0</v>
      </c>
      <c r="K37" s="8">
        <v>1</v>
      </c>
      <c r="L37" s="8">
        <v>7</v>
      </c>
      <c r="M37" s="8">
        <v>0</v>
      </c>
      <c r="N37" s="8">
        <v>8</v>
      </c>
      <c r="O37" s="8">
        <v>8</v>
      </c>
    </row>
    <row r="38" spans="2:15" ht="15" customHeight="1">
      <c r="B38" s="16" t="s">
        <v>85</v>
      </c>
      <c r="C38" s="16" t="s">
        <v>86</v>
      </c>
      <c r="D38" s="16" t="s">
        <v>64</v>
      </c>
      <c r="E38" s="8">
        <v>5</v>
      </c>
      <c r="F38" s="8">
        <v>643</v>
      </c>
      <c r="G38" s="8">
        <v>0</v>
      </c>
      <c r="H38" s="8">
        <v>3</v>
      </c>
      <c r="I38" s="8">
        <v>0</v>
      </c>
      <c r="J38" s="8">
        <v>0</v>
      </c>
      <c r="K38" s="8">
        <v>2</v>
      </c>
      <c r="L38" s="8">
        <v>3</v>
      </c>
      <c r="M38" s="8">
        <v>0</v>
      </c>
      <c r="N38" s="8">
        <v>5</v>
      </c>
      <c r="O38" s="8">
        <v>5</v>
      </c>
    </row>
    <row r="39" spans="2:15" ht="15" customHeight="1">
      <c r="B39" s="16" t="s">
        <v>87</v>
      </c>
      <c r="C39" s="16" t="s">
        <v>88</v>
      </c>
      <c r="D39" s="16" t="s">
        <v>70</v>
      </c>
      <c r="E39" s="8">
        <v>4</v>
      </c>
      <c r="F39" s="8">
        <v>3274</v>
      </c>
      <c r="G39" s="8">
        <v>7</v>
      </c>
      <c r="H39" s="8">
        <v>10</v>
      </c>
      <c r="I39" s="8">
        <v>0</v>
      </c>
      <c r="J39" s="8">
        <v>0</v>
      </c>
      <c r="K39" s="8">
        <v>1</v>
      </c>
      <c r="L39" s="8">
        <v>3</v>
      </c>
      <c r="M39" s="8">
        <v>0</v>
      </c>
      <c r="N39" s="8">
        <v>4</v>
      </c>
      <c r="O39" s="8">
        <v>3</v>
      </c>
    </row>
    <row r="40" spans="2:15" ht="15" customHeight="1">
      <c r="B40" s="16" t="s">
        <v>89</v>
      </c>
      <c r="C40" s="16" t="s">
        <v>90</v>
      </c>
      <c r="D40" s="16" t="s">
        <v>75</v>
      </c>
      <c r="E40" s="8">
        <v>4</v>
      </c>
      <c r="F40" s="8">
        <v>0</v>
      </c>
      <c r="G40" s="8">
        <v>0</v>
      </c>
      <c r="H40" s="8">
        <v>0</v>
      </c>
      <c r="I40" s="8">
        <v>0</v>
      </c>
      <c r="J40" s="8">
        <v>0</v>
      </c>
      <c r="K40" s="8">
        <v>1</v>
      </c>
      <c r="L40" s="8">
        <v>3</v>
      </c>
      <c r="M40" s="8">
        <v>0</v>
      </c>
      <c r="N40" s="8">
        <v>3</v>
      </c>
      <c r="O40" s="8">
        <v>1</v>
      </c>
    </row>
    <row r="41" spans="2:15" ht="15" customHeight="1">
      <c r="B41" s="16" t="s">
        <v>91</v>
      </c>
      <c r="C41" s="16" t="s">
        <v>92</v>
      </c>
      <c r="D41" s="16" t="s">
        <v>70</v>
      </c>
      <c r="E41" s="8">
        <v>4</v>
      </c>
      <c r="F41" s="8">
        <v>0</v>
      </c>
      <c r="G41" s="8">
        <v>0</v>
      </c>
      <c r="H41" s="8">
        <v>0</v>
      </c>
      <c r="I41" s="8">
        <v>0</v>
      </c>
      <c r="J41" s="8">
        <v>0</v>
      </c>
      <c r="K41" s="8">
        <v>0</v>
      </c>
      <c r="L41" s="8">
        <v>4</v>
      </c>
      <c r="M41" s="8">
        <v>0</v>
      </c>
      <c r="N41" s="8">
        <v>4</v>
      </c>
      <c r="O41" s="8">
        <v>1</v>
      </c>
    </row>
    <row r="42" spans="2:15" ht="15" customHeight="1">
      <c r="B42" s="16" t="s">
        <v>93</v>
      </c>
      <c r="C42" s="16" t="s">
        <v>94</v>
      </c>
      <c r="D42" s="16" t="s">
        <v>75</v>
      </c>
      <c r="E42" s="8">
        <v>3</v>
      </c>
      <c r="F42" s="8">
        <v>116186</v>
      </c>
      <c r="G42" s="8">
        <v>0</v>
      </c>
      <c r="H42" s="8">
        <v>2</v>
      </c>
      <c r="I42" s="8">
        <v>0</v>
      </c>
      <c r="J42" s="8">
        <v>0</v>
      </c>
      <c r="K42" s="8">
        <v>1</v>
      </c>
      <c r="L42" s="8">
        <v>2</v>
      </c>
      <c r="M42" s="8">
        <v>0</v>
      </c>
      <c r="N42" s="8">
        <v>3</v>
      </c>
      <c r="O42" s="8">
        <v>1</v>
      </c>
    </row>
    <row r="43" spans="2:15" ht="15" customHeight="1">
      <c r="B43" s="16" t="s">
        <v>95</v>
      </c>
      <c r="C43" s="16" t="s">
        <v>96</v>
      </c>
      <c r="D43" s="16" t="s">
        <v>75</v>
      </c>
      <c r="E43" s="8">
        <v>3</v>
      </c>
      <c r="F43" s="8">
        <v>0</v>
      </c>
      <c r="G43" s="8">
        <v>0</v>
      </c>
      <c r="H43" s="8">
        <v>0</v>
      </c>
      <c r="I43" s="8">
        <v>0</v>
      </c>
      <c r="J43" s="8">
        <v>0</v>
      </c>
      <c r="K43" s="8">
        <v>0</v>
      </c>
      <c r="L43" s="8">
        <v>3</v>
      </c>
      <c r="M43" s="8">
        <v>0</v>
      </c>
      <c r="N43" s="8">
        <v>3</v>
      </c>
      <c r="O43" s="8">
        <v>3</v>
      </c>
    </row>
    <row r="44" spans="2:15" ht="15" customHeight="1">
      <c r="B44" s="16" t="s">
        <v>97</v>
      </c>
      <c r="C44" s="16" t="s">
        <v>98</v>
      </c>
      <c r="D44" s="16" t="s">
        <v>75</v>
      </c>
      <c r="E44" s="8">
        <v>3</v>
      </c>
      <c r="F44" s="8">
        <v>0</v>
      </c>
      <c r="G44" s="8">
        <v>0</v>
      </c>
      <c r="H44" s="8">
        <v>0</v>
      </c>
      <c r="I44" s="8">
        <v>0</v>
      </c>
      <c r="J44" s="8">
        <v>0</v>
      </c>
      <c r="K44" s="8">
        <v>1</v>
      </c>
      <c r="L44" s="8">
        <v>2</v>
      </c>
      <c r="M44" s="8">
        <v>0</v>
      </c>
      <c r="N44" s="8">
        <v>3</v>
      </c>
      <c r="O44" s="8">
        <v>3</v>
      </c>
    </row>
    <row r="45" spans="2:15" ht="15" customHeight="1">
      <c r="B45" s="16" t="s">
        <v>99</v>
      </c>
      <c r="C45" s="16" t="s">
        <v>100</v>
      </c>
      <c r="D45" s="16" t="s">
        <v>56</v>
      </c>
      <c r="E45" s="8">
        <v>3</v>
      </c>
      <c r="F45" s="8" t="s">
        <v>101</v>
      </c>
      <c r="G45" s="8">
        <v>0</v>
      </c>
      <c r="H45" s="8" t="s">
        <v>101</v>
      </c>
      <c r="I45" s="8">
        <v>0</v>
      </c>
      <c r="J45" s="8">
        <v>3.6699999999999999</v>
      </c>
      <c r="K45" s="8">
        <v>2</v>
      </c>
      <c r="L45" s="8">
        <v>0</v>
      </c>
      <c r="M45" s="8">
        <v>1</v>
      </c>
      <c r="N45" s="8">
        <v>3</v>
      </c>
      <c r="O45" s="8">
        <v>2</v>
      </c>
    </row>
    <row r="46" spans="2:15" ht="15" customHeight="1">
      <c r="B46" s="16" t="s">
        <v>102</v>
      </c>
      <c r="C46" s="16" t="s">
        <v>103</v>
      </c>
      <c r="D46" s="16" t="s">
        <v>56</v>
      </c>
      <c r="E46" s="8">
        <v>3</v>
      </c>
      <c r="F46" s="8" t="s">
        <v>101</v>
      </c>
      <c r="G46" s="8">
        <v>0</v>
      </c>
      <c r="H46" s="8" t="s">
        <v>101</v>
      </c>
      <c r="I46" s="8">
        <v>0</v>
      </c>
      <c r="J46" s="8">
        <v>5</v>
      </c>
      <c r="K46" s="8">
        <v>3</v>
      </c>
      <c r="L46" s="8">
        <v>0</v>
      </c>
      <c r="M46" s="8">
        <v>0</v>
      </c>
      <c r="N46" s="8">
        <v>3</v>
      </c>
      <c r="O46" s="8">
        <v>2</v>
      </c>
    </row>
    <row r="47" spans="2:15" ht="15" customHeight="1">
      <c r="B47" s="16" t="s">
        <v>104</v>
      </c>
      <c r="C47" s="16" t="s">
        <v>105</v>
      </c>
      <c r="D47" s="16" t="s">
        <v>64</v>
      </c>
      <c r="E47" s="8">
        <v>2</v>
      </c>
      <c r="F47" s="8">
        <v>174400</v>
      </c>
      <c r="G47" s="8">
        <v>0</v>
      </c>
      <c r="H47" s="8">
        <v>0</v>
      </c>
      <c r="I47" s="8">
        <v>11</v>
      </c>
      <c r="J47" s="8">
        <v>0</v>
      </c>
      <c r="K47" s="8">
        <v>0</v>
      </c>
      <c r="L47" s="8">
        <v>2</v>
      </c>
      <c r="M47" s="8">
        <v>0</v>
      </c>
      <c r="N47" s="8">
        <v>2</v>
      </c>
      <c r="O47" s="8">
        <v>2</v>
      </c>
    </row>
    <row r="48" spans="2:15" ht="15" customHeight="1">
      <c r="B48" s="16" t="s">
        <v>106</v>
      </c>
      <c r="C48" s="16" t="s">
        <v>107</v>
      </c>
      <c r="D48" s="16" t="s">
        <v>75</v>
      </c>
      <c r="E48" s="8">
        <v>2</v>
      </c>
      <c r="F48" s="8">
        <v>0</v>
      </c>
      <c r="G48" s="8">
        <v>0</v>
      </c>
      <c r="H48" s="8">
        <v>0</v>
      </c>
      <c r="I48" s="8">
        <v>0</v>
      </c>
      <c r="J48" s="8">
        <v>0</v>
      </c>
      <c r="K48" s="8">
        <v>1</v>
      </c>
      <c r="L48" s="8">
        <v>1</v>
      </c>
      <c r="M48" s="8">
        <v>0</v>
      </c>
      <c r="N48" s="8">
        <v>2</v>
      </c>
      <c r="O48" s="8">
        <v>1</v>
      </c>
    </row>
    <row r="49" spans="2:15" ht="15" customHeight="1">
      <c r="B49" s="16" t="s">
        <v>108</v>
      </c>
      <c r="C49" s="16" t="s">
        <v>109</v>
      </c>
      <c r="D49" s="16" t="s">
        <v>75</v>
      </c>
      <c r="E49" s="8">
        <v>2</v>
      </c>
      <c r="F49" s="8">
        <v>0</v>
      </c>
      <c r="G49" s="8">
        <v>0</v>
      </c>
      <c r="H49" s="8">
        <v>0</v>
      </c>
      <c r="I49" s="8">
        <v>0</v>
      </c>
      <c r="J49" s="8">
        <v>0</v>
      </c>
      <c r="K49" s="8">
        <v>0</v>
      </c>
      <c r="L49" s="8">
        <v>2</v>
      </c>
      <c r="M49" s="8">
        <v>0</v>
      </c>
      <c r="N49" s="8">
        <v>2</v>
      </c>
      <c r="O49" s="8">
        <v>1</v>
      </c>
    </row>
    <row r="50" spans="2:15" ht="15" customHeight="1">
      <c r="B50" s="16" t="s">
        <v>110</v>
      </c>
      <c r="C50" s="16" t="s">
        <v>111</v>
      </c>
      <c r="D50" s="16" t="s">
        <v>56</v>
      </c>
      <c r="E50" s="8">
        <v>2</v>
      </c>
      <c r="F50" s="8" t="s">
        <v>101</v>
      </c>
      <c r="G50" s="8">
        <v>0</v>
      </c>
      <c r="H50" s="8" t="s">
        <v>101</v>
      </c>
      <c r="I50" s="8">
        <v>0</v>
      </c>
      <c r="J50" s="8">
        <v>4</v>
      </c>
      <c r="K50" s="8">
        <v>1</v>
      </c>
      <c r="L50" s="8">
        <v>0</v>
      </c>
      <c r="M50" s="8">
        <v>1</v>
      </c>
      <c r="N50" s="8">
        <v>2</v>
      </c>
      <c r="O50" s="8">
        <v>2</v>
      </c>
    </row>
    <row r="51" spans="2:15" ht="15" customHeight="1">
      <c r="B51" s="16" t="s">
        <v>112</v>
      </c>
      <c r="C51" s="16" t="s">
        <v>113</v>
      </c>
      <c r="D51" s="16" t="s">
        <v>56</v>
      </c>
      <c r="E51" s="8">
        <v>2</v>
      </c>
      <c r="F51" s="8" t="s">
        <v>101</v>
      </c>
      <c r="G51" s="8">
        <v>0</v>
      </c>
      <c r="H51" s="8" t="s">
        <v>101</v>
      </c>
      <c r="I51" s="8">
        <v>0</v>
      </c>
      <c r="J51" s="8">
        <v>5</v>
      </c>
      <c r="K51" s="8">
        <v>2</v>
      </c>
      <c r="L51" s="8">
        <v>0</v>
      </c>
      <c r="M51" s="8">
        <v>0</v>
      </c>
      <c r="N51" s="8">
        <v>1</v>
      </c>
      <c r="O51" s="8">
        <v>1</v>
      </c>
    </row>
    <row r="52" spans="2:15" ht="15" customHeight="1">
      <c r="B52" s="16" t="s">
        <v>114</v>
      </c>
      <c r="C52" s="16" t="s">
        <v>115</v>
      </c>
      <c r="D52" s="16" t="s">
        <v>56</v>
      </c>
      <c r="E52" s="8">
        <v>2</v>
      </c>
      <c r="F52" s="8" t="s">
        <v>101</v>
      </c>
      <c r="G52" s="8">
        <v>0</v>
      </c>
      <c r="H52" s="8" t="s">
        <v>101</v>
      </c>
      <c r="I52" s="8">
        <v>0</v>
      </c>
      <c r="J52" s="8">
        <v>5</v>
      </c>
      <c r="K52" s="8">
        <v>2</v>
      </c>
      <c r="L52" s="8">
        <v>0</v>
      </c>
      <c r="M52" s="8">
        <v>0</v>
      </c>
      <c r="N52" s="8">
        <v>1</v>
      </c>
      <c r="O52" s="8">
        <v>1</v>
      </c>
    </row>
    <row r="53" spans="2:15" ht="15" customHeight="1">
      <c r="B53" s="16" t="s">
        <v>116</v>
      </c>
      <c r="C53" s="16" t="s">
        <v>117</v>
      </c>
      <c r="D53" s="16" t="s">
        <v>80</v>
      </c>
      <c r="E53" s="8">
        <v>2</v>
      </c>
      <c r="F53" s="8">
        <v>5653</v>
      </c>
      <c r="G53" s="8">
        <v>1750</v>
      </c>
      <c r="H53" s="8">
        <v>16</v>
      </c>
      <c r="I53" s="8">
        <v>0</v>
      </c>
      <c r="J53" s="8">
        <v>0</v>
      </c>
      <c r="K53" s="8">
        <v>1</v>
      </c>
      <c r="L53" s="8">
        <v>1</v>
      </c>
      <c r="M53" s="8">
        <v>0</v>
      </c>
      <c r="N53" s="8">
        <v>2</v>
      </c>
      <c r="O53" s="8">
        <v>2</v>
      </c>
    </row>
    <row r="54" spans="2:15" ht="15" customHeight="1">
      <c r="B54" s="16" t="s">
        <v>118</v>
      </c>
      <c r="C54" s="16" t="s">
        <v>119</v>
      </c>
      <c r="D54" s="16" t="s">
        <v>70</v>
      </c>
      <c r="E54" s="8">
        <v>1</v>
      </c>
      <c r="F54" s="8">
        <v>115</v>
      </c>
      <c r="G54" s="8">
        <v>136</v>
      </c>
      <c r="H54" s="8">
        <v>0</v>
      </c>
      <c r="I54" s="8">
        <v>0</v>
      </c>
      <c r="J54" s="8">
        <v>0</v>
      </c>
      <c r="K54" s="8">
        <v>0</v>
      </c>
      <c r="L54" s="8">
        <v>1</v>
      </c>
      <c r="M54" s="8">
        <v>0</v>
      </c>
      <c r="N54" s="8">
        <v>1</v>
      </c>
      <c r="O54" s="8">
        <v>1</v>
      </c>
    </row>
    <row r="55" spans="2:15" ht="15" customHeight="1">
      <c r="B55" s="16" t="s">
        <v>120</v>
      </c>
      <c r="C55" s="16" t="s">
        <v>121</v>
      </c>
      <c r="D55" s="16" t="s">
        <v>75</v>
      </c>
      <c r="E55" s="8">
        <v>1</v>
      </c>
      <c r="F55" s="8">
        <v>0</v>
      </c>
      <c r="G55" s="8">
        <v>0</v>
      </c>
      <c r="H55" s="8">
        <v>0</v>
      </c>
      <c r="I55" s="8">
        <v>0</v>
      </c>
      <c r="J55" s="8">
        <v>0</v>
      </c>
      <c r="K55" s="8">
        <v>0</v>
      </c>
      <c r="L55" s="8">
        <v>1</v>
      </c>
      <c r="M55" s="8">
        <v>0</v>
      </c>
      <c r="N55" s="8">
        <v>1</v>
      </c>
      <c r="O55" s="8">
        <v>1</v>
      </c>
    </row>
    <row r="56" spans="2:15" ht="15" customHeight="1">
      <c r="B56" s="16" t="s">
        <v>122</v>
      </c>
      <c r="C56" s="16" t="s">
        <v>123</v>
      </c>
      <c r="D56" s="16" t="s">
        <v>75</v>
      </c>
      <c r="E56" s="8">
        <v>1</v>
      </c>
      <c r="F56" s="8">
        <v>0</v>
      </c>
      <c r="G56" s="8">
        <v>0</v>
      </c>
      <c r="H56" s="8">
        <v>0</v>
      </c>
      <c r="I56" s="8">
        <v>0</v>
      </c>
      <c r="J56" s="8">
        <v>0</v>
      </c>
      <c r="K56" s="8">
        <v>0</v>
      </c>
      <c r="L56" s="8">
        <v>1</v>
      </c>
      <c r="M56" s="8">
        <v>0</v>
      </c>
      <c r="N56" s="8">
        <v>1</v>
      </c>
      <c r="O56" s="8">
        <v>1</v>
      </c>
    </row>
    <row r="57" spans="2:15" ht="15" customHeight="1">
      <c r="B57" s="16" t="s">
        <v>124</v>
      </c>
      <c r="C57" s="16" t="s">
        <v>125</v>
      </c>
      <c r="D57" s="16" t="s">
        <v>75</v>
      </c>
      <c r="E57" s="8">
        <v>1</v>
      </c>
      <c r="F57" s="8">
        <v>138</v>
      </c>
      <c r="G57" s="8">
        <v>0</v>
      </c>
      <c r="H57" s="8">
        <v>0</v>
      </c>
      <c r="I57" s="8">
        <v>0</v>
      </c>
      <c r="J57" s="8">
        <v>0</v>
      </c>
      <c r="K57" s="8">
        <v>1</v>
      </c>
      <c r="L57" s="8">
        <v>0</v>
      </c>
      <c r="M57" s="8">
        <v>0</v>
      </c>
      <c r="N57" s="8">
        <v>1</v>
      </c>
      <c r="O57" s="8">
        <v>1</v>
      </c>
    </row>
    <row r="58" spans="2:15" ht="15" customHeight="1">
      <c r="B58" s="16" t="s">
        <v>126</v>
      </c>
      <c r="C58" s="16" t="s">
        <v>127</v>
      </c>
      <c r="D58" s="16" t="s">
        <v>60</v>
      </c>
      <c r="E58" s="8">
        <v>1</v>
      </c>
      <c r="F58" s="8">
        <v>280</v>
      </c>
      <c r="G58" s="8">
        <v>0</v>
      </c>
      <c r="H58" s="8">
        <v>0</v>
      </c>
      <c r="I58" s="8">
        <v>0</v>
      </c>
      <c r="J58" s="8">
        <v>0</v>
      </c>
      <c r="K58" s="8">
        <v>0</v>
      </c>
      <c r="L58" s="8">
        <v>1</v>
      </c>
      <c r="M58" s="8">
        <v>0</v>
      </c>
      <c r="N58" s="8">
        <v>1</v>
      </c>
      <c r="O58" s="8">
        <v>1</v>
      </c>
    </row>
    <row r="59" spans="2:15" ht="15" customHeight="1">
      <c r="B59" s="16" t="s">
        <v>128</v>
      </c>
      <c r="C59" s="16" t="s">
        <v>129</v>
      </c>
      <c r="D59" s="16" t="s">
        <v>60</v>
      </c>
      <c r="E59" s="8">
        <v>1</v>
      </c>
      <c r="F59" s="8">
        <v>2520</v>
      </c>
      <c r="G59" s="8">
        <v>0</v>
      </c>
      <c r="H59" s="8">
        <v>0</v>
      </c>
      <c r="I59" s="8">
        <v>0</v>
      </c>
      <c r="J59" s="8">
        <v>0</v>
      </c>
      <c r="K59" s="8">
        <v>0</v>
      </c>
      <c r="L59" s="8">
        <v>1</v>
      </c>
      <c r="M59" s="8">
        <v>0</v>
      </c>
      <c r="N59" s="8">
        <v>1</v>
      </c>
      <c r="O59" s="8">
        <v>1</v>
      </c>
    </row>
    <row r="60" spans="2:15" ht="15" customHeight="1">
      <c r="B60" s="16" t="s">
        <v>130</v>
      </c>
      <c r="C60" s="16" t="s">
        <v>131</v>
      </c>
      <c r="D60" s="16" t="s">
        <v>56</v>
      </c>
      <c r="E60" s="8">
        <v>1</v>
      </c>
      <c r="F60" s="8" t="s">
        <v>101</v>
      </c>
      <c r="G60" s="8">
        <v>0</v>
      </c>
      <c r="H60" s="8" t="s">
        <v>101</v>
      </c>
      <c r="I60" s="8">
        <v>0</v>
      </c>
      <c r="J60" s="8">
        <v>5</v>
      </c>
      <c r="K60" s="8">
        <v>1</v>
      </c>
      <c r="L60" s="8">
        <v>0</v>
      </c>
      <c r="M60" s="8">
        <v>0</v>
      </c>
      <c r="N60" s="8">
        <v>1</v>
      </c>
      <c r="O60" s="8">
        <v>1</v>
      </c>
    </row>
    <row r="61" spans="2:15" ht="15" customHeight="1">
      <c r="B61" s="16" t="s">
        <v>132</v>
      </c>
      <c r="C61" s="16" t="s">
        <v>133</v>
      </c>
      <c r="D61" s="16" t="s">
        <v>70</v>
      </c>
      <c r="E61" s="8">
        <v>1</v>
      </c>
      <c r="F61" s="8">
        <v>0</v>
      </c>
      <c r="G61" s="8">
        <v>0</v>
      </c>
      <c r="H61" s="8">
        <v>0</v>
      </c>
      <c r="I61" s="8">
        <v>0</v>
      </c>
      <c r="J61" s="8">
        <v>0</v>
      </c>
      <c r="K61" s="8">
        <v>0</v>
      </c>
      <c r="L61" s="8">
        <v>1</v>
      </c>
      <c r="M61" s="8">
        <v>0</v>
      </c>
      <c r="N61" s="8">
        <v>1</v>
      </c>
      <c r="O61" s="8">
        <v>1</v>
      </c>
    </row>
    <row r="62" spans="2:15" ht="15" customHeight="1">
      <c r="B62" s="16" t="s">
        <v>134</v>
      </c>
      <c r="C62" s="16" t="s">
        <v>135</v>
      </c>
      <c r="D62" s="16" t="s">
        <v>56</v>
      </c>
      <c r="E62" s="8">
        <v>1</v>
      </c>
      <c r="F62" s="8" t="s">
        <v>101</v>
      </c>
      <c r="G62" s="8">
        <v>0</v>
      </c>
      <c r="H62" s="8" t="s">
        <v>101</v>
      </c>
      <c r="I62" s="8">
        <v>0</v>
      </c>
      <c r="J62" s="8">
        <v>5</v>
      </c>
      <c r="K62" s="8">
        <v>1</v>
      </c>
      <c r="L62" s="8">
        <v>0</v>
      </c>
      <c r="M62" s="8">
        <v>0</v>
      </c>
      <c r="N62" s="8">
        <v>1</v>
      </c>
      <c r="O62" s="8">
        <v>1</v>
      </c>
    </row>
    <row r="63" spans="2:15" ht="15" customHeight="1">
      <c r="B63" s="16" t="s">
        <v>136</v>
      </c>
      <c r="C63" s="16" t="s">
        <v>137</v>
      </c>
      <c r="D63" s="16" t="s">
        <v>75</v>
      </c>
      <c r="E63" s="8">
        <v>1</v>
      </c>
      <c r="F63" s="8">
        <v>0</v>
      </c>
      <c r="G63" s="8">
        <v>0</v>
      </c>
      <c r="H63" s="8">
        <v>0</v>
      </c>
      <c r="I63" s="8">
        <v>0</v>
      </c>
      <c r="J63" s="8">
        <v>0</v>
      </c>
      <c r="K63" s="8">
        <v>1</v>
      </c>
      <c r="L63" s="8">
        <v>0</v>
      </c>
      <c r="M63" s="8">
        <v>0</v>
      </c>
      <c r="N63" s="8">
        <v>1</v>
      </c>
      <c r="O63" s="8">
        <v>1</v>
      </c>
    </row>
    <row r="64" spans="2:15" ht="15" customHeight="1">
      <c r="B64" s="16" t="s">
        <v>138</v>
      </c>
      <c r="C64" s="16" t="s">
        <v>139</v>
      </c>
      <c r="D64" s="16" t="s">
        <v>56</v>
      </c>
      <c r="E64" s="8">
        <v>1</v>
      </c>
      <c r="F64" s="8" t="s">
        <v>101</v>
      </c>
      <c r="G64" s="8">
        <v>0</v>
      </c>
      <c r="H64" s="8" t="s">
        <v>101</v>
      </c>
      <c r="I64" s="8">
        <v>0</v>
      </c>
      <c r="J64" s="8">
        <v>4</v>
      </c>
      <c r="K64" s="8">
        <v>1</v>
      </c>
      <c r="L64" s="8">
        <v>0</v>
      </c>
      <c r="M64" s="8">
        <v>0</v>
      </c>
      <c r="N64" s="8">
        <v>1</v>
      </c>
      <c r="O64" s="8">
        <v>1</v>
      </c>
    </row>
  </sheetData>
  <autoFilter ref="B27:O27"/>
  <hyperlinks>
    <hyperlink ref="C1" location="Содержание!B4" display="К содержанию"/>
    <hyperlink ref="C28" r:id="rId1" display="http://vk.com"/>
    <hyperlink ref="C29" r:id="rId2" display="http://telegram.org"/>
    <hyperlink ref="C30" r:id="rId3" display="http://dzen.ru"/>
    <hyperlink ref="C31" r:id="rId4" display="http://facebook.com"/>
    <hyperlink ref="C32" r:id="rId5" display="http://sprosivracha.com"/>
    <hyperlink ref="C33" r:id="rId6" display="http://ok.ru"/>
    <hyperlink ref="C34" r:id="rId7" display="http://youtube.com"/>
    <hyperlink ref="C35" r:id="rId8" display="http://telegram.org"/>
    <hyperlink ref="C36" r:id="rId9" display="http://instagram.com"/>
    <hyperlink ref="C37" r:id="rId10" display="http://threads.com"/>
    <hyperlink ref="C38" r:id="rId11" display="http://mom.life"/>
    <hyperlink ref="C39" r:id="rId12" display="http://rutube.ru"/>
    <hyperlink ref="C40" r:id="rId13" display="http://nup.ru"/>
    <hyperlink ref="C41" r:id="rId14" display="http://hron-prostatit.ru"/>
    <hyperlink ref="C42" r:id="rId15" display="http://babyblog.ru"/>
    <hyperlink ref="C43" r:id="rId16" display="http://pikabu.ru"/>
    <hyperlink ref="C44" r:id="rId17" display="http://woman.ru"/>
    <hyperlink ref="C45" r:id="rId18" display="http://otzovik.com"/>
    <hyperlink ref="C46" r:id="rId19" display="http://ozon.ru"/>
    <hyperlink ref="C47" r:id="rId20" display="http://tiktok.com"/>
    <hyperlink ref="C48" r:id="rId21" display="http://babyplan.ru"/>
    <hyperlink ref="C49" r:id="rId22" display="http://forums.rusmedserv.com"/>
    <hyperlink ref="C50" r:id="rId23" display="http://irecommend.ru"/>
    <hyperlink ref="C51" r:id="rId24" display="http://vashe-mnenie.com"/>
    <hyperlink ref="C52" r:id="rId25" display="http://otzyvru.com"/>
    <hyperlink ref="C53" r:id="rId26" display="http://max.ru"/>
    <hyperlink ref="C54" r:id="rId27" display="http://teletype.in"/>
    <hyperlink ref="C55" r:id="rId28" display="http://otvet.mail.ru"/>
    <hyperlink ref="C56" r:id="rId29" display="http://forum.steelfactor.ru"/>
    <hyperlink ref="C57" r:id="rId30" display="http://forum.baby.ru"/>
    <hyperlink ref="C58" r:id="rId31" display="http://sojuzpharma.ru"/>
    <hyperlink ref="C59" r:id="rId32" display="http://dadanews.ru"/>
    <hyperlink ref="C60" r:id="rId33" display="http://wildberries.ru"/>
    <hyperlink ref="C61" r:id="rId34" display="http://ftour.otzyv.ru"/>
    <hyperlink ref="C62" r:id="rId35" display="http://otzyv.pro"/>
    <hyperlink ref="C63" r:id="rId36" display="http://medihost.ru"/>
    <hyperlink ref="C64" r:id="rId37" display="http://market.yandex.ru"/>
  </hyperlinks>
  <pageMargins left="0.75" right="0.75" top="1" bottom="1" header="0.5" footer="0.5"/>
  <drawing r:id="rId38"/>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fc163cd-1654-4658-a3cb-2a34e0b4618d}">
  <dimension ref="B1:K28"/>
  <sheetViews>
    <sheetView showGridLines="0" workbookViewId="0" topLeftCell="A1"/>
  </sheetViews>
  <sheetFormatPr defaultRowHeight="12.75"/>
  <cols>
    <col min="1" max="1" width="4.714285714285714" customWidth="1"/>
    <col min="2" max="2" width="22.714285714285715" customWidth="1"/>
    <col min="3" max="11" width="17.714285714285715" customWidth="1"/>
  </cols>
  <sheetData>
    <row r="1" spans="2:3" s="1" customFormat="1" ht="30" customHeight="1">
      <c r="B1" s="1" t="s">
        <v>0</v>
      </c>
      <c r="C1" s="4" t="s">
        <v>2</v>
      </c>
    </row>
    <row r="4" spans="2:2" ht="12.75">
      <c r="B4" s="2" t="s">
        <v>24</v>
      </c>
    </row>
    <row r="6" spans="2:11" ht="30" customHeight="1">
      <c r="B6" s="5" t="s">
        <v>150</v>
      </c>
      <c r="C6" s="6" t="s">
        <v>5</v>
      </c>
      <c r="D6" s="6" t="s">
        <v>33</v>
      </c>
      <c r="E6" s="6" t="s">
        <v>34</v>
      </c>
      <c r="F6" s="6" t="s">
        <v>54</v>
      </c>
      <c r="G6" s="6" t="s">
        <v>36</v>
      </c>
      <c r="H6" s="6" t="s">
        <v>57</v>
      </c>
      <c r="I6" s="6" t="s">
        <v>38</v>
      </c>
      <c r="J6" s="6" t="s">
        <v>28</v>
      </c>
      <c r="K6" s="6" t="s">
        <v>27</v>
      </c>
    </row>
    <row r="7" spans="2:11" ht="15" customHeight="1">
      <c r="B7" s="16" t="s">
        <v>151</v>
      </c>
      <c r="C7" s="8">
        <v>42</v>
      </c>
      <c r="D7" s="8">
        <v>4447642</v>
      </c>
      <c r="E7" s="8">
        <v>212</v>
      </c>
      <c r="F7" s="8">
        <v>730</v>
      </c>
      <c r="G7" s="8">
        <v>9</v>
      </c>
      <c r="H7" s="8">
        <v>28</v>
      </c>
      <c r="I7" s="8">
        <v>5</v>
      </c>
      <c r="J7" s="8">
        <v>36</v>
      </c>
      <c r="K7" s="8">
        <v>27</v>
      </c>
    </row>
    <row r="8" spans="2:11" ht="15" customHeight="1">
      <c r="B8" s="16" t="s">
        <v>152</v>
      </c>
      <c r="C8" s="8">
        <v>12</v>
      </c>
      <c r="D8" s="8">
        <v>476341</v>
      </c>
      <c r="E8" s="8">
        <v>18</v>
      </c>
      <c r="F8" s="8">
        <v>135</v>
      </c>
      <c r="G8" s="8">
        <v>4</v>
      </c>
      <c r="H8" s="8">
        <v>6</v>
      </c>
      <c r="I8" s="8">
        <v>2</v>
      </c>
      <c r="J8" s="8">
        <v>6</v>
      </c>
      <c r="K8" s="8">
        <v>8</v>
      </c>
    </row>
    <row r="9" spans="2:11" ht="15" customHeight="1">
      <c r="B9" s="16" t="s">
        <v>153</v>
      </c>
      <c r="C9" s="8">
        <v>12</v>
      </c>
      <c r="D9" s="8">
        <v>2959019</v>
      </c>
      <c r="E9" s="8">
        <v>208</v>
      </c>
      <c r="F9" s="8">
        <v>308</v>
      </c>
      <c r="G9" s="8">
        <v>2</v>
      </c>
      <c r="H9" s="8">
        <v>10</v>
      </c>
      <c r="I9" s="8">
        <v>0</v>
      </c>
      <c r="J9" s="8">
        <v>11</v>
      </c>
      <c r="K9" s="8">
        <v>10</v>
      </c>
    </row>
    <row r="10" spans="2:11" ht="15" customHeight="1">
      <c r="B10" s="16" t="s">
        <v>154</v>
      </c>
      <c r="C10" s="8">
        <v>9</v>
      </c>
      <c r="D10" s="8">
        <v>668600</v>
      </c>
      <c r="E10" s="8">
        <v>1281</v>
      </c>
      <c r="F10" s="8">
        <v>312</v>
      </c>
      <c r="G10" s="8">
        <v>1</v>
      </c>
      <c r="H10" s="8">
        <v>5</v>
      </c>
      <c r="I10" s="8">
        <v>3</v>
      </c>
      <c r="J10" s="8">
        <v>9</v>
      </c>
      <c r="K10" s="8">
        <v>4</v>
      </c>
    </row>
    <row r="11" spans="2:11" ht="15" customHeight="1">
      <c r="B11" s="16" t="s">
        <v>155</v>
      </c>
      <c r="C11" s="8">
        <v>8</v>
      </c>
      <c r="D11" s="8">
        <v>433738</v>
      </c>
      <c r="E11" s="8">
        <v>2</v>
      </c>
      <c r="F11" s="8">
        <v>8</v>
      </c>
      <c r="G11" s="8">
        <v>2</v>
      </c>
      <c r="H11" s="8">
        <v>6</v>
      </c>
      <c r="I11" s="8">
        <v>0</v>
      </c>
      <c r="J11" s="8">
        <v>7</v>
      </c>
      <c r="K11" s="8">
        <v>4</v>
      </c>
    </row>
    <row r="12" spans="2:11" ht="15" customHeight="1">
      <c r="B12" s="16" t="s">
        <v>156</v>
      </c>
      <c r="C12" s="8">
        <v>7</v>
      </c>
      <c r="D12" s="8">
        <v>10240524</v>
      </c>
      <c r="E12" s="8">
        <v>2</v>
      </c>
      <c r="F12" s="8">
        <v>19</v>
      </c>
      <c r="G12" s="8">
        <v>2</v>
      </c>
      <c r="H12" s="8">
        <v>5</v>
      </c>
      <c r="I12" s="8">
        <v>0</v>
      </c>
      <c r="J12" s="8">
        <v>6</v>
      </c>
      <c r="K12" s="8">
        <v>3</v>
      </c>
    </row>
    <row r="13" spans="2:11" ht="15" customHeight="1">
      <c r="B13" s="16" t="s">
        <v>157</v>
      </c>
      <c r="C13" s="8">
        <v>4</v>
      </c>
      <c r="D13" s="8">
        <v>919922</v>
      </c>
      <c r="E13" s="8" t="s">
        <v>158</v>
      </c>
      <c r="F13" s="8">
        <v>18</v>
      </c>
      <c r="G13" s="8">
        <v>2</v>
      </c>
      <c r="H13" s="8">
        <v>1</v>
      </c>
      <c r="I13" s="8">
        <v>1</v>
      </c>
      <c r="J13" s="8">
        <v>3</v>
      </c>
      <c r="K13" s="8">
        <v>2</v>
      </c>
    </row>
    <row r="14" spans="2:11" ht="15" customHeight="1">
      <c r="B14" s="16" t="s">
        <v>159</v>
      </c>
      <c r="C14" s="8">
        <v>3</v>
      </c>
      <c r="D14" s="8">
        <v>1826351</v>
      </c>
      <c r="E14" s="8">
        <v>4</v>
      </c>
      <c r="F14" s="8">
        <v>2</v>
      </c>
      <c r="G14" s="8">
        <v>1</v>
      </c>
      <c r="H14" s="8">
        <v>1</v>
      </c>
      <c r="I14" s="8">
        <v>1</v>
      </c>
      <c r="J14" s="8">
        <v>3</v>
      </c>
      <c r="K14" s="8">
        <v>3</v>
      </c>
    </row>
    <row r="15" spans="2:11" ht="15" customHeight="1">
      <c r="B15" s="16" t="s">
        <v>160</v>
      </c>
      <c r="C15" s="8">
        <v>3</v>
      </c>
      <c r="D15" s="8">
        <v>1661231</v>
      </c>
      <c r="E15" s="8">
        <v>15</v>
      </c>
      <c r="F15" s="8">
        <v>28</v>
      </c>
      <c r="G15" s="8">
        <v>2</v>
      </c>
      <c r="H15" s="8">
        <v>1</v>
      </c>
      <c r="I15" s="8">
        <v>0</v>
      </c>
      <c r="J15" s="8">
        <v>3</v>
      </c>
      <c r="K15" s="8">
        <v>3</v>
      </c>
    </row>
    <row r="16" spans="2:11" ht="15" customHeight="1">
      <c r="B16" s="16" t="s">
        <v>161</v>
      </c>
      <c r="C16" s="8">
        <v>2</v>
      </c>
      <c r="D16" s="8">
        <v>422734</v>
      </c>
      <c r="E16" s="8" t="s">
        <v>158</v>
      </c>
      <c r="F16" s="8">
        <v>10</v>
      </c>
      <c r="G16" s="8">
        <v>0</v>
      </c>
      <c r="H16" s="8">
        <v>2</v>
      </c>
      <c r="I16" s="8">
        <v>0</v>
      </c>
      <c r="J16" s="8">
        <v>2</v>
      </c>
      <c r="K16" s="8">
        <v>1</v>
      </c>
    </row>
    <row r="17" spans="2:11" ht="15" customHeight="1">
      <c r="B17" s="16" t="s">
        <v>162</v>
      </c>
      <c r="C17" s="8">
        <v>2</v>
      </c>
      <c r="D17" s="8">
        <v>50044</v>
      </c>
      <c r="E17" s="8" t="s">
        <v>158</v>
      </c>
      <c r="F17" s="8">
        <v>4</v>
      </c>
      <c r="G17" s="8">
        <v>1</v>
      </c>
      <c r="H17" s="8">
        <v>1</v>
      </c>
      <c r="I17" s="8">
        <v>0</v>
      </c>
      <c r="J17" s="8">
        <v>2</v>
      </c>
      <c r="K17" s="8">
        <v>2</v>
      </c>
    </row>
    <row r="18" spans="2:11" ht="15" customHeight="1">
      <c r="B18" s="16" t="s">
        <v>163</v>
      </c>
      <c r="C18" s="8">
        <v>2</v>
      </c>
      <c r="D18" s="8">
        <v>3101310</v>
      </c>
      <c r="E18" s="8" t="s">
        <v>158</v>
      </c>
      <c r="F18" s="8">
        <v>9</v>
      </c>
      <c r="G18" s="8">
        <v>0</v>
      </c>
      <c r="H18" s="8">
        <v>2</v>
      </c>
      <c r="I18" s="8">
        <v>0</v>
      </c>
      <c r="J18" s="8">
        <v>2</v>
      </c>
      <c r="K18" s="8">
        <v>2</v>
      </c>
    </row>
    <row r="19" spans="2:11" ht="15" customHeight="1">
      <c r="B19" s="16" t="s">
        <v>164</v>
      </c>
      <c r="C19" s="8">
        <v>1</v>
      </c>
      <c r="D19" s="8">
        <v>153783</v>
      </c>
      <c r="E19" s="8" t="s">
        <v>158</v>
      </c>
      <c r="F19" s="8">
        <v>1</v>
      </c>
      <c r="G19" s="8">
        <v>0</v>
      </c>
      <c r="H19" s="8">
        <v>1</v>
      </c>
      <c r="I19" s="8">
        <v>0</v>
      </c>
      <c r="J19" s="8">
        <v>1</v>
      </c>
      <c r="K19" s="8">
        <v>1</v>
      </c>
    </row>
    <row r="20" spans="2:11" ht="15" customHeight="1">
      <c r="B20" s="16" t="s">
        <v>165</v>
      </c>
      <c r="C20" s="8">
        <v>1</v>
      </c>
      <c r="D20" s="8">
        <v>101707</v>
      </c>
      <c r="E20" s="8" t="s">
        <v>158</v>
      </c>
      <c r="F20" s="8">
        <v>9</v>
      </c>
      <c r="G20" s="8">
        <v>0</v>
      </c>
      <c r="H20" s="8">
        <v>1</v>
      </c>
      <c r="I20" s="8">
        <v>0</v>
      </c>
      <c r="J20" s="8">
        <v>1</v>
      </c>
      <c r="K20" s="8">
        <v>1</v>
      </c>
    </row>
    <row r="21" spans="2:11" ht="15" customHeight="1">
      <c r="B21" s="16" t="s">
        <v>166</v>
      </c>
      <c r="C21" s="8">
        <v>1</v>
      </c>
      <c r="D21" s="8">
        <v>1770722</v>
      </c>
      <c r="E21" s="8" t="s">
        <v>158</v>
      </c>
      <c r="F21" s="8">
        <v>6</v>
      </c>
      <c r="G21" s="8">
        <v>0</v>
      </c>
      <c r="H21" s="8">
        <v>1</v>
      </c>
      <c r="I21" s="8">
        <v>0</v>
      </c>
      <c r="J21" s="8">
        <v>1</v>
      </c>
      <c r="K21" s="8">
        <v>1</v>
      </c>
    </row>
    <row r="22" spans="2:11" ht="15" customHeight="1">
      <c r="B22" s="16" t="s">
        <v>167</v>
      </c>
      <c r="C22" s="8">
        <v>1</v>
      </c>
      <c r="D22" s="8">
        <v>74932</v>
      </c>
      <c r="E22" s="8" t="s">
        <v>158</v>
      </c>
      <c r="F22" s="8">
        <v>0</v>
      </c>
      <c r="G22" s="8">
        <v>0</v>
      </c>
      <c r="H22" s="8">
        <v>1</v>
      </c>
      <c r="I22" s="8">
        <v>0</v>
      </c>
      <c r="J22" s="8">
        <v>1</v>
      </c>
      <c r="K22" s="8">
        <v>1</v>
      </c>
    </row>
    <row r="23" spans="2:11" ht="15" customHeight="1">
      <c r="B23" s="16" t="s">
        <v>168</v>
      </c>
      <c r="C23" s="8">
        <v>1</v>
      </c>
      <c r="D23" s="8">
        <v>116467</v>
      </c>
      <c r="E23" s="8" t="s">
        <v>158</v>
      </c>
      <c r="F23" s="8">
        <v>6</v>
      </c>
      <c r="G23" s="8">
        <v>0</v>
      </c>
      <c r="H23" s="8">
        <v>1</v>
      </c>
      <c r="I23" s="8">
        <v>0</v>
      </c>
      <c r="J23" s="8">
        <v>1</v>
      </c>
      <c r="K23" s="8">
        <v>1</v>
      </c>
    </row>
    <row r="24" spans="2:11" ht="15" customHeight="1">
      <c r="B24" s="16" t="s">
        <v>169</v>
      </c>
      <c r="C24" s="8">
        <v>1</v>
      </c>
      <c r="D24" s="8">
        <v>55177</v>
      </c>
      <c r="E24" s="8">
        <v>17</v>
      </c>
      <c r="F24" s="8">
        <v>112</v>
      </c>
      <c r="G24" s="8">
        <v>0</v>
      </c>
      <c r="H24" s="8">
        <v>0</v>
      </c>
      <c r="I24" s="8">
        <v>1</v>
      </c>
      <c r="J24" s="8">
        <v>1</v>
      </c>
      <c r="K24" s="8">
        <v>1</v>
      </c>
    </row>
    <row r="25" spans="2:11" ht="15" customHeight="1">
      <c r="B25" s="16" t="s">
        <v>170</v>
      </c>
      <c r="C25" s="8">
        <v>1</v>
      </c>
      <c r="D25" s="8">
        <v>9871561</v>
      </c>
      <c r="E25" s="8" t="s">
        <v>158</v>
      </c>
      <c r="F25" s="8">
        <v>8</v>
      </c>
      <c r="G25" s="8">
        <v>1</v>
      </c>
      <c r="H25" s="8">
        <v>0</v>
      </c>
      <c r="I25" s="8">
        <v>0</v>
      </c>
      <c r="J25" s="8">
        <v>1</v>
      </c>
      <c r="K25" s="8">
        <v>1</v>
      </c>
    </row>
    <row r="26" spans="2:11" ht="15" customHeight="1">
      <c r="B26" s="16" t="s">
        <v>171</v>
      </c>
      <c r="C26" s="8">
        <v>1</v>
      </c>
      <c r="D26" s="8">
        <v>1855990</v>
      </c>
      <c r="E26" s="8" t="s">
        <v>158</v>
      </c>
      <c r="F26" s="8">
        <v>14</v>
      </c>
      <c r="G26" s="8">
        <v>0</v>
      </c>
      <c r="H26" s="8">
        <v>1</v>
      </c>
      <c r="I26" s="8">
        <v>0</v>
      </c>
      <c r="J26" s="8">
        <v>1</v>
      </c>
      <c r="K26" s="8">
        <v>1</v>
      </c>
    </row>
    <row r="27" spans="2:11" ht="15" customHeight="1">
      <c r="B27" s="16" t="s">
        <v>172</v>
      </c>
      <c r="C27" s="8">
        <v>1</v>
      </c>
      <c r="D27" s="8">
        <v>19747</v>
      </c>
      <c r="E27" s="8" t="s">
        <v>158</v>
      </c>
      <c r="F27" s="8">
        <v>0</v>
      </c>
      <c r="G27" s="8">
        <v>1</v>
      </c>
      <c r="H27" s="8">
        <v>0</v>
      </c>
      <c r="I27" s="8">
        <v>0</v>
      </c>
      <c r="J27" s="8">
        <v>1</v>
      </c>
      <c r="K27" s="8">
        <v>1</v>
      </c>
    </row>
    <row r="28" spans="2:11" ht="15" customHeight="1">
      <c r="B28" s="16" t="s">
        <v>173</v>
      </c>
      <c r="C28" s="8">
        <v>1</v>
      </c>
      <c r="D28" s="8">
        <v>1855990</v>
      </c>
      <c r="E28" s="8" t="s">
        <v>158</v>
      </c>
      <c r="F28" s="8">
        <v>14</v>
      </c>
      <c r="G28" s="8">
        <v>0</v>
      </c>
      <c r="H28" s="8">
        <v>1</v>
      </c>
      <c r="I28" s="8">
        <v>0</v>
      </c>
      <c r="J28" s="8">
        <v>1</v>
      </c>
      <c r="K28" s="8">
        <v>1</v>
      </c>
    </row>
  </sheetData>
  <autoFilter ref="B6:K6"/>
  <hyperlinks>
    <hyperlink ref="C1" location="Содержание!B4" display="К содержанию"/>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b0e3a97-ca18-4692-a931-8ecd22d0716e}">
  <dimension ref="B1:W312"/>
  <sheetViews>
    <sheetView showGridLines="0" workbookViewId="0" topLeftCell="A1"/>
  </sheetViews>
  <sheetFormatPr defaultRowHeight="12.75"/>
  <cols>
    <col min="1" max="1" width="4.714285714285714" customWidth="1"/>
    <col min="2" max="2" width="40.714285714285715" customWidth="1"/>
    <col min="3" max="3" width="15.714285714285714" customWidth="1"/>
    <col min="4" max="4" width="23" customWidth="1"/>
    <col min="5" max="5" width="18.857142857142858" customWidth="1"/>
    <col min="6" max="6" width="14.714285714285714" customWidth="1"/>
    <col min="7" max="7" width="15.714285714285714" customWidth="1"/>
    <col min="8" max="8" width="17.285714285714285" customWidth="1"/>
    <col min="9" max="11" width="15.714285714285714" customWidth="1"/>
    <col min="12" max="12" width="16.714285714285715" customWidth="1"/>
    <col min="13" max="23" width="15.714285714285714" customWidth="1"/>
  </cols>
  <sheetData>
    <row r="1" spans="2:3" s="1" customFormat="1" ht="30" customHeight="1">
      <c r="B1" s="1" t="s">
        <v>0</v>
      </c>
      <c r="C1" s="4" t="s">
        <v>2</v>
      </c>
    </row>
    <row r="4" spans="2:2" ht="12.75">
      <c r="B4" s="2" t="s">
        <v>27</v>
      </c>
    </row>
    <row r="6" spans="2:2"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spans="2:2" ht="12.75">
      <c r="B25" s="12" t="s">
        <v>174</v>
      </c>
    </row>
    <row r="27" spans="2:23" ht="30" customHeight="1">
      <c r="B27" s="5" t="s">
        <v>175</v>
      </c>
      <c r="C27" s="5" t="s">
        <v>150</v>
      </c>
      <c r="D27" s="5" t="s">
        <v>49</v>
      </c>
      <c r="E27" s="5" t="s">
        <v>48</v>
      </c>
      <c r="F27" s="5" t="s">
        <v>32</v>
      </c>
      <c r="G27" s="6" t="s">
        <v>5</v>
      </c>
      <c r="H27" s="6" t="s">
        <v>176</v>
      </c>
      <c r="I27" s="6" t="s">
        <v>54</v>
      </c>
      <c r="J27" s="6" t="s">
        <v>33</v>
      </c>
      <c r="K27" s="6" t="s">
        <v>51</v>
      </c>
      <c r="L27" s="6" t="s">
        <v>34</v>
      </c>
      <c r="M27" s="6" t="s">
        <v>177</v>
      </c>
      <c r="N27" s="6" t="s">
        <v>178</v>
      </c>
      <c r="O27" s="6" t="s">
        <v>179</v>
      </c>
      <c r="P27" s="6" t="s">
        <v>22</v>
      </c>
      <c r="Q27" s="6" t="s">
        <v>36</v>
      </c>
      <c r="R27" s="6" t="s">
        <v>57</v>
      </c>
      <c r="S27" s="6" t="s">
        <v>38</v>
      </c>
      <c r="T27" s="6" t="s">
        <v>28</v>
      </c>
      <c r="U27" s="5" t="s">
        <v>180</v>
      </c>
      <c r="V27" s="5" t="s">
        <v>181</v>
      </c>
      <c r="W27" s="5" t="s">
        <v>182</v>
      </c>
    </row>
    <row r="28" spans="2:23" ht="15" customHeight="1">
      <c r="B28" s="16" t="s">
        <v>183</v>
      </c>
      <c r="C28" s="16" t="s">
        <v>184</v>
      </c>
      <c r="D28" s="16" t="s">
        <v>185</v>
      </c>
      <c r="E28" s="16" t="s">
        <v>62</v>
      </c>
      <c r="F28" s="16" t="s">
        <v>186</v>
      </c>
      <c r="G28" s="8">
        <v>17</v>
      </c>
      <c r="H28" s="8">
        <v>114</v>
      </c>
      <c r="I28" s="8">
        <v>30</v>
      </c>
      <c r="J28" s="8">
        <v>3147</v>
      </c>
      <c r="K28" s="8">
        <v>0</v>
      </c>
      <c r="L28" s="8">
        <v>0</v>
      </c>
      <c r="M28" s="8">
        <v>0</v>
      </c>
      <c r="N28" s="8">
        <v>0</v>
      </c>
      <c r="O28" s="8">
        <v>0</v>
      </c>
      <c r="P28" s="8">
        <v>0</v>
      </c>
      <c r="Q28" s="8">
        <v>7</v>
      </c>
      <c r="R28" s="8">
        <v>8</v>
      </c>
      <c r="S28" s="8">
        <v>2</v>
      </c>
      <c r="T28" s="23">
        <v>8</v>
      </c>
      <c r="U28" s="16" t="s">
        <v>187</v>
      </c>
      <c r="V28" s="16" t="s">
        <v>188</v>
      </c>
      <c r="W28" s="16" t="s">
        <v>189</v>
      </c>
    </row>
    <row r="29" spans="2:23" ht="15" customHeight="1">
      <c r="B29" s="16" t="s">
        <v>190</v>
      </c>
      <c r="C29" s="16" t="s">
        <v>184</v>
      </c>
      <c r="D29" s="16" t="s">
        <v>191</v>
      </c>
      <c r="E29" s="16" t="s">
        <v>68</v>
      </c>
      <c r="F29" s="16" t="s">
        <v>192</v>
      </c>
      <c r="G29" s="8">
        <v>5</v>
      </c>
      <c r="H29" s="8">
        <v>0</v>
      </c>
      <c r="I29" s="8">
        <v>0</v>
      </c>
      <c r="J29" s="8">
        <v>43179</v>
      </c>
      <c r="K29" s="8">
        <v>27541</v>
      </c>
      <c r="L29" s="8">
        <v>303</v>
      </c>
      <c r="M29" s="8">
        <v>254</v>
      </c>
      <c r="N29" s="8">
        <v>49</v>
      </c>
      <c r="O29" s="8">
        <v>0</v>
      </c>
      <c r="P29" s="8">
        <v>0</v>
      </c>
      <c r="Q29" s="8">
        <v>3</v>
      </c>
      <c r="R29" s="8">
        <v>1</v>
      </c>
      <c r="S29" s="8">
        <v>1</v>
      </c>
      <c r="T29" s="23">
        <v>3</v>
      </c>
      <c r="U29" s="16"/>
      <c r="V29" s="16" t="s">
        <v>50</v>
      </c>
      <c r="W29" s="16"/>
    </row>
    <row r="30" spans="2:23" ht="15" customHeight="1">
      <c r="B30" s="16" t="s">
        <v>193</v>
      </c>
      <c r="C30" s="16" t="s">
        <v>194</v>
      </c>
      <c r="D30" s="16" t="s">
        <v>195</v>
      </c>
      <c r="E30" s="16" t="s">
        <v>76</v>
      </c>
      <c r="F30" s="16" t="s">
        <v>186</v>
      </c>
      <c r="G30" s="8">
        <v>5</v>
      </c>
      <c r="H30" s="8">
        <v>58</v>
      </c>
      <c r="I30" s="8">
        <v>5</v>
      </c>
      <c r="J30" s="8">
        <v>252496</v>
      </c>
      <c r="K30" s="8">
        <v>0</v>
      </c>
      <c r="L30" s="8">
        <v>2</v>
      </c>
      <c r="M30" s="8">
        <v>2</v>
      </c>
      <c r="N30" s="8">
        <v>0</v>
      </c>
      <c r="O30" s="8">
        <v>0</v>
      </c>
      <c r="P30" s="8">
        <v>0</v>
      </c>
      <c r="Q30" s="8">
        <v>1</v>
      </c>
      <c r="R30" s="8">
        <v>4</v>
      </c>
      <c r="S30" s="8">
        <v>0</v>
      </c>
      <c r="T30" s="23">
        <v>4</v>
      </c>
      <c r="U30" s="16" t="s">
        <v>187</v>
      </c>
      <c r="V30" s="16" t="s">
        <v>196</v>
      </c>
      <c r="W30" s="16" t="s">
        <v>197</v>
      </c>
    </row>
    <row r="31" spans="2:23" ht="15" customHeight="1">
      <c r="B31" s="16" t="s">
        <v>198</v>
      </c>
      <c r="C31" s="16" t="s">
        <v>184</v>
      </c>
      <c r="D31" s="16" t="s">
        <v>199</v>
      </c>
      <c r="E31" s="16" t="s">
        <v>62</v>
      </c>
      <c r="F31" s="16" t="s">
        <v>186</v>
      </c>
      <c r="G31" s="8">
        <v>4</v>
      </c>
      <c r="H31" s="8">
        <v>51</v>
      </c>
      <c r="I31" s="8">
        <v>50</v>
      </c>
      <c r="J31" s="8">
        <v>7606</v>
      </c>
      <c r="K31" s="8">
        <v>223</v>
      </c>
      <c r="L31" s="8">
        <v>52</v>
      </c>
      <c r="M31" s="8">
        <v>20</v>
      </c>
      <c r="N31" s="8">
        <v>31</v>
      </c>
      <c r="O31" s="8">
        <v>1</v>
      </c>
      <c r="P31" s="8">
        <v>0</v>
      </c>
      <c r="Q31" s="8">
        <v>1</v>
      </c>
      <c r="R31" s="8">
        <v>3</v>
      </c>
      <c r="S31" s="8">
        <v>0</v>
      </c>
      <c r="T31" s="23">
        <v>3</v>
      </c>
      <c r="U31" s="16" t="s">
        <v>187</v>
      </c>
      <c r="V31" s="16" t="s">
        <v>200</v>
      </c>
      <c r="W31" s="16" t="s">
        <v>201</v>
      </c>
    </row>
    <row r="32" spans="2:23" ht="15" customHeight="1">
      <c r="B32" s="16" t="s">
        <v>202</v>
      </c>
      <c r="C32" s="16" t="s">
        <v>154</v>
      </c>
      <c r="D32" s="16" t="s">
        <v>203</v>
      </c>
      <c r="E32" s="16" t="s">
        <v>78</v>
      </c>
      <c r="F32" s="16" t="s">
        <v>192</v>
      </c>
      <c r="G32" s="8">
        <v>4</v>
      </c>
      <c r="H32" s="8">
        <v>237</v>
      </c>
      <c r="I32" s="8">
        <v>16</v>
      </c>
      <c r="J32" s="8">
        <v>36500</v>
      </c>
      <c r="K32" s="8">
        <v>0</v>
      </c>
      <c r="L32" s="8">
        <v>1</v>
      </c>
      <c r="M32" s="8">
        <v>0</v>
      </c>
      <c r="N32" s="8">
        <v>1</v>
      </c>
      <c r="O32" s="8">
        <v>0</v>
      </c>
      <c r="P32" s="8">
        <v>0</v>
      </c>
      <c r="Q32" s="8">
        <v>1</v>
      </c>
      <c r="R32" s="8">
        <v>2</v>
      </c>
      <c r="S32" s="8">
        <v>1</v>
      </c>
      <c r="T32" s="23">
        <v>4</v>
      </c>
      <c r="U32" s="16"/>
      <c r="V32" s="16" t="s">
        <v>50</v>
      </c>
      <c r="W32" s="16"/>
    </row>
    <row r="33" spans="2:23" ht="15" customHeight="1">
      <c r="B33" s="16" t="s">
        <v>204</v>
      </c>
      <c r="C33" s="16" t="s">
        <v>184</v>
      </c>
      <c r="D33" s="16" t="s">
        <v>205</v>
      </c>
      <c r="E33" s="16" t="s">
        <v>68</v>
      </c>
      <c r="F33" s="16" t="s">
        <v>192</v>
      </c>
      <c r="G33" s="8">
        <v>4</v>
      </c>
      <c r="H33" s="8">
        <v>0</v>
      </c>
      <c r="I33" s="8">
        <v>0</v>
      </c>
      <c r="J33" s="8">
        <v>756733</v>
      </c>
      <c r="K33" s="8">
        <v>0</v>
      </c>
      <c r="L33" s="8">
        <v>8</v>
      </c>
      <c r="M33" s="8">
        <v>8</v>
      </c>
      <c r="N33" s="8">
        <v>0</v>
      </c>
      <c r="O33" s="8">
        <v>0</v>
      </c>
      <c r="P33" s="8">
        <v>0</v>
      </c>
      <c r="Q33" s="8">
        <v>2</v>
      </c>
      <c r="R33" s="8">
        <v>2</v>
      </c>
      <c r="S33" s="8">
        <v>0</v>
      </c>
      <c r="T33" s="23">
        <v>4</v>
      </c>
      <c r="U33" s="16"/>
      <c r="V33" s="16" t="s">
        <v>50</v>
      </c>
      <c r="W33" s="16"/>
    </row>
    <row r="34" spans="2:23" ht="15" customHeight="1">
      <c r="B34" s="16" t="s">
        <v>206</v>
      </c>
      <c r="C34" s="16" t="s">
        <v>184</v>
      </c>
      <c r="D34" s="16" t="s">
        <v>207</v>
      </c>
      <c r="E34" s="16" t="s">
        <v>65</v>
      </c>
      <c r="F34" s="16" t="s">
        <v>186</v>
      </c>
      <c r="G34" s="8">
        <v>4</v>
      </c>
      <c r="H34" s="8">
        <v>0</v>
      </c>
      <c r="I34" s="8">
        <v>0</v>
      </c>
      <c r="J34" s="8">
        <v>3831</v>
      </c>
      <c r="K34" s="8">
        <v>0</v>
      </c>
      <c r="L34" s="8">
        <v>0</v>
      </c>
      <c r="M34" s="8">
        <v>0</v>
      </c>
      <c r="N34" s="8">
        <v>0</v>
      </c>
      <c r="O34" s="8">
        <v>0</v>
      </c>
      <c r="P34" s="8">
        <v>0</v>
      </c>
      <c r="Q34" s="8">
        <v>0</v>
      </c>
      <c r="R34" s="8">
        <v>2</v>
      </c>
      <c r="S34" s="8">
        <v>2</v>
      </c>
      <c r="T34" s="23">
        <v>3</v>
      </c>
      <c r="U34" s="16"/>
      <c r="V34" s="16" t="s">
        <v>50</v>
      </c>
      <c r="W34" s="16"/>
    </row>
    <row r="35" spans="2:23" ht="15" customHeight="1">
      <c r="B35" s="16" t="s">
        <v>208</v>
      </c>
      <c r="C35" s="16" t="s">
        <v>184</v>
      </c>
      <c r="D35" s="16" t="s">
        <v>209</v>
      </c>
      <c r="E35" s="16" t="s">
        <v>91</v>
      </c>
      <c r="F35" s="16" t="s">
        <v>192</v>
      </c>
      <c r="G35" s="8">
        <v>4</v>
      </c>
      <c r="H35" s="8"/>
      <c r="I35" s="8">
        <v>0</v>
      </c>
      <c r="J35" s="8">
        <v>0</v>
      </c>
      <c r="K35" s="8">
        <v>0</v>
      </c>
      <c r="L35" s="8">
        <v>0</v>
      </c>
      <c r="M35" s="8">
        <v>0</v>
      </c>
      <c r="N35" s="8">
        <v>0</v>
      </c>
      <c r="O35" s="8">
        <v>0</v>
      </c>
      <c r="P35" s="8">
        <v>0</v>
      </c>
      <c r="Q35" s="8">
        <v>0</v>
      </c>
      <c r="R35" s="8">
        <v>4</v>
      </c>
      <c r="S35" s="8">
        <v>0</v>
      </c>
      <c r="T35" s="23">
        <v>4</v>
      </c>
      <c r="U35" s="16"/>
      <c r="V35" s="16" t="s">
        <v>50</v>
      </c>
      <c r="W35" s="16"/>
    </row>
    <row r="36" spans="2:23" ht="15" customHeight="1">
      <c r="B36" s="16" t="s">
        <v>210</v>
      </c>
      <c r="C36" s="16" t="s">
        <v>184</v>
      </c>
      <c r="D36" s="16" t="s">
        <v>211</v>
      </c>
      <c r="E36" s="16" t="s">
        <v>89</v>
      </c>
      <c r="F36" s="16" t="s">
        <v>192</v>
      </c>
      <c r="G36" s="8">
        <v>4</v>
      </c>
      <c r="H36" s="8"/>
      <c r="I36" s="8">
        <v>0</v>
      </c>
      <c r="J36" s="8">
        <v>0</v>
      </c>
      <c r="K36" s="8">
        <v>0</v>
      </c>
      <c r="L36" s="8">
        <v>0</v>
      </c>
      <c r="M36" s="8">
        <v>0</v>
      </c>
      <c r="N36" s="8">
        <v>0</v>
      </c>
      <c r="O36" s="8">
        <v>0</v>
      </c>
      <c r="P36" s="8">
        <v>0</v>
      </c>
      <c r="Q36" s="8">
        <v>1</v>
      </c>
      <c r="R36" s="8">
        <v>3</v>
      </c>
      <c r="S36" s="8">
        <v>0</v>
      </c>
      <c r="T36" s="23">
        <v>3</v>
      </c>
      <c r="U36" s="16"/>
      <c r="V36" s="16" t="s">
        <v>50</v>
      </c>
      <c r="W36" s="16"/>
    </row>
    <row r="37" spans="2:23" ht="15" customHeight="1">
      <c r="B37" s="16" t="s">
        <v>212</v>
      </c>
      <c r="C37" s="16" t="s">
        <v>151</v>
      </c>
      <c r="D37" s="16" t="s">
        <v>213</v>
      </c>
      <c r="E37" s="16" t="s">
        <v>62</v>
      </c>
      <c r="F37" s="16" t="s">
        <v>186</v>
      </c>
      <c r="G37" s="8">
        <v>3</v>
      </c>
      <c r="H37" s="8">
        <v>72</v>
      </c>
      <c r="I37" s="8">
        <v>55</v>
      </c>
      <c r="J37" s="8">
        <v>145545</v>
      </c>
      <c r="K37" s="8">
        <v>12409</v>
      </c>
      <c r="L37" s="8">
        <v>3</v>
      </c>
      <c r="M37" s="8">
        <v>2</v>
      </c>
      <c r="N37" s="8">
        <v>1</v>
      </c>
      <c r="O37" s="8">
        <v>0</v>
      </c>
      <c r="P37" s="8">
        <v>0</v>
      </c>
      <c r="Q37" s="8">
        <v>1</v>
      </c>
      <c r="R37" s="8">
        <v>2</v>
      </c>
      <c r="S37" s="8">
        <v>0</v>
      </c>
      <c r="T37" s="23">
        <v>3</v>
      </c>
      <c r="U37" s="16"/>
      <c r="V37" s="16" t="s">
        <v>50</v>
      </c>
      <c r="W37" s="16"/>
    </row>
    <row r="38" spans="2:23" ht="15" customHeight="1">
      <c r="B38" s="16" t="s">
        <v>214</v>
      </c>
      <c r="C38" s="16" t="s">
        <v>151</v>
      </c>
      <c r="D38" s="16" t="s">
        <v>215</v>
      </c>
      <c r="E38" s="16" t="s">
        <v>62</v>
      </c>
      <c r="F38" s="16" t="s">
        <v>186</v>
      </c>
      <c r="G38" s="8">
        <v>3</v>
      </c>
      <c r="H38" s="8">
        <v>410</v>
      </c>
      <c r="I38" s="8">
        <v>18</v>
      </c>
      <c r="J38" s="8">
        <v>102407</v>
      </c>
      <c r="K38" s="8">
        <v>0</v>
      </c>
      <c r="L38" s="8">
        <v>12</v>
      </c>
      <c r="M38" s="8">
        <v>12</v>
      </c>
      <c r="N38" s="8">
        <v>0</v>
      </c>
      <c r="O38" s="8">
        <v>0</v>
      </c>
      <c r="P38" s="8">
        <v>0</v>
      </c>
      <c r="Q38" s="8">
        <v>0</v>
      </c>
      <c r="R38" s="8">
        <v>2</v>
      </c>
      <c r="S38" s="8">
        <v>1</v>
      </c>
      <c r="T38" s="23">
        <v>2</v>
      </c>
      <c r="U38" s="16"/>
      <c r="V38" s="16" t="s">
        <v>50</v>
      </c>
      <c r="W38" s="16"/>
    </row>
    <row r="39" spans="2:23" ht="15" customHeight="1">
      <c r="B39" s="16" t="s">
        <v>216</v>
      </c>
      <c r="C39" s="16" t="s">
        <v>184</v>
      </c>
      <c r="D39" s="16" t="s">
        <v>217</v>
      </c>
      <c r="E39" s="16" t="s">
        <v>62</v>
      </c>
      <c r="F39" s="16" t="s">
        <v>186</v>
      </c>
      <c r="G39" s="8">
        <v>3</v>
      </c>
      <c r="H39" s="8">
        <v>199</v>
      </c>
      <c r="I39" s="8">
        <v>9</v>
      </c>
      <c r="J39" s="8">
        <v>66349</v>
      </c>
      <c r="K39" s="8">
        <v>0</v>
      </c>
      <c r="L39" s="8">
        <v>0</v>
      </c>
      <c r="M39" s="8">
        <v>0</v>
      </c>
      <c r="N39" s="8">
        <v>0</v>
      </c>
      <c r="O39" s="8">
        <v>0</v>
      </c>
      <c r="P39" s="8">
        <v>0</v>
      </c>
      <c r="Q39" s="8">
        <v>1</v>
      </c>
      <c r="R39" s="8">
        <v>2</v>
      </c>
      <c r="S39" s="8">
        <v>0</v>
      </c>
      <c r="T39" s="23">
        <v>2</v>
      </c>
      <c r="U39" s="16" t="s">
        <v>187</v>
      </c>
      <c r="V39" s="16" t="s">
        <v>218</v>
      </c>
      <c r="W39" s="16" t="s">
        <v>219</v>
      </c>
    </row>
    <row r="40" spans="2:23" ht="15" customHeight="1">
      <c r="B40" s="16" t="s">
        <v>220</v>
      </c>
      <c r="C40" s="16" t="s">
        <v>184</v>
      </c>
      <c r="D40" s="16" t="s">
        <v>221</v>
      </c>
      <c r="E40" s="16" t="s">
        <v>81</v>
      </c>
      <c r="F40" s="16" t="s">
        <v>222</v>
      </c>
      <c r="G40" s="8">
        <v>3</v>
      </c>
      <c r="H40" s="8">
        <v>323</v>
      </c>
      <c r="I40" s="8">
        <v>15</v>
      </c>
      <c r="J40" s="8">
        <v>47551</v>
      </c>
      <c r="K40" s="8">
        <v>0</v>
      </c>
      <c r="L40" s="8">
        <v>0</v>
      </c>
      <c r="M40" s="8">
        <v>0</v>
      </c>
      <c r="N40" s="8">
        <v>0</v>
      </c>
      <c r="O40" s="8">
        <v>0</v>
      </c>
      <c r="P40" s="8">
        <v>0</v>
      </c>
      <c r="Q40" s="8">
        <v>0</v>
      </c>
      <c r="R40" s="8">
        <v>3</v>
      </c>
      <c r="S40" s="8">
        <v>0</v>
      </c>
      <c r="T40" s="23">
        <v>2</v>
      </c>
      <c r="U40" s="16"/>
      <c r="V40" s="16" t="s">
        <v>50</v>
      </c>
      <c r="W40" s="16"/>
    </row>
    <row r="41" spans="2:23" ht="15" customHeight="1">
      <c r="B41" s="16" t="s">
        <v>223</v>
      </c>
      <c r="C41" s="16" t="s">
        <v>184</v>
      </c>
      <c r="D41" s="16" t="s">
        <v>224</v>
      </c>
      <c r="E41" s="16" t="s">
        <v>78</v>
      </c>
      <c r="F41" s="16" t="s">
        <v>192</v>
      </c>
      <c r="G41" s="8">
        <v>3</v>
      </c>
      <c r="H41" s="8">
        <v>45</v>
      </c>
      <c r="I41" s="8">
        <v>77</v>
      </c>
      <c r="J41" s="8">
        <v>12000</v>
      </c>
      <c r="K41" s="8">
        <v>12074</v>
      </c>
      <c r="L41" s="8">
        <v>98</v>
      </c>
      <c r="M41" s="8">
        <v>84</v>
      </c>
      <c r="N41" s="8">
        <v>14</v>
      </c>
      <c r="O41" s="8">
        <v>0</v>
      </c>
      <c r="P41" s="8">
        <v>0</v>
      </c>
      <c r="Q41" s="8">
        <v>0</v>
      </c>
      <c r="R41" s="8">
        <v>3</v>
      </c>
      <c r="S41" s="8">
        <v>0</v>
      </c>
      <c r="T41" s="23">
        <v>1</v>
      </c>
      <c r="U41" s="16"/>
      <c r="V41" s="16" t="s">
        <v>50</v>
      </c>
      <c r="W41" s="16"/>
    </row>
    <row r="42" spans="2:23" ht="15" customHeight="1">
      <c r="B42" s="16" t="s">
        <v>225</v>
      </c>
      <c r="C42" s="16" t="s">
        <v>184</v>
      </c>
      <c r="D42" s="16" t="s">
        <v>226</v>
      </c>
      <c r="E42" s="16" t="s">
        <v>68</v>
      </c>
      <c r="F42" s="16" t="s">
        <v>192</v>
      </c>
      <c r="G42" s="8">
        <v>3</v>
      </c>
      <c r="H42" s="8">
        <v>0</v>
      </c>
      <c r="I42" s="8">
        <v>0</v>
      </c>
      <c r="J42" s="8">
        <v>258004</v>
      </c>
      <c r="K42" s="8">
        <v>0</v>
      </c>
      <c r="L42" s="8">
        <v>0</v>
      </c>
      <c r="M42" s="8">
        <v>0</v>
      </c>
      <c r="N42" s="8">
        <v>0</v>
      </c>
      <c r="O42" s="8">
        <v>0</v>
      </c>
      <c r="P42" s="8">
        <v>0</v>
      </c>
      <c r="Q42" s="8">
        <v>2</v>
      </c>
      <c r="R42" s="8">
        <v>0</v>
      </c>
      <c r="S42" s="8">
        <v>1</v>
      </c>
      <c r="T42" s="23">
        <v>3</v>
      </c>
      <c r="U42" s="16"/>
      <c r="V42" s="16" t="s">
        <v>50</v>
      </c>
      <c r="W42" s="16"/>
    </row>
    <row r="43" spans="2:23" ht="15" customHeight="1">
      <c r="B43" s="16" t="s">
        <v>227</v>
      </c>
      <c r="C43" s="16" t="s">
        <v>154</v>
      </c>
      <c r="D43" s="16" t="s">
        <v>228</v>
      </c>
      <c r="E43" s="16" t="s">
        <v>78</v>
      </c>
      <c r="F43" s="16" t="s">
        <v>192</v>
      </c>
      <c r="G43" s="8">
        <v>3</v>
      </c>
      <c r="H43" s="8">
        <v>277</v>
      </c>
      <c r="I43" s="8">
        <v>285</v>
      </c>
      <c r="J43" s="8">
        <v>89400</v>
      </c>
      <c r="K43" s="8">
        <v>23332</v>
      </c>
      <c r="L43" s="8">
        <v>1280</v>
      </c>
      <c r="M43" s="8">
        <v>1073</v>
      </c>
      <c r="N43" s="8">
        <v>207</v>
      </c>
      <c r="O43" s="8">
        <v>0</v>
      </c>
      <c r="P43" s="8">
        <v>0</v>
      </c>
      <c r="Q43" s="8">
        <v>0</v>
      </c>
      <c r="R43" s="8">
        <v>1</v>
      </c>
      <c r="S43" s="8">
        <v>2</v>
      </c>
      <c r="T43" s="23">
        <v>3</v>
      </c>
      <c r="U43" s="16"/>
      <c r="V43" s="16" t="s">
        <v>50</v>
      </c>
      <c r="W43" s="16"/>
    </row>
    <row r="44" spans="2:23" ht="15" customHeight="1">
      <c r="B44" s="16" t="s">
        <v>229</v>
      </c>
      <c r="C44" s="16" t="s">
        <v>184</v>
      </c>
      <c r="D44" s="16" t="s">
        <v>230</v>
      </c>
      <c r="E44" s="16" t="s">
        <v>93</v>
      </c>
      <c r="F44" s="16" t="s">
        <v>186</v>
      </c>
      <c r="G44" s="8">
        <v>3</v>
      </c>
      <c r="H44" s="8"/>
      <c r="I44" s="8">
        <v>0</v>
      </c>
      <c r="J44" s="8">
        <v>116186</v>
      </c>
      <c r="K44" s="8">
        <v>0</v>
      </c>
      <c r="L44" s="8">
        <v>2</v>
      </c>
      <c r="M44" s="8">
        <v>2</v>
      </c>
      <c r="N44" s="8">
        <v>0</v>
      </c>
      <c r="O44" s="8">
        <v>0</v>
      </c>
      <c r="P44" s="8">
        <v>0</v>
      </c>
      <c r="Q44" s="8">
        <v>1</v>
      </c>
      <c r="R44" s="8">
        <v>2</v>
      </c>
      <c r="S44" s="8">
        <v>0</v>
      </c>
      <c r="T44" s="23">
        <v>3</v>
      </c>
      <c r="U44" s="16"/>
      <c r="V44" s="16" t="s">
        <v>50</v>
      </c>
      <c r="W44" s="16"/>
    </row>
    <row r="45" spans="2:23" ht="15" customHeight="1">
      <c r="B45" s="16" t="s">
        <v>231</v>
      </c>
      <c r="C45" s="16" t="s">
        <v>184</v>
      </c>
      <c r="D45" s="16" t="s">
        <v>232</v>
      </c>
      <c r="E45" s="16" t="s">
        <v>68</v>
      </c>
      <c r="F45" s="16" t="s">
        <v>192</v>
      </c>
      <c r="G45" s="8">
        <v>3</v>
      </c>
      <c r="H45" s="8">
        <v>0</v>
      </c>
      <c r="I45" s="8">
        <v>0</v>
      </c>
      <c r="J45" s="8">
        <v>108132</v>
      </c>
      <c r="K45" s="8">
        <v>0</v>
      </c>
      <c r="L45" s="8">
        <v>4</v>
      </c>
      <c r="M45" s="8">
        <v>4</v>
      </c>
      <c r="N45" s="8">
        <v>0</v>
      </c>
      <c r="O45" s="8">
        <v>0</v>
      </c>
      <c r="P45" s="8">
        <v>0</v>
      </c>
      <c r="Q45" s="8">
        <v>1</v>
      </c>
      <c r="R45" s="8">
        <v>2</v>
      </c>
      <c r="S45" s="8">
        <v>0</v>
      </c>
      <c r="T45" s="23">
        <v>3</v>
      </c>
      <c r="U45" s="16"/>
      <c r="V45" s="16" t="s">
        <v>50</v>
      </c>
      <c r="W45" s="16"/>
    </row>
    <row r="46" spans="2:23" ht="15" customHeight="1">
      <c r="B46" s="16" t="s">
        <v>233</v>
      </c>
      <c r="C46" s="16" t="s">
        <v>234</v>
      </c>
      <c r="D46" s="16" t="s">
        <v>235</v>
      </c>
      <c r="E46" s="16" t="s">
        <v>62</v>
      </c>
      <c r="F46" s="16" t="s">
        <v>186</v>
      </c>
      <c r="G46" s="8">
        <v>3</v>
      </c>
      <c r="H46" s="8">
        <v>398</v>
      </c>
      <c r="I46" s="8">
        <v>18</v>
      </c>
      <c r="J46" s="8">
        <v>197908</v>
      </c>
      <c r="K46" s="8">
        <v>0</v>
      </c>
      <c r="L46" s="8">
        <v>0</v>
      </c>
      <c r="M46" s="8">
        <v>0</v>
      </c>
      <c r="N46" s="8">
        <v>0</v>
      </c>
      <c r="O46" s="8">
        <v>0</v>
      </c>
      <c r="P46" s="8">
        <v>0</v>
      </c>
      <c r="Q46" s="8">
        <v>2</v>
      </c>
      <c r="R46" s="8">
        <v>1</v>
      </c>
      <c r="S46" s="8">
        <v>0</v>
      </c>
      <c r="T46" s="23">
        <v>2</v>
      </c>
      <c r="U46" s="16" t="s">
        <v>187</v>
      </c>
      <c r="V46" s="16" t="s">
        <v>236</v>
      </c>
      <c r="W46" s="16" t="s">
        <v>237</v>
      </c>
    </row>
    <row r="47" spans="2:23" ht="15" customHeight="1">
      <c r="B47" s="16" t="s">
        <v>238</v>
      </c>
      <c r="C47" s="16" t="s">
        <v>184</v>
      </c>
      <c r="D47" s="16" t="s">
        <v>239</v>
      </c>
      <c r="E47" s="16" t="s">
        <v>65</v>
      </c>
      <c r="F47" s="16" t="s">
        <v>186</v>
      </c>
      <c r="G47" s="8">
        <v>3</v>
      </c>
      <c r="H47" s="8">
        <v>408</v>
      </c>
      <c r="I47" s="8">
        <v>1224</v>
      </c>
      <c r="J47" s="8">
        <v>8151</v>
      </c>
      <c r="K47" s="8">
        <v>14970</v>
      </c>
      <c r="L47" s="8">
        <v>991</v>
      </c>
      <c r="M47" s="8">
        <v>953</v>
      </c>
      <c r="N47" s="8">
        <v>38</v>
      </c>
      <c r="O47" s="8">
        <v>0</v>
      </c>
      <c r="P47" s="8">
        <v>0</v>
      </c>
      <c r="Q47" s="8">
        <v>1</v>
      </c>
      <c r="R47" s="8">
        <v>2</v>
      </c>
      <c r="S47" s="8">
        <v>0</v>
      </c>
      <c r="T47" s="23">
        <v>1</v>
      </c>
      <c r="U47" s="16"/>
      <c r="V47" s="16" t="s">
        <v>50</v>
      </c>
      <c r="W47" s="16"/>
    </row>
    <row r="48" spans="2:23" ht="15" customHeight="1">
      <c r="B48" s="16" t="s">
        <v>240</v>
      </c>
      <c r="C48" s="16" t="s">
        <v>184</v>
      </c>
      <c r="D48" s="16" t="s">
        <v>241</v>
      </c>
      <c r="E48" s="16" t="s">
        <v>73</v>
      </c>
      <c r="F48" s="16" t="s">
        <v>192</v>
      </c>
      <c r="G48" s="8">
        <v>3</v>
      </c>
      <c r="H48" s="8"/>
      <c r="I48" s="8">
        <v>0</v>
      </c>
      <c r="J48" s="8">
        <v>0</v>
      </c>
      <c r="K48" s="8">
        <v>0</v>
      </c>
      <c r="L48" s="8">
        <v>0</v>
      </c>
      <c r="M48" s="8">
        <v>0</v>
      </c>
      <c r="N48" s="8">
        <v>0</v>
      </c>
      <c r="O48" s="8">
        <v>0</v>
      </c>
      <c r="P48" s="8">
        <v>0</v>
      </c>
      <c r="Q48" s="8">
        <v>1</v>
      </c>
      <c r="R48" s="8">
        <v>2</v>
      </c>
      <c r="S48" s="8">
        <v>0</v>
      </c>
      <c r="T48" s="23">
        <v>2</v>
      </c>
      <c r="U48" s="16"/>
      <c r="V48" s="16" t="s">
        <v>50</v>
      </c>
      <c r="W48" s="16"/>
    </row>
    <row r="49" spans="2:23" ht="15" customHeight="1">
      <c r="B49" s="16" t="s">
        <v>242</v>
      </c>
      <c r="C49" s="16" t="s">
        <v>184</v>
      </c>
      <c r="D49" s="16" t="s">
        <v>243</v>
      </c>
      <c r="E49" s="16" t="s">
        <v>62</v>
      </c>
      <c r="F49" s="16" t="s">
        <v>186</v>
      </c>
      <c r="G49" s="8">
        <v>2</v>
      </c>
      <c r="H49" s="8">
        <v>165</v>
      </c>
      <c r="I49" s="8">
        <v>6</v>
      </c>
      <c r="J49" s="8">
        <v>58476</v>
      </c>
      <c r="K49" s="8">
        <v>0</v>
      </c>
      <c r="L49" s="8">
        <v>1</v>
      </c>
      <c r="M49" s="8">
        <v>1</v>
      </c>
      <c r="N49" s="8">
        <v>0</v>
      </c>
      <c r="O49" s="8">
        <v>0</v>
      </c>
      <c r="P49" s="8">
        <v>0</v>
      </c>
      <c r="Q49" s="8">
        <v>2</v>
      </c>
      <c r="R49" s="8">
        <v>0</v>
      </c>
      <c r="S49" s="8">
        <v>0</v>
      </c>
      <c r="T49" s="23">
        <v>2</v>
      </c>
      <c r="U49" s="16"/>
      <c r="V49" s="16" t="s">
        <v>50</v>
      </c>
      <c r="W49" s="16"/>
    </row>
    <row r="50" spans="2:23" ht="15" customHeight="1">
      <c r="B50" s="16" t="s">
        <v>244</v>
      </c>
      <c r="C50" s="16" t="s">
        <v>184</v>
      </c>
      <c r="D50" s="16" t="s">
        <v>245</v>
      </c>
      <c r="E50" s="16" t="s">
        <v>62</v>
      </c>
      <c r="F50" s="16" t="s">
        <v>186</v>
      </c>
      <c r="G50" s="8">
        <v>2</v>
      </c>
      <c r="H50" s="8">
        <v>124</v>
      </c>
      <c r="I50" s="8">
        <v>90</v>
      </c>
      <c r="J50" s="8">
        <v>65147</v>
      </c>
      <c r="K50" s="8">
        <v>0</v>
      </c>
      <c r="L50" s="8">
        <v>4</v>
      </c>
      <c r="M50" s="8">
        <v>0</v>
      </c>
      <c r="N50" s="8">
        <v>4</v>
      </c>
      <c r="O50" s="8">
        <v>0</v>
      </c>
      <c r="P50" s="8">
        <v>0</v>
      </c>
      <c r="Q50" s="8">
        <v>0</v>
      </c>
      <c r="R50" s="8">
        <v>2</v>
      </c>
      <c r="S50" s="8">
        <v>0</v>
      </c>
      <c r="T50" s="23">
        <v>1</v>
      </c>
      <c r="U50" s="16" t="s">
        <v>187</v>
      </c>
      <c r="V50" s="16" t="s">
        <v>200</v>
      </c>
      <c r="W50" s="16" t="s">
        <v>201</v>
      </c>
    </row>
    <row r="51" spans="2:23" ht="15" customHeight="1">
      <c r="B51" s="16" t="s">
        <v>246</v>
      </c>
      <c r="C51" s="16" t="s">
        <v>151</v>
      </c>
      <c r="D51" s="16" t="s">
        <v>247</v>
      </c>
      <c r="E51" s="16" t="s">
        <v>62</v>
      </c>
      <c r="F51" s="16" t="s">
        <v>186</v>
      </c>
      <c r="G51" s="8">
        <v>2</v>
      </c>
      <c r="H51" s="8">
        <v>109</v>
      </c>
      <c r="I51" s="8">
        <v>83</v>
      </c>
      <c r="J51" s="8">
        <v>89236</v>
      </c>
      <c r="K51" s="8">
        <v>13823</v>
      </c>
      <c r="L51" s="8">
        <v>76</v>
      </c>
      <c r="M51" s="8">
        <v>15</v>
      </c>
      <c r="N51" s="8">
        <v>55</v>
      </c>
      <c r="O51" s="8">
        <v>6</v>
      </c>
      <c r="P51" s="8">
        <v>0</v>
      </c>
      <c r="Q51" s="8">
        <v>1</v>
      </c>
      <c r="R51" s="8">
        <v>1</v>
      </c>
      <c r="S51" s="8">
        <v>0</v>
      </c>
      <c r="T51" s="23">
        <v>2</v>
      </c>
      <c r="U51" s="16"/>
      <c r="V51" s="16" t="s">
        <v>50</v>
      </c>
      <c r="W51" s="16"/>
    </row>
    <row r="52" spans="2:23" ht="15" customHeight="1">
      <c r="B52" s="16" t="s">
        <v>248</v>
      </c>
      <c r="C52" s="16" t="s">
        <v>161</v>
      </c>
      <c r="D52" s="16" t="s">
        <v>249</v>
      </c>
      <c r="E52" s="16" t="s">
        <v>62</v>
      </c>
      <c r="F52" s="16" t="s">
        <v>186</v>
      </c>
      <c r="G52" s="8">
        <v>2</v>
      </c>
      <c r="H52" s="8">
        <v>326</v>
      </c>
      <c r="I52" s="8">
        <v>10</v>
      </c>
      <c r="J52" s="8">
        <v>422734</v>
      </c>
      <c r="K52" s="8">
        <v>0</v>
      </c>
      <c r="L52" s="8">
        <v>0</v>
      </c>
      <c r="M52" s="8">
        <v>0</v>
      </c>
      <c r="N52" s="8">
        <v>0</v>
      </c>
      <c r="O52" s="8">
        <v>0</v>
      </c>
      <c r="P52" s="8">
        <v>0</v>
      </c>
      <c r="Q52" s="8">
        <v>0</v>
      </c>
      <c r="R52" s="8">
        <v>2</v>
      </c>
      <c r="S52" s="8">
        <v>0</v>
      </c>
      <c r="T52" s="23">
        <v>2</v>
      </c>
      <c r="U52" s="16" t="s">
        <v>187</v>
      </c>
      <c r="V52" s="16" t="s">
        <v>188</v>
      </c>
      <c r="W52" s="16" t="s">
        <v>189</v>
      </c>
    </row>
    <row r="53" spans="2:23" ht="15" customHeight="1">
      <c r="B53" s="16" t="s">
        <v>250</v>
      </c>
      <c r="C53" s="16" t="s">
        <v>151</v>
      </c>
      <c r="D53" s="16" t="s">
        <v>251</v>
      </c>
      <c r="E53" s="16" t="s">
        <v>62</v>
      </c>
      <c r="F53" s="16" t="s">
        <v>186</v>
      </c>
      <c r="G53" s="8">
        <v>2</v>
      </c>
      <c r="H53" s="8">
        <v>110</v>
      </c>
      <c r="I53" s="8">
        <v>4</v>
      </c>
      <c r="J53" s="8">
        <v>49926</v>
      </c>
      <c r="K53" s="8">
        <v>0</v>
      </c>
      <c r="L53" s="8">
        <v>1</v>
      </c>
      <c r="M53" s="8">
        <v>1</v>
      </c>
      <c r="N53" s="8">
        <v>0</v>
      </c>
      <c r="O53" s="8">
        <v>0</v>
      </c>
      <c r="P53" s="8">
        <v>0</v>
      </c>
      <c r="Q53" s="8">
        <v>2</v>
      </c>
      <c r="R53" s="8">
        <v>0</v>
      </c>
      <c r="S53" s="8">
        <v>0</v>
      </c>
      <c r="T53" s="23">
        <v>1</v>
      </c>
      <c r="U53" s="16"/>
      <c r="V53" s="16" t="s">
        <v>50</v>
      </c>
      <c r="W53" s="16"/>
    </row>
    <row r="54" spans="2:23" ht="15" customHeight="1">
      <c r="B54" s="16" t="s">
        <v>252</v>
      </c>
      <c r="C54" s="16" t="s">
        <v>184</v>
      </c>
      <c r="D54" s="16" t="s">
        <v>253</v>
      </c>
      <c r="E54" s="16" t="s">
        <v>62</v>
      </c>
      <c r="F54" s="16" t="s">
        <v>186</v>
      </c>
      <c r="G54" s="8">
        <v>2</v>
      </c>
      <c r="H54" s="8">
        <v>0</v>
      </c>
      <c r="I54" s="8">
        <v>0</v>
      </c>
      <c r="J54" s="8">
        <v>18236</v>
      </c>
      <c r="K54" s="8">
        <v>331</v>
      </c>
      <c r="L54" s="8">
        <v>0</v>
      </c>
      <c r="M54" s="8">
        <v>0</v>
      </c>
      <c r="N54" s="8">
        <v>0</v>
      </c>
      <c r="O54" s="8">
        <v>0</v>
      </c>
      <c r="P54" s="8">
        <v>0</v>
      </c>
      <c r="Q54" s="8">
        <v>0</v>
      </c>
      <c r="R54" s="8">
        <v>2</v>
      </c>
      <c r="S54" s="8">
        <v>0</v>
      </c>
      <c r="T54" s="23">
        <v>2</v>
      </c>
      <c r="U54" s="16"/>
      <c r="V54" s="16" t="s">
        <v>50</v>
      </c>
      <c r="W54" s="16"/>
    </row>
    <row r="55" spans="2:23" ht="15" customHeight="1">
      <c r="B55" s="16" t="s">
        <v>254</v>
      </c>
      <c r="C55" s="16" t="s">
        <v>151</v>
      </c>
      <c r="D55" s="16" t="s">
        <v>255</v>
      </c>
      <c r="E55" s="16" t="s">
        <v>62</v>
      </c>
      <c r="F55" s="16" t="s">
        <v>186</v>
      </c>
      <c r="G55" s="8">
        <v>2</v>
      </c>
      <c r="H55" s="8">
        <v>158</v>
      </c>
      <c r="I55" s="8">
        <v>5</v>
      </c>
      <c r="J55" s="8">
        <v>104566</v>
      </c>
      <c r="K55" s="8">
        <v>0</v>
      </c>
      <c r="L55" s="8">
        <v>0</v>
      </c>
      <c r="M55" s="8">
        <v>0</v>
      </c>
      <c r="N55" s="8">
        <v>0</v>
      </c>
      <c r="O55" s="8">
        <v>0</v>
      </c>
      <c r="P55" s="8">
        <v>0</v>
      </c>
      <c r="Q55" s="8">
        <v>1</v>
      </c>
      <c r="R55" s="8">
        <v>1</v>
      </c>
      <c r="S55" s="8">
        <v>0</v>
      </c>
      <c r="T55" s="23">
        <v>2</v>
      </c>
      <c r="U55" s="16" t="s">
        <v>187</v>
      </c>
      <c r="V55" s="16" t="s">
        <v>256</v>
      </c>
      <c r="W55" s="16" t="s">
        <v>257</v>
      </c>
    </row>
    <row r="56" spans="2:23" ht="15" customHeight="1">
      <c r="B56" s="16" t="s">
        <v>258</v>
      </c>
      <c r="C56" s="16" t="s">
        <v>151</v>
      </c>
      <c r="D56" s="16" t="s">
        <v>259</v>
      </c>
      <c r="E56" s="16" t="s">
        <v>62</v>
      </c>
      <c r="F56" s="16" t="s">
        <v>186</v>
      </c>
      <c r="G56" s="8">
        <v>2</v>
      </c>
      <c r="H56" s="8">
        <v>10</v>
      </c>
      <c r="I56" s="8">
        <v>9</v>
      </c>
      <c r="J56" s="8">
        <v>68708</v>
      </c>
      <c r="K56" s="8">
        <v>2831</v>
      </c>
      <c r="L56" s="8">
        <v>9</v>
      </c>
      <c r="M56" s="8">
        <v>3</v>
      </c>
      <c r="N56" s="8">
        <v>5</v>
      </c>
      <c r="O56" s="8">
        <v>1</v>
      </c>
      <c r="P56" s="8">
        <v>0</v>
      </c>
      <c r="Q56" s="8">
        <v>0</v>
      </c>
      <c r="R56" s="8">
        <v>1</v>
      </c>
      <c r="S56" s="8">
        <v>1</v>
      </c>
      <c r="T56" s="23">
        <v>2</v>
      </c>
      <c r="U56" s="16"/>
      <c r="V56" s="16" t="s">
        <v>50</v>
      </c>
      <c r="W56" s="16"/>
    </row>
    <row r="57" spans="2:23" ht="15" customHeight="1">
      <c r="B57" s="16" t="s">
        <v>260</v>
      </c>
      <c r="C57" s="16" t="s">
        <v>152</v>
      </c>
      <c r="D57" s="16" t="s">
        <v>261</v>
      </c>
      <c r="E57" s="16" t="s">
        <v>62</v>
      </c>
      <c r="F57" s="16" t="s">
        <v>186</v>
      </c>
      <c r="G57" s="8">
        <v>2</v>
      </c>
      <c r="H57" s="8">
        <v>217</v>
      </c>
      <c r="I57" s="8">
        <v>8</v>
      </c>
      <c r="J57" s="8">
        <v>84954</v>
      </c>
      <c r="K57" s="8">
        <v>0</v>
      </c>
      <c r="L57" s="8">
        <v>0</v>
      </c>
      <c r="M57" s="8">
        <v>0</v>
      </c>
      <c r="N57" s="8">
        <v>0</v>
      </c>
      <c r="O57" s="8">
        <v>0</v>
      </c>
      <c r="P57" s="8">
        <v>0</v>
      </c>
      <c r="Q57" s="8">
        <v>0</v>
      </c>
      <c r="R57" s="8">
        <v>2</v>
      </c>
      <c r="S57" s="8">
        <v>0</v>
      </c>
      <c r="T57" s="23">
        <v>1</v>
      </c>
      <c r="U57" s="16" t="s">
        <v>187</v>
      </c>
      <c r="V57" s="16" t="s">
        <v>262</v>
      </c>
      <c r="W57" s="16" t="s">
        <v>263</v>
      </c>
    </row>
    <row r="58" spans="2:23" ht="15" customHeight="1">
      <c r="B58" s="16" t="s">
        <v>264</v>
      </c>
      <c r="C58" s="16" t="s">
        <v>184</v>
      </c>
      <c r="D58" s="16" t="s">
        <v>265</v>
      </c>
      <c r="E58" s="16" t="s">
        <v>71</v>
      </c>
      <c r="F58" s="16" t="s">
        <v>186</v>
      </c>
      <c r="G58" s="8">
        <v>2</v>
      </c>
      <c r="H58" s="8">
        <v>0</v>
      </c>
      <c r="I58" s="8">
        <v>0</v>
      </c>
      <c r="J58" s="8">
        <v>1592</v>
      </c>
      <c r="K58" s="8">
        <v>0</v>
      </c>
      <c r="L58" s="8">
        <v>0</v>
      </c>
      <c r="M58" s="8">
        <v>0</v>
      </c>
      <c r="N58" s="8">
        <v>0</v>
      </c>
      <c r="O58" s="8">
        <v>0</v>
      </c>
      <c r="P58" s="8">
        <v>0</v>
      </c>
      <c r="Q58" s="8">
        <v>0</v>
      </c>
      <c r="R58" s="8">
        <v>2</v>
      </c>
      <c r="S58" s="8">
        <v>0</v>
      </c>
      <c r="T58" s="23">
        <v>1</v>
      </c>
      <c r="U58" s="16"/>
      <c r="V58" s="16" t="s">
        <v>50</v>
      </c>
      <c r="W58" s="16"/>
    </row>
    <row r="59" spans="2:23" ht="15" customHeight="1">
      <c r="B59" s="16" t="s">
        <v>266</v>
      </c>
      <c r="C59" s="16" t="s">
        <v>151</v>
      </c>
      <c r="D59" s="16" t="s">
        <v>267</v>
      </c>
      <c r="E59" s="16" t="s">
        <v>62</v>
      </c>
      <c r="F59" s="16" t="s">
        <v>186</v>
      </c>
      <c r="G59" s="8">
        <v>2</v>
      </c>
      <c r="H59" s="8">
        <v>229</v>
      </c>
      <c r="I59" s="8">
        <v>8</v>
      </c>
      <c r="J59" s="8">
        <v>16677</v>
      </c>
      <c r="K59" s="8">
        <v>0</v>
      </c>
      <c r="L59" s="8">
        <v>0</v>
      </c>
      <c r="M59" s="8">
        <v>0</v>
      </c>
      <c r="N59" s="8">
        <v>0</v>
      </c>
      <c r="O59" s="8">
        <v>0</v>
      </c>
      <c r="P59" s="8">
        <v>0</v>
      </c>
      <c r="Q59" s="8">
        <v>0</v>
      </c>
      <c r="R59" s="8">
        <v>2</v>
      </c>
      <c r="S59" s="8">
        <v>0</v>
      </c>
      <c r="T59" s="23">
        <v>1</v>
      </c>
      <c r="U59" s="16"/>
      <c r="V59" s="16" t="s">
        <v>50</v>
      </c>
      <c r="W59" s="16"/>
    </row>
    <row r="60" spans="2:23" ht="15" customHeight="1">
      <c r="B60" s="16" t="s">
        <v>268</v>
      </c>
      <c r="C60" s="16" t="s">
        <v>269</v>
      </c>
      <c r="D60" s="16" t="s">
        <v>270</v>
      </c>
      <c r="E60" s="16" t="s">
        <v>65</v>
      </c>
      <c r="F60" s="16" t="s">
        <v>192</v>
      </c>
      <c r="G60" s="8">
        <v>2</v>
      </c>
      <c r="H60" s="8">
        <v>548</v>
      </c>
      <c r="I60" s="8">
        <v>16</v>
      </c>
      <c r="J60" s="8">
        <v>48555</v>
      </c>
      <c r="K60" s="8">
        <v>0</v>
      </c>
      <c r="L60" s="8">
        <v>0</v>
      </c>
      <c r="M60" s="8">
        <v>0</v>
      </c>
      <c r="N60" s="8">
        <v>0</v>
      </c>
      <c r="O60" s="8">
        <v>0</v>
      </c>
      <c r="P60" s="8">
        <v>0</v>
      </c>
      <c r="Q60" s="8">
        <v>0</v>
      </c>
      <c r="R60" s="8">
        <v>2</v>
      </c>
      <c r="S60" s="8">
        <v>0</v>
      </c>
      <c r="T60" s="23">
        <v>2</v>
      </c>
      <c r="U60" s="16"/>
      <c r="V60" s="16" t="s">
        <v>50</v>
      </c>
      <c r="W60" s="16"/>
    </row>
    <row r="61" spans="2:23" ht="15" customHeight="1">
      <c r="B61" s="16" t="s">
        <v>271</v>
      </c>
      <c r="C61" s="16" t="s">
        <v>184</v>
      </c>
      <c r="D61" s="16" t="s">
        <v>272</v>
      </c>
      <c r="E61" s="16" t="s">
        <v>62</v>
      </c>
      <c r="F61" s="16" t="s">
        <v>186</v>
      </c>
      <c r="G61" s="8">
        <v>2</v>
      </c>
      <c r="H61" s="8">
        <v>16</v>
      </c>
      <c r="I61" s="8">
        <v>2</v>
      </c>
      <c r="J61" s="8">
        <v>24588</v>
      </c>
      <c r="K61" s="8">
        <v>0</v>
      </c>
      <c r="L61" s="8">
        <v>0</v>
      </c>
      <c r="M61" s="8">
        <v>0</v>
      </c>
      <c r="N61" s="8">
        <v>0</v>
      </c>
      <c r="O61" s="8">
        <v>0</v>
      </c>
      <c r="P61" s="8">
        <v>0</v>
      </c>
      <c r="Q61" s="8">
        <v>0</v>
      </c>
      <c r="R61" s="8">
        <v>1</v>
      </c>
      <c r="S61" s="8">
        <v>1</v>
      </c>
      <c r="T61" s="23">
        <v>1</v>
      </c>
      <c r="U61" s="16" t="s">
        <v>187</v>
      </c>
      <c r="V61" s="16" t="s">
        <v>273</v>
      </c>
      <c r="W61" s="16" t="s">
        <v>274</v>
      </c>
    </row>
    <row r="62" spans="2:23" ht="15" customHeight="1">
      <c r="B62" s="16" t="s">
        <v>275</v>
      </c>
      <c r="C62" s="16" t="s">
        <v>184</v>
      </c>
      <c r="D62" s="16" t="s">
        <v>276</v>
      </c>
      <c r="E62" s="16" t="s">
        <v>68</v>
      </c>
      <c r="F62" s="16" t="s">
        <v>192</v>
      </c>
      <c r="G62" s="8">
        <v>2</v>
      </c>
      <c r="H62" s="8">
        <v>0</v>
      </c>
      <c r="I62" s="8">
        <v>0</v>
      </c>
      <c r="J62" s="8">
        <v>11297</v>
      </c>
      <c r="K62" s="8">
        <v>209</v>
      </c>
      <c r="L62" s="8">
        <v>9</v>
      </c>
      <c r="M62" s="8">
        <v>6</v>
      </c>
      <c r="N62" s="8">
        <v>3</v>
      </c>
      <c r="O62" s="8">
        <v>0</v>
      </c>
      <c r="P62" s="8">
        <v>0</v>
      </c>
      <c r="Q62" s="8">
        <v>0</v>
      </c>
      <c r="R62" s="8">
        <v>2</v>
      </c>
      <c r="S62" s="8">
        <v>0</v>
      </c>
      <c r="T62" s="23">
        <v>1</v>
      </c>
      <c r="U62" s="16"/>
      <c r="V62" s="16" t="s">
        <v>50</v>
      </c>
      <c r="W62" s="16"/>
    </row>
    <row r="63" spans="2:23" ht="15" customHeight="1">
      <c r="B63" s="16" t="s">
        <v>277</v>
      </c>
      <c r="C63" s="16" t="s">
        <v>184</v>
      </c>
      <c r="D63" s="16" t="s">
        <v>278</v>
      </c>
      <c r="E63" s="16" t="s">
        <v>65</v>
      </c>
      <c r="F63" s="16" t="s">
        <v>186</v>
      </c>
      <c r="G63" s="8">
        <v>2</v>
      </c>
      <c r="H63" s="8">
        <v>0</v>
      </c>
      <c r="I63" s="8">
        <v>0</v>
      </c>
      <c r="J63" s="8">
        <v>7355</v>
      </c>
      <c r="K63" s="8">
        <v>0</v>
      </c>
      <c r="L63" s="8">
        <v>0</v>
      </c>
      <c r="M63" s="8">
        <v>0</v>
      </c>
      <c r="N63" s="8">
        <v>0</v>
      </c>
      <c r="O63" s="8">
        <v>0</v>
      </c>
      <c r="P63" s="8">
        <v>0</v>
      </c>
      <c r="Q63" s="8">
        <v>0</v>
      </c>
      <c r="R63" s="8">
        <v>2</v>
      </c>
      <c r="S63" s="8">
        <v>0</v>
      </c>
      <c r="T63" s="23">
        <v>2</v>
      </c>
      <c r="U63" s="16"/>
      <c r="V63" s="16" t="s">
        <v>50</v>
      </c>
      <c r="W63" s="16"/>
    </row>
    <row r="64" spans="2:23" ht="15" customHeight="1">
      <c r="B64" s="16" t="s">
        <v>279</v>
      </c>
      <c r="C64" s="16" t="s">
        <v>184</v>
      </c>
      <c r="D64" s="16" t="s">
        <v>280</v>
      </c>
      <c r="E64" s="16" t="s">
        <v>62</v>
      </c>
      <c r="F64" s="16" t="s">
        <v>186</v>
      </c>
      <c r="G64" s="8">
        <v>2</v>
      </c>
      <c r="H64" s="8">
        <v>279</v>
      </c>
      <c r="I64" s="8">
        <v>8</v>
      </c>
      <c r="J64" s="8">
        <v>35853</v>
      </c>
      <c r="K64" s="8">
        <v>0</v>
      </c>
      <c r="L64" s="8">
        <v>0</v>
      </c>
      <c r="M64" s="8">
        <v>0</v>
      </c>
      <c r="N64" s="8">
        <v>0</v>
      </c>
      <c r="O64" s="8">
        <v>0</v>
      </c>
      <c r="P64" s="8">
        <v>0</v>
      </c>
      <c r="Q64" s="8">
        <v>0</v>
      </c>
      <c r="R64" s="8">
        <v>2</v>
      </c>
      <c r="S64" s="8">
        <v>0</v>
      </c>
      <c r="T64" s="23">
        <v>2</v>
      </c>
      <c r="U64" s="16" t="s">
        <v>187</v>
      </c>
      <c r="V64" s="16" t="s">
        <v>200</v>
      </c>
      <c r="W64" s="16" t="s">
        <v>201</v>
      </c>
    </row>
    <row r="65" spans="2:23" ht="15" customHeight="1">
      <c r="B65" s="16" t="s">
        <v>281</v>
      </c>
      <c r="C65" s="16" t="s">
        <v>184</v>
      </c>
      <c r="D65" s="16" t="s">
        <v>282</v>
      </c>
      <c r="E65" s="16" t="s">
        <v>102</v>
      </c>
      <c r="F65" s="16" t="s">
        <v>192</v>
      </c>
      <c r="G65" s="8">
        <v>2</v>
      </c>
      <c r="H65" s="8"/>
      <c r="I65" s="8">
        <v>0</v>
      </c>
      <c r="J65" s="8" t="s">
        <v>101</v>
      </c>
      <c r="K65" s="8">
        <v>0</v>
      </c>
      <c r="L65" s="8" t="s">
        <v>101</v>
      </c>
      <c r="M65" s="8">
        <v>0</v>
      </c>
      <c r="N65" s="8">
        <v>0</v>
      </c>
      <c r="O65" s="8">
        <v>0</v>
      </c>
      <c r="P65" s="8">
        <v>5</v>
      </c>
      <c r="Q65" s="8">
        <v>2</v>
      </c>
      <c r="R65" s="8">
        <v>0</v>
      </c>
      <c r="S65" s="8">
        <v>0</v>
      </c>
      <c r="T65" s="23">
        <v>2</v>
      </c>
      <c r="U65" s="16"/>
      <c r="V65" s="16" t="s">
        <v>50</v>
      </c>
      <c r="W65" s="16"/>
    </row>
    <row r="66" spans="2:23" ht="15" customHeight="1">
      <c r="B66" s="16" t="s">
        <v>283</v>
      </c>
      <c r="C66" s="16" t="s">
        <v>184</v>
      </c>
      <c r="D66" s="16" t="s">
        <v>284</v>
      </c>
      <c r="E66" s="16" t="s">
        <v>65</v>
      </c>
      <c r="F66" s="16" t="s">
        <v>186</v>
      </c>
      <c r="G66" s="8">
        <v>2</v>
      </c>
      <c r="H66" s="8">
        <v>0</v>
      </c>
      <c r="I66" s="8">
        <v>0</v>
      </c>
      <c r="J66" s="8">
        <v>11578</v>
      </c>
      <c r="K66" s="8">
        <v>0</v>
      </c>
      <c r="L66" s="8">
        <v>0</v>
      </c>
      <c r="M66" s="8">
        <v>0</v>
      </c>
      <c r="N66" s="8">
        <v>0</v>
      </c>
      <c r="O66" s="8">
        <v>0</v>
      </c>
      <c r="P66" s="8">
        <v>0</v>
      </c>
      <c r="Q66" s="8">
        <v>1</v>
      </c>
      <c r="R66" s="8">
        <v>1</v>
      </c>
      <c r="S66" s="8">
        <v>0</v>
      </c>
      <c r="T66" s="23">
        <v>1</v>
      </c>
      <c r="U66" s="16"/>
      <c r="V66" s="16" t="s">
        <v>50</v>
      </c>
      <c r="W66" s="16"/>
    </row>
    <row r="67" spans="2:23" ht="15" customHeight="1">
      <c r="B67" s="16" t="s">
        <v>285</v>
      </c>
      <c r="C67" s="16" t="s">
        <v>184</v>
      </c>
      <c r="D67" s="16" t="s">
        <v>286</v>
      </c>
      <c r="E67" s="16" t="s">
        <v>65</v>
      </c>
      <c r="F67" s="16" t="s">
        <v>186</v>
      </c>
      <c r="G67" s="8">
        <v>2</v>
      </c>
      <c r="H67" s="8">
        <v>0</v>
      </c>
      <c r="I67" s="8">
        <v>0</v>
      </c>
      <c r="J67" s="8">
        <v>135196</v>
      </c>
      <c r="K67" s="8">
        <v>0</v>
      </c>
      <c r="L67" s="8">
        <v>0</v>
      </c>
      <c r="M67" s="8">
        <v>0</v>
      </c>
      <c r="N67" s="8">
        <v>0</v>
      </c>
      <c r="O67" s="8">
        <v>0</v>
      </c>
      <c r="P67" s="8">
        <v>0</v>
      </c>
      <c r="Q67" s="8">
        <v>0</v>
      </c>
      <c r="R67" s="8">
        <v>2</v>
      </c>
      <c r="S67" s="8">
        <v>0</v>
      </c>
      <c r="T67" s="23">
        <v>2</v>
      </c>
      <c r="U67" s="16"/>
      <c r="V67" s="16" t="s">
        <v>50</v>
      </c>
      <c r="W67" s="16"/>
    </row>
    <row r="68" spans="2:23" ht="15" customHeight="1">
      <c r="B68" s="16" t="s">
        <v>287</v>
      </c>
      <c r="C68" s="16" t="s">
        <v>184</v>
      </c>
      <c r="D68" s="16" t="s">
        <v>288</v>
      </c>
      <c r="E68" s="16" t="s">
        <v>65</v>
      </c>
      <c r="F68" s="16" t="s">
        <v>186</v>
      </c>
      <c r="G68" s="8">
        <v>2</v>
      </c>
      <c r="H68" s="8">
        <v>0</v>
      </c>
      <c r="I68" s="8">
        <v>0</v>
      </c>
      <c r="J68" s="8">
        <v>5889</v>
      </c>
      <c r="K68" s="8">
        <v>0</v>
      </c>
      <c r="L68" s="8">
        <v>0</v>
      </c>
      <c r="M68" s="8">
        <v>0</v>
      </c>
      <c r="N68" s="8">
        <v>0</v>
      </c>
      <c r="O68" s="8">
        <v>0</v>
      </c>
      <c r="P68" s="8">
        <v>0</v>
      </c>
      <c r="Q68" s="8">
        <v>0</v>
      </c>
      <c r="R68" s="8">
        <v>2</v>
      </c>
      <c r="S68" s="8">
        <v>0</v>
      </c>
      <c r="T68" s="23">
        <v>2</v>
      </c>
      <c r="U68" s="16"/>
      <c r="V68" s="16" t="s">
        <v>50</v>
      </c>
      <c r="W68" s="16"/>
    </row>
    <row r="69" spans="2:23" ht="15" customHeight="1">
      <c r="B69" s="16" t="s">
        <v>289</v>
      </c>
      <c r="C69" s="16" t="s">
        <v>184</v>
      </c>
      <c r="D69" s="16" t="s">
        <v>290</v>
      </c>
      <c r="E69" s="16" t="s">
        <v>65</v>
      </c>
      <c r="F69" s="16" t="s">
        <v>186</v>
      </c>
      <c r="G69" s="8">
        <v>2</v>
      </c>
      <c r="H69" s="8"/>
      <c r="I69" s="8">
        <v>0</v>
      </c>
      <c r="J69" s="8">
        <v>2904</v>
      </c>
      <c r="K69" s="8">
        <v>0</v>
      </c>
      <c r="L69" s="8">
        <v>0</v>
      </c>
      <c r="M69" s="8">
        <v>0</v>
      </c>
      <c r="N69" s="8">
        <v>0</v>
      </c>
      <c r="O69" s="8">
        <v>0</v>
      </c>
      <c r="P69" s="8">
        <v>0</v>
      </c>
      <c r="Q69" s="8">
        <v>2</v>
      </c>
      <c r="R69" s="8">
        <v>0</v>
      </c>
      <c r="S69" s="8">
        <v>0</v>
      </c>
      <c r="T69" s="23">
        <v>2</v>
      </c>
      <c r="U69" s="16"/>
      <c r="V69" s="16" t="s">
        <v>50</v>
      </c>
      <c r="W69" s="16"/>
    </row>
    <row r="70" spans="2:23" ht="15" customHeight="1">
      <c r="B70" s="16" t="s">
        <v>291</v>
      </c>
      <c r="C70" s="16" t="s">
        <v>184</v>
      </c>
      <c r="D70" s="16" t="s">
        <v>292</v>
      </c>
      <c r="E70" s="16" t="s">
        <v>81</v>
      </c>
      <c r="F70" s="16" t="s">
        <v>222</v>
      </c>
      <c r="G70" s="8">
        <v>2</v>
      </c>
      <c r="H70" s="8">
        <v>304</v>
      </c>
      <c r="I70" s="8">
        <v>10</v>
      </c>
      <c r="J70" s="8">
        <v>63463</v>
      </c>
      <c r="K70" s="8">
        <v>0</v>
      </c>
      <c r="L70" s="8">
        <v>0</v>
      </c>
      <c r="M70" s="8">
        <v>0</v>
      </c>
      <c r="N70" s="8">
        <v>0</v>
      </c>
      <c r="O70" s="8">
        <v>0</v>
      </c>
      <c r="P70" s="8">
        <v>0</v>
      </c>
      <c r="Q70" s="8">
        <v>0</v>
      </c>
      <c r="R70" s="8">
        <v>2</v>
      </c>
      <c r="S70" s="8">
        <v>0</v>
      </c>
      <c r="T70" s="23">
        <v>2</v>
      </c>
      <c r="U70" s="16"/>
      <c r="V70" s="16" t="s">
        <v>50</v>
      </c>
      <c r="W70" s="16"/>
    </row>
    <row r="71" spans="2:23" ht="15" customHeight="1">
      <c r="B71" s="16" t="s">
        <v>293</v>
      </c>
      <c r="C71" s="16" t="s">
        <v>184</v>
      </c>
      <c r="D71" s="16" t="s">
        <v>294</v>
      </c>
      <c r="E71" s="16" t="s">
        <v>62</v>
      </c>
      <c r="F71" s="16" t="s">
        <v>186</v>
      </c>
      <c r="G71" s="8">
        <v>2</v>
      </c>
      <c r="H71" s="8">
        <v>319</v>
      </c>
      <c r="I71" s="8">
        <v>10</v>
      </c>
      <c r="J71" s="8">
        <v>9057</v>
      </c>
      <c r="K71" s="8">
        <v>0</v>
      </c>
      <c r="L71" s="8">
        <v>0</v>
      </c>
      <c r="M71" s="8">
        <v>0</v>
      </c>
      <c r="N71" s="8">
        <v>0</v>
      </c>
      <c r="O71" s="8">
        <v>0</v>
      </c>
      <c r="P71" s="8">
        <v>0</v>
      </c>
      <c r="Q71" s="8">
        <v>0</v>
      </c>
      <c r="R71" s="8">
        <v>2</v>
      </c>
      <c r="S71" s="8">
        <v>0</v>
      </c>
      <c r="T71" s="23">
        <v>2</v>
      </c>
      <c r="U71" s="16" t="s">
        <v>187</v>
      </c>
      <c r="V71" s="16" t="s">
        <v>200</v>
      </c>
      <c r="W71" s="16" t="s">
        <v>201</v>
      </c>
    </row>
    <row r="72" spans="2:23" ht="15" customHeight="1">
      <c r="B72" s="16" t="s">
        <v>295</v>
      </c>
      <c r="C72" s="16" t="s">
        <v>184</v>
      </c>
      <c r="D72" s="16" t="s">
        <v>296</v>
      </c>
      <c r="E72" s="16" t="s">
        <v>65</v>
      </c>
      <c r="F72" s="16" t="s">
        <v>186</v>
      </c>
      <c r="G72" s="8">
        <v>2</v>
      </c>
      <c r="H72" s="8"/>
      <c r="I72" s="8">
        <v>0</v>
      </c>
      <c r="J72" s="8">
        <v>1113</v>
      </c>
      <c r="K72" s="8">
        <v>0</v>
      </c>
      <c r="L72" s="8">
        <v>0</v>
      </c>
      <c r="M72" s="8">
        <v>0</v>
      </c>
      <c r="N72" s="8">
        <v>0</v>
      </c>
      <c r="O72" s="8">
        <v>0</v>
      </c>
      <c r="P72" s="8">
        <v>0</v>
      </c>
      <c r="Q72" s="8">
        <v>0</v>
      </c>
      <c r="R72" s="8">
        <v>2</v>
      </c>
      <c r="S72" s="8">
        <v>0</v>
      </c>
      <c r="T72" s="23">
        <v>1</v>
      </c>
      <c r="U72" s="16"/>
      <c r="V72" s="16" t="s">
        <v>50</v>
      </c>
      <c r="W72" s="16"/>
    </row>
    <row r="73" spans="2:23" ht="15" customHeight="1">
      <c r="B73" s="16" t="s">
        <v>297</v>
      </c>
      <c r="C73" s="16" t="s">
        <v>184</v>
      </c>
      <c r="D73" s="16" t="s">
        <v>298</v>
      </c>
      <c r="E73" s="16" t="s">
        <v>65</v>
      </c>
      <c r="F73" s="16" t="s">
        <v>186</v>
      </c>
      <c r="G73" s="8">
        <v>2</v>
      </c>
      <c r="H73" s="8"/>
      <c r="I73" s="8">
        <v>0</v>
      </c>
      <c r="J73" s="8">
        <v>2900</v>
      </c>
      <c r="K73" s="8">
        <v>0</v>
      </c>
      <c r="L73" s="8">
        <v>0</v>
      </c>
      <c r="M73" s="8">
        <v>0</v>
      </c>
      <c r="N73" s="8">
        <v>0</v>
      </c>
      <c r="O73" s="8">
        <v>0</v>
      </c>
      <c r="P73" s="8">
        <v>0</v>
      </c>
      <c r="Q73" s="8">
        <v>0</v>
      </c>
      <c r="R73" s="8">
        <v>2</v>
      </c>
      <c r="S73" s="8">
        <v>0</v>
      </c>
      <c r="T73" s="23">
        <v>2</v>
      </c>
      <c r="U73" s="16"/>
      <c r="V73" s="16" t="s">
        <v>50</v>
      </c>
      <c r="W73" s="16"/>
    </row>
    <row r="74" spans="2:23" ht="15" customHeight="1">
      <c r="B74" s="16" t="s">
        <v>299</v>
      </c>
      <c r="C74" s="16" t="s">
        <v>184</v>
      </c>
      <c r="D74" s="16" t="s">
        <v>300</v>
      </c>
      <c r="E74" s="16" t="s">
        <v>114</v>
      </c>
      <c r="F74" s="16" t="s">
        <v>192</v>
      </c>
      <c r="G74" s="8">
        <v>2</v>
      </c>
      <c r="H74" s="8"/>
      <c r="I74" s="8">
        <v>0</v>
      </c>
      <c r="J74" s="8" t="s">
        <v>101</v>
      </c>
      <c r="K74" s="8">
        <v>0</v>
      </c>
      <c r="L74" s="8" t="s">
        <v>101</v>
      </c>
      <c r="M74" s="8">
        <v>0</v>
      </c>
      <c r="N74" s="8">
        <v>0</v>
      </c>
      <c r="O74" s="8">
        <v>0</v>
      </c>
      <c r="P74" s="8">
        <v>5</v>
      </c>
      <c r="Q74" s="8">
        <v>2</v>
      </c>
      <c r="R74" s="8">
        <v>0</v>
      </c>
      <c r="S74" s="8">
        <v>0</v>
      </c>
      <c r="T74" s="23">
        <v>1</v>
      </c>
      <c r="U74" s="16"/>
      <c r="V74" s="16" t="s">
        <v>50</v>
      </c>
      <c r="W74" s="16"/>
    </row>
    <row r="75" spans="2:23" ht="15" customHeight="1">
      <c r="B75" s="16" t="s">
        <v>299</v>
      </c>
      <c r="C75" s="16" t="s">
        <v>184</v>
      </c>
      <c r="D75" s="16" t="s">
        <v>301</v>
      </c>
      <c r="E75" s="16" t="s">
        <v>112</v>
      </c>
      <c r="F75" s="16" t="s">
        <v>192</v>
      </c>
      <c r="G75" s="8">
        <v>2</v>
      </c>
      <c r="H75" s="8"/>
      <c r="I75" s="8">
        <v>0</v>
      </c>
      <c r="J75" s="8" t="s">
        <v>101</v>
      </c>
      <c r="K75" s="8">
        <v>0</v>
      </c>
      <c r="L75" s="8" t="s">
        <v>101</v>
      </c>
      <c r="M75" s="8">
        <v>0</v>
      </c>
      <c r="N75" s="8">
        <v>0</v>
      </c>
      <c r="O75" s="8">
        <v>0</v>
      </c>
      <c r="P75" s="8">
        <v>5</v>
      </c>
      <c r="Q75" s="8">
        <v>2</v>
      </c>
      <c r="R75" s="8">
        <v>0</v>
      </c>
      <c r="S75" s="8">
        <v>0</v>
      </c>
      <c r="T75" s="23">
        <v>1</v>
      </c>
      <c r="U75" s="16"/>
      <c r="V75" s="16" t="s">
        <v>50</v>
      </c>
      <c r="W75" s="16"/>
    </row>
    <row r="76" spans="2:23" ht="15" customHeight="1">
      <c r="B76" s="16" t="s">
        <v>302</v>
      </c>
      <c r="C76" s="16" t="s">
        <v>184</v>
      </c>
      <c r="D76" s="16" t="s">
        <v>303</v>
      </c>
      <c r="E76" s="16" t="s">
        <v>87</v>
      </c>
      <c r="F76" s="16" t="s">
        <v>192</v>
      </c>
      <c r="G76" s="8">
        <v>2</v>
      </c>
      <c r="H76" s="8"/>
      <c r="I76" s="8">
        <v>0</v>
      </c>
      <c r="J76" s="8">
        <v>3271</v>
      </c>
      <c r="K76" s="8">
        <v>0</v>
      </c>
      <c r="L76" s="8">
        <v>9</v>
      </c>
      <c r="M76" s="8">
        <v>5</v>
      </c>
      <c r="N76" s="8">
        <v>4</v>
      </c>
      <c r="O76" s="8">
        <v>0</v>
      </c>
      <c r="P76" s="8">
        <v>0</v>
      </c>
      <c r="Q76" s="8">
        <v>1</v>
      </c>
      <c r="R76" s="8">
        <v>1</v>
      </c>
      <c r="S76" s="8">
        <v>0</v>
      </c>
      <c r="T76" s="23">
        <v>2</v>
      </c>
      <c r="U76" s="16"/>
      <c r="V76" s="16" t="s">
        <v>50</v>
      </c>
      <c r="W76" s="16"/>
    </row>
    <row r="77" spans="2:23" ht="15" customHeight="1">
      <c r="B77" s="16" t="s">
        <v>304</v>
      </c>
      <c r="C77" s="16" t="s">
        <v>184</v>
      </c>
      <c r="D77" s="16" t="s">
        <v>305</v>
      </c>
      <c r="E77" s="16" t="s">
        <v>65</v>
      </c>
      <c r="F77" s="16" t="s">
        <v>186</v>
      </c>
      <c r="G77" s="8">
        <v>2</v>
      </c>
      <c r="H77" s="8"/>
      <c r="I77" s="8">
        <v>0</v>
      </c>
      <c r="J77" s="8">
        <v>30122</v>
      </c>
      <c r="K77" s="8">
        <v>0</v>
      </c>
      <c r="L77" s="8">
        <v>0</v>
      </c>
      <c r="M77" s="8">
        <v>0</v>
      </c>
      <c r="N77" s="8">
        <v>0</v>
      </c>
      <c r="O77" s="8">
        <v>0</v>
      </c>
      <c r="P77" s="8">
        <v>0</v>
      </c>
      <c r="Q77" s="8">
        <v>1</v>
      </c>
      <c r="R77" s="8">
        <v>1</v>
      </c>
      <c r="S77" s="8">
        <v>0</v>
      </c>
      <c r="T77" s="23">
        <v>1</v>
      </c>
      <c r="U77" s="16"/>
      <c r="V77" s="16" t="s">
        <v>50</v>
      </c>
      <c r="W77" s="16"/>
    </row>
    <row r="78" spans="2:23" ht="15" customHeight="1">
      <c r="B78" s="16" t="s">
        <v>306</v>
      </c>
      <c r="C78" s="16" t="s">
        <v>184</v>
      </c>
      <c r="D78" s="16" t="s">
        <v>307</v>
      </c>
      <c r="E78" s="16" t="s">
        <v>106</v>
      </c>
      <c r="F78" s="16" t="s">
        <v>192</v>
      </c>
      <c r="G78" s="8">
        <v>2</v>
      </c>
      <c r="H78" s="8"/>
      <c r="I78" s="8">
        <v>0</v>
      </c>
      <c r="J78" s="8">
        <v>0</v>
      </c>
      <c r="K78" s="8">
        <v>0</v>
      </c>
      <c r="L78" s="8">
        <v>0</v>
      </c>
      <c r="M78" s="8">
        <v>0</v>
      </c>
      <c r="N78" s="8">
        <v>0</v>
      </c>
      <c r="O78" s="8">
        <v>0</v>
      </c>
      <c r="P78" s="8">
        <v>0</v>
      </c>
      <c r="Q78" s="8">
        <v>1</v>
      </c>
      <c r="R78" s="8">
        <v>1</v>
      </c>
      <c r="S78" s="8">
        <v>0</v>
      </c>
      <c r="T78" s="23">
        <v>2</v>
      </c>
      <c r="U78" s="16"/>
      <c r="V78" s="16" t="s">
        <v>50</v>
      </c>
      <c r="W78" s="16"/>
    </row>
    <row r="79" spans="2:23" ht="15" customHeight="1">
      <c r="B79" s="16" t="s">
        <v>308</v>
      </c>
      <c r="C79" s="16" t="s">
        <v>184</v>
      </c>
      <c r="D79" s="16" t="s">
        <v>309</v>
      </c>
      <c r="E79" s="16" t="s">
        <v>62</v>
      </c>
      <c r="F79" s="16" t="s">
        <v>186</v>
      </c>
      <c r="G79" s="8">
        <v>2</v>
      </c>
      <c r="H79" s="8"/>
      <c r="I79" s="8">
        <v>0</v>
      </c>
      <c r="J79" s="8">
        <v>7</v>
      </c>
      <c r="K79" s="8">
        <v>0</v>
      </c>
      <c r="L79" s="8">
        <v>0</v>
      </c>
      <c r="M79" s="8">
        <v>0</v>
      </c>
      <c r="N79" s="8">
        <v>0</v>
      </c>
      <c r="O79" s="8">
        <v>0</v>
      </c>
      <c r="P79" s="8">
        <v>0</v>
      </c>
      <c r="Q79" s="8">
        <v>0</v>
      </c>
      <c r="R79" s="8">
        <v>2</v>
      </c>
      <c r="S79" s="8">
        <v>0</v>
      </c>
      <c r="T79" s="23">
        <v>1</v>
      </c>
      <c r="U79" s="16" t="s">
        <v>187</v>
      </c>
      <c r="V79" s="16" t="s">
        <v>200</v>
      </c>
      <c r="W79" s="16" t="s">
        <v>201</v>
      </c>
    </row>
    <row r="80" spans="2:23" ht="15" customHeight="1">
      <c r="B80" s="16" t="s">
        <v>310</v>
      </c>
      <c r="C80" s="16" t="s">
        <v>184</v>
      </c>
      <c r="D80" s="16" t="s">
        <v>311</v>
      </c>
      <c r="E80" s="16" t="s">
        <v>73</v>
      </c>
      <c r="F80" s="16" t="s">
        <v>192</v>
      </c>
      <c r="G80" s="8">
        <v>2</v>
      </c>
      <c r="H80" s="8"/>
      <c r="I80" s="8">
        <v>0</v>
      </c>
      <c r="J80" s="8">
        <v>0</v>
      </c>
      <c r="K80" s="8">
        <v>0</v>
      </c>
      <c r="L80" s="8">
        <v>0</v>
      </c>
      <c r="M80" s="8">
        <v>0</v>
      </c>
      <c r="N80" s="8">
        <v>0</v>
      </c>
      <c r="O80" s="8">
        <v>0</v>
      </c>
      <c r="P80" s="8">
        <v>0</v>
      </c>
      <c r="Q80" s="8">
        <v>0</v>
      </c>
      <c r="R80" s="8">
        <v>1</v>
      </c>
      <c r="S80" s="8">
        <v>1</v>
      </c>
      <c r="T80" s="23">
        <v>2</v>
      </c>
      <c r="U80" s="16"/>
      <c r="V80" s="16" t="s">
        <v>50</v>
      </c>
      <c r="W80" s="16"/>
    </row>
    <row r="81" spans="2:23" ht="15" customHeight="1">
      <c r="B81" s="16" t="s">
        <v>312</v>
      </c>
      <c r="C81" s="16" t="s">
        <v>184</v>
      </c>
      <c r="D81" s="16" t="s">
        <v>313</v>
      </c>
      <c r="E81" s="16" t="s">
        <v>108</v>
      </c>
      <c r="F81" s="16" t="s">
        <v>192</v>
      </c>
      <c r="G81" s="8">
        <v>2</v>
      </c>
      <c r="H81" s="8"/>
      <c r="I81" s="8">
        <v>0</v>
      </c>
      <c r="J81" s="8">
        <v>0</v>
      </c>
      <c r="K81" s="8">
        <v>0</v>
      </c>
      <c r="L81" s="8">
        <v>0</v>
      </c>
      <c r="M81" s="8">
        <v>0</v>
      </c>
      <c r="N81" s="8">
        <v>0</v>
      </c>
      <c r="O81" s="8">
        <v>0</v>
      </c>
      <c r="P81" s="8">
        <v>0</v>
      </c>
      <c r="Q81" s="8">
        <v>0</v>
      </c>
      <c r="R81" s="8">
        <v>2</v>
      </c>
      <c r="S81" s="8">
        <v>0</v>
      </c>
      <c r="T81" s="23">
        <v>2</v>
      </c>
      <c r="U81" s="16"/>
      <c r="V81" s="16" t="s">
        <v>50</v>
      </c>
      <c r="W81" s="16"/>
    </row>
    <row r="82" spans="2:23" ht="15" customHeight="1">
      <c r="B82" s="16" t="s">
        <v>314</v>
      </c>
      <c r="C82" s="16" t="s">
        <v>184</v>
      </c>
      <c r="D82" s="16" t="s">
        <v>315</v>
      </c>
      <c r="E82" s="16" t="s">
        <v>65</v>
      </c>
      <c r="F82" s="16" t="s">
        <v>186</v>
      </c>
      <c r="G82" s="8">
        <v>2</v>
      </c>
      <c r="H82" s="8"/>
      <c r="I82" s="8">
        <v>0</v>
      </c>
      <c r="J82" s="8">
        <v>12738</v>
      </c>
      <c r="K82" s="8">
        <v>0</v>
      </c>
      <c r="L82" s="8">
        <v>0</v>
      </c>
      <c r="M82" s="8">
        <v>0</v>
      </c>
      <c r="N82" s="8">
        <v>0</v>
      </c>
      <c r="O82" s="8">
        <v>0</v>
      </c>
      <c r="P82" s="8">
        <v>0</v>
      </c>
      <c r="Q82" s="8">
        <v>1</v>
      </c>
      <c r="R82" s="8">
        <v>1</v>
      </c>
      <c r="S82" s="8">
        <v>0</v>
      </c>
      <c r="T82" s="23">
        <v>1</v>
      </c>
      <c r="U82" s="16"/>
      <c r="V82" s="16" t="s">
        <v>50</v>
      </c>
      <c r="W82" s="16"/>
    </row>
    <row r="83" spans="2:23" ht="15" customHeight="1">
      <c r="B83" s="16" t="s">
        <v>316</v>
      </c>
      <c r="C83" s="16" t="s">
        <v>184</v>
      </c>
      <c r="D83" s="16" t="s">
        <v>317</v>
      </c>
      <c r="E83" s="16" t="s">
        <v>73</v>
      </c>
      <c r="F83" s="16" t="s">
        <v>192</v>
      </c>
      <c r="G83" s="8">
        <v>2</v>
      </c>
      <c r="H83" s="8"/>
      <c r="I83" s="8">
        <v>0</v>
      </c>
      <c r="J83" s="8">
        <v>0</v>
      </c>
      <c r="K83" s="8">
        <v>0</v>
      </c>
      <c r="L83" s="8">
        <v>0</v>
      </c>
      <c r="M83" s="8">
        <v>0</v>
      </c>
      <c r="N83" s="8">
        <v>0</v>
      </c>
      <c r="O83" s="8">
        <v>0</v>
      </c>
      <c r="P83" s="8">
        <v>0</v>
      </c>
      <c r="Q83" s="8">
        <v>0</v>
      </c>
      <c r="R83" s="8">
        <v>2</v>
      </c>
      <c r="S83" s="8">
        <v>0</v>
      </c>
      <c r="T83" s="23">
        <v>2</v>
      </c>
      <c r="U83" s="16"/>
      <c r="V83" s="16" t="s">
        <v>50</v>
      </c>
      <c r="W83" s="16"/>
    </row>
    <row r="84" spans="2:23" ht="15" customHeight="1">
      <c r="B84" s="16" t="s">
        <v>318</v>
      </c>
      <c r="C84" s="16" t="s">
        <v>184</v>
      </c>
      <c r="D84" s="16" t="s">
        <v>319</v>
      </c>
      <c r="E84" s="16" t="s">
        <v>73</v>
      </c>
      <c r="F84" s="16" t="s">
        <v>192</v>
      </c>
      <c r="G84" s="8">
        <v>2</v>
      </c>
      <c r="H84" s="8"/>
      <c r="I84" s="8">
        <v>0</v>
      </c>
      <c r="J84" s="8">
        <v>0</v>
      </c>
      <c r="K84" s="8">
        <v>0</v>
      </c>
      <c r="L84" s="8">
        <v>0</v>
      </c>
      <c r="M84" s="8">
        <v>0</v>
      </c>
      <c r="N84" s="8">
        <v>0</v>
      </c>
      <c r="O84" s="8">
        <v>0</v>
      </c>
      <c r="P84" s="8">
        <v>0</v>
      </c>
      <c r="Q84" s="8">
        <v>0</v>
      </c>
      <c r="R84" s="8">
        <v>0</v>
      </c>
      <c r="S84" s="8">
        <v>2</v>
      </c>
      <c r="T84" s="23">
        <v>2</v>
      </c>
      <c r="U84" s="16"/>
      <c r="V84" s="16" t="s">
        <v>50</v>
      </c>
      <c r="W84" s="16"/>
    </row>
    <row r="85" spans="2:23" ht="15" customHeight="1">
      <c r="B85" s="16" t="s">
        <v>318</v>
      </c>
      <c r="C85" s="16" t="s">
        <v>184</v>
      </c>
      <c r="D85" s="16" t="s">
        <v>320</v>
      </c>
      <c r="E85" s="16" t="s">
        <v>73</v>
      </c>
      <c r="F85" s="16" t="s">
        <v>192</v>
      </c>
      <c r="G85" s="8">
        <v>2</v>
      </c>
      <c r="H85" s="8"/>
      <c r="I85" s="8">
        <v>0</v>
      </c>
      <c r="J85" s="8">
        <v>0</v>
      </c>
      <c r="K85" s="8">
        <v>0</v>
      </c>
      <c r="L85" s="8">
        <v>0</v>
      </c>
      <c r="M85" s="8">
        <v>0</v>
      </c>
      <c r="N85" s="8">
        <v>0</v>
      </c>
      <c r="O85" s="8">
        <v>0</v>
      </c>
      <c r="P85" s="8">
        <v>0</v>
      </c>
      <c r="Q85" s="8">
        <v>1</v>
      </c>
      <c r="R85" s="8">
        <v>1</v>
      </c>
      <c r="S85" s="8">
        <v>0</v>
      </c>
      <c r="T85" s="23">
        <v>2</v>
      </c>
      <c r="U85" s="16"/>
      <c r="V85" s="16" t="s">
        <v>50</v>
      </c>
      <c r="W85" s="16"/>
    </row>
    <row r="86" spans="2:23" ht="15" customHeight="1">
      <c r="B86" s="16" t="s">
        <v>321</v>
      </c>
      <c r="C86" s="16" t="s">
        <v>184</v>
      </c>
      <c r="D86" s="16" t="s">
        <v>322</v>
      </c>
      <c r="E86" s="16" t="s">
        <v>99</v>
      </c>
      <c r="F86" s="16" t="s">
        <v>192</v>
      </c>
      <c r="G86" s="8">
        <v>2</v>
      </c>
      <c r="H86" s="8"/>
      <c r="I86" s="8">
        <v>0</v>
      </c>
      <c r="J86" s="8" t="s">
        <v>101</v>
      </c>
      <c r="K86" s="8">
        <v>0</v>
      </c>
      <c r="L86" s="8" t="s">
        <v>101</v>
      </c>
      <c r="M86" s="8">
        <v>6</v>
      </c>
      <c r="N86" s="8">
        <v>0</v>
      </c>
      <c r="O86" s="8">
        <v>0</v>
      </c>
      <c r="P86" s="8">
        <v>5</v>
      </c>
      <c r="Q86" s="8">
        <v>2</v>
      </c>
      <c r="R86" s="8">
        <v>0</v>
      </c>
      <c r="S86" s="8">
        <v>0</v>
      </c>
      <c r="T86" s="23">
        <v>2</v>
      </c>
      <c r="U86" s="16"/>
      <c r="V86" s="16" t="s">
        <v>50</v>
      </c>
      <c r="W86" s="16"/>
    </row>
    <row r="87" spans="2:23" ht="15" customHeight="1">
      <c r="B87" s="16" t="s">
        <v>323</v>
      </c>
      <c r="C87" s="16" t="s">
        <v>184</v>
      </c>
      <c r="D87" s="16" t="s">
        <v>324</v>
      </c>
      <c r="E87" s="16" t="s">
        <v>71</v>
      </c>
      <c r="F87" s="16" t="s">
        <v>222</v>
      </c>
      <c r="G87" s="8">
        <v>1</v>
      </c>
      <c r="H87" s="8"/>
      <c r="I87" s="8">
        <v>0</v>
      </c>
      <c r="J87" s="8">
        <v>1486</v>
      </c>
      <c r="K87" s="8">
        <v>0</v>
      </c>
      <c r="L87" s="8">
        <v>0</v>
      </c>
      <c r="M87" s="8">
        <v>0</v>
      </c>
      <c r="N87" s="8">
        <v>0</v>
      </c>
      <c r="O87" s="8">
        <v>0</v>
      </c>
      <c r="P87" s="8">
        <v>0</v>
      </c>
      <c r="Q87" s="8">
        <v>0</v>
      </c>
      <c r="R87" s="8">
        <v>1</v>
      </c>
      <c r="S87" s="8">
        <v>0</v>
      </c>
      <c r="T87" s="23">
        <v>1</v>
      </c>
      <c r="U87" s="16"/>
      <c r="V87" s="16" t="s">
        <v>50</v>
      </c>
      <c r="W87" s="16"/>
    </row>
    <row r="88" spans="2:23" ht="15" customHeight="1">
      <c r="B88" s="16" t="s">
        <v>325</v>
      </c>
      <c r="C88" s="16" t="s">
        <v>184</v>
      </c>
      <c r="D88" s="16" t="s">
        <v>326</v>
      </c>
      <c r="E88" s="16" t="s">
        <v>71</v>
      </c>
      <c r="F88" s="16" t="s">
        <v>222</v>
      </c>
      <c r="G88" s="8">
        <v>1</v>
      </c>
      <c r="H88" s="8"/>
      <c r="I88" s="8">
        <v>0</v>
      </c>
      <c r="J88" s="8">
        <v>9325</v>
      </c>
      <c r="K88" s="8">
        <v>0</v>
      </c>
      <c r="L88" s="8">
        <v>0</v>
      </c>
      <c r="M88" s="8">
        <v>0</v>
      </c>
      <c r="N88" s="8">
        <v>0</v>
      </c>
      <c r="O88" s="8">
        <v>0</v>
      </c>
      <c r="P88" s="8">
        <v>0</v>
      </c>
      <c r="Q88" s="8">
        <v>0</v>
      </c>
      <c r="R88" s="8">
        <v>1</v>
      </c>
      <c r="S88" s="8">
        <v>0</v>
      </c>
      <c r="T88" s="23">
        <v>1</v>
      </c>
      <c r="U88" s="16" t="s">
        <v>187</v>
      </c>
      <c r="V88" s="16" t="s">
        <v>200</v>
      </c>
      <c r="W88" s="16" t="s">
        <v>201</v>
      </c>
    </row>
    <row r="89" spans="2:23" ht="15" customHeight="1">
      <c r="B89" s="16" t="s">
        <v>327</v>
      </c>
      <c r="C89" s="16" t="s">
        <v>184</v>
      </c>
      <c r="D89" s="16" t="s">
        <v>328</v>
      </c>
      <c r="E89" s="16" t="s">
        <v>62</v>
      </c>
      <c r="F89" s="16" t="s">
        <v>222</v>
      </c>
      <c r="G89" s="8">
        <v>1</v>
      </c>
      <c r="H89" s="8">
        <v>18</v>
      </c>
      <c r="I89" s="8">
        <v>14</v>
      </c>
      <c r="J89" s="8">
        <v>2267</v>
      </c>
      <c r="K89" s="8">
        <v>26</v>
      </c>
      <c r="L89" s="8">
        <v>2</v>
      </c>
      <c r="M89" s="8">
        <v>2</v>
      </c>
      <c r="N89" s="8">
        <v>0</v>
      </c>
      <c r="O89" s="8">
        <v>0</v>
      </c>
      <c r="P89" s="8">
        <v>0</v>
      </c>
      <c r="Q89" s="8">
        <v>0</v>
      </c>
      <c r="R89" s="8">
        <v>1</v>
      </c>
      <c r="S89" s="8">
        <v>0</v>
      </c>
      <c r="T89" s="23">
        <v>1</v>
      </c>
      <c r="U89" s="16" t="s">
        <v>187</v>
      </c>
      <c r="V89" s="16" t="s">
        <v>329</v>
      </c>
      <c r="W89" s="16" t="s">
        <v>330</v>
      </c>
    </row>
    <row r="90" spans="2:23" ht="15" customHeight="1">
      <c r="B90" s="16" t="s">
        <v>331</v>
      </c>
      <c r="C90" s="16" t="s">
        <v>184</v>
      </c>
      <c r="D90" s="16" t="s">
        <v>332</v>
      </c>
      <c r="E90" s="16" t="s">
        <v>71</v>
      </c>
      <c r="F90" s="16" t="s">
        <v>192</v>
      </c>
      <c r="G90" s="8">
        <v>1</v>
      </c>
      <c r="H90" s="8"/>
      <c r="I90" s="8">
        <v>0</v>
      </c>
      <c r="J90" s="8">
        <v>659</v>
      </c>
      <c r="K90" s="8">
        <v>0</v>
      </c>
      <c r="L90" s="8">
        <v>0</v>
      </c>
      <c r="M90" s="8">
        <v>0</v>
      </c>
      <c r="N90" s="8">
        <v>0</v>
      </c>
      <c r="O90" s="8">
        <v>0</v>
      </c>
      <c r="P90" s="8">
        <v>0</v>
      </c>
      <c r="Q90" s="8">
        <v>0</v>
      </c>
      <c r="R90" s="8">
        <v>1</v>
      </c>
      <c r="S90" s="8">
        <v>0</v>
      </c>
      <c r="T90" s="23">
        <v>1</v>
      </c>
      <c r="U90" s="16" t="s">
        <v>187</v>
      </c>
      <c r="V90" s="16" t="s">
        <v>188</v>
      </c>
      <c r="W90" s="16" t="s">
        <v>189</v>
      </c>
    </row>
    <row r="91" spans="2:23" ht="15" customHeight="1">
      <c r="B91" s="16" t="s">
        <v>333</v>
      </c>
      <c r="C91" s="16" t="s">
        <v>184</v>
      </c>
      <c r="D91" s="16" t="s">
        <v>334</v>
      </c>
      <c r="E91" s="16" t="s">
        <v>62</v>
      </c>
      <c r="F91" s="16" t="s">
        <v>186</v>
      </c>
      <c r="G91" s="8">
        <v>1</v>
      </c>
      <c r="H91" s="8">
        <v>0</v>
      </c>
      <c r="I91" s="8">
        <v>0</v>
      </c>
      <c r="J91" s="8">
        <v>3804</v>
      </c>
      <c r="K91" s="8">
        <v>146</v>
      </c>
      <c r="L91" s="8">
        <v>1</v>
      </c>
      <c r="M91" s="8">
        <v>1</v>
      </c>
      <c r="N91" s="8">
        <v>0</v>
      </c>
      <c r="O91" s="8">
        <v>0</v>
      </c>
      <c r="P91" s="8">
        <v>0</v>
      </c>
      <c r="Q91" s="8">
        <v>0</v>
      </c>
      <c r="R91" s="8">
        <v>0</v>
      </c>
      <c r="S91" s="8">
        <v>1</v>
      </c>
      <c r="T91" s="23">
        <v>1</v>
      </c>
      <c r="U91" s="16" t="s">
        <v>187</v>
      </c>
      <c r="V91" s="16" t="s">
        <v>236</v>
      </c>
      <c r="W91" s="16" t="s">
        <v>237</v>
      </c>
    </row>
    <row r="92" spans="2:23" ht="15" customHeight="1">
      <c r="B92" s="16" t="s">
        <v>335</v>
      </c>
      <c r="C92" s="16" t="s">
        <v>336</v>
      </c>
      <c r="D92" s="16" t="s">
        <v>337</v>
      </c>
      <c r="E92" s="16" t="s">
        <v>62</v>
      </c>
      <c r="F92" s="16" t="s">
        <v>186</v>
      </c>
      <c r="G92" s="8">
        <v>1</v>
      </c>
      <c r="H92" s="8">
        <v>54</v>
      </c>
      <c r="I92" s="8">
        <v>1</v>
      </c>
      <c r="J92" s="8">
        <v>66107</v>
      </c>
      <c r="K92" s="8">
        <v>0</v>
      </c>
      <c r="L92" s="8">
        <v>0</v>
      </c>
      <c r="M92" s="8">
        <v>0</v>
      </c>
      <c r="N92" s="8">
        <v>0</v>
      </c>
      <c r="O92" s="8">
        <v>0</v>
      </c>
      <c r="P92" s="8">
        <v>0</v>
      </c>
      <c r="Q92" s="8">
        <v>0</v>
      </c>
      <c r="R92" s="8">
        <v>1</v>
      </c>
      <c r="S92" s="8">
        <v>0</v>
      </c>
      <c r="T92" s="23">
        <v>1</v>
      </c>
      <c r="U92" s="16" t="s">
        <v>187</v>
      </c>
      <c r="V92" s="16" t="s">
        <v>338</v>
      </c>
      <c r="W92" s="16" t="s">
        <v>339</v>
      </c>
    </row>
    <row r="93" spans="2:23" ht="15" customHeight="1">
      <c r="B93" s="16" t="s">
        <v>340</v>
      </c>
      <c r="C93" s="16" t="s">
        <v>341</v>
      </c>
      <c r="D93" s="16" t="s">
        <v>342</v>
      </c>
      <c r="E93" s="16" t="s">
        <v>62</v>
      </c>
      <c r="F93" s="16" t="s">
        <v>186</v>
      </c>
      <c r="G93" s="8">
        <v>1</v>
      </c>
      <c r="H93" s="8">
        <v>72</v>
      </c>
      <c r="I93" s="8">
        <v>2</v>
      </c>
      <c r="J93" s="8">
        <v>33519</v>
      </c>
      <c r="K93" s="8">
        <v>0</v>
      </c>
      <c r="L93" s="8">
        <v>0</v>
      </c>
      <c r="M93" s="8">
        <v>0</v>
      </c>
      <c r="N93" s="8">
        <v>0</v>
      </c>
      <c r="O93" s="8">
        <v>0</v>
      </c>
      <c r="P93" s="8">
        <v>0</v>
      </c>
      <c r="Q93" s="8">
        <v>0</v>
      </c>
      <c r="R93" s="8">
        <v>1</v>
      </c>
      <c r="S93" s="8">
        <v>0</v>
      </c>
      <c r="T93" s="23">
        <v>1</v>
      </c>
      <c r="U93" s="16" t="s">
        <v>187</v>
      </c>
      <c r="V93" s="16" t="s">
        <v>343</v>
      </c>
      <c r="W93" s="16" t="s">
        <v>344</v>
      </c>
    </row>
    <row r="94" spans="2:23" ht="15" customHeight="1">
      <c r="B94" s="16" t="s">
        <v>345</v>
      </c>
      <c r="C94" s="16" t="s">
        <v>151</v>
      </c>
      <c r="D94" s="16" t="s">
        <v>346</v>
      </c>
      <c r="E94" s="16" t="s">
        <v>62</v>
      </c>
      <c r="F94" s="16" t="s">
        <v>186</v>
      </c>
      <c r="G94" s="8">
        <v>1</v>
      </c>
      <c r="H94" s="8">
        <v>16</v>
      </c>
      <c r="I94" s="8">
        <v>12</v>
      </c>
      <c r="J94" s="8">
        <v>202696</v>
      </c>
      <c r="K94" s="8">
        <v>312</v>
      </c>
      <c r="L94" s="8">
        <v>1</v>
      </c>
      <c r="M94" s="8">
        <v>1</v>
      </c>
      <c r="N94" s="8">
        <v>0</v>
      </c>
      <c r="O94" s="8">
        <v>0</v>
      </c>
      <c r="P94" s="8">
        <v>0</v>
      </c>
      <c r="Q94" s="8">
        <v>0</v>
      </c>
      <c r="R94" s="8">
        <v>1</v>
      </c>
      <c r="S94" s="8">
        <v>0</v>
      </c>
      <c r="T94" s="23">
        <v>1</v>
      </c>
      <c r="U94" s="16"/>
      <c r="V94" s="16" t="s">
        <v>50</v>
      </c>
      <c r="W94" s="16"/>
    </row>
    <row r="95" spans="2:23" ht="15" customHeight="1">
      <c r="B95" s="16" t="s">
        <v>347</v>
      </c>
      <c r="C95" s="16" t="s">
        <v>184</v>
      </c>
      <c r="D95" s="16" t="s">
        <v>348</v>
      </c>
      <c r="E95" s="16" t="s">
        <v>71</v>
      </c>
      <c r="F95" s="16" t="s">
        <v>192</v>
      </c>
      <c r="G95" s="8">
        <v>1</v>
      </c>
      <c r="H95" s="8"/>
      <c r="I95" s="8">
        <v>0</v>
      </c>
      <c r="J95" s="8">
        <v>0</v>
      </c>
      <c r="K95" s="8">
        <v>0</v>
      </c>
      <c r="L95" s="8">
        <v>0</v>
      </c>
      <c r="M95" s="8">
        <v>0</v>
      </c>
      <c r="N95" s="8">
        <v>0</v>
      </c>
      <c r="O95" s="8">
        <v>0</v>
      </c>
      <c r="P95" s="8">
        <v>0</v>
      </c>
      <c r="Q95" s="8">
        <v>0</v>
      </c>
      <c r="R95" s="8">
        <v>1</v>
      </c>
      <c r="S95" s="8">
        <v>0</v>
      </c>
      <c r="T95" s="23">
        <v>1</v>
      </c>
      <c r="U95" s="16" t="s">
        <v>187</v>
      </c>
      <c r="V95" s="16" t="s">
        <v>200</v>
      </c>
      <c r="W95" s="16" t="s">
        <v>201</v>
      </c>
    </row>
    <row r="96" spans="2:23" ht="15" customHeight="1">
      <c r="B96" s="16" t="s">
        <v>349</v>
      </c>
      <c r="C96" s="16" t="s">
        <v>350</v>
      </c>
      <c r="D96" s="16" t="s">
        <v>351</v>
      </c>
      <c r="E96" s="16" t="s">
        <v>62</v>
      </c>
      <c r="F96" s="16" t="s">
        <v>186</v>
      </c>
      <c r="G96" s="8">
        <v>1</v>
      </c>
      <c r="H96" s="8">
        <v>387</v>
      </c>
      <c r="I96" s="8">
        <v>6</v>
      </c>
      <c r="J96" s="8">
        <v>116467</v>
      </c>
      <c r="K96" s="8">
        <v>0</v>
      </c>
      <c r="L96" s="8">
        <v>0</v>
      </c>
      <c r="M96" s="8">
        <v>0</v>
      </c>
      <c r="N96" s="8">
        <v>0</v>
      </c>
      <c r="O96" s="8">
        <v>0</v>
      </c>
      <c r="P96" s="8">
        <v>0</v>
      </c>
      <c r="Q96" s="8">
        <v>0</v>
      </c>
      <c r="R96" s="8">
        <v>1</v>
      </c>
      <c r="S96" s="8">
        <v>0</v>
      </c>
      <c r="T96" s="23">
        <v>1</v>
      </c>
      <c r="U96" s="16" t="s">
        <v>187</v>
      </c>
      <c r="V96" s="16" t="s">
        <v>200</v>
      </c>
      <c r="W96" s="16" t="s">
        <v>201</v>
      </c>
    </row>
    <row r="97" spans="2:23" ht="15" customHeight="1">
      <c r="B97" s="16" t="s">
        <v>352</v>
      </c>
      <c r="C97" s="16" t="s">
        <v>184</v>
      </c>
      <c r="D97" s="16" t="s">
        <v>353</v>
      </c>
      <c r="E97" s="16" t="s">
        <v>62</v>
      </c>
      <c r="F97" s="16" t="s">
        <v>186</v>
      </c>
      <c r="G97" s="8">
        <v>1</v>
      </c>
      <c r="H97" s="8">
        <v>144</v>
      </c>
      <c r="I97" s="8">
        <v>3</v>
      </c>
      <c r="J97" s="8">
        <v>13465</v>
      </c>
      <c r="K97" s="8">
        <v>0</v>
      </c>
      <c r="L97" s="8">
        <v>0</v>
      </c>
      <c r="M97" s="8">
        <v>0</v>
      </c>
      <c r="N97" s="8">
        <v>0</v>
      </c>
      <c r="O97" s="8">
        <v>0</v>
      </c>
      <c r="P97" s="8">
        <v>0</v>
      </c>
      <c r="Q97" s="8">
        <v>0</v>
      </c>
      <c r="R97" s="8">
        <v>1</v>
      </c>
      <c r="S97" s="8">
        <v>0</v>
      </c>
      <c r="T97" s="23">
        <v>1</v>
      </c>
      <c r="U97" s="16"/>
      <c r="V97" s="16" t="s">
        <v>50</v>
      </c>
      <c r="W97" s="16"/>
    </row>
    <row r="98" spans="2:23" ht="15" customHeight="1">
      <c r="B98" s="16" t="s">
        <v>356</v>
      </c>
      <c r="C98" s="16" t="s">
        <v>184</v>
      </c>
      <c r="D98" s="16" t="s">
        <v>357</v>
      </c>
      <c r="E98" s="16" t="s">
        <v>62</v>
      </c>
      <c r="F98" s="16" t="s">
        <v>222</v>
      </c>
      <c r="G98" s="8">
        <v>1</v>
      </c>
      <c r="H98" s="8"/>
      <c r="I98" s="8">
        <v>0</v>
      </c>
      <c r="J98" s="8">
        <v>257</v>
      </c>
      <c r="K98" s="8">
        <v>3</v>
      </c>
      <c r="L98" s="8">
        <v>0</v>
      </c>
      <c r="M98" s="8">
        <v>0</v>
      </c>
      <c r="N98" s="8">
        <v>0</v>
      </c>
      <c r="O98" s="8">
        <v>0</v>
      </c>
      <c r="P98" s="8">
        <v>0</v>
      </c>
      <c r="Q98" s="8">
        <v>0</v>
      </c>
      <c r="R98" s="8">
        <v>1</v>
      </c>
      <c r="S98" s="8">
        <v>0</v>
      </c>
      <c r="T98" s="23">
        <v>1</v>
      </c>
      <c r="U98" s="16" t="s">
        <v>187</v>
      </c>
      <c r="V98" s="16" t="s">
        <v>358</v>
      </c>
      <c r="W98" s="16" t="s">
        <v>359</v>
      </c>
    </row>
    <row r="99" spans="2:23" ht="15" customHeight="1">
      <c r="B99" s="16" t="s">
        <v>360</v>
      </c>
      <c r="C99" s="16" t="s">
        <v>184</v>
      </c>
      <c r="D99" s="16" t="s">
        <v>361</v>
      </c>
      <c r="E99" s="16" t="s">
        <v>62</v>
      </c>
      <c r="F99" s="16" t="s">
        <v>222</v>
      </c>
      <c r="G99" s="8">
        <v>1</v>
      </c>
      <c r="H99" s="8">
        <v>62</v>
      </c>
      <c r="I99" s="8">
        <v>44</v>
      </c>
      <c r="J99" s="8">
        <v>7422</v>
      </c>
      <c r="K99" s="8">
        <v>0</v>
      </c>
      <c r="L99" s="8">
        <v>0</v>
      </c>
      <c r="M99" s="8">
        <v>0</v>
      </c>
      <c r="N99" s="8">
        <v>0</v>
      </c>
      <c r="O99" s="8">
        <v>0</v>
      </c>
      <c r="P99" s="8">
        <v>0</v>
      </c>
      <c r="Q99" s="8">
        <v>1</v>
      </c>
      <c r="R99" s="8">
        <v>0</v>
      </c>
      <c r="S99" s="8">
        <v>0</v>
      </c>
      <c r="T99" s="23">
        <v>1</v>
      </c>
      <c r="U99" s="16" t="s">
        <v>187</v>
      </c>
      <c r="V99" s="16" t="s">
        <v>200</v>
      </c>
      <c r="W99" s="16" t="s">
        <v>201</v>
      </c>
    </row>
    <row r="100" spans="2:23" ht="15" customHeight="1">
      <c r="B100" s="16" t="s">
        <v>362</v>
      </c>
      <c r="C100" s="16" t="s">
        <v>184</v>
      </c>
      <c r="D100" s="16" t="s">
        <v>363</v>
      </c>
      <c r="E100" s="16" t="s">
        <v>62</v>
      </c>
      <c r="F100" s="16" t="s">
        <v>222</v>
      </c>
      <c r="G100" s="8">
        <v>1</v>
      </c>
      <c r="H100" s="8"/>
      <c r="I100" s="8">
        <v>0</v>
      </c>
      <c r="J100" s="8">
        <v>347</v>
      </c>
      <c r="K100" s="8">
        <v>0</v>
      </c>
      <c r="L100" s="8">
        <v>0</v>
      </c>
      <c r="M100" s="8">
        <v>0</v>
      </c>
      <c r="N100" s="8">
        <v>0</v>
      </c>
      <c r="O100" s="8">
        <v>0</v>
      </c>
      <c r="P100" s="8">
        <v>0</v>
      </c>
      <c r="Q100" s="8">
        <v>0</v>
      </c>
      <c r="R100" s="8">
        <v>1</v>
      </c>
      <c r="S100" s="8">
        <v>0</v>
      </c>
      <c r="T100" s="23">
        <v>1</v>
      </c>
      <c r="U100" s="16" t="s">
        <v>187</v>
      </c>
      <c r="V100" s="16" t="s">
        <v>188</v>
      </c>
      <c r="W100" s="16" t="s">
        <v>189</v>
      </c>
    </row>
    <row r="101" spans="2:23" ht="15" customHeight="1">
      <c r="B101" s="16" t="s">
        <v>364</v>
      </c>
      <c r="C101" s="16" t="s">
        <v>153</v>
      </c>
      <c r="D101" s="16" t="s">
        <v>365</v>
      </c>
      <c r="E101" s="16" t="s">
        <v>78</v>
      </c>
      <c r="F101" s="16" t="s">
        <v>192</v>
      </c>
      <c r="G101" s="8">
        <v>1</v>
      </c>
      <c r="H101" s="8">
        <v>623</v>
      </c>
      <c r="I101" s="8">
        <v>9</v>
      </c>
      <c r="J101" s="8">
        <v>1220000</v>
      </c>
      <c r="K101" s="8">
        <v>0</v>
      </c>
      <c r="L101" s="8">
        <v>7</v>
      </c>
      <c r="M101" s="8">
        <v>6</v>
      </c>
      <c r="N101" s="8">
        <v>1</v>
      </c>
      <c r="O101" s="8">
        <v>0</v>
      </c>
      <c r="P101" s="8">
        <v>0</v>
      </c>
      <c r="Q101" s="8">
        <v>0</v>
      </c>
      <c r="R101" s="8">
        <v>1</v>
      </c>
      <c r="S101" s="8">
        <v>0</v>
      </c>
      <c r="T101" s="23">
        <v>1</v>
      </c>
      <c r="U101" s="16"/>
      <c r="V101" s="16" t="s">
        <v>50</v>
      </c>
      <c r="W101" s="16"/>
    </row>
    <row r="102" spans="2:23" ht="15" customHeight="1">
      <c r="B102" s="16" t="s">
        <v>366</v>
      </c>
      <c r="C102" s="16" t="s">
        <v>367</v>
      </c>
      <c r="D102" s="16" t="s">
        <v>368</v>
      </c>
      <c r="E102" s="16" t="s">
        <v>62</v>
      </c>
      <c r="F102" s="16" t="s">
        <v>186</v>
      </c>
      <c r="G102" s="8">
        <v>1</v>
      </c>
      <c r="H102" s="8">
        <v>568</v>
      </c>
      <c r="I102" s="8">
        <v>8</v>
      </c>
      <c r="J102" s="8">
        <v>9871561</v>
      </c>
      <c r="K102" s="8">
        <v>0</v>
      </c>
      <c r="L102" s="8">
        <v>0</v>
      </c>
      <c r="M102" s="8">
        <v>0</v>
      </c>
      <c r="N102" s="8">
        <v>0</v>
      </c>
      <c r="O102" s="8">
        <v>0</v>
      </c>
      <c r="P102" s="8">
        <v>0</v>
      </c>
      <c r="Q102" s="8">
        <v>1</v>
      </c>
      <c r="R102" s="8">
        <v>0</v>
      </c>
      <c r="S102" s="8">
        <v>0</v>
      </c>
      <c r="T102" s="23">
        <v>1</v>
      </c>
      <c r="U102" s="16" t="s">
        <v>187</v>
      </c>
      <c r="V102" s="16" t="s">
        <v>369</v>
      </c>
      <c r="W102" s="16" t="s">
        <v>370</v>
      </c>
    </row>
    <row r="103" spans="2:23" ht="15" customHeight="1">
      <c r="B103" s="16" t="s">
        <v>371</v>
      </c>
      <c r="C103" s="16" t="s">
        <v>151</v>
      </c>
      <c r="D103" s="16" t="s">
        <v>372</v>
      </c>
      <c r="E103" s="16" t="s">
        <v>62</v>
      </c>
      <c r="F103" s="16" t="s">
        <v>186</v>
      </c>
      <c r="G103" s="8">
        <v>1</v>
      </c>
      <c r="H103" s="8">
        <v>16</v>
      </c>
      <c r="I103" s="8">
        <v>12</v>
      </c>
      <c r="J103" s="8">
        <v>117183</v>
      </c>
      <c r="K103" s="8">
        <v>201</v>
      </c>
      <c r="L103" s="8">
        <v>2</v>
      </c>
      <c r="M103" s="8">
        <v>1</v>
      </c>
      <c r="N103" s="8">
        <v>0</v>
      </c>
      <c r="O103" s="8">
        <v>1</v>
      </c>
      <c r="P103" s="8">
        <v>0</v>
      </c>
      <c r="Q103" s="8">
        <v>0</v>
      </c>
      <c r="R103" s="8">
        <v>1</v>
      </c>
      <c r="S103" s="8">
        <v>0</v>
      </c>
      <c r="T103" s="23">
        <v>1</v>
      </c>
      <c r="U103" s="16"/>
      <c r="V103" s="16" t="s">
        <v>50</v>
      </c>
      <c r="W103" s="16"/>
    </row>
    <row r="104" spans="2:23" ht="15" customHeight="1">
      <c r="B104" s="16" t="s">
        <v>373</v>
      </c>
      <c r="C104" s="16" t="s">
        <v>151</v>
      </c>
      <c r="D104" s="16" t="s">
        <v>374</v>
      </c>
      <c r="E104" s="16" t="s">
        <v>62</v>
      </c>
      <c r="F104" s="16" t="s">
        <v>186</v>
      </c>
      <c r="G104" s="8">
        <v>1</v>
      </c>
      <c r="H104" s="8">
        <v>7</v>
      </c>
      <c r="I104" s="8">
        <v>5</v>
      </c>
      <c r="J104" s="8">
        <v>106361</v>
      </c>
      <c r="K104" s="8">
        <v>255</v>
      </c>
      <c r="L104" s="8">
        <v>0</v>
      </c>
      <c r="M104" s="8">
        <v>0</v>
      </c>
      <c r="N104" s="8">
        <v>0</v>
      </c>
      <c r="O104" s="8">
        <v>0</v>
      </c>
      <c r="P104" s="8">
        <v>0</v>
      </c>
      <c r="Q104" s="8">
        <v>0</v>
      </c>
      <c r="R104" s="8">
        <v>1</v>
      </c>
      <c r="S104" s="8">
        <v>0</v>
      </c>
      <c r="T104" s="23">
        <v>1</v>
      </c>
      <c r="U104" s="16"/>
      <c r="V104" s="16" t="s">
        <v>50</v>
      </c>
      <c r="W104" s="16"/>
    </row>
    <row r="105" spans="2:23" ht="15" customHeight="1">
      <c r="B105" s="16" t="s">
        <v>375</v>
      </c>
      <c r="C105" s="16" t="s">
        <v>184</v>
      </c>
      <c r="D105" s="16" t="s">
        <v>376</v>
      </c>
      <c r="E105" s="16" t="s">
        <v>62</v>
      </c>
      <c r="F105" s="16" t="s">
        <v>186</v>
      </c>
      <c r="G105" s="8">
        <v>1</v>
      </c>
      <c r="H105" s="8">
        <v>0</v>
      </c>
      <c r="I105" s="8">
        <v>0</v>
      </c>
      <c r="J105" s="8">
        <v>8765</v>
      </c>
      <c r="K105" s="8">
        <v>57</v>
      </c>
      <c r="L105" s="8">
        <v>0</v>
      </c>
      <c r="M105" s="8">
        <v>0</v>
      </c>
      <c r="N105" s="8">
        <v>0</v>
      </c>
      <c r="O105" s="8">
        <v>0</v>
      </c>
      <c r="P105" s="8">
        <v>0</v>
      </c>
      <c r="Q105" s="8">
        <v>0</v>
      </c>
      <c r="R105" s="8">
        <v>1</v>
      </c>
      <c r="S105" s="8">
        <v>0</v>
      </c>
      <c r="T105" s="23">
        <v>1</v>
      </c>
      <c r="U105" s="16"/>
      <c r="V105" s="16" t="s">
        <v>50</v>
      </c>
      <c r="W105" s="16"/>
    </row>
    <row r="106" spans="2:23" ht="15" customHeight="1">
      <c r="B106" s="16" t="s">
        <v>377</v>
      </c>
      <c r="C106" s="16" t="s">
        <v>151</v>
      </c>
      <c r="D106" s="16" t="s">
        <v>378</v>
      </c>
      <c r="E106" s="16" t="s">
        <v>62</v>
      </c>
      <c r="F106" s="16" t="s">
        <v>186</v>
      </c>
      <c r="G106" s="8">
        <v>1</v>
      </c>
      <c r="H106" s="8">
        <v>16</v>
      </c>
      <c r="I106" s="8">
        <v>12</v>
      </c>
      <c r="J106" s="8">
        <v>53847</v>
      </c>
      <c r="K106" s="8">
        <v>72</v>
      </c>
      <c r="L106" s="8">
        <v>0</v>
      </c>
      <c r="M106" s="8">
        <v>0</v>
      </c>
      <c r="N106" s="8">
        <v>0</v>
      </c>
      <c r="O106" s="8">
        <v>0</v>
      </c>
      <c r="P106" s="8">
        <v>0</v>
      </c>
      <c r="Q106" s="8">
        <v>0</v>
      </c>
      <c r="R106" s="8">
        <v>1</v>
      </c>
      <c r="S106" s="8">
        <v>0</v>
      </c>
      <c r="T106" s="23">
        <v>1</v>
      </c>
      <c r="U106" s="16"/>
      <c r="V106" s="16" t="s">
        <v>50</v>
      </c>
      <c r="W106" s="16"/>
    </row>
    <row r="107" spans="2:23" ht="15" customHeight="1">
      <c r="B107" s="16" t="s">
        <v>379</v>
      </c>
      <c r="C107" s="16" t="s">
        <v>184</v>
      </c>
      <c r="D107" s="16" t="s">
        <v>380</v>
      </c>
      <c r="E107" s="16" t="s">
        <v>62</v>
      </c>
      <c r="F107" s="16" t="s">
        <v>186</v>
      </c>
      <c r="G107" s="8">
        <v>1</v>
      </c>
      <c r="H107" s="8">
        <v>72</v>
      </c>
      <c r="I107" s="8">
        <v>54</v>
      </c>
      <c r="J107" s="8">
        <v>9315</v>
      </c>
      <c r="K107" s="8">
        <v>2681</v>
      </c>
      <c r="L107" s="8">
        <v>8</v>
      </c>
      <c r="M107" s="8">
        <v>4</v>
      </c>
      <c r="N107" s="8">
        <v>2</v>
      </c>
      <c r="O107" s="8">
        <v>2</v>
      </c>
      <c r="P107" s="8">
        <v>0</v>
      </c>
      <c r="Q107" s="8">
        <v>0</v>
      </c>
      <c r="R107" s="8">
        <v>0</v>
      </c>
      <c r="S107" s="8">
        <v>1</v>
      </c>
      <c r="T107" s="23">
        <v>1</v>
      </c>
      <c r="U107" s="16"/>
      <c r="V107" s="16" t="s">
        <v>50</v>
      </c>
      <c r="W107" s="16"/>
    </row>
    <row r="108" spans="2:23" ht="15" customHeight="1">
      <c r="B108" s="16" t="s">
        <v>381</v>
      </c>
      <c r="C108" s="16" t="s">
        <v>184</v>
      </c>
      <c r="D108" s="16" t="s">
        <v>382</v>
      </c>
      <c r="E108" s="16" t="s">
        <v>62</v>
      </c>
      <c r="F108" s="16" t="s">
        <v>222</v>
      </c>
      <c r="G108" s="8">
        <v>1</v>
      </c>
      <c r="H108" s="8"/>
      <c r="I108" s="8">
        <v>0</v>
      </c>
      <c r="J108" s="8">
        <v>330</v>
      </c>
      <c r="K108" s="8">
        <v>47</v>
      </c>
      <c r="L108" s="8">
        <v>1</v>
      </c>
      <c r="M108" s="8">
        <v>1</v>
      </c>
      <c r="N108" s="8">
        <v>0</v>
      </c>
      <c r="O108" s="8">
        <v>0</v>
      </c>
      <c r="P108" s="8">
        <v>0</v>
      </c>
      <c r="Q108" s="8">
        <v>1</v>
      </c>
      <c r="R108" s="8">
        <v>0</v>
      </c>
      <c r="S108" s="8">
        <v>0</v>
      </c>
      <c r="T108" s="23">
        <v>1</v>
      </c>
      <c r="U108" s="16" t="s">
        <v>187</v>
      </c>
      <c r="V108" s="16" t="s">
        <v>236</v>
      </c>
      <c r="W108" s="16" t="s">
        <v>237</v>
      </c>
    </row>
    <row r="109" spans="2:23" ht="15" customHeight="1">
      <c r="B109" s="16" t="s">
        <v>383</v>
      </c>
      <c r="C109" s="16" t="s">
        <v>184</v>
      </c>
      <c r="D109" s="16" t="s">
        <v>384</v>
      </c>
      <c r="E109" s="16" t="s">
        <v>62</v>
      </c>
      <c r="F109" s="16" t="s">
        <v>222</v>
      </c>
      <c r="G109" s="8">
        <v>1</v>
      </c>
      <c r="H109" s="8"/>
      <c r="I109" s="8">
        <v>0</v>
      </c>
      <c r="J109" s="8">
        <v>279</v>
      </c>
      <c r="K109" s="8">
        <v>57</v>
      </c>
      <c r="L109" s="8">
        <v>1</v>
      </c>
      <c r="M109" s="8">
        <v>1</v>
      </c>
      <c r="N109" s="8">
        <v>0</v>
      </c>
      <c r="O109" s="8">
        <v>0</v>
      </c>
      <c r="P109" s="8">
        <v>0</v>
      </c>
      <c r="Q109" s="8">
        <v>0</v>
      </c>
      <c r="R109" s="8">
        <v>1</v>
      </c>
      <c r="S109" s="8">
        <v>0</v>
      </c>
      <c r="T109" s="23">
        <v>1</v>
      </c>
      <c r="U109" s="16" t="s">
        <v>187</v>
      </c>
      <c r="V109" s="16" t="s">
        <v>385</v>
      </c>
      <c r="W109" s="16" t="s">
        <v>386</v>
      </c>
    </row>
    <row r="110" spans="2:23" ht="15" customHeight="1">
      <c r="B110" s="16" t="s">
        <v>387</v>
      </c>
      <c r="C110" s="16" t="s">
        <v>388</v>
      </c>
      <c r="D110" s="16" t="s">
        <v>389</v>
      </c>
      <c r="E110" s="16" t="s">
        <v>76</v>
      </c>
      <c r="F110" s="16" t="s">
        <v>186</v>
      </c>
      <c r="G110" s="8">
        <v>1</v>
      </c>
      <c r="H110" s="8">
        <v>84</v>
      </c>
      <c r="I110" s="8">
        <v>2</v>
      </c>
      <c r="J110" s="8">
        <v>1084325</v>
      </c>
      <c r="K110" s="8">
        <v>0</v>
      </c>
      <c r="L110" s="8">
        <v>4</v>
      </c>
      <c r="M110" s="8">
        <v>4</v>
      </c>
      <c r="N110" s="8">
        <v>0</v>
      </c>
      <c r="O110" s="8">
        <v>0</v>
      </c>
      <c r="P110" s="8">
        <v>0</v>
      </c>
      <c r="Q110" s="8">
        <v>0</v>
      </c>
      <c r="R110" s="8">
        <v>0</v>
      </c>
      <c r="S110" s="8">
        <v>1</v>
      </c>
      <c r="T110" s="23">
        <v>1</v>
      </c>
      <c r="U110" s="16" t="s">
        <v>187</v>
      </c>
      <c r="V110" s="16" t="s">
        <v>200</v>
      </c>
      <c r="W110" s="16" t="s">
        <v>201</v>
      </c>
    </row>
    <row r="111" spans="2:23" ht="15" customHeight="1">
      <c r="B111" s="16" t="s">
        <v>390</v>
      </c>
      <c r="C111" s="16" t="s">
        <v>184</v>
      </c>
      <c r="D111" s="16" t="s">
        <v>391</v>
      </c>
      <c r="E111" s="16" t="s">
        <v>71</v>
      </c>
      <c r="F111" s="16" t="s">
        <v>192</v>
      </c>
      <c r="G111" s="8">
        <v>1</v>
      </c>
      <c r="H111" s="8"/>
      <c r="I111" s="8">
        <v>0</v>
      </c>
      <c r="J111" s="8">
        <v>1476</v>
      </c>
      <c r="K111" s="8">
        <v>0</v>
      </c>
      <c r="L111" s="8">
        <v>0</v>
      </c>
      <c r="M111" s="8">
        <v>0</v>
      </c>
      <c r="N111" s="8">
        <v>0</v>
      </c>
      <c r="O111" s="8">
        <v>0</v>
      </c>
      <c r="P111" s="8">
        <v>0</v>
      </c>
      <c r="Q111" s="8">
        <v>0</v>
      </c>
      <c r="R111" s="8">
        <v>1</v>
      </c>
      <c r="S111" s="8">
        <v>0</v>
      </c>
      <c r="T111" s="23">
        <v>1</v>
      </c>
      <c r="U111" s="16" t="s">
        <v>392</v>
      </c>
      <c r="V111" s="16" t="s">
        <v>393</v>
      </c>
      <c r="W111" s="16" t="s">
        <v>394</v>
      </c>
    </row>
    <row r="112" spans="2:23" ht="15" customHeight="1">
      <c r="B112" s="16" t="s">
        <v>395</v>
      </c>
      <c r="C112" s="16" t="s">
        <v>184</v>
      </c>
      <c r="D112" s="16" t="s">
        <v>396</v>
      </c>
      <c r="E112" s="16" t="s">
        <v>71</v>
      </c>
      <c r="F112" s="16" t="s">
        <v>192</v>
      </c>
      <c r="G112" s="8">
        <v>1</v>
      </c>
      <c r="H112" s="8"/>
      <c r="I112" s="8">
        <v>0</v>
      </c>
      <c r="J112" s="8">
        <v>1427</v>
      </c>
      <c r="K112" s="8">
        <v>0</v>
      </c>
      <c r="L112" s="8">
        <v>0</v>
      </c>
      <c r="M112" s="8">
        <v>0</v>
      </c>
      <c r="N112" s="8">
        <v>0</v>
      </c>
      <c r="O112" s="8">
        <v>0</v>
      </c>
      <c r="P112" s="8">
        <v>0</v>
      </c>
      <c r="Q112" s="8">
        <v>0</v>
      </c>
      <c r="R112" s="8">
        <v>1</v>
      </c>
      <c r="S112" s="8">
        <v>0</v>
      </c>
      <c r="T112" s="23">
        <v>1</v>
      </c>
      <c r="U112" s="16"/>
      <c r="V112" s="16" t="s">
        <v>50</v>
      </c>
      <c r="W112" s="16"/>
    </row>
    <row r="113" spans="2:23" ht="15" customHeight="1">
      <c r="B113" s="16" t="s">
        <v>345</v>
      </c>
      <c r="C113" s="16" t="s">
        <v>184</v>
      </c>
      <c r="D113" s="16" t="s">
        <v>397</v>
      </c>
      <c r="E113" s="16" t="s">
        <v>76</v>
      </c>
      <c r="F113" s="16" t="s">
        <v>186</v>
      </c>
      <c r="G113" s="8">
        <v>1</v>
      </c>
      <c r="H113" s="8">
        <v>21</v>
      </c>
      <c r="I113" s="8">
        <v>15</v>
      </c>
      <c r="J113" s="8">
        <v>18503</v>
      </c>
      <c r="K113" s="8">
        <v>0</v>
      </c>
      <c r="L113" s="8">
        <v>0</v>
      </c>
      <c r="M113" s="8">
        <v>0</v>
      </c>
      <c r="N113" s="8">
        <v>0</v>
      </c>
      <c r="O113" s="8">
        <v>0</v>
      </c>
      <c r="P113" s="8">
        <v>0</v>
      </c>
      <c r="Q113" s="8">
        <v>0</v>
      </c>
      <c r="R113" s="8">
        <v>1</v>
      </c>
      <c r="S113" s="8">
        <v>0</v>
      </c>
      <c r="T113" s="23">
        <v>1</v>
      </c>
      <c r="U113" s="16" t="s">
        <v>187</v>
      </c>
      <c r="V113" s="16" t="s">
        <v>200</v>
      </c>
      <c r="W113" s="16" t="s">
        <v>201</v>
      </c>
    </row>
    <row r="114" spans="2:23" ht="15" customHeight="1">
      <c r="B114" s="16" t="s">
        <v>398</v>
      </c>
      <c r="C114" s="16" t="s">
        <v>184</v>
      </c>
      <c r="D114" s="16" t="s">
        <v>399</v>
      </c>
      <c r="E114" s="16" t="s">
        <v>62</v>
      </c>
      <c r="F114" s="16" t="s">
        <v>186</v>
      </c>
      <c r="G114" s="8">
        <v>1</v>
      </c>
      <c r="H114" s="8">
        <v>169</v>
      </c>
      <c r="I114" s="8">
        <v>3</v>
      </c>
      <c r="J114" s="8">
        <v>80790</v>
      </c>
      <c r="K114" s="8">
        <v>0</v>
      </c>
      <c r="L114" s="8">
        <v>0</v>
      </c>
      <c r="M114" s="8">
        <v>0</v>
      </c>
      <c r="N114" s="8">
        <v>0</v>
      </c>
      <c r="O114" s="8">
        <v>0</v>
      </c>
      <c r="P114" s="8">
        <v>0</v>
      </c>
      <c r="Q114" s="8">
        <v>0</v>
      </c>
      <c r="R114" s="8">
        <v>1</v>
      </c>
      <c r="S114" s="8">
        <v>0</v>
      </c>
      <c r="T114" s="23">
        <v>1</v>
      </c>
      <c r="U114" s="16" t="s">
        <v>187</v>
      </c>
      <c r="V114" s="16" t="s">
        <v>400</v>
      </c>
      <c r="W114" s="16" t="s">
        <v>401</v>
      </c>
    </row>
    <row r="115" spans="2:23" ht="15" customHeight="1">
      <c r="B115" s="16" t="s">
        <v>402</v>
      </c>
      <c r="C115" s="16" t="s">
        <v>151</v>
      </c>
      <c r="D115" s="16" t="s">
        <v>403</v>
      </c>
      <c r="E115" s="16" t="s">
        <v>62</v>
      </c>
      <c r="F115" s="16" t="s">
        <v>186</v>
      </c>
      <c r="G115" s="8">
        <v>1</v>
      </c>
      <c r="H115" s="8">
        <v>103</v>
      </c>
      <c r="I115" s="8">
        <v>2</v>
      </c>
      <c r="J115" s="8">
        <v>77077</v>
      </c>
      <c r="K115" s="8">
        <v>0</v>
      </c>
      <c r="L115" s="8">
        <v>0</v>
      </c>
      <c r="M115" s="8">
        <v>0</v>
      </c>
      <c r="N115" s="8">
        <v>0</v>
      </c>
      <c r="O115" s="8">
        <v>0</v>
      </c>
      <c r="P115" s="8">
        <v>0</v>
      </c>
      <c r="Q115" s="8">
        <v>0</v>
      </c>
      <c r="R115" s="8">
        <v>1</v>
      </c>
      <c r="S115" s="8">
        <v>0</v>
      </c>
      <c r="T115" s="23">
        <v>1</v>
      </c>
      <c r="U115" s="16"/>
      <c r="V115" s="16" t="s">
        <v>50</v>
      </c>
      <c r="W115" s="16"/>
    </row>
    <row r="116" spans="2:23" ht="15" customHeight="1">
      <c r="B116" s="16" t="s">
        <v>252</v>
      </c>
      <c r="C116" s="16" t="s">
        <v>184</v>
      </c>
      <c r="D116" s="16" t="s">
        <v>404</v>
      </c>
      <c r="E116" s="16" t="s">
        <v>76</v>
      </c>
      <c r="F116" s="16" t="s">
        <v>186</v>
      </c>
      <c r="G116" s="8">
        <v>1</v>
      </c>
      <c r="H116" s="8">
        <v>17</v>
      </c>
      <c r="I116" s="8">
        <v>12</v>
      </c>
      <c r="J116" s="8">
        <v>13612</v>
      </c>
      <c r="K116" s="8">
        <v>0</v>
      </c>
      <c r="L116" s="8">
        <v>0</v>
      </c>
      <c r="M116" s="8">
        <v>0</v>
      </c>
      <c r="N116" s="8">
        <v>0</v>
      </c>
      <c r="O116" s="8">
        <v>0</v>
      </c>
      <c r="P116" s="8">
        <v>0</v>
      </c>
      <c r="Q116" s="8">
        <v>0</v>
      </c>
      <c r="R116" s="8">
        <v>1</v>
      </c>
      <c r="S116" s="8">
        <v>0</v>
      </c>
      <c r="T116" s="23">
        <v>1</v>
      </c>
      <c r="U116" s="16"/>
      <c r="V116" s="16" t="s">
        <v>50</v>
      </c>
      <c r="W116" s="16"/>
    </row>
    <row r="117" spans="2:23" ht="15" customHeight="1">
      <c r="B117" s="16" t="s">
        <v>375</v>
      </c>
      <c r="C117" s="16" t="s">
        <v>184</v>
      </c>
      <c r="D117" s="16" t="s">
        <v>405</v>
      </c>
      <c r="E117" s="16" t="s">
        <v>76</v>
      </c>
      <c r="F117" s="16" t="s">
        <v>186</v>
      </c>
      <c r="G117" s="8">
        <v>1</v>
      </c>
      <c r="H117" s="8"/>
      <c r="I117" s="8">
        <v>0</v>
      </c>
      <c r="J117" s="8">
        <v>2843</v>
      </c>
      <c r="K117" s="8">
        <v>0</v>
      </c>
      <c r="L117" s="8">
        <v>0</v>
      </c>
      <c r="M117" s="8">
        <v>0</v>
      </c>
      <c r="N117" s="8">
        <v>0</v>
      </c>
      <c r="O117" s="8">
        <v>0</v>
      </c>
      <c r="P117" s="8">
        <v>0</v>
      </c>
      <c r="Q117" s="8">
        <v>0</v>
      </c>
      <c r="R117" s="8">
        <v>1</v>
      </c>
      <c r="S117" s="8">
        <v>0</v>
      </c>
      <c r="T117" s="23">
        <v>1</v>
      </c>
      <c r="U117" s="16"/>
      <c r="V117" s="16" t="s">
        <v>50</v>
      </c>
      <c r="W117" s="16"/>
    </row>
    <row r="118" spans="2:23" ht="15" customHeight="1">
      <c r="B118" s="16" t="s">
        <v>406</v>
      </c>
      <c r="C118" s="16" t="s">
        <v>154</v>
      </c>
      <c r="D118" s="16" t="s">
        <v>407</v>
      </c>
      <c r="E118" s="16" t="s">
        <v>78</v>
      </c>
      <c r="F118" s="16" t="s">
        <v>192</v>
      </c>
      <c r="G118" s="8">
        <v>1</v>
      </c>
      <c r="H118" s="8">
        <v>423</v>
      </c>
      <c r="I118" s="8">
        <v>6</v>
      </c>
      <c r="J118" s="8">
        <v>482000</v>
      </c>
      <c r="K118" s="8">
        <v>0</v>
      </c>
      <c r="L118" s="8">
        <v>0</v>
      </c>
      <c r="M118" s="8">
        <v>0</v>
      </c>
      <c r="N118" s="8">
        <v>0</v>
      </c>
      <c r="O118" s="8">
        <v>0</v>
      </c>
      <c r="P118" s="8">
        <v>0</v>
      </c>
      <c r="Q118" s="8">
        <v>0</v>
      </c>
      <c r="R118" s="8">
        <v>1</v>
      </c>
      <c r="S118" s="8">
        <v>0</v>
      </c>
      <c r="T118" s="23">
        <v>1</v>
      </c>
      <c r="U118" s="16"/>
      <c r="V118" s="16" t="s">
        <v>50</v>
      </c>
      <c r="W118" s="16"/>
    </row>
    <row r="119" spans="2:23" ht="15" customHeight="1">
      <c r="B119" s="16" t="s">
        <v>408</v>
      </c>
      <c r="C119" s="16" t="s">
        <v>184</v>
      </c>
      <c r="D119" s="16" t="s">
        <v>409</v>
      </c>
      <c r="E119" s="16" t="s">
        <v>71</v>
      </c>
      <c r="F119" s="16" t="s">
        <v>222</v>
      </c>
      <c r="G119" s="8">
        <v>1</v>
      </c>
      <c r="H119" s="8"/>
      <c r="I119" s="8">
        <v>0</v>
      </c>
      <c r="J119" s="8">
        <v>459</v>
      </c>
      <c r="K119" s="8">
        <v>0</v>
      </c>
      <c r="L119" s="8">
        <v>0</v>
      </c>
      <c r="M119" s="8">
        <v>0</v>
      </c>
      <c r="N119" s="8">
        <v>0</v>
      </c>
      <c r="O119" s="8">
        <v>0</v>
      </c>
      <c r="P119" s="8">
        <v>0</v>
      </c>
      <c r="Q119" s="8">
        <v>0</v>
      </c>
      <c r="R119" s="8">
        <v>1</v>
      </c>
      <c r="S119" s="8">
        <v>0</v>
      </c>
      <c r="T119" s="23">
        <v>1</v>
      </c>
      <c r="U119" s="16" t="s">
        <v>392</v>
      </c>
      <c r="V119" s="16" t="s">
        <v>410</v>
      </c>
      <c r="W119" s="16" t="s">
        <v>411</v>
      </c>
    </row>
    <row r="120" spans="2:23" ht="15" customHeight="1">
      <c r="B120" s="16" t="s">
        <v>412</v>
      </c>
      <c r="C120" s="16" t="s">
        <v>413</v>
      </c>
      <c r="D120" s="16" t="s">
        <v>414</v>
      </c>
      <c r="E120" s="16" t="s">
        <v>62</v>
      </c>
      <c r="F120" s="16" t="s">
        <v>186</v>
      </c>
      <c r="G120" s="8">
        <v>1</v>
      </c>
      <c r="H120" s="8">
        <v>155</v>
      </c>
      <c r="I120" s="8">
        <v>112</v>
      </c>
      <c r="J120" s="8">
        <v>55177</v>
      </c>
      <c r="K120" s="8">
        <v>8468</v>
      </c>
      <c r="L120" s="8">
        <v>17</v>
      </c>
      <c r="M120" s="8">
        <v>3</v>
      </c>
      <c r="N120" s="8">
        <v>11</v>
      </c>
      <c r="O120" s="8">
        <v>3</v>
      </c>
      <c r="P120" s="8">
        <v>0</v>
      </c>
      <c r="Q120" s="8">
        <v>0</v>
      </c>
      <c r="R120" s="8">
        <v>0</v>
      </c>
      <c r="S120" s="8">
        <v>1</v>
      </c>
      <c r="T120" s="23">
        <v>1</v>
      </c>
      <c r="U120" s="16" t="s">
        <v>187</v>
      </c>
      <c r="V120" s="16" t="s">
        <v>415</v>
      </c>
      <c r="W120" s="16" t="s">
        <v>416</v>
      </c>
    </row>
    <row r="121" spans="2:23" ht="15" customHeight="1">
      <c r="B121" s="16" t="s">
        <v>417</v>
      </c>
      <c r="C121" s="16" t="s">
        <v>184</v>
      </c>
      <c r="D121" s="16" t="s">
        <v>418</v>
      </c>
      <c r="E121" s="16" t="s">
        <v>62</v>
      </c>
      <c r="F121" s="16" t="s">
        <v>186</v>
      </c>
      <c r="G121" s="8">
        <v>1</v>
      </c>
      <c r="H121" s="8">
        <v>130</v>
      </c>
      <c r="I121" s="8">
        <v>2</v>
      </c>
      <c r="J121" s="8">
        <v>6081</v>
      </c>
      <c r="K121" s="8">
        <v>0</v>
      </c>
      <c r="L121" s="8">
        <v>0</v>
      </c>
      <c r="M121" s="8">
        <v>0</v>
      </c>
      <c r="N121" s="8">
        <v>0</v>
      </c>
      <c r="O121" s="8">
        <v>0</v>
      </c>
      <c r="P121" s="8">
        <v>0</v>
      </c>
      <c r="Q121" s="8">
        <v>0</v>
      </c>
      <c r="R121" s="8">
        <v>1</v>
      </c>
      <c r="S121" s="8">
        <v>0</v>
      </c>
      <c r="T121" s="23">
        <v>1</v>
      </c>
      <c r="U121" s="16" t="s">
        <v>187</v>
      </c>
      <c r="V121" s="16" t="s">
        <v>200</v>
      </c>
      <c r="W121" s="16" t="s">
        <v>201</v>
      </c>
    </row>
    <row r="122" spans="2:23" ht="15" customHeight="1">
      <c r="B122" s="16" t="s">
        <v>419</v>
      </c>
      <c r="C122" s="16" t="s">
        <v>420</v>
      </c>
      <c r="D122" s="16" t="s">
        <v>421</v>
      </c>
      <c r="E122" s="16" t="s">
        <v>62</v>
      </c>
      <c r="F122" s="16" t="s">
        <v>186</v>
      </c>
      <c r="G122" s="8">
        <v>1</v>
      </c>
      <c r="H122" s="8">
        <v>124</v>
      </c>
      <c r="I122" s="8">
        <v>2</v>
      </c>
      <c r="J122" s="8">
        <v>23910</v>
      </c>
      <c r="K122" s="8">
        <v>0</v>
      </c>
      <c r="L122" s="8">
        <v>0</v>
      </c>
      <c r="M122" s="8">
        <v>0</v>
      </c>
      <c r="N122" s="8">
        <v>0</v>
      </c>
      <c r="O122" s="8">
        <v>0</v>
      </c>
      <c r="P122" s="8">
        <v>0</v>
      </c>
      <c r="Q122" s="8">
        <v>1</v>
      </c>
      <c r="R122" s="8">
        <v>0</v>
      </c>
      <c r="S122" s="8">
        <v>0</v>
      </c>
      <c r="T122" s="23">
        <v>1</v>
      </c>
      <c r="U122" s="16" t="s">
        <v>187</v>
      </c>
      <c r="V122" s="16" t="s">
        <v>188</v>
      </c>
      <c r="W122" s="16" t="s">
        <v>189</v>
      </c>
    </row>
    <row r="123" spans="2:23" ht="15" customHeight="1">
      <c r="B123" s="16" t="s">
        <v>422</v>
      </c>
      <c r="C123" s="16" t="s">
        <v>184</v>
      </c>
      <c r="D123" s="16" t="s">
        <v>423</v>
      </c>
      <c r="E123" s="16" t="s">
        <v>71</v>
      </c>
      <c r="F123" s="16" t="s">
        <v>222</v>
      </c>
      <c r="G123" s="8">
        <v>1</v>
      </c>
      <c r="H123" s="8"/>
      <c r="I123" s="8">
        <v>0</v>
      </c>
      <c r="J123" s="8">
        <v>9493</v>
      </c>
      <c r="K123" s="8">
        <v>0</v>
      </c>
      <c r="L123" s="8">
        <v>0</v>
      </c>
      <c r="M123" s="8">
        <v>0</v>
      </c>
      <c r="N123" s="8">
        <v>0</v>
      </c>
      <c r="O123" s="8">
        <v>0</v>
      </c>
      <c r="P123" s="8">
        <v>0</v>
      </c>
      <c r="Q123" s="8">
        <v>0</v>
      </c>
      <c r="R123" s="8">
        <v>1</v>
      </c>
      <c r="S123" s="8">
        <v>0</v>
      </c>
      <c r="T123" s="23">
        <v>1</v>
      </c>
      <c r="U123" s="16" t="s">
        <v>392</v>
      </c>
      <c r="V123" s="16" t="s">
        <v>424</v>
      </c>
      <c r="W123" s="16" t="s">
        <v>425</v>
      </c>
    </row>
    <row r="124" spans="2:23" ht="15" customHeight="1">
      <c r="B124" s="16" t="s">
        <v>426</v>
      </c>
      <c r="C124" s="16" t="s">
        <v>184</v>
      </c>
      <c r="D124" s="16" t="s">
        <v>427</v>
      </c>
      <c r="E124" s="16" t="s">
        <v>62</v>
      </c>
      <c r="F124" s="16" t="s">
        <v>186</v>
      </c>
      <c r="G124" s="8">
        <v>1</v>
      </c>
      <c r="H124" s="8">
        <v>38</v>
      </c>
      <c r="I124" s="8">
        <v>1</v>
      </c>
      <c r="J124" s="8">
        <v>3256</v>
      </c>
      <c r="K124" s="8">
        <v>0</v>
      </c>
      <c r="L124" s="8">
        <v>0</v>
      </c>
      <c r="M124" s="8">
        <v>0</v>
      </c>
      <c r="N124" s="8">
        <v>0</v>
      </c>
      <c r="O124" s="8">
        <v>0</v>
      </c>
      <c r="P124" s="8">
        <v>0</v>
      </c>
      <c r="Q124" s="8">
        <v>0</v>
      </c>
      <c r="R124" s="8">
        <v>1</v>
      </c>
      <c r="S124" s="8">
        <v>0</v>
      </c>
      <c r="T124" s="23">
        <v>1</v>
      </c>
      <c r="U124" s="16" t="s">
        <v>187</v>
      </c>
      <c r="V124" s="16" t="s">
        <v>262</v>
      </c>
      <c r="W124" s="16" t="s">
        <v>428</v>
      </c>
    </row>
    <row r="125" spans="2:23" ht="15" customHeight="1">
      <c r="B125" s="16" t="s">
        <v>429</v>
      </c>
      <c r="C125" s="16" t="s">
        <v>420</v>
      </c>
      <c r="D125" s="16" t="s">
        <v>430</v>
      </c>
      <c r="E125" s="16" t="s">
        <v>62</v>
      </c>
      <c r="F125" s="16" t="s">
        <v>186</v>
      </c>
      <c r="G125" s="8">
        <v>1</v>
      </c>
      <c r="H125" s="8">
        <v>93</v>
      </c>
      <c r="I125" s="8">
        <v>2</v>
      </c>
      <c r="J125" s="8">
        <v>26134</v>
      </c>
      <c r="K125" s="8">
        <v>0</v>
      </c>
      <c r="L125" s="8">
        <v>0</v>
      </c>
      <c r="M125" s="8">
        <v>0</v>
      </c>
      <c r="N125" s="8">
        <v>0</v>
      </c>
      <c r="O125" s="8">
        <v>0</v>
      </c>
      <c r="P125" s="8">
        <v>0</v>
      </c>
      <c r="Q125" s="8">
        <v>0</v>
      </c>
      <c r="R125" s="8">
        <v>1</v>
      </c>
      <c r="S125" s="8">
        <v>0</v>
      </c>
      <c r="T125" s="23">
        <v>1</v>
      </c>
      <c r="U125" s="16" t="s">
        <v>187</v>
      </c>
      <c r="V125" s="16" t="s">
        <v>431</v>
      </c>
      <c r="W125" s="16" t="s">
        <v>432</v>
      </c>
    </row>
    <row r="126" spans="2:23" ht="15" customHeight="1">
      <c r="B126" s="16" t="s">
        <v>433</v>
      </c>
      <c r="C126" s="16" t="s">
        <v>184</v>
      </c>
      <c r="D126" s="16" t="s">
        <v>434</v>
      </c>
      <c r="E126" s="16" t="s">
        <v>76</v>
      </c>
      <c r="F126" s="16" t="s">
        <v>222</v>
      </c>
      <c r="G126" s="8">
        <v>1</v>
      </c>
      <c r="H126" s="8">
        <v>10</v>
      </c>
      <c r="I126" s="8">
        <v>7</v>
      </c>
      <c r="J126" s="8">
        <v>9604</v>
      </c>
      <c r="K126" s="8">
        <v>0</v>
      </c>
      <c r="L126" s="8">
        <v>0</v>
      </c>
      <c r="M126" s="8">
        <v>0</v>
      </c>
      <c r="N126" s="8">
        <v>0</v>
      </c>
      <c r="O126" s="8">
        <v>0</v>
      </c>
      <c r="P126" s="8">
        <v>0</v>
      </c>
      <c r="Q126" s="8">
        <v>0</v>
      </c>
      <c r="R126" s="8">
        <v>1</v>
      </c>
      <c r="S126" s="8">
        <v>0</v>
      </c>
      <c r="T126" s="23">
        <v>1</v>
      </c>
      <c r="U126" s="16" t="s">
        <v>187</v>
      </c>
      <c r="V126" s="16" t="s">
        <v>435</v>
      </c>
      <c r="W126" s="16" t="s">
        <v>436</v>
      </c>
    </row>
    <row r="127" spans="2:23" ht="15" customHeight="1">
      <c r="B127" s="16" t="s">
        <v>437</v>
      </c>
      <c r="C127" s="16" t="s">
        <v>184</v>
      </c>
      <c r="D127" s="16" t="s">
        <v>438</v>
      </c>
      <c r="E127" s="16" t="s">
        <v>62</v>
      </c>
      <c r="F127" s="16" t="s">
        <v>186</v>
      </c>
      <c r="G127" s="8">
        <v>1</v>
      </c>
      <c r="H127" s="8">
        <v>130</v>
      </c>
      <c r="I127" s="8">
        <v>2</v>
      </c>
      <c r="J127" s="8">
        <v>17935</v>
      </c>
      <c r="K127" s="8">
        <v>0</v>
      </c>
      <c r="L127" s="8">
        <v>0</v>
      </c>
      <c r="M127" s="8">
        <v>0</v>
      </c>
      <c r="N127" s="8">
        <v>0</v>
      </c>
      <c r="O127" s="8">
        <v>0</v>
      </c>
      <c r="P127" s="8">
        <v>0</v>
      </c>
      <c r="Q127" s="8">
        <v>1</v>
      </c>
      <c r="R127" s="8">
        <v>0</v>
      </c>
      <c r="S127" s="8">
        <v>0</v>
      </c>
      <c r="T127" s="23">
        <v>1</v>
      </c>
      <c r="U127" s="16" t="s">
        <v>187</v>
      </c>
      <c r="V127" s="16" t="s">
        <v>439</v>
      </c>
      <c r="W127" s="16" t="s">
        <v>440</v>
      </c>
    </row>
    <row r="128" spans="2:23" ht="15" customHeight="1">
      <c r="B128" s="16" t="s">
        <v>441</v>
      </c>
      <c r="C128" s="16" t="s">
        <v>184</v>
      </c>
      <c r="D128" s="16" t="s">
        <v>442</v>
      </c>
      <c r="E128" s="16" t="s">
        <v>81</v>
      </c>
      <c r="F128" s="16" t="s">
        <v>222</v>
      </c>
      <c r="G128" s="8">
        <v>1</v>
      </c>
      <c r="H128" s="8">
        <v>345</v>
      </c>
      <c r="I128" s="8">
        <v>5</v>
      </c>
      <c r="J128" s="8">
        <v>85540</v>
      </c>
      <c r="K128" s="8">
        <v>0</v>
      </c>
      <c r="L128" s="8">
        <v>0</v>
      </c>
      <c r="M128" s="8">
        <v>0</v>
      </c>
      <c r="N128" s="8">
        <v>0</v>
      </c>
      <c r="O128" s="8">
        <v>0</v>
      </c>
      <c r="P128" s="8">
        <v>0</v>
      </c>
      <c r="Q128" s="8">
        <v>1</v>
      </c>
      <c r="R128" s="8">
        <v>0</v>
      </c>
      <c r="S128" s="8">
        <v>0</v>
      </c>
      <c r="T128" s="23">
        <v>1</v>
      </c>
      <c r="U128" s="16"/>
      <c r="V128" s="16" t="s">
        <v>50</v>
      </c>
      <c r="W128" s="16"/>
    </row>
    <row r="129" spans="2:23" ht="15" customHeight="1">
      <c r="B129" s="16" t="s">
        <v>443</v>
      </c>
      <c r="C129" s="16" t="s">
        <v>184</v>
      </c>
      <c r="D129" s="16" t="s">
        <v>444</v>
      </c>
      <c r="E129" s="16" t="s">
        <v>81</v>
      </c>
      <c r="F129" s="16" t="s">
        <v>222</v>
      </c>
      <c r="G129" s="8">
        <v>1</v>
      </c>
      <c r="H129" s="8"/>
      <c r="I129" s="8">
        <v>0</v>
      </c>
      <c r="J129" s="8">
        <v>654</v>
      </c>
      <c r="K129" s="8">
        <v>0</v>
      </c>
      <c r="L129" s="8">
        <v>1</v>
      </c>
      <c r="M129" s="8">
        <v>1</v>
      </c>
      <c r="N129" s="8">
        <v>0</v>
      </c>
      <c r="O129" s="8">
        <v>0</v>
      </c>
      <c r="P129" s="8">
        <v>0</v>
      </c>
      <c r="Q129" s="8">
        <v>0</v>
      </c>
      <c r="R129" s="8">
        <v>1</v>
      </c>
      <c r="S129" s="8">
        <v>0</v>
      </c>
      <c r="T129" s="23">
        <v>1</v>
      </c>
      <c r="U129" s="16"/>
      <c r="V129" s="16" t="s">
        <v>50</v>
      </c>
      <c r="W129" s="16"/>
    </row>
    <row r="130" spans="2:23" ht="15" customHeight="1">
      <c r="B130" s="16" t="s">
        <v>371</v>
      </c>
      <c r="C130" s="16" t="s">
        <v>184</v>
      </c>
      <c r="D130" s="16" t="s">
        <v>445</v>
      </c>
      <c r="E130" s="16" t="s">
        <v>76</v>
      </c>
      <c r="F130" s="16" t="s">
        <v>186</v>
      </c>
      <c r="G130" s="8">
        <v>1</v>
      </c>
      <c r="H130" s="8">
        <v>31</v>
      </c>
      <c r="I130" s="8">
        <v>22</v>
      </c>
      <c r="J130" s="8">
        <v>38900</v>
      </c>
      <c r="K130" s="8">
        <v>0</v>
      </c>
      <c r="L130" s="8">
        <v>0</v>
      </c>
      <c r="M130" s="8">
        <v>0</v>
      </c>
      <c r="N130" s="8">
        <v>0</v>
      </c>
      <c r="O130" s="8">
        <v>0</v>
      </c>
      <c r="P130" s="8">
        <v>0</v>
      </c>
      <c r="Q130" s="8">
        <v>0</v>
      </c>
      <c r="R130" s="8">
        <v>1</v>
      </c>
      <c r="S130" s="8">
        <v>0</v>
      </c>
      <c r="T130" s="23">
        <v>1</v>
      </c>
      <c r="U130" s="16" t="s">
        <v>187</v>
      </c>
      <c r="V130" s="16" t="s">
        <v>200</v>
      </c>
      <c r="W130" s="16" t="s">
        <v>201</v>
      </c>
    </row>
    <row r="131" spans="2:23" ht="15" customHeight="1">
      <c r="B131" s="16" t="s">
        <v>446</v>
      </c>
      <c r="C131" s="16" t="s">
        <v>184</v>
      </c>
      <c r="D131" s="16" t="s">
        <v>447</v>
      </c>
      <c r="E131" s="16" t="s">
        <v>62</v>
      </c>
      <c r="F131" s="16" t="s">
        <v>222</v>
      </c>
      <c r="G131" s="8">
        <v>1</v>
      </c>
      <c r="H131" s="8"/>
      <c r="I131" s="8">
        <v>0</v>
      </c>
      <c r="J131" s="8">
        <v>461</v>
      </c>
      <c r="K131" s="8">
        <v>59</v>
      </c>
      <c r="L131" s="8">
        <v>0</v>
      </c>
      <c r="M131" s="8">
        <v>0</v>
      </c>
      <c r="N131" s="8">
        <v>0</v>
      </c>
      <c r="O131" s="8">
        <v>0</v>
      </c>
      <c r="P131" s="8">
        <v>0</v>
      </c>
      <c r="Q131" s="8">
        <v>1</v>
      </c>
      <c r="R131" s="8">
        <v>0</v>
      </c>
      <c r="S131" s="8">
        <v>0</v>
      </c>
      <c r="T131" s="23">
        <v>1</v>
      </c>
      <c r="U131" s="16" t="s">
        <v>187</v>
      </c>
      <c r="V131" s="16" t="s">
        <v>358</v>
      </c>
      <c r="W131" s="16" t="s">
        <v>448</v>
      </c>
    </row>
    <row r="132" spans="2:23" ht="15" customHeight="1">
      <c r="B132" s="16" t="s">
        <v>449</v>
      </c>
      <c r="C132" s="16" t="s">
        <v>184</v>
      </c>
      <c r="D132" s="16" t="s">
        <v>450</v>
      </c>
      <c r="E132" s="16" t="s">
        <v>71</v>
      </c>
      <c r="F132" s="16" t="s">
        <v>222</v>
      </c>
      <c r="G132" s="8">
        <v>1</v>
      </c>
      <c r="H132" s="8"/>
      <c r="I132" s="8">
        <v>0</v>
      </c>
      <c r="J132" s="8">
        <v>0</v>
      </c>
      <c r="K132" s="8">
        <v>0</v>
      </c>
      <c r="L132" s="8">
        <v>0</v>
      </c>
      <c r="M132" s="8">
        <v>0</v>
      </c>
      <c r="N132" s="8">
        <v>0</v>
      </c>
      <c r="O132" s="8">
        <v>0</v>
      </c>
      <c r="P132" s="8">
        <v>0</v>
      </c>
      <c r="Q132" s="8">
        <v>0</v>
      </c>
      <c r="R132" s="8">
        <v>1</v>
      </c>
      <c r="S132" s="8">
        <v>0</v>
      </c>
      <c r="T132" s="23">
        <v>1</v>
      </c>
      <c r="U132" s="16"/>
      <c r="V132" s="16" t="s">
        <v>50</v>
      </c>
      <c r="W132" s="16"/>
    </row>
    <row r="133" spans="2:23" ht="15" customHeight="1">
      <c r="B133" s="16" t="s">
        <v>451</v>
      </c>
      <c r="C133" s="16" t="s">
        <v>184</v>
      </c>
      <c r="D133" s="16" t="s">
        <v>452</v>
      </c>
      <c r="E133" s="16" t="s">
        <v>71</v>
      </c>
      <c r="F133" s="16" t="s">
        <v>192</v>
      </c>
      <c r="G133" s="8">
        <v>1</v>
      </c>
      <c r="H133" s="8"/>
      <c r="I133" s="8">
        <v>0</v>
      </c>
      <c r="J133" s="8">
        <v>397</v>
      </c>
      <c r="K133" s="8">
        <v>0</v>
      </c>
      <c r="L133" s="8">
        <v>0</v>
      </c>
      <c r="M133" s="8">
        <v>0</v>
      </c>
      <c r="N133" s="8">
        <v>0</v>
      </c>
      <c r="O133" s="8">
        <v>0</v>
      </c>
      <c r="P133" s="8">
        <v>0</v>
      </c>
      <c r="Q133" s="8">
        <v>0</v>
      </c>
      <c r="R133" s="8">
        <v>1</v>
      </c>
      <c r="S133" s="8">
        <v>0</v>
      </c>
      <c r="T133" s="23">
        <v>1</v>
      </c>
      <c r="U133" s="16" t="s">
        <v>392</v>
      </c>
      <c r="V133" s="16" t="s">
        <v>453</v>
      </c>
      <c r="W133" s="16" t="s">
        <v>454</v>
      </c>
    </row>
    <row r="134" spans="2:23" ht="15" customHeight="1">
      <c r="B134" s="16" t="s">
        <v>455</v>
      </c>
      <c r="C134" s="16" t="s">
        <v>184</v>
      </c>
      <c r="D134" s="16" t="s">
        <v>456</v>
      </c>
      <c r="E134" s="16" t="s">
        <v>62</v>
      </c>
      <c r="F134" s="16" t="s">
        <v>186</v>
      </c>
      <c r="G134" s="8">
        <v>1</v>
      </c>
      <c r="H134" s="8">
        <v>57</v>
      </c>
      <c r="I134" s="8">
        <v>1</v>
      </c>
      <c r="J134" s="8">
        <v>6611</v>
      </c>
      <c r="K134" s="8">
        <v>0</v>
      </c>
      <c r="L134" s="8">
        <v>0</v>
      </c>
      <c r="M134" s="8">
        <v>0</v>
      </c>
      <c r="N134" s="8">
        <v>0</v>
      </c>
      <c r="O134" s="8">
        <v>0</v>
      </c>
      <c r="P134" s="8">
        <v>0</v>
      </c>
      <c r="Q134" s="8">
        <v>0</v>
      </c>
      <c r="R134" s="8">
        <v>1</v>
      </c>
      <c r="S134" s="8">
        <v>0</v>
      </c>
      <c r="T134" s="23">
        <v>1</v>
      </c>
      <c r="U134" s="16" t="s">
        <v>187</v>
      </c>
      <c r="V134" s="16" t="s">
        <v>400</v>
      </c>
      <c r="W134" s="16" t="s">
        <v>401</v>
      </c>
    </row>
    <row r="135" spans="2:23" ht="15" customHeight="1">
      <c r="B135" s="16" t="s">
        <v>457</v>
      </c>
      <c r="C135" s="16" t="s">
        <v>184</v>
      </c>
      <c r="D135" s="16" t="s">
        <v>458</v>
      </c>
      <c r="E135" s="16" t="s">
        <v>71</v>
      </c>
      <c r="F135" s="16" t="s">
        <v>222</v>
      </c>
      <c r="G135" s="8">
        <v>1</v>
      </c>
      <c r="H135" s="8"/>
      <c r="I135" s="8">
        <v>0</v>
      </c>
      <c r="J135" s="8">
        <v>25</v>
      </c>
      <c r="K135" s="8">
        <v>0</v>
      </c>
      <c r="L135" s="8">
        <v>0</v>
      </c>
      <c r="M135" s="8">
        <v>0</v>
      </c>
      <c r="N135" s="8">
        <v>0</v>
      </c>
      <c r="O135" s="8">
        <v>0</v>
      </c>
      <c r="P135" s="8">
        <v>0</v>
      </c>
      <c r="Q135" s="8">
        <v>0</v>
      </c>
      <c r="R135" s="8">
        <v>1</v>
      </c>
      <c r="S135" s="8">
        <v>0</v>
      </c>
      <c r="T135" s="23">
        <v>1</v>
      </c>
      <c r="U135" s="16" t="s">
        <v>50</v>
      </c>
      <c r="V135" s="16" t="s">
        <v>50</v>
      </c>
      <c r="W135" s="16" t="s">
        <v>459</v>
      </c>
    </row>
    <row r="136" spans="2:23" ht="15" customHeight="1">
      <c r="B136" s="16" t="s">
        <v>126</v>
      </c>
      <c r="C136" s="16" t="s">
        <v>184</v>
      </c>
      <c r="D136" s="16" t="s">
        <v>127</v>
      </c>
      <c r="E136" s="16" t="s">
        <v>126</v>
      </c>
      <c r="F136" s="16" t="s">
        <v>192</v>
      </c>
      <c r="G136" s="8">
        <v>1</v>
      </c>
      <c r="H136" s="8"/>
      <c r="I136" s="8">
        <v>0</v>
      </c>
      <c r="J136" s="8">
        <v>280</v>
      </c>
      <c r="K136" s="8">
        <v>0</v>
      </c>
      <c r="L136" s="8">
        <v>0</v>
      </c>
      <c r="M136" s="8">
        <v>0</v>
      </c>
      <c r="N136" s="8">
        <v>0</v>
      </c>
      <c r="O136" s="8">
        <v>0</v>
      </c>
      <c r="P136" s="8">
        <v>0</v>
      </c>
      <c r="Q136" s="8">
        <v>0</v>
      </c>
      <c r="R136" s="8">
        <v>1</v>
      </c>
      <c r="S136" s="8">
        <v>0</v>
      </c>
      <c r="T136" s="23">
        <v>1</v>
      </c>
      <c r="U136" s="16" t="s">
        <v>187</v>
      </c>
      <c r="V136" s="16" t="s">
        <v>200</v>
      </c>
      <c r="W136" s="16" t="s">
        <v>201</v>
      </c>
    </row>
    <row r="137" spans="2:23" ht="15" customHeight="1">
      <c r="B137" s="16" t="s">
        <v>460</v>
      </c>
      <c r="C137" s="16" t="s">
        <v>184</v>
      </c>
      <c r="D137" s="16" t="s">
        <v>461</v>
      </c>
      <c r="E137" s="16" t="s">
        <v>71</v>
      </c>
      <c r="F137" s="16" t="s">
        <v>192</v>
      </c>
      <c r="G137" s="8">
        <v>1</v>
      </c>
      <c r="H137" s="8"/>
      <c r="I137" s="8">
        <v>0</v>
      </c>
      <c r="J137" s="8">
        <v>0</v>
      </c>
      <c r="K137" s="8">
        <v>0</v>
      </c>
      <c r="L137" s="8">
        <v>0</v>
      </c>
      <c r="M137" s="8">
        <v>0</v>
      </c>
      <c r="N137" s="8">
        <v>0</v>
      </c>
      <c r="O137" s="8">
        <v>0</v>
      </c>
      <c r="P137" s="8">
        <v>0</v>
      </c>
      <c r="Q137" s="8">
        <v>0</v>
      </c>
      <c r="R137" s="8">
        <v>1</v>
      </c>
      <c r="S137" s="8">
        <v>0</v>
      </c>
      <c r="T137" s="23">
        <v>1</v>
      </c>
      <c r="U137" s="16"/>
      <c r="V137" s="16" t="s">
        <v>50</v>
      </c>
      <c r="W137" s="16"/>
    </row>
    <row r="138" spans="2:23" ht="15" customHeight="1">
      <c r="B138" s="16" t="s">
        <v>462</v>
      </c>
      <c r="C138" s="16" t="s">
        <v>184</v>
      </c>
      <c r="D138" s="16" t="s">
        <v>463</v>
      </c>
      <c r="E138" s="16" t="s">
        <v>71</v>
      </c>
      <c r="F138" s="16" t="s">
        <v>192</v>
      </c>
      <c r="G138" s="8">
        <v>1</v>
      </c>
      <c r="H138" s="8"/>
      <c r="I138" s="8">
        <v>0</v>
      </c>
      <c r="J138" s="8">
        <v>0</v>
      </c>
      <c r="K138" s="8">
        <v>0</v>
      </c>
      <c r="L138" s="8">
        <v>0</v>
      </c>
      <c r="M138" s="8">
        <v>0</v>
      </c>
      <c r="N138" s="8">
        <v>0</v>
      </c>
      <c r="O138" s="8">
        <v>0</v>
      </c>
      <c r="P138" s="8">
        <v>0</v>
      </c>
      <c r="Q138" s="8">
        <v>0</v>
      </c>
      <c r="R138" s="8">
        <v>1</v>
      </c>
      <c r="S138" s="8">
        <v>0</v>
      </c>
      <c r="T138" s="23">
        <v>1</v>
      </c>
      <c r="U138" s="16"/>
      <c r="V138" s="16" t="s">
        <v>50</v>
      </c>
      <c r="W138" s="16"/>
    </row>
    <row r="139" spans="2:23" ht="15" customHeight="1">
      <c r="B139" s="16" t="s">
        <v>464</v>
      </c>
      <c r="C139" s="16" t="s">
        <v>184</v>
      </c>
      <c r="D139" s="16" t="s">
        <v>465</v>
      </c>
      <c r="E139" s="16" t="s">
        <v>71</v>
      </c>
      <c r="F139" s="16" t="s">
        <v>222</v>
      </c>
      <c r="G139" s="8">
        <v>1</v>
      </c>
      <c r="H139" s="8"/>
      <c r="I139" s="8">
        <v>0</v>
      </c>
      <c r="J139" s="8">
        <v>1025</v>
      </c>
      <c r="K139" s="8">
        <v>0</v>
      </c>
      <c r="L139" s="8">
        <v>0</v>
      </c>
      <c r="M139" s="8">
        <v>0</v>
      </c>
      <c r="N139" s="8">
        <v>0</v>
      </c>
      <c r="O139" s="8">
        <v>0</v>
      </c>
      <c r="P139" s="8">
        <v>0</v>
      </c>
      <c r="Q139" s="8">
        <v>0</v>
      </c>
      <c r="R139" s="8">
        <v>1</v>
      </c>
      <c r="S139" s="8">
        <v>0</v>
      </c>
      <c r="T139" s="23">
        <v>1</v>
      </c>
      <c r="U139" s="16" t="s">
        <v>466</v>
      </c>
      <c r="V139" s="16" t="s">
        <v>467</v>
      </c>
      <c r="W139" s="16" t="s">
        <v>468</v>
      </c>
    </row>
    <row r="140" spans="2:23" ht="15" customHeight="1">
      <c r="B140" s="16" t="s">
        <v>469</v>
      </c>
      <c r="C140" s="16" t="s">
        <v>184</v>
      </c>
      <c r="D140" s="16" t="s">
        <v>470</v>
      </c>
      <c r="E140" s="16" t="s">
        <v>62</v>
      </c>
      <c r="F140" s="16" t="s">
        <v>186</v>
      </c>
      <c r="G140" s="8">
        <v>1</v>
      </c>
      <c r="H140" s="8">
        <v>96</v>
      </c>
      <c r="I140" s="8">
        <v>2</v>
      </c>
      <c r="J140" s="8">
        <v>13750</v>
      </c>
      <c r="K140" s="8">
        <v>0</v>
      </c>
      <c r="L140" s="8">
        <v>0</v>
      </c>
      <c r="M140" s="8">
        <v>0</v>
      </c>
      <c r="N140" s="8">
        <v>0</v>
      </c>
      <c r="O140" s="8">
        <v>0</v>
      </c>
      <c r="P140" s="8">
        <v>0</v>
      </c>
      <c r="Q140" s="8">
        <v>1</v>
      </c>
      <c r="R140" s="8">
        <v>0</v>
      </c>
      <c r="S140" s="8">
        <v>0</v>
      </c>
      <c r="T140" s="23">
        <v>1</v>
      </c>
      <c r="U140" s="16" t="s">
        <v>187</v>
      </c>
      <c r="V140" s="16" t="s">
        <v>471</v>
      </c>
      <c r="W140" s="16" t="s">
        <v>469</v>
      </c>
    </row>
    <row r="141" spans="2:23" ht="15" customHeight="1">
      <c r="B141" s="16" t="s">
        <v>472</v>
      </c>
      <c r="C141" s="16" t="s">
        <v>184</v>
      </c>
      <c r="D141" s="16" t="s">
        <v>473</v>
      </c>
      <c r="E141" s="16" t="s">
        <v>71</v>
      </c>
      <c r="F141" s="16" t="s">
        <v>192</v>
      </c>
      <c r="G141" s="8">
        <v>1</v>
      </c>
      <c r="H141" s="8"/>
      <c r="I141" s="8">
        <v>0</v>
      </c>
      <c r="J141" s="8">
        <v>258</v>
      </c>
      <c r="K141" s="8">
        <v>0</v>
      </c>
      <c r="L141" s="8">
        <v>0</v>
      </c>
      <c r="M141" s="8">
        <v>0</v>
      </c>
      <c r="N141" s="8">
        <v>0</v>
      </c>
      <c r="O141" s="8">
        <v>0</v>
      </c>
      <c r="P141" s="8">
        <v>0</v>
      </c>
      <c r="Q141" s="8">
        <v>0</v>
      </c>
      <c r="R141" s="8">
        <v>1</v>
      </c>
      <c r="S141" s="8">
        <v>0</v>
      </c>
      <c r="T141" s="23">
        <v>1</v>
      </c>
      <c r="U141" s="16"/>
      <c r="V141" s="16" t="s">
        <v>50</v>
      </c>
      <c r="W141" s="16"/>
    </row>
    <row r="142" spans="2:23" ht="15" customHeight="1">
      <c r="B142" s="16" t="s">
        <v>474</v>
      </c>
      <c r="C142" s="16" t="s">
        <v>269</v>
      </c>
      <c r="D142" s="16" t="s">
        <v>475</v>
      </c>
      <c r="E142" s="16" t="s">
        <v>78</v>
      </c>
      <c r="F142" s="16" t="s">
        <v>192</v>
      </c>
      <c r="G142" s="8">
        <v>1</v>
      </c>
      <c r="H142" s="8">
        <v>311</v>
      </c>
      <c r="I142" s="8">
        <v>5</v>
      </c>
      <c r="J142" s="8">
        <v>176000</v>
      </c>
      <c r="K142" s="8">
        <v>0</v>
      </c>
      <c r="L142" s="8">
        <v>0</v>
      </c>
      <c r="M142" s="8">
        <v>0</v>
      </c>
      <c r="N142" s="8">
        <v>0</v>
      </c>
      <c r="O142" s="8">
        <v>0</v>
      </c>
      <c r="P142" s="8">
        <v>0</v>
      </c>
      <c r="Q142" s="8">
        <v>0</v>
      </c>
      <c r="R142" s="8">
        <v>0</v>
      </c>
      <c r="S142" s="8">
        <v>1</v>
      </c>
      <c r="T142" s="23">
        <v>1</v>
      </c>
      <c r="U142" s="16"/>
      <c r="V142" s="16" t="s">
        <v>50</v>
      </c>
      <c r="W142" s="16"/>
    </row>
    <row r="143" spans="2:23" ht="15" customHeight="1">
      <c r="B143" s="16" t="s">
        <v>476</v>
      </c>
      <c r="C143" s="16" t="s">
        <v>184</v>
      </c>
      <c r="D143" s="16" t="s">
        <v>477</v>
      </c>
      <c r="E143" s="16" t="s">
        <v>62</v>
      </c>
      <c r="F143" s="16" t="s">
        <v>186</v>
      </c>
      <c r="G143" s="8">
        <v>1</v>
      </c>
      <c r="H143" s="8">
        <v>6</v>
      </c>
      <c r="I143" s="8">
        <v>1</v>
      </c>
      <c r="J143" s="8">
        <v>1778</v>
      </c>
      <c r="K143" s="8">
        <v>0</v>
      </c>
      <c r="L143" s="8">
        <v>0</v>
      </c>
      <c r="M143" s="8">
        <v>0</v>
      </c>
      <c r="N143" s="8">
        <v>0</v>
      </c>
      <c r="O143" s="8">
        <v>0</v>
      </c>
      <c r="P143" s="8">
        <v>0</v>
      </c>
      <c r="Q143" s="8">
        <v>0</v>
      </c>
      <c r="R143" s="8">
        <v>1</v>
      </c>
      <c r="S143" s="8">
        <v>0</v>
      </c>
      <c r="T143" s="23">
        <v>1</v>
      </c>
      <c r="U143" s="16" t="s">
        <v>187</v>
      </c>
      <c r="V143" s="16" t="s">
        <v>478</v>
      </c>
      <c r="W143" s="16" t="s">
        <v>479</v>
      </c>
    </row>
    <row r="144" spans="2:23" ht="15" customHeight="1">
      <c r="B144" s="16" t="s">
        <v>480</v>
      </c>
      <c r="C144" s="16" t="s">
        <v>184</v>
      </c>
      <c r="D144" s="16" t="s">
        <v>481</v>
      </c>
      <c r="E144" s="16" t="s">
        <v>71</v>
      </c>
      <c r="F144" s="16" t="s">
        <v>222</v>
      </c>
      <c r="G144" s="8">
        <v>1</v>
      </c>
      <c r="H144" s="8"/>
      <c r="I144" s="8">
        <v>0</v>
      </c>
      <c r="J144" s="8">
        <v>120</v>
      </c>
      <c r="K144" s="8">
        <v>0</v>
      </c>
      <c r="L144" s="8">
        <v>0</v>
      </c>
      <c r="M144" s="8">
        <v>0</v>
      </c>
      <c r="N144" s="8">
        <v>0</v>
      </c>
      <c r="O144" s="8">
        <v>0</v>
      </c>
      <c r="P144" s="8">
        <v>0</v>
      </c>
      <c r="Q144" s="8">
        <v>0</v>
      </c>
      <c r="R144" s="8">
        <v>1</v>
      </c>
      <c r="S144" s="8">
        <v>0</v>
      </c>
      <c r="T144" s="23">
        <v>1</v>
      </c>
      <c r="U144" s="16"/>
      <c r="V144" s="16" t="s">
        <v>50</v>
      </c>
      <c r="W144" s="16"/>
    </row>
    <row r="145" spans="2:23" ht="15" customHeight="1">
      <c r="B145" s="16" t="s">
        <v>482</v>
      </c>
      <c r="C145" s="16" t="s">
        <v>184</v>
      </c>
      <c r="D145" s="16" t="s">
        <v>483</v>
      </c>
      <c r="E145" s="16" t="s">
        <v>62</v>
      </c>
      <c r="F145" s="16" t="s">
        <v>222</v>
      </c>
      <c r="G145" s="8">
        <v>1</v>
      </c>
      <c r="H145" s="8"/>
      <c r="I145" s="8">
        <v>0</v>
      </c>
      <c r="J145" s="8">
        <v>1287</v>
      </c>
      <c r="K145" s="8">
        <v>1</v>
      </c>
      <c r="L145" s="8">
        <v>0</v>
      </c>
      <c r="M145" s="8">
        <v>0</v>
      </c>
      <c r="N145" s="8">
        <v>0</v>
      </c>
      <c r="O145" s="8">
        <v>0</v>
      </c>
      <c r="P145" s="8">
        <v>0</v>
      </c>
      <c r="Q145" s="8">
        <v>0</v>
      </c>
      <c r="R145" s="8">
        <v>1</v>
      </c>
      <c r="S145" s="8">
        <v>0</v>
      </c>
      <c r="T145" s="23">
        <v>1</v>
      </c>
      <c r="U145" s="16" t="s">
        <v>187</v>
      </c>
      <c r="V145" s="16" t="s">
        <v>188</v>
      </c>
      <c r="W145" s="16" t="s">
        <v>189</v>
      </c>
    </row>
    <row r="146" spans="2:23" ht="15" customHeight="1">
      <c r="B146" s="16" t="s">
        <v>484</v>
      </c>
      <c r="C146" s="16" t="s">
        <v>184</v>
      </c>
      <c r="D146" s="16" t="s">
        <v>485</v>
      </c>
      <c r="E146" s="16" t="s">
        <v>71</v>
      </c>
      <c r="F146" s="16" t="s">
        <v>192</v>
      </c>
      <c r="G146" s="8">
        <v>1</v>
      </c>
      <c r="H146" s="8"/>
      <c r="I146" s="8">
        <v>0</v>
      </c>
      <c r="J146" s="8">
        <v>217</v>
      </c>
      <c r="K146" s="8">
        <v>0</v>
      </c>
      <c r="L146" s="8">
        <v>0</v>
      </c>
      <c r="M146" s="8">
        <v>0</v>
      </c>
      <c r="N146" s="8">
        <v>0</v>
      </c>
      <c r="O146" s="8">
        <v>0</v>
      </c>
      <c r="P146" s="8">
        <v>0</v>
      </c>
      <c r="Q146" s="8">
        <v>0</v>
      </c>
      <c r="R146" s="8">
        <v>1</v>
      </c>
      <c r="S146" s="8">
        <v>0</v>
      </c>
      <c r="T146" s="23">
        <v>1</v>
      </c>
      <c r="U146" s="16"/>
      <c r="V146" s="16" t="s">
        <v>50</v>
      </c>
      <c r="W146" s="16"/>
    </row>
    <row r="147" spans="2:23" ht="15" customHeight="1">
      <c r="B147" s="16" t="s">
        <v>486</v>
      </c>
      <c r="C147" s="16" t="s">
        <v>184</v>
      </c>
      <c r="D147" s="16" t="s">
        <v>487</v>
      </c>
      <c r="E147" s="16" t="s">
        <v>71</v>
      </c>
      <c r="F147" s="16" t="s">
        <v>222</v>
      </c>
      <c r="G147" s="8">
        <v>1</v>
      </c>
      <c r="H147" s="8">
        <v>0</v>
      </c>
      <c r="I147" s="8">
        <v>0</v>
      </c>
      <c r="J147" s="8">
        <v>2666</v>
      </c>
      <c r="K147" s="8">
        <v>0</v>
      </c>
      <c r="L147" s="8">
        <v>0</v>
      </c>
      <c r="M147" s="8">
        <v>0</v>
      </c>
      <c r="N147" s="8">
        <v>0</v>
      </c>
      <c r="O147" s="8">
        <v>0</v>
      </c>
      <c r="P147" s="8">
        <v>0</v>
      </c>
      <c r="Q147" s="8">
        <v>0</v>
      </c>
      <c r="R147" s="8">
        <v>1</v>
      </c>
      <c r="S147" s="8">
        <v>0</v>
      </c>
      <c r="T147" s="23">
        <v>1</v>
      </c>
      <c r="U147" s="16" t="s">
        <v>392</v>
      </c>
      <c r="V147" s="16" t="s">
        <v>488</v>
      </c>
      <c r="W147" s="16" t="s">
        <v>489</v>
      </c>
    </row>
    <row r="148" spans="2:23" ht="15" customHeight="1">
      <c r="B148" s="16" t="s">
        <v>490</v>
      </c>
      <c r="C148" s="16" t="s">
        <v>184</v>
      </c>
      <c r="D148" s="16" t="s">
        <v>491</v>
      </c>
      <c r="E148" s="16" t="s">
        <v>62</v>
      </c>
      <c r="F148" s="16" t="s">
        <v>186</v>
      </c>
      <c r="G148" s="8">
        <v>1</v>
      </c>
      <c r="H148" s="8">
        <v>43</v>
      </c>
      <c r="I148" s="8">
        <v>1</v>
      </c>
      <c r="J148" s="8">
        <v>4037</v>
      </c>
      <c r="K148" s="8">
        <v>0</v>
      </c>
      <c r="L148" s="8">
        <v>0</v>
      </c>
      <c r="M148" s="8">
        <v>0</v>
      </c>
      <c r="N148" s="8">
        <v>0</v>
      </c>
      <c r="O148" s="8">
        <v>0</v>
      </c>
      <c r="P148" s="8">
        <v>0</v>
      </c>
      <c r="Q148" s="8">
        <v>1</v>
      </c>
      <c r="R148" s="8">
        <v>0</v>
      </c>
      <c r="S148" s="8">
        <v>0</v>
      </c>
      <c r="T148" s="23">
        <v>1</v>
      </c>
      <c r="U148" s="16" t="s">
        <v>187</v>
      </c>
      <c r="V148" s="16" t="s">
        <v>400</v>
      </c>
      <c r="W148" s="16" t="s">
        <v>492</v>
      </c>
    </row>
    <row r="149" spans="2:23" ht="15" customHeight="1">
      <c r="B149" s="16" t="s">
        <v>493</v>
      </c>
      <c r="C149" s="16" t="s">
        <v>184</v>
      </c>
      <c r="D149" s="16" t="s">
        <v>494</v>
      </c>
      <c r="E149" s="16" t="s">
        <v>81</v>
      </c>
      <c r="F149" s="16" t="s">
        <v>222</v>
      </c>
      <c r="G149" s="8">
        <v>1</v>
      </c>
      <c r="H149" s="8">
        <v>77</v>
      </c>
      <c r="I149" s="8">
        <v>66</v>
      </c>
      <c r="J149" s="8">
        <v>5690</v>
      </c>
      <c r="K149" s="8">
        <v>3343</v>
      </c>
      <c r="L149" s="8">
        <v>26</v>
      </c>
      <c r="M149" s="8">
        <v>24</v>
      </c>
      <c r="N149" s="8">
        <v>2</v>
      </c>
      <c r="O149" s="8">
        <v>0</v>
      </c>
      <c r="P149" s="8">
        <v>0</v>
      </c>
      <c r="Q149" s="8">
        <v>0</v>
      </c>
      <c r="R149" s="8">
        <v>0</v>
      </c>
      <c r="S149" s="8">
        <v>1</v>
      </c>
      <c r="T149" s="23">
        <v>1</v>
      </c>
      <c r="U149" s="16"/>
      <c r="V149" s="16" t="s">
        <v>50</v>
      </c>
      <c r="W149" s="16"/>
    </row>
    <row r="150" spans="2:23" ht="15" customHeight="1">
      <c r="B150" s="16" t="s">
        <v>495</v>
      </c>
      <c r="C150" s="16" t="s">
        <v>184</v>
      </c>
      <c r="D150" s="16" t="s">
        <v>496</v>
      </c>
      <c r="E150" s="16" t="s">
        <v>71</v>
      </c>
      <c r="F150" s="16" t="s">
        <v>222</v>
      </c>
      <c r="G150" s="8">
        <v>1</v>
      </c>
      <c r="H150" s="8"/>
      <c r="I150" s="8">
        <v>0</v>
      </c>
      <c r="J150" s="8">
        <v>109</v>
      </c>
      <c r="K150" s="8">
        <v>0</v>
      </c>
      <c r="L150" s="8">
        <v>0</v>
      </c>
      <c r="M150" s="8">
        <v>0</v>
      </c>
      <c r="N150" s="8">
        <v>0</v>
      </c>
      <c r="O150" s="8">
        <v>0</v>
      </c>
      <c r="P150" s="8">
        <v>0</v>
      </c>
      <c r="Q150" s="8">
        <v>0</v>
      </c>
      <c r="R150" s="8">
        <v>1</v>
      </c>
      <c r="S150" s="8">
        <v>0</v>
      </c>
      <c r="T150" s="23">
        <v>1</v>
      </c>
      <c r="U150" s="16" t="s">
        <v>50</v>
      </c>
      <c r="V150" s="16" t="s">
        <v>50</v>
      </c>
      <c r="W150" s="16" t="s">
        <v>497</v>
      </c>
    </row>
    <row r="151" spans="2:23" ht="15" customHeight="1">
      <c r="B151" s="16" t="s">
        <v>498</v>
      </c>
      <c r="C151" s="16" t="s">
        <v>184</v>
      </c>
      <c r="D151" s="16" t="s">
        <v>499</v>
      </c>
      <c r="E151" s="16" t="s">
        <v>71</v>
      </c>
      <c r="F151" s="16" t="s">
        <v>192</v>
      </c>
      <c r="G151" s="8">
        <v>1</v>
      </c>
      <c r="H151" s="8"/>
      <c r="I151" s="8">
        <v>0</v>
      </c>
      <c r="J151" s="8">
        <v>1253</v>
      </c>
      <c r="K151" s="8">
        <v>0</v>
      </c>
      <c r="L151" s="8">
        <v>0</v>
      </c>
      <c r="M151" s="8">
        <v>0</v>
      </c>
      <c r="N151" s="8">
        <v>0</v>
      </c>
      <c r="O151" s="8">
        <v>0</v>
      </c>
      <c r="P151" s="8">
        <v>0</v>
      </c>
      <c r="Q151" s="8">
        <v>0</v>
      </c>
      <c r="R151" s="8">
        <v>1</v>
      </c>
      <c r="S151" s="8">
        <v>0</v>
      </c>
      <c r="T151" s="23">
        <v>1</v>
      </c>
      <c r="U151" s="16" t="s">
        <v>392</v>
      </c>
      <c r="V151" s="16" t="s">
        <v>500</v>
      </c>
      <c r="W151" s="16" t="s">
        <v>501</v>
      </c>
    </row>
    <row r="152" spans="2:23" ht="15" customHeight="1">
      <c r="B152" s="16" t="s">
        <v>502</v>
      </c>
      <c r="C152" s="16" t="s">
        <v>184</v>
      </c>
      <c r="D152" s="16" t="s">
        <v>503</v>
      </c>
      <c r="E152" s="16" t="s">
        <v>65</v>
      </c>
      <c r="F152" s="16" t="s">
        <v>186</v>
      </c>
      <c r="G152" s="8">
        <v>1</v>
      </c>
      <c r="H152" s="8">
        <v>288</v>
      </c>
      <c r="I152" s="8">
        <v>5</v>
      </c>
      <c r="J152" s="8">
        <v>5845</v>
      </c>
      <c r="K152" s="8">
        <v>0</v>
      </c>
      <c r="L152" s="8">
        <v>0</v>
      </c>
      <c r="M152" s="8">
        <v>0</v>
      </c>
      <c r="N152" s="8">
        <v>0</v>
      </c>
      <c r="O152" s="8">
        <v>0</v>
      </c>
      <c r="P152" s="8">
        <v>0</v>
      </c>
      <c r="Q152" s="8">
        <v>0</v>
      </c>
      <c r="R152" s="8">
        <v>1</v>
      </c>
      <c r="S152" s="8">
        <v>0</v>
      </c>
      <c r="T152" s="23">
        <v>1</v>
      </c>
      <c r="U152" s="16"/>
      <c r="V152" s="16" t="s">
        <v>50</v>
      </c>
      <c r="W152" s="16"/>
    </row>
    <row r="153" spans="2:23" ht="15" customHeight="1">
      <c r="B153" s="16" t="s">
        <v>504</v>
      </c>
      <c r="C153" s="16" t="s">
        <v>184</v>
      </c>
      <c r="D153" s="16" t="s">
        <v>505</v>
      </c>
      <c r="E153" s="16" t="s">
        <v>68</v>
      </c>
      <c r="F153" s="16" t="s">
        <v>192</v>
      </c>
      <c r="G153" s="8">
        <v>1</v>
      </c>
      <c r="H153" s="8">
        <v>0</v>
      </c>
      <c r="I153" s="8">
        <v>0</v>
      </c>
      <c r="J153" s="8">
        <v>638914</v>
      </c>
      <c r="K153" s="8">
        <v>0</v>
      </c>
      <c r="L153" s="8">
        <v>0</v>
      </c>
      <c r="M153" s="8">
        <v>0</v>
      </c>
      <c r="N153" s="8">
        <v>0</v>
      </c>
      <c r="O153" s="8">
        <v>0</v>
      </c>
      <c r="P153" s="8">
        <v>0</v>
      </c>
      <c r="Q153" s="8">
        <v>1</v>
      </c>
      <c r="R153" s="8">
        <v>0</v>
      </c>
      <c r="S153" s="8">
        <v>0</v>
      </c>
      <c r="T153" s="23">
        <v>1</v>
      </c>
      <c r="U153" s="16"/>
      <c r="V153" s="16" t="s">
        <v>50</v>
      </c>
      <c r="W153" s="16"/>
    </row>
    <row r="154" spans="2:23" ht="15" customHeight="1">
      <c r="B154" s="16" t="s">
        <v>506</v>
      </c>
      <c r="C154" s="16" t="s">
        <v>184</v>
      </c>
      <c r="D154" s="16" t="s">
        <v>507</v>
      </c>
      <c r="E154" s="16" t="s">
        <v>68</v>
      </c>
      <c r="F154" s="16" t="s">
        <v>192</v>
      </c>
      <c r="G154" s="8">
        <v>1</v>
      </c>
      <c r="H154" s="8">
        <v>0</v>
      </c>
      <c r="I154" s="8">
        <v>0</v>
      </c>
      <c r="J154" s="8">
        <v>84981</v>
      </c>
      <c r="K154" s="8">
        <v>0</v>
      </c>
      <c r="L154" s="8">
        <v>0</v>
      </c>
      <c r="M154" s="8">
        <v>0</v>
      </c>
      <c r="N154" s="8">
        <v>0</v>
      </c>
      <c r="O154" s="8">
        <v>0</v>
      </c>
      <c r="P154" s="8">
        <v>0</v>
      </c>
      <c r="Q154" s="8">
        <v>0</v>
      </c>
      <c r="R154" s="8">
        <v>1</v>
      </c>
      <c r="S154" s="8">
        <v>0</v>
      </c>
      <c r="T154" s="23">
        <v>1</v>
      </c>
      <c r="U154" s="16"/>
      <c r="V154" s="16" t="s">
        <v>50</v>
      </c>
      <c r="W154" s="16"/>
    </row>
    <row r="155" spans="2:23" ht="15" customHeight="1">
      <c r="B155" s="16" t="s">
        <v>508</v>
      </c>
      <c r="C155" s="16" t="s">
        <v>184</v>
      </c>
      <c r="D155" s="16" t="s">
        <v>509</v>
      </c>
      <c r="E155" s="16" t="s">
        <v>68</v>
      </c>
      <c r="F155" s="16" t="s">
        <v>192</v>
      </c>
      <c r="G155" s="8">
        <v>1</v>
      </c>
      <c r="H155" s="8">
        <v>0</v>
      </c>
      <c r="I155" s="8">
        <v>0</v>
      </c>
      <c r="J155" s="8">
        <v>103112</v>
      </c>
      <c r="K155" s="8">
        <v>0</v>
      </c>
      <c r="L155" s="8">
        <v>0</v>
      </c>
      <c r="M155" s="8">
        <v>0</v>
      </c>
      <c r="N155" s="8">
        <v>0</v>
      </c>
      <c r="O155" s="8">
        <v>0</v>
      </c>
      <c r="P155" s="8">
        <v>0</v>
      </c>
      <c r="Q155" s="8">
        <v>0</v>
      </c>
      <c r="R155" s="8">
        <v>1</v>
      </c>
      <c r="S155" s="8">
        <v>0</v>
      </c>
      <c r="T155" s="23">
        <v>1</v>
      </c>
      <c r="U155" s="16"/>
      <c r="V155" s="16" t="s">
        <v>50</v>
      </c>
      <c r="W155" s="16"/>
    </row>
    <row r="156" spans="2:23" ht="15" customHeight="1">
      <c r="B156" s="16" t="s">
        <v>510</v>
      </c>
      <c r="C156" s="16" t="s">
        <v>184</v>
      </c>
      <c r="D156" s="16" t="s">
        <v>511</v>
      </c>
      <c r="E156" s="16" t="s">
        <v>76</v>
      </c>
      <c r="F156" s="16" t="s">
        <v>186</v>
      </c>
      <c r="G156" s="8">
        <v>1</v>
      </c>
      <c r="H156" s="8"/>
      <c r="I156" s="8">
        <v>0</v>
      </c>
      <c r="J156" s="8">
        <v>24752</v>
      </c>
      <c r="K156" s="8">
        <v>0</v>
      </c>
      <c r="L156" s="8">
        <v>0</v>
      </c>
      <c r="M156" s="8">
        <v>0</v>
      </c>
      <c r="N156" s="8">
        <v>0</v>
      </c>
      <c r="O156" s="8">
        <v>0</v>
      </c>
      <c r="P156" s="8">
        <v>0</v>
      </c>
      <c r="Q156" s="8">
        <v>1</v>
      </c>
      <c r="R156" s="8">
        <v>0</v>
      </c>
      <c r="S156" s="8">
        <v>0</v>
      </c>
      <c r="T156" s="23">
        <v>1</v>
      </c>
      <c r="U156" s="16"/>
      <c r="V156" s="16" t="s">
        <v>50</v>
      </c>
      <c r="W156" s="16"/>
    </row>
    <row r="157" spans="2:23" ht="15" customHeight="1">
      <c r="B157" s="16" t="s">
        <v>512</v>
      </c>
      <c r="C157" s="16" t="s">
        <v>513</v>
      </c>
      <c r="D157" s="16" t="s">
        <v>514</v>
      </c>
      <c r="E157" s="16" t="s">
        <v>62</v>
      </c>
      <c r="F157" s="16" t="s">
        <v>186</v>
      </c>
      <c r="G157" s="8">
        <v>1</v>
      </c>
      <c r="H157" s="8">
        <v>409</v>
      </c>
      <c r="I157" s="8">
        <v>6</v>
      </c>
      <c r="J157" s="8">
        <v>1770722</v>
      </c>
      <c r="K157" s="8">
        <v>0</v>
      </c>
      <c r="L157" s="8">
        <v>0</v>
      </c>
      <c r="M157" s="8">
        <v>0</v>
      </c>
      <c r="N157" s="8">
        <v>0</v>
      </c>
      <c r="O157" s="8">
        <v>0</v>
      </c>
      <c r="P157" s="8">
        <v>0</v>
      </c>
      <c r="Q157" s="8">
        <v>0</v>
      </c>
      <c r="R157" s="8">
        <v>1</v>
      </c>
      <c r="S157" s="8">
        <v>0</v>
      </c>
      <c r="T157" s="23">
        <v>1</v>
      </c>
      <c r="U157" s="16" t="s">
        <v>187</v>
      </c>
      <c r="V157" s="16" t="s">
        <v>515</v>
      </c>
      <c r="W157" s="16" t="s">
        <v>516</v>
      </c>
    </row>
    <row r="158" spans="2:23" ht="15" customHeight="1">
      <c r="B158" s="16" t="s">
        <v>517</v>
      </c>
      <c r="C158" s="16" t="s">
        <v>184</v>
      </c>
      <c r="D158" s="16" t="s">
        <v>518</v>
      </c>
      <c r="E158" s="16" t="s">
        <v>76</v>
      </c>
      <c r="F158" s="16" t="s">
        <v>222</v>
      </c>
      <c r="G158" s="8">
        <v>1</v>
      </c>
      <c r="H158" s="8"/>
      <c r="I158" s="8">
        <v>0</v>
      </c>
      <c r="J158" s="8">
        <v>468</v>
      </c>
      <c r="K158" s="8">
        <v>0</v>
      </c>
      <c r="L158" s="8">
        <v>0</v>
      </c>
      <c r="M158" s="8">
        <v>0</v>
      </c>
      <c r="N158" s="8">
        <v>0</v>
      </c>
      <c r="O158" s="8">
        <v>0</v>
      </c>
      <c r="P158" s="8">
        <v>0</v>
      </c>
      <c r="Q158" s="8">
        <v>0</v>
      </c>
      <c r="R158" s="8">
        <v>1</v>
      </c>
      <c r="S158" s="8">
        <v>0</v>
      </c>
      <c r="T158" s="23">
        <v>1</v>
      </c>
      <c r="U158" s="16"/>
      <c r="V158" s="16" t="s">
        <v>50</v>
      </c>
      <c r="W158" s="16"/>
    </row>
    <row r="159" spans="2:23" ht="15" customHeight="1">
      <c r="B159" s="16" t="s">
        <v>519</v>
      </c>
      <c r="C159" s="16" t="s">
        <v>184</v>
      </c>
      <c r="D159" s="16" t="s">
        <v>520</v>
      </c>
      <c r="E159" s="16" t="s">
        <v>81</v>
      </c>
      <c r="F159" s="16" t="s">
        <v>222</v>
      </c>
      <c r="G159" s="8">
        <v>1</v>
      </c>
      <c r="H159" s="8">
        <v>424</v>
      </c>
      <c r="I159" s="8">
        <v>6</v>
      </c>
      <c r="J159" s="8">
        <v>153034</v>
      </c>
      <c r="K159" s="8">
        <v>0</v>
      </c>
      <c r="L159" s="8">
        <v>0</v>
      </c>
      <c r="M159" s="8">
        <v>0</v>
      </c>
      <c r="N159" s="8">
        <v>0</v>
      </c>
      <c r="O159" s="8">
        <v>0</v>
      </c>
      <c r="P159" s="8">
        <v>0</v>
      </c>
      <c r="Q159" s="8">
        <v>0</v>
      </c>
      <c r="R159" s="8">
        <v>1</v>
      </c>
      <c r="S159" s="8">
        <v>0</v>
      </c>
      <c r="T159" s="23">
        <v>1</v>
      </c>
      <c r="U159" s="16"/>
      <c r="V159" s="16" t="s">
        <v>50</v>
      </c>
      <c r="W159" s="16"/>
    </row>
    <row r="160" spans="2:23" ht="15" customHeight="1">
      <c r="B160" s="16" t="s">
        <v>521</v>
      </c>
      <c r="C160" s="16" t="s">
        <v>184</v>
      </c>
      <c r="D160" s="16" t="s">
        <v>522</v>
      </c>
      <c r="E160" s="16" t="s">
        <v>62</v>
      </c>
      <c r="F160" s="16" t="s">
        <v>186</v>
      </c>
      <c r="G160" s="8">
        <v>1</v>
      </c>
      <c r="H160" s="8">
        <v>83</v>
      </c>
      <c r="I160" s="8">
        <v>2</v>
      </c>
      <c r="J160" s="8">
        <v>28622</v>
      </c>
      <c r="K160" s="8">
        <v>0</v>
      </c>
      <c r="L160" s="8">
        <v>0</v>
      </c>
      <c r="M160" s="8">
        <v>0</v>
      </c>
      <c r="N160" s="8">
        <v>0</v>
      </c>
      <c r="O160" s="8">
        <v>0</v>
      </c>
      <c r="P160" s="8">
        <v>0</v>
      </c>
      <c r="Q160" s="8">
        <v>1</v>
      </c>
      <c r="R160" s="8">
        <v>0</v>
      </c>
      <c r="S160" s="8">
        <v>0</v>
      </c>
      <c r="T160" s="23">
        <v>1</v>
      </c>
      <c r="U160" s="16" t="s">
        <v>187</v>
      </c>
      <c r="V160" s="16" t="s">
        <v>523</v>
      </c>
      <c r="W160" s="16" t="s">
        <v>524</v>
      </c>
    </row>
    <row r="161" spans="2:23" ht="15" customHeight="1">
      <c r="B161" s="16" t="s">
        <v>525</v>
      </c>
      <c r="C161" s="16" t="s">
        <v>184</v>
      </c>
      <c r="D161" s="16" t="s">
        <v>526</v>
      </c>
      <c r="E161" s="16" t="s">
        <v>71</v>
      </c>
      <c r="F161" s="16" t="s">
        <v>222</v>
      </c>
      <c r="G161" s="8">
        <v>1</v>
      </c>
      <c r="H161" s="8"/>
      <c r="I161" s="8">
        <v>0</v>
      </c>
      <c r="J161" s="8">
        <v>596</v>
      </c>
      <c r="K161" s="8">
        <v>0</v>
      </c>
      <c r="L161" s="8">
        <v>0</v>
      </c>
      <c r="M161" s="8">
        <v>0</v>
      </c>
      <c r="N161" s="8">
        <v>0</v>
      </c>
      <c r="O161" s="8">
        <v>0</v>
      </c>
      <c r="P161" s="8">
        <v>0</v>
      </c>
      <c r="Q161" s="8">
        <v>0</v>
      </c>
      <c r="R161" s="8">
        <v>1</v>
      </c>
      <c r="S161" s="8">
        <v>0</v>
      </c>
      <c r="T161" s="23">
        <v>1</v>
      </c>
      <c r="U161" s="16" t="s">
        <v>187</v>
      </c>
      <c r="V161" s="16" t="s">
        <v>200</v>
      </c>
      <c r="W161" s="16" t="s">
        <v>201</v>
      </c>
    </row>
    <row r="162" spans="2:23" ht="15" customHeight="1">
      <c r="B162" s="16" t="s">
        <v>527</v>
      </c>
      <c r="C162" s="16" t="s">
        <v>184</v>
      </c>
      <c r="D162" s="16" t="s">
        <v>528</v>
      </c>
      <c r="E162" s="16" t="s">
        <v>81</v>
      </c>
      <c r="F162" s="16" t="s">
        <v>222</v>
      </c>
      <c r="G162" s="8">
        <v>1</v>
      </c>
      <c r="H162" s="8">
        <v>496</v>
      </c>
      <c r="I162" s="8">
        <v>7</v>
      </c>
      <c r="J162" s="8">
        <v>866448</v>
      </c>
      <c r="K162" s="8">
        <v>0</v>
      </c>
      <c r="L162" s="8">
        <v>0</v>
      </c>
      <c r="M162" s="8">
        <v>0</v>
      </c>
      <c r="N162" s="8">
        <v>0</v>
      </c>
      <c r="O162" s="8">
        <v>0</v>
      </c>
      <c r="P162" s="8">
        <v>0</v>
      </c>
      <c r="Q162" s="8">
        <v>0</v>
      </c>
      <c r="R162" s="8">
        <v>1</v>
      </c>
      <c r="S162" s="8">
        <v>0</v>
      </c>
      <c r="T162" s="23">
        <v>1</v>
      </c>
      <c r="U162" s="16"/>
      <c r="V162" s="16" t="s">
        <v>50</v>
      </c>
      <c r="W162" s="16"/>
    </row>
    <row r="163" spans="2:23" ht="15" customHeight="1">
      <c r="B163" s="16" t="s">
        <v>529</v>
      </c>
      <c r="C163" s="16" t="s">
        <v>184</v>
      </c>
      <c r="D163" s="16" t="s">
        <v>530</v>
      </c>
      <c r="E163" s="16" t="s">
        <v>81</v>
      </c>
      <c r="F163" s="16" t="s">
        <v>222</v>
      </c>
      <c r="G163" s="8">
        <v>1</v>
      </c>
      <c r="H163" s="8">
        <v>285</v>
      </c>
      <c r="I163" s="8">
        <v>5</v>
      </c>
      <c r="J163" s="8">
        <v>52885</v>
      </c>
      <c r="K163" s="8">
        <v>0</v>
      </c>
      <c r="L163" s="8">
        <v>4</v>
      </c>
      <c r="M163" s="8">
        <v>4</v>
      </c>
      <c r="N163" s="8">
        <v>0</v>
      </c>
      <c r="O163" s="8">
        <v>0</v>
      </c>
      <c r="P163" s="8">
        <v>0</v>
      </c>
      <c r="Q163" s="8">
        <v>0</v>
      </c>
      <c r="R163" s="8">
        <v>1</v>
      </c>
      <c r="S163" s="8">
        <v>0</v>
      </c>
      <c r="T163" s="23">
        <v>1</v>
      </c>
      <c r="U163" s="16"/>
      <c r="V163" s="16" t="s">
        <v>50</v>
      </c>
      <c r="W163" s="16"/>
    </row>
    <row r="164" spans="2:23" ht="15" customHeight="1">
      <c r="B164" s="16" t="s">
        <v>531</v>
      </c>
      <c r="C164" s="16" t="s">
        <v>184</v>
      </c>
      <c r="D164" s="16" t="s">
        <v>532</v>
      </c>
      <c r="E164" s="16" t="s">
        <v>62</v>
      </c>
      <c r="F164" s="16" t="s">
        <v>186</v>
      </c>
      <c r="G164" s="8">
        <v>1</v>
      </c>
      <c r="H164" s="8">
        <v>206</v>
      </c>
      <c r="I164" s="8">
        <v>3</v>
      </c>
      <c r="J164" s="8">
        <v>45396</v>
      </c>
      <c r="K164" s="8">
        <v>0</v>
      </c>
      <c r="L164" s="8">
        <v>0</v>
      </c>
      <c r="M164" s="8">
        <v>0</v>
      </c>
      <c r="N164" s="8">
        <v>0</v>
      </c>
      <c r="O164" s="8">
        <v>0</v>
      </c>
      <c r="P164" s="8">
        <v>0</v>
      </c>
      <c r="Q164" s="8">
        <v>0</v>
      </c>
      <c r="R164" s="8">
        <v>1</v>
      </c>
      <c r="S164" s="8">
        <v>0</v>
      </c>
      <c r="T164" s="23">
        <v>1</v>
      </c>
      <c r="U164" s="16" t="s">
        <v>187</v>
      </c>
      <c r="V164" s="16" t="s">
        <v>200</v>
      </c>
      <c r="W164" s="16" t="s">
        <v>201</v>
      </c>
    </row>
    <row r="165" spans="2:23" ht="15" customHeight="1">
      <c r="B165" s="16" t="s">
        <v>533</v>
      </c>
      <c r="C165" s="16" t="s">
        <v>184</v>
      </c>
      <c r="D165" s="16" t="s">
        <v>534</v>
      </c>
      <c r="E165" s="16" t="s">
        <v>110</v>
      </c>
      <c r="F165" s="16" t="s">
        <v>192</v>
      </c>
      <c r="G165" s="8">
        <v>1</v>
      </c>
      <c r="H165" s="8"/>
      <c r="I165" s="8">
        <v>0</v>
      </c>
      <c r="J165" s="8" t="s">
        <v>101</v>
      </c>
      <c r="K165" s="8">
        <v>0</v>
      </c>
      <c r="L165" s="8" t="s">
        <v>101</v>
      </c>
      <c r="M165" s="8">
        <v>0</v>
      </c>
      <c r="N165" s="8">
        <v>0</v>
      </c>
      <c r="O165" s="8">
        <v>0</v>
      </c>
      <c r="P165" s="8">
        <v>5</v>
      </c>
      <c r="Q165" s="8">
        <v>1</v>
      </c>
      <c r="R165" s="8">
        <v>0</v>
      </c>
      <c r="S165" s="8">
        <v>0</v>
      </c>
      <c r="T165" s="23">
        <v>1</v>
      </c>
      <c r="U165" s="16"/>
      <c r="V165" s="16" t="s">
        <v>50</v>
      </c>
      <c r="W165" s="16"/>
    </row>
    <row r="166" spans="2:23" ht="15" customHeight="1">
      <c r="B166" s="16" t="s">
        <v>535</v>
      </c>
      <c r="C166" s="16" t="s">
        <v>536</v>
      </c>
      <c r="D166" s="16" t="s">
        <v>537</v>
      </c>
      <c r="E166" s="16" t="s">
        <v>62</v>
      </c>
      <c r="F166" s="16" t="s">
        <v>186</v>
      </c>
      <c r="G166" s="8">
        <v>1</v>
      </c>
      <c r="H166" s="8">
        <v>79</v>
      </c>
      <c r="I166" s="8">
        <v>2</v>
      </c>
      <c r="J166" s="8">
        <v>27983</v>
      </c>
      <c r="K166" s="8">
        <v>0</v>
      </c>
      <c r="L166" s="8">
        <v>0</v>
      </c>
      <c r="M166" s="8">
        <v>0</v>
      </c>
      <c r="N166" s="8">
        <v>0</v>
      </c>
      <c r="O166" s="8">
        <v>0</v>
      </c>
      <c r="P166" s="8">
        <v>0</v>
      </c>
      <c r="Q166" s="8">
        <v>0</v>
      </c>
      <c r="R166" s="8">
        <v>0</v>
      </c>
      <c r="S166" s="8">
        <v>1</v>
      </c>
      <c r="T166" s="23">
        <v>1</v>
      </c>
      <c r="U166" s="16" t="s">
        <v>187</v>
      </c>
      <c r="V166" s="16" t="s">
        <v>538</v>
      </c>
      <c r="W166" s="16" t="s">
        <v>539</v>
      </c>
    </row>
    <row r="167" spans="2:23" ht="15" customHeight="1">
      <c r="B167" s="16" t="s">
        <v>540</v>
      </c>
      <c r="C167" s="16" t="s">
        <v>184</v>
      </c>
      <c r="D167" s="16" t="s">
        <v>541</v>
      </c>
      <c r="E167" s="16" t="s">
        <v>71</v>
      </c>
      <c r="F167" s="16" t="s">
        <v>222</v>
      </c>
      <c r="G167" s="8">
        <v>1</v>
      </c>
      <c r="H167" s="8"/>
      <c r="I167" s="8">
        <v>0</v>
      </c>
      <c r="J167" s="8">
        <v>105</v>
      </c>
      <c r="K167" s="8">
        <v>0</v>
      </c>
      <c r="L167" s="8">
        <v>0</v>
      </c>
      <c r="M167" s="8">
        <v>0</v>
      </c>
      <c r="N167" s="8">
        <v>0</v>
      </c>
      <c r="O167" s="8">
        <v>0</v>
      </c>
      <c r="P167" s="8">
        <v>0</v>
      </c>
      <c r="Q167" s="8">
        <v>0</v>
      </c>
      <c r="R167" s="8">
        <v>1</v>
      </c>
      <c r="S167" s="8">
        <v>0</v>
      </c>
      <c r="T167" s="23">
        <v>1</v>
      </c>
      <c r="U167" s="16"/>
      <c r="V167" s="16" t="s">
        <v>50</v>
      </c>
      <c r="W167" s="16"/>
    </row>
    <row r="168" spans="2:23" ht="15" customHeight="1">
      <c r="B168" s="16" t="s">
        <v>542</v>
      </c>
      <c r="C168" s="16" t="s">
        <v>184</v>
      </c>
      <c r="D168" s="16" t="s">
        <v>543</v>
      </c>
      <c r="E168" s="16" t="s">
        <v>68</v>
      </c>
      <c r="F168" s="16" t="s">
        <v>192</v>
      </c>
      <c r="G168" s="8">
        <v>1</v>
      </c>
      <c r="H168" s="8">
        <v>0</v>
      </c>
      <c r="I168" s="8">
        <v>0</v>
      </c>
      <c r="J168" s="8">
        <v>722014</v>
      </c>
      <c r="K168" s="8">
        <v>0</v>
      </c>
      <c r="L168" s="8">
        <v>0</v>
      </c>
      <c r="M168" s="8">
        <v>0</v>
      </c>
      <c r="N168" s="8">
        <v>0</v>
      </c>
      <c r="O168" s="8">
        <v>0</v>
      </c>
      <c r="P168" s="8">
        <v>0</v>
      </c>
      <c r="Q168" s="8">
        <v>0</v>
      </c>
      <c r="R168" s="8">
        <v>0</v>
      </c>
      <c r="S168" s="8">
        <v>1</v>
      </c>
      <c r="T168" s="23">
        <v>1</v>
      </c>
      <c r="U168" s="16"/>
      <c r="V168" s="16" t="s">
        <v>50</v>
      </c>
      <c r="W168" s="16"/>
    </row>
    <row r="169" spans="2:23" ht="15" customHeight="1">
      <c r="B169" s="16" t="s">
        <v>544</v>
      </c>
      <c r="C169" s="16" t="s">
        <v>184</v>
      </c>
      <c r="D169" s="16" t="s">
        <v>545</v>
      </c>
      <c r="E169" s="16" t="s">
        <v>71</v>
      </c>
      <c r="F169" s="16" t="s">
        <v>186</v>
      </c>
      <c r="G169" s="8">
        <v>1</v>
      </c>
      <c r="H169" s="8">
        <v>81</v>
      </c>
      <c r="I169" s="8">
        <v>57</v>
      </c>
      <c r="J169" s="8">
        <v>13560</v>
      </c>
      <c r="K169" s="8">
        <v>0</v>
      </c>
      <c r="L169" s="8">
        <v>0</v>
      </c>
      <c r="M169" s="8">
        <v>0</v>
      </c>
      <c r="N169" s="8">
        <v>0</v>
      </c>
      <c r="O169" s="8">
        <v>0</v>
      </c>
      <c r="P169" s="8">
        <v>0</v>
      </c>
      <c r="Q169" s="8">
        <v>0</v>
      </c>
      <c r="R169" s="8">
        <v>1</v>
      </c>
      <c r="S169" s="8">
        <v>0</v>
      </c>
      <c r="T169" s="23">
        <v>1</v>
      </c>
      <c r="U169" s="16" t="s">
        <v>50</v>
      </c>
      <c r="V169" s="16" t="s">
        <v>50</v>
      </c>
      <c r="W169" s="16" t="s">
        <v>459</v>
      </c>
    </row>
    <row r="170" spans="2:23" ht="15" customHeight="1">
      <c r="B170" s="16" t="s">
        <v>546</v>
      </c>
      <c r="C170" s="16" t="s">
        <v>184</v>
      </c>
      <c r="D170" s="16" t="s">
        <v>547</v>
      </c>
      <c r="E170" s="16" t="s">
        <v>68</v>
      </c>
      <c r="F170" s="16" t="s">
        <v>192</v>
      </c>
      <c r="G170" s="8">
        <v>1</v>
      </c>
      <c r="H170" s="8">
        <v>0</v>
      </c>
      <c r="I170" s="8">
        <v>0</v>
      </c>
      <c r="J170" s="8">
        <v>74932</v>
      </c>
      <c r="K170" s="8">
        <v>0</v>
      </c>
      <c r="L170" s="8">
        <v>0</v>
      </c>
      <c r="M170" s="8">
        <v>0</v>
      </c>
      <c r="N170" s="8">
        <v>0</v>
      </c>
      <c r="O170" s="8">
        <v>0</v>
      </c>
      <c r="P170" s="8">
        <v>0</v>
      </c>
      <c r="Q170" s="8">
        <v>0</v>
      </c>
      <c r="R170" s="8">
        <v>1</v>
      </c>
      <c r="S170" s="8">
        <v>0</v>
      </c>
      <c r="T170" s="23">
        <v>1</v>
      </c>
      <c r="U170" s="16"/>
      <c r="V170" s="16" t="s">
        <v>50</v>
      </c>
      <c r="W170" s="16"/>
    </row>
    <row r="171" spans="2:23" ht="15" customHeight="1">
      <c r="B171" s="16" t="s">
        <v>548</v>
      </c>
      <c r="C171" s="16" t="s">
        <v>184</v>
      </c>
      <c r="D171" s="16" t="s">
        <v>549</v>
      </c>
      <c r="E171" s="16" t="s">
        <v>62</v>
      </c>
      <c r="F171" s="16" t="s">
        <v>186</v>
      </c>
      <c r="G171" s="8">
        <v>1</v>
      </c>
      <c r="H171" s="8">
        <v>8</v>
      </c>
      <c r="I171" s="8">
        <v>1</v>
      </c>
      <c r="J171" s="8">
        <v>153783</v>
      </c>
      <c r="K171" s="8">
        <v>0</v>
      </c>
      <c r="L171" s="8">
        <v>0</v>
      </c>
      <c r="M171" s="8">
        <v>0</v>
      </c>
      <c r="N171" s="8">
        <v>0</v>
      </c>
      <c r="O171" s="8">
        <v>0</v>
      </c>
      <c r="P171" s="8">
        <v>0</v>
      </c>
      <c r="Q171" s="8">
        <v>0</v>
      </c>
      <c r="R171" s="8">
        <v>1</v>
      </c>
      <c r="S171" s="8">
        <v>0</v>
      </c>
      <c r="T171" s="23">
        <v>1</v>
      </c>
      <c r="U171" s="16"/>
      <c r="V171" s="16" t="s">
        <v>50</v>
      </c>
      <c r="W171" s="16"/>
    </row>
    <row r="172" spans="2:23" ht="15" customHeight="1">
      <c r="B172" s="16" t="s">
        <v>550</v>
      </c>
      <c r="C172" s="16" t="s">
        <v>153</v>
      </c>
      <c r="D172" s="16" t="s">
        <v>551</v>
      </c>
      <c r="E172" s="16" t="s">
        <v>76</v>
      </c>
      <c r="F172" s="16" t="s">
        <v>186</v>
      </c>
      <c r="G172" s="8">
        <v>1</v>
      </c>
      <c r="H172" s="8">
        <v>67</v>
      </c>
      <c r="I172" s="8">
        <v>48</v>
      </c>
      <c r="J172" s="8">
        <v>617921</v>
      </c>
      <c r="K172" s="8">
        <v>0</v>
      </c>
      <c r="L172" s="8">
        <v>112</v>
      </c>
      <c r="M172" s="8">
        <v>96</v>
      </c>
      <c r="N172" s="8">
        <v>1</v>
      </c>
      <c r="O172" s="8">
        <v>15</v>
      </c>
      <c r="P172" s="8">
        <v>0</v>
      </c>
      <c r="Q172" s="8">
        <v>0</v>
      </c>
      <c r="R172" s="8">
        <v>1</v>
      </c>
      <c r="S172" s="8">
        <v>0</v>
      </c>
      <c r="T172" s="23">
        <v>1</v>
      </c>
      <c r="U172" s="16"/>
      <c r="V172" s="16" t="s">
        <v>50</v>
      </c>
      <c r="W172" s="16"/>
    </row>
    <row r="173" spans="2:23" ht="15" customHeight="1">
      <c r="B173" s="16" t="s">
        <v>552</v>
      </c>
      <c r="C173" s="16" t="s">
        <v>165</v>
      </c>
      <c r="D173" s="16" t="s">
        <v>553</v>
      </c>
      <c r="E173" s="16" t="s">
        <v>65</v>
      </c>
      <c r="F173" s="16" t="s">
        <v>192</v>
      </c>
      <c r="G173" s="8">
        <v>1</v>
      </c>
      <c r="H173" s="8">
        <v>613</v>
      </c>
      <c r="I173" s="8">
        <v>9</v>
      </c>
      <c r="J173" s="8">
        <v>101707</v>
      </c>
      <c r="K173" s="8">
        <v>0</v>
      </c>
      <c r="L173" s="8">
        <v>0</v>
      </c>
      <c r="M173" s="8">
        <v>0</v>
      </c>
      <c r="N173" s="8">
        <v>0</v>
      </c>
      <c r="O173" s="8">
        <v>0</v>
      </c>
      <c r="P173" s="8">
        <v>0</v>
      </c>
      <c r="Q173" s="8">
        <v>0</v>
      </c>
      <c r="R173" s="8">
        <v>1</v>
      </c>
      <c r="S173" s="8">
        <v>0</v>
      </c>
      <c r="T173" s="23">
        <v>1</v>
      </c>
      <c r="U173" s="16"/>
      <c r="V173" s="16" t="s">
        <v>50</v>
      </c>
      <c r="W173" s="16"/>
    </row>
    <row r="174" spans="2:23" ht="15" customHeight="1">
      <c r="B174" s="16" t="s">
        <v>554</v>
      </c>
      <c r="C174" s="16" t="s">
        <v>555</v>
      </c>
      <c r="D174" s="16" t="s">
        <v>556</v>
      </c>
      <c r="E174" s="16" t="s">
        <v>62</v>
      </c>
      <c r="F174" s="16" t="s">
        <v>186</v>
      </c>
      <c r="G174" s="8">
        <v>1</v>
      </c>
      <c r="H174" s="8">
        <v>191</v>
      </c>
      <c r="I174" s="8">
        <v>3</v>
      </c>
      <c r="J174" s="8">
        <v>155465</v>
      </c>
      <c r="K174" s="8">
        <v>0</v>
      </c>
      <c r="L174" s="8">
        <v>0</v>
      </c>
      <c r="M174" s="8">
        <v>0</v>
      </c>
      <c r="N174" s="8">
        <v>0</v>
      </c>
      <c r="O174" s="8">
        <v>0</v>
      </c>
      <c r="P174" s="8">
        <v>0</v>
      </c>
      <c r="Q174" s="8">
        <v>0</v>
      </c>
      <c r="R174" s="8">
        <v>1</v>
      </c>
      <c r="S174" s="8">
        <v>0</v>
      </c>
      <c r="T174" s="23">
        <v>1</v>
      </c>
      <c r="U174" s="16" t="s">
        <v>187</v>
      </c>
      <c r="V174" s="16" t="s">
        <v>557</v>
      </c>
      <c r="W174" s="16" t="s">
        <v>558</v>
      </c>
    </row>
    <row r="175" spans="2:23" ht="15" customHeight="1">
      <c r="B175" s="16" t="s">
        <v>333</v>
      </c>
      <c r="C175" s="16" t="s">
        <v>184</v>
      </c>
      <c r="D175" s="16" t="s">
        <v>559</v>
      </c>
      <c r="E175" s="16" t="s">
        <v>76</v>
      </c>
      <c r="F175" s="16" t="s">
        <v>186</v>
      </c>
      <c r="G175" s="8">
        <v>1</v>
      </c>
      <c r="H175" s="8">
        <v>7</v>
      </c>
      <c r="I175" s="8">
        <v>5</v>
      </c>
      <c r="J175" s="8">
        <v>2679</v>
      </c>
      <c r="K175" s="8">
        <v>0</v>
      </c>
      <c r="L175" s="8">
        <v>0</v>
      </c>
      <c r="M175" s="8">
        <v>0</v>
      </c>
      <c r="N175" s="8">
        <v>0</v>
      </c>
      <c r="O175" s="8">
        <v>0</v>
      </c>
      <c r="P175" s="8">
        <v>0</v>
      </c>
      <c r="Q175" s="8">
        <v>0</v>
      </c>
      <c r="R175" s="8">
        <v>0</v>
      </c>
      <c r="S175" s="8">
        <v>1</v>
      </c>
      <c r="T175" s="23">
        <v>1</v>
      </c>
      <c r="U175" s="16" t="s">
        <v>187</v>
      </c>
      <c r="V175" s="16" t="s">
        <v>236</v>
      </c>
      <c r="W175" s="16" t="s">
        <v>237</v>
      </c>
    </row>
    <row r="176" spans="2:23" ht="15" customHeight="1">
      <c r="B176" s="16" t="s">
        <v>560</v>
      </c>
      <c r="C176" s="16" t="s">
        <v>160</v>
      </c>
      <c r="D176" s="16" t="s">
        <v>561</v>
      </c>
      <c r="E176" s="16" t="s">
        <v>62</v>
      </c>
      <c r="F176" s="16" t="s">
        <v>186</v>
      </c>
      <c r="G176" s="8">
        <v>1</v>
      </c>
      <c r="H176" s="8">
        <v>184</v>
      </c>
      <c r="I176" s="8">
        <v>3</v>
      </c>
      <c r="J176" s="8">
        <v>1599305</v>
      </c>
      <c r="K176" s="8">
        <v>0</v>
      </c>
      <c r="L176" s="8">
        <v>0</v>
      </c>
      <c r="M176" s="8">
        <v>0</v>
      </c>
      <c r="N176" s="8">
        <v>0</v>
      </c>
      <c r="O176" s="8">
        <v>0</v>
      </c>
      <c r="P176" s="8">
        <v>0</v>
      </c>
      <c r="Q176" s="8">
        <v>1</v>
      </c>
      <c r="R176" s="8">
        <v>0</v>
      </c>
      <c r="S176" s="8">
        <v>0</v>
      </c>
      <c r="T176" s="23">
        <v>1</v>
      </c>
      <c r="U176" s="16" t="s">
        <v>187</v>
      </c>
      <c r="V176" s="16" t="s">
        <v>562</v>
      </c>
      <c r="W176" s="16" t="s">
        <v>563</v>
      </c>
    </row>
    <row r="177" spans="2:23" ht="15" customHeight="1">
      <c r="B177" s="16" t="s">
        <v>564</v>
      </c>
      <c r="C177" s="16" t="s">
        <v>184</v>
      </c>
      <c r="D177" s="16" t="s">
        <v>565</v>
      </c>
      <c r="E177" s="16" t="s">
        <v>81</v>
      </c>
      <c r="F177" s="16" t="s">
        <v>222</v>
      </c>
      <c r="G177" s="8">
        <v>1</v>
      </c>
      <c r="H177" s="8"/>
      <c r="I177" s="8">
        <v>0</v>
      </c>
      <c r="J177" s="8">
        <v>379</v>
      </c>
      <c r="K177" s="8">
        <v>0</v>
      </c>
      <c r="L177" s="8">
        <v>4</v>
      </c>
      <c r="M177" s="8">
        <v>4</v>
      </c>
      <c r="N177" s="8">
        <v>0</v>
      </c>
      <c r="O177" s="8">
        <v>0</v>
      </c>
      <c r="P177" s="8">
        <v>0</v>
      </c>
      <c r="Q177" s="8">
        <v>0</v>
      </c>
      <c r="R177" s="8">
        <v>1</v>
      </c>
      <c r="S177" s="8">
        <v>0</v>
      </c>
      <c r="T177" s="23">
        <v>1</v>
      </c>
      <c r="U177" s="16"/>
      <c r="V177" s="16" t="s">
        <v>50</v>
      </c>
      <c r="W177" s="16"/>
    </row>
    <row r="178" spans="2:23" ht="15" customHeight="1">
      <c r="B178" s="16" t="s">
        <v>566</v>
      </c>
      <c r="C178" s="16" t="s">
        <v>184</v>
      </c>
      <c r="D178" s="16" t="s">
        <v>567</v>
      </c>
      <c r="E178" s="16" t="s">
        <v>110</v>
      </c>
      <c r="F178" s="16" t="s">
        <v>192</v>
      </c>
      <c r="G178" s="8">
        <v>1</v>
      </c>
      <c r="H178" s="8"/>
      <c r="I178" s="8">
        <v>0</v>
      </c>
      <c r="J178" s="8" t="s">
        <v>101</v>
      </c>
      <c r="K178" s="8">
        <v>0</v>
      </c>
      <c r="L178" s="8" t="s">
        <v>101</v>
      </c>
      <c r="M178" s="8">
        <v>0</v>
      </c>
      <c r="N178" s="8">
        <v>0</v>
      </c>
      <c r="O178" s="8">
        <v>0</v>
      </c>
      <c r="P178" s="8">
        <v>3</v>
      </c>
      <c r="Q178" s="8">
        <v>0</v>
      </c>
      <c r="R178" s="8">
        <v>0</v>
      </c>
      <c r="S178" s="8">
        <v>1</v>
      </c>
      <c r="T178" s="23">
        <v>1</v>
      </c>
      <c r="U178" s="16"/>
      <c r="V178" s="16" t="s">
        <v>50</v>
      </c>
      <c r="W178" s="16"/>
    </row>
    <row r="179" spans="2:23" ht="15" customHeight="1">
      <c r="B179" s="16" t="s">
        <v>568</v>
      </c>
      <c r="C179" s="16" t="s">
        <v>184</v>
      </c>
      <c r="D179" s="16" t="s">
        <v>569</v>
      </c>
      <c r="E179" s="16" t="s">
        <v>62</v>
      </c>
      <c r="F179" s="16" t="s">
        <v>186</v>
      </c>
      <c r="G179" s="8">
        <v>1</v>
      </c>
      <c r="H179" s="8">
        <v>48</v>
      </c>
      <c r="I179" s="8">
        <v>1</v>
      </c>
      <c r="J179" s="8">
        <v>19153</v>
      </c>
      <c r="K179" s="8">
        <v>0</v>
      </c>
      <c r="L179" s="8">
        <v>0</v>
      </c>
      <c r="M179" s="8">
        <v>0</v>
      </c>
      <c r="N179" s="8">
        <v>0</v>
      </c>
      <c r="O179" s="8">
        <v>0</v>
      </c>
      <c r="P179" s="8">
        <v>0</v>
      </c>
      <c r="Q179" s="8">
        <v>1</v>
      </c>
      <c r="R179" s="8">
        <v>0</v>
      </c>
      <c r="S179" s="8">
        <v>0</v>
      </c>
      <c r="T179" s="23">
        <v>1</v>
      </c>
      <c r="U179" s="16" t="s">
        <v>187</v>
      </c>
      <c r="V179" s="16" t="s">
        <v>570</v>
      </c>
      <c r="W179" s="16" t="s">
        <v>571</v>
      </c>
    </row>
    <row r="180" spans="2:23" ht="15" customHeight="1">
      <c r="B180" s="16" t="s">
        <v>572</v>
      </c>
      <c r="C180" s="16" t="s">
        <v>184</v>
      </c>
      <c r="D180" s="16" t="s">
        <v>573</v>
      </c>
      <c r="E180" s="16" t="s">
        <v>68</v>
      </c>
      <c r="F180" s="16" t="s">
        <v>192</v>
      </c>
      <c r="G180" s="8">
        <v>1</v>
      </c>
      <c r="H180" s="8">
        <v>0</v>
      </c>
      <c r="I180" s="8">
        <v>0</v>
      </c>
      <c r="J180" s="8">
        <v>81616</v>
      </c>
      <c r="K180" s="8">
        <v>0</v>
      </c>
      <c r="L180" s="8">
        <v>0</v>
      </c>
      <c r="M180" s="8">
        <v>0</v>
      </c>
      <c r="N180" s="8">
        <v>0</v>
      </c>
      <c r="O180" s="8">
        <v>0</v>
      </c>
      <c r="P180" s="8">
        <v>0</v>
      </c>
      <c r="Q180" s="8">
        <v>1</v>
      </c>
      <c r="R180" s="8">
        <v>0</v>
      </c>
      <c r="S180" s="8">
        <v>0</v>
      </c>
      <c r="T180" s="23">
        <v>1</v>
      </c>
      <c r="U180" s="16"/>
      <c r="V180" s="16" t="s">
        <v>50</v>
      </c>
      <c r="W180" s="16"/>
    </row>
    <row r="181" spans="2:23" ht="15" customHeight="1">
      <c r="B181" s="16" t="s">
        <v>574</v>
      </c>
      <c r="C181" s="16" t="s">
        <v>184</v>
      </c>
      <c r="D181" s="16" t="s">
        <v>575</v>
      </c>
      <c r="E181" s="16" t="s">
        <v>68</v>
      </c>
      <c r="F181" s="16" t="s">
        <v>192</v>
      </c>
      <c r="G181" s="8">
        <v>1</v>
      </c>
      <c r="H181" s="8">
        <v>0</v>
      </c>
      <c r="I181" s="8">
        <v>0</v>
      </c>
      <c r="J181" s="8">
        <v>17394</v>
      </c>
      <c r="K181" s="8">
        <v>0</v>
      </c>
      <c r="L181" s="8">
        <v>4</v>
      </c>
      <c r="M181" s="8">
        <v>4</v>
      </c>
      <c r="N181" s="8">
        <v>0</v>
      </c>
      <c r="O181" s="8">
        <v>0</v>
      </c>
      <c r="P181" s="8">
        <v>0</v>
      </c>
      <c r="Q181" s="8">
        <v>0</v>
      </c>
      <c r="R181" s="8">
        <v>1</v>
      </c>
      <c r="S181" s="8">
        <v>0</v>
      </c>
      <c r="T181" s="23">
        <v>1</v>
      </c>
      <c r="U181" s="16"/>
      <c r="V181" s="16" t="s">
        <v>50</v>
      </c>
      <c r="W181" s="16"/>
    </row>
    <row r="182" spans="2:23" ht="15" customHeight="1">
      <c r="B182" s="16" t="s">
        <v>576</v>
      </c>
      <c r="C182" s="16" t="s">
        <v>153</v>
      </c>
      <c r="D182" s="16" t="s">
        <v>577</v>
      </c>
      <c r="E182" s="16" t="s">
        <v>76</v>
      </c>
      <c r="F182" s="16" t="s">
        <v>186</v>
      </c>
      <c r="G182" s="8">
        <v>1</v>
      </c>
      <c r="H182" s="8">
        <v>55</v>
      </c>
      <c r="I182" s="8">
        <v>40</v>
      </c>
      <c r="J182" s="8">
        <v>258743</v>
      </c>
      <c r="K182" s="8">
        <v>0</v>
      </c>
      <c r="L182" s="8">
        <v>15</v>
      </c>
      <c r="M182" s="8">
        <v>15</v>
      </c>
      <c r="N182" s="8">
        <v>0</v>
      </c>
      <c r="O182" s="8">
        <v>0</v>
      </c>
      <c r="P182" s="8">
        <v>0</v>
      </c>
      <c r="Q182" s="8">
        <v>0</v>
      </c>
      <c r="R182" s="8">
        <v>1</v>
      </c>
      <c r="S182" s="8">
        <v>0</v>
      </c>
      <c r="T182" s="23">
        <v>1</v>
      </c>
      <c r="U182" s="16" t="s">
        <v>187</v>
      </c>
      <c r="V182" s="16" t="s">
        <v>200</v>
      </c>
      <c r="W182" s="16" t="s">
        <v>201</v>
      </c>
    </row>
    <row r="183" spans="2:23" ht="15" customHeight="1">
      <c r="B183" s="16" t="s">
        <v>578</v>
      </c>
      <c r="C183" s="16" t="s">
        <v>153</v>
      </c>
      <c r="D183" s="16" t="s">
        <v>579</v>
      </c>
      <c r="E183" s="16" t="s">
        <v>76</v>
      </c>
      <c r="F183" s="16" t="s">
        <v>186</v>
      </c>
      <c r="G183" s="8">
        <v>1</v>
      </c>
      <c r="H183" s="8">
        <v>47</v>
      </c>
      <c r="I183" s="8">
        <v>34</v>
      </c>
      <c r="J183" s="8">
        <v>123166</v>
      </c>
      <c r="K183" s="8">
        <v>0</v>
      </c>
      <c r="L183" s="8">
        <v>10</v>
      </c>
      <c r="M183" s="8">
        <v>10</v>
      </c>
      <c r="N183" s="8">
        <v>0</v>
      </c>
      <c r="O183" s="8">
        <v>0</v>
      </c>
      <c r="P183" s="8">
        <v>0</v>
      </c>
      <c r="Q183" s="8">
        <v>0</v>
      </c>
      <c r="R183" s="8">
        <v>1</v>
      </c>
      <c r="S183" s="8">
        <v>0</v>
      </c>
      <c r="T183" s="23">
        <v>1</v>
      </c>
      <c r="U183" s="16"/>
      <c r="V183" s="16" t="s">
        <v>50</v>
      </c>
      <c r="W183" s="16"/>
    </row>
    <row r="184" spans="2:23" ht="15" customHeight="1">
      <c r="B184" s="16" t="s">
        <v>580</v>
      </c>
      <c r="C184" s="16" t="s">
        <v>184</v>
      </c>
      <c r="D184" s="16" t="s">
        <v>581</v>
      </c>
      <c r="E184" s="16" t="s">
        <v>76</v>
      </c>
      <c r="F184" s="16" t="s">
        <v>186</v>
      </c>
      <c r="G184" s="8">
        <v>1</v>
      </c>
      <c r="H184" s="8"/>
      <c r="I184" s="8">
        <v>0</v>
      </c>
      <c r="J184" s="8">
        <v>318</v>
      </c>
      <c r="K184" s="8">
        <v>0</v>
      </c>
      <c r="L184" s="8">
        <v>0</v>
      </c>
      <c r="M184" s="8">
        <v>0</v>
      </c>
      <c r="N184" s="8">
        <v>0</v>
      </c>
      <c r="O184" s="8">
        <v>0</v>
      </c>
      <c r="P184" s="8">
        <v>0</v>
      </c>
      <c r="Q184" s="8">
        <v>0</v>
      </c>
      <c r="R184" s="8">
        <v>1</v>
      </c>
      <c r="S184" s="8">
        <v>0</v>
      </c>
      <c r="T184" s="23">
        <v>1</v>
      </c>
      <c r="U184" s="16" t="s">
        <v>187</v>
      </c>
      <c r="V184" s="16" t="s">
        <v>200</v>
      </c>
      <c r="W184" s="16" t="s">
        <v>201</v>
      </c>
    </row>
    <row r="185" spans="2:23" ht="15" customHeight="1">
      <c r="B185" s="16" t="s">
        <v>582</v>
      </c>
      <c r="C185" s="16" t="s">
        <v>153</v>
      </c>
      <c r="D185" s="16" t="s">
        <v>583</v>
      </c>
      <c r="E185" s="16" t="s">
        <v>76</v>
      </c>
      <c r="F185" s="16" t="s">
        <v>186</v>
      </c>
      <c r="G185" s="8">
        <v>1</v>
      </c>
      <c r="H185" s="8">
        <v>51</v>
      </c>
      <c r="I185" s="8">
        <v>37</v>
      </c>
      <c r="J185" s="8">
        <v>153106</v>
      </c>
      <c r="K185" s="8">
        <v>0</v>
      </c>
      <c r="L185" s="8">
        <v>10</v>
      </c>
      <c r="M185" s="8">
        <v>10</v>
      </c>
      <c r="N185" s="8">
        <v>0</v>
      </c>
      <c r="O185" s="8">
        <v>0</v>
      </c>
      <c r="P185" s="8">
        <v>0</v>
      </c>
      <c r="Q185" s="8">
        <v>0</v>
      </c>
      <c r="R185" s="8">
        <v>1</v>
      </c>
      <c r="S185" s="8">
        <v>0</v>
      </c>
      <c r="T185" s="23">
        <v>1</v>
      </c>
      <c r="U185" s="16"/>
      <c r="V185" s="16" t="s">
        <v>50</v>
      </c>
      <c r="W185" s="16"/>
    </row>
    <row r="186" spans="2:23" ht="15" customHeight="1">
      <c r="B186" s="16" t="s">
        <v>584</v>
      </c>
      <c r="C186" s="16" t="s">
        <v>153</v>
      </c>
      <c r="D186" s="16" t="s">
        <v>585</v>
      </c>
      <c r="E186" s="16" t="s">
        <v>76</v>
      </c>
      <c r="F186" s="16" t="s">
        <v>186</v>
      </c>
      <c r="G186" s="8">
        <v>1</v>
      </c>
      <c r="H186" s="8">
        <v>47</v>
      </c>
      <c r="I186" s="8">
        <v>34</v>
      </c>
      <c r="J186" s="8">
        <v>146249</v>
      </c>
      <c r="K186" s="8">
        <v>0</v>
      </c>
      <c r="L186" s="8">
        <v>10</v>
      </c>
      <c r="M186" s="8">
        <v>10</v>
      </c>
      <c r="N186" s="8">
        <v>0</v>
      </c>
      <c r="O186" s="8">
        <v>0</v>
      </c>
      <c r="P186" s="8">
        <v>0</v>
      </c>
      <c r="Q186" s="8">
        <v>0</v>
      </c>
      <c r="R186" s="8">
        <v>1</v>
      </c>
      <c r="S186" s="8">
        <v>0</v>
      </c>
      <c r="T186" s="23">
        <v>1</v>
      </c>
      <c r="U186" s="16"/>
      <c r="V186" s="16" t="s">
        <v>50</v>
      </c>
      <c r="W186" s="16"/>
    </row>
    <row r="187" spans="2:23" ht="15" customHeight="1">
      <c r="B187" s="16" t="s">
        <v>586</v>
      </c>
      <c r="C187" s="16" t="s">
        <v>153</v>
      </c>
      <c r="D187" s="16" t="s">
        <v>587</v>
      </c>
      <c r="E187" s="16" t="s">
        <v>76</v>
      </c>
      <c r="F187" s="16" t="s">
        <v>186</v>
      </c>
      <c r="G187" s="8">
        <v>1</v>
      </c>
      <c r="H187" s="8">
        <v>49</v>
      </c>
      <c r="I187" s="8">
        <v>35</v>
      </c>
      <c r="J187" s="8">
        <v>139466</v>
      </c>
      <c r="K187" s="8">
        <v>0</v>
      </c>
      <c r="L187" s="8">
        <v>14</v>
      </c>
      <c r="M187" s="8">
        <v>13</v>
      </c>
      <c r="N187" s="8">
        <v>0</v>
      </c>
      <c r="O187" s="8">
        <v>1</v>
      </c>
      <c r="P187" s="8">
        <v>0</v>
      </c>
      <c r="Q187" s="8">
        <v>0</v>
      </c>
      <c r="R187" s="8">
        <v>1</v>
      </c>
      <c r="S187" s="8">
        <v>0</v>
      </c>
      <c r="T187" s="23">
        <v>1</v>
      </c>
      <c r="U187" s="16"/>
      <c r="V187" s="16" t="s">
        <v>50</v>
      </c>
      <c r="W187" s="16"/>
    </row>
    <row r="188" spans="2:23" ht="15" customHeight="1">
      <c r="B188" s="16" t="s">
        <v>588</v>
      </c>
      <c r="C188" s="16" t="s">
        <v>184</v>
      </c>
      <c r="D188" s="16" t="s">
        <v>589</v>
      </c>
      <c r="E188" s="16" t="s">
        <v>122</v>
      </c>
      <c r="F188" s="16" t="s">
        <v>192</v>
      </c>
      <c r="G188" s="8">
        <v>1</v>
      </c>
      <c r="H188" s="8"/>
      <c r="I188" s="8">
        <v>0</v>
      </c>
      <c r="J188" s="8">
        <v>0</v>
      </c>
      <c r="K188" s="8">
        <v>0</v>
      </c>
      <c r="L188" s="8">
        <v>0</v>
      </c>
      <c r="M188" s="8">
        <v>0</v>
      </c>
      <c r="N188" s="8">
        <v>0</v>
      </c>
      <c r="O188" s="8">
        <v>0</v>
      </c>
      <c r="P188" s="8">
        <v>0</v>
      </c>
      <c r="Q188" s="8">
        <v>0</v>
      </c>
      <c r="R188" s="8">
        <v>1</v>
      </c>
      <c r="S188" s="8">
        <v>0</v>
      </c>
      <c r="T188" s="23">
        <v>1</v>
      </c>
      <c r="U188" s="16"/>
      <c r="V188" s="16" t="s">
        <v>50</v>
      </c>
      <c r="W188" s="16"/>
    </row>
    <row r="189" spans="2:23" ht="15" customHeight="1">
      <c r="B189" s="16" t="s">
        <v>590</v>
      </c>
      <c r="C189" s="16" t="s">
        <v>151</v>
      </c>
      <c r="D189" s="16" t="s">
        <v>591</v>
      </c>
      <c r="E189" s="16" t="s">
        <v>78</v>
      </c>
      <c r="F189" s="16" t="s">
        <v>192</v>
      </c>
      <c r="G189" s="8">
        <v>1</v>
      </c>
      <c r="H189" s="8">
        <v>624</v>
      </c>
      <c r="I189" s="8">
        <v>9</v>
      </c>
      <c r="J189" s="8">
        <v>2590000</v>
      </c>
      <c r="K189" s="8">
        <v>0</v>
      </c>
      <c r="L189" s="8">
        <v>1</v>
      </c>
      <c r="M189" s="8">
        <v>1</v>
      </c>
      <c r="N189" s="8">
        <v>0</v>
      </c>
      <c r="O189" s="8">
        <v>0</v>
      </c>
      <c r="P189" s="8">
        <v>0</v>
      </c>
      <c r="Q189" s="8">
        <v>0</v>
      </c>
      <c r="R189" s="8">
        <v>1</v>
      </c>
      <c r="S189" s="8">
        <v>0</v>
      </c>
      <c r="T189" s="23">
        <v>1</v>
      </c>
      <c r="U189" s="16"/>
      <c r="V189" s="16" t="s">
        <v>50</v>
      </c>
      <c r="W189" s="16"/>
    </row>
    <row r="190" spans="2:23" ht="15" customHeight="1">
      <c r="B190" s="16" t="s">
        <v>592</v>
      </c>
      <c r="C190" s="16" t="s">
        <v>184</v>
      </c>
      <c r="D190" s="16" t="s">
        <v>129</v>
      </c>
      <c r="E190" s="16" t="s">
        <v>128</v>
      </c>
      <c r="F190" s="16" t="s">
        <v>192</v>
      </c>
      <c r="G190" s="8">
        <v>1</v>
      </c>
      <c r="H190" s="8"/>
      <c r="I190" s="8">
        <v>0</v>
      </c>
      <c r="J190" s="8">
        <v>2520</v>
      </c>
      <c r="K190" s="8">
        <v>0</v>
      </c>
      <c r="L190" s="8">
        <v>0</v>
      </c>
      <c r="M190" s="8">
        <v>0</v>
      </c>
      <c r="N190" s="8">
        <v>0</v>
      </c>
      <c r="O190" s="8">
        <v>0</v>
      </c>
      <c r="P190" s="8">
        <v>0</v>
      </c>
      <c r="Q190" s="8">
        <v>0</v>
      </c>
      <c r="R190" s="8">
        <v>1</v>
      </c>
      <c r="S190" s="8">
        <v>0</v>
      </c>
      <c r="T190" s="23">
        <v>1</v>
      </c>
      <c r="U190" s="16" t="s">
        <v>187</v>
      </c>
      <c r="V190" s="16" t="s">
        <v>200</v>
      </c>
      <c r="W190" s="16" t="s">
        <v>201</v>
      </c>
    </row>
    <row r="191" spans="2:23" ht="15" customHeight="1">
      <c r="B191" s="16" t="s">
        <v>593</v>
      </c>
      <c r="C191" s="16" t="s">
        <v>151</v>
      </c>
      <c r="D191" s="16" t="s">
        <v>594</v>
      </c>
      <c r="E191" s="16" t="s">
        <v>62</v>
      </c>
      <c r="F191" s="16" t="s">
        <v>186</v>
      </c>
      <c r="G191" s="8">
        <v>1</v>
      </c>
      <c r="H191" s="8">
        <v>210</v>
      </c>
      <c r="I191" s="8">
        <v>3</v>
      </c>
      <c r="J191" s="8">
        <v>13564</v>
      </c>
      <c r="K191" s="8">
        <v>0</v>
      </c>
      <c r="L191" s="8">
        <v>0</v>
      </c>
      <c r="M191" s="8">
        <v>0</v>
      </c>
      <c r="N191" s="8">
        <v>0</v>
      </c>
      <c r="O191" s="8">
        <v>0</v>
      </c>
      <c r="P191" s="8">
        <v>0</v>
      </c>
      <c r="Q191" s="8">
        <v>0</v>
      </c>
      <c r="R191" s="8">
        <v>1</v>
      </c>
      <c r="S191" s="8">
        <v>0</v>
      </c>
      <c r="T191" s="23">
        <v>1</v>
      </c>
      <c r="U191" s="16" t="s">
        <v>187</v>
      </c>
      <c r="V191" s="16" t="s">
        <v>200</v>
      </c>
      <c r="W191" s="16" t="s">
        <v>201</v>
      </c>
    </row>
    <row r="192" spans="2:23" ht="15" customHeight="1">
      <c r="B192" s="16" t="s">
        <v>595</v>
      </c>
      <c r="C192" s="16" t="s">
        <v>184</v>
      </c>
      <c r="D192" s="16" t="s">
        <v>596</v>
      </c>
      <c r="E192" s="16" t="s">
        <v>78</v>
      </c>
      <c r="F192" s="16" t="s">
        <v>192</v>
      </c>
      <c r="G192" s="8">
        <v>1</v>
      </c>
      <c r="H192" s="8">
        <v>32</v>
      </c>
      <c r="I192" s="8">
        <v>23</v>
      </c>
      <c r="J192" s="8">
        <v>9420</v>
      </c>
      <c r="K192" s="8">
        <v>59</v>
      </c>
      <c r="L192" s="8">
        <v>1</v>
      </c>
      <c r="M192" s="8">
        <v>1</v>
      </c>
      <c r="N192" s="8">
        <v>0</v>
      </c>
      <c r="O192" s="8">
        <v>0</v>
      </c>
      <c r="P192" s="8">
        <v>0</v>
      </c>
      <c r="Q192" s="8">
        <v>0</v>
      </c>
      <c r="R192" s="8">
        <v>1</v>
      </c>
      <c r="S192" s="8">
        <v>0</v>
      </c>
      <c r="T192" s="23">
        <v>1</v>
      </c>
      <c r="U192" s="16"/>
      <c r="V192" s="16" t="s">
        <v>50</v>
      </c>
      <c r="W192" s="16"/>
    </row>
    <row r="193" spans="2:23" ht="15" customHeight="1">
      <c r="B193" s="16" t="s">
        <v>597</v>
      </c>
      <c r="C193" s="16" t="s">
        <v>184</v>
      </c>
      <c r="D193" s="16" t="s">
        <v>598</v>
      </c>
      <c r="E193" s="16" t="s">
        <v>65</v>
      </c>
      <c r="F193" s="16" t="s">
        <v>186</v>
      </c>
      <c r="G193" s="8">
        <v>1</v>
      </c>
      <c r="H193" s="8">
        <v>0</v>
      </c>
      <c r="I193" s="8">
        <v>0</v>
      </c>
      <c r="J193" s="8">
        <v>24982</v>
      </c>
      <c r="K193" s="8">
        <v>0</v>
      </c>
      <c r="L193" s="8">
        <v>0</v>
      </c>
      <c r="M193" s="8">
        <v>0</v>
      </c>
      <c r="N193" s="8">
        <v>0</v>
      </c>
      <c r="O193" s="8">
        <v>0</v>
      </c>
      <c r="P193" s="8">
        <v>0</v>
      </c>
      <c r="Q193" s="8">
        <v>0</v>
      </c>
      <c r="R193" s="8">
        <v>1</v>
      </c>
      <c r="S193" s="8">
        <v>0</v>
      </c>
      <c r="T193" s="23">
        <v>1</v>
      </c>
      <c r="U193" s="16"/>
      <c r="V193" s="16" t="s">
        <v>50</v>
      </c>
      <c r="W193" s="16"/>
    </row>
    <row r="194" spans="2:23" ht="15" customHeight="1">
      <c r="B194" s="16" t="s">
        <v>599</v>
      </c>
      <c r="C194" s="16" t="s">
        <v>184</v>
      </c>
      <c r="D194" s="16" t="s">
        <v>600</v>
      </c>
      <c r="E194" s="16" t="s">
        <v>65</v>
      </c>
      <c r="F194" s="16" t="s">
        <v>186</v>
      </c>
      <c r="G194" s="8">
        <v>1</v>
      </c>
      <c r="H194" s="8">
        <v>0</v>
      </c>
      <c r="I194" s="8">
        <v>0</v>
      </c>
      <c r="J194" s="8">
        <v>3858</v>
      </c>
      <c r="K194" s="8">
        <v>0</v>
      </c>
      <c r="L194" s="8">
        <v>0</v>
      </c>
      <c r="M194" s="8">
        <v>0</v>
      </c>
      <c r="N194" s="8">
        <v>0</v>
      </c>
      <c r="O194" s="8">
        <v>0</v>
      </c>
      <c r="P194" s="8">
        <v>0</v>
      </c>
      <c r="Q194" s="8">
        <v>0</v>
      </c>
      <c r="R194" s="8">
        <v>1</v>
      </c>
      <c r="S194" s="8">
        <v>0</v>
      </c>
      <c r="T194" s="23">
        <v>1</v>
      </c>
      <c r="U194" s="16"/>
      <c r="V194" s="16" t="s">
        <v>50</v>
      </c>
      <c r="W194" s="16"/>
    </row>
    <row r="195" spans="2:23" ht="15" customHeight="1">
      <c r="B195" s="16" t="s">
        <v>601</v>
      </c>
      <c r="C195" s="16" t="s">
        <v>153</v>
      </c>
      <c r="D195" s="16" t="s">
        <v>602</v>
      </c>
      <c r="E195" s="16" t="s">
        <v>76</v>
      </c>
      <c r="F195" s="16" t="s">
        <v>186</v>
      </c>
      <c r="G195" s="8">
        <v>1</v>
      </c>
      <c r="H195" s="8">
        <v>39</v>
      </c>
      <c r="I195" s="8">
        <v>28</v>
      </c>
      <c r="J195" s="8">
        <v>60281</v>
      </c>
      <c r="K195" s="8">
        <v>0</v>
      </c>
      <c r="L195" s="8">
        <v>15</v>
      </c>
      <c r="M195" s="8">
        <v>15</v>
      </c>
      <c r="N195" s="8">
        <v>0</v>
      </c>
      <c r="O195" s="8">
        <v>0</v>
      </c>
      <c r="P195" s="8">
        <v>0</v>
      </c>
      <c r="Q195" s="8">
        <v>0</v>
      </c>
      <c r="R195" s="8">
        <v>1</v>
      </c>
      <c r="S195" s="8">
        <v>0</v>
      </c>
      <c r="T195" s="23">
        <v>1</v>
      </c>
      <c r="U195" s="16"/>
      <c r="V195" s="16" t="s">
        <v>50</v>
      </c>
      <c r="W195" s="16"/>
    </row>
    <row r="196" spans="2:23" ht="15" customHeight="1">
      <c r="B196" s="16" t="s">
        <v>603</v>
      </c>
      <c r="C196" s="16" t="s">
        <v>151</v>
      </c>
      <c r="D196" s="16" t="s">
        <v>604</v>
      </c>
      <c r="E196" s="16" t="s">
        <v>62</v>
      </c>
      <c r="F196" s="16" t="s">
        <v>186</v>
      </c>
      <c r="G196" s="8">
        <v>1</v>
      </c>
      <c r="H196" s="8">
        <v>273</v>
      </c>
      <c r="I196" s="8">
        <v>4</v>
      </c>
      <c r="J196" s="8">
        <v>10836</v>
      </c>
      <c r="K196" s="8">
        <v>0</v>
      </c>
      <c r="L196" s="8">
        <v>0</v>
      </c>
      <c r="M196" s="8">
        <v>0</v>
      </c>
      <c r="N196" s="8">
        <v>0</v>
      </c>
      <c r="O196" s="8">
        <v>0</v>
      </c>
      <c r="P196" s="8">
        <v>0</v>
      </c>
      <c r="Q196" s="8">
        <v>1</v>
      </c>
      <c r="R196" s="8">
        <v>0</v>
      </c>
      <c r="S196" s="8">
        <v>0</v>
      </c>
      <c r="T196" s="23">
        <v>1</v>
      </c>
      <c r="U196" s="16"/>
      <c r="V196" s="16" t="s">
        <v>50</v>
      </c>
      <c r="W196" s="16"/>
    </row>
    <row r="197" spans="2:23" ht="15" customHeight="1">
      <c r="B197" s="16" t="s">
        <v>605</v>
      </c>
      <c r="C197" s="16" t="s">
        <v>184</v>
      </c>
      <c r="D197" s="16" t="s">
        <v>606</v>
      </c>
      <c r="E197" s="16" t="s">
        <v>65</v>
      </c>
      <c r="F197" s="16" t="s">
        <v>186</v>
      </c>
      <c r="G197" s="8">
        <v>1</v>
      </c>
      <c r="H197" s="8"/>
      <c r="I197" s="8">
        <v>0</v>
      </c>
      <c r="J197" s="8">
        <v>825</v>
      </c>
      <c r="K197" s="8">
        <v>0</v>
      </c>
      <c r="L197" s="8">
        <v>0</v>
      </c>
      <c r="M197" s="8">
        <v>0</v>
      </c>
      <c r="N197" s="8">
        <v>0</v>
      </c>
      <c r="O197" s="8">
        <v>0</v>
      </c>
      <c r="P197" s="8">
        <v>0</v>
      </c>
      <c r="Q197" s="8">
        <v>0</v>
      </c>
      <c r="R197" s="8">
        <v>1</v>
      </c>
      <c r="S197" s="8">
        <v>0</v>
      </c>
      <c r="T197" s="23">
        <v>1</v>
      </c>
      <c r="U197" s="16"/>
      <c r="V197" s="16" t="s">
        <v>50</v>
      </c>
      <c r="W197" s="16"/>
    </row>
    <row r="198" spans="2:23" ht="15" customHeight="1">
      <c r="B198" s="16" t="s">
        <v>607</v>
      </c>
      <c r="C198" s="16" t="s">
        <v>184</v>
      </c>
      <c r="D198" s="16" t="s">
        <v>608</v>
      </c>
      <c r="E198" s="16" t="s">
        <v>65</v>
      </c>
      <c r="F198" s="16" t="s">
        <v>186</v>
      </c>
      <c r="G198" s="8">
        <v>1</v>
      </c>
      <c r="H198" s="8">
        <v>275</v>
      </c>
      <c r="I198" s="8">
        <v>211</v>
      </c>
      <c r="J198" s="8">
        <v>6536</v>
      </c>
      <c r="K198" s="8">
        <v>729</v>
      </c>
      <c r="L198" s="8">
        <v>11</v>
      </c>
      <c r="M198" s="8">
        <v>6</v>
      </c>
      <c r="N198" s="8">
        <v>1</v>
      </c>
      <c r="O198" s="8">
        <v>4</v>
      </c>
      <c r="P198" s="8">
        <v>0</v>
      </c>
      <c r="Q198" s="8">
        <v>0</v>
      </c>
      <c r="R198" s="8">
        <v>1</v>
      </c>
      <c r="S198" s="8">
        <v>0</v>
      </c>
      <c r="T198" s="23">
        <v>1</v>
      </c>
      <c r="U198" s="16"/>
      <c r="V198" s="16" t="s">
        <v>50</v>
      </c>
      <c r="W198" s="16"/>
    </row>
    <row r="199" spans="2:23" ht="15" customHeight="1">
      <c r="B199" s="16" t="s">
        <v>609</v>
      </c>
      <c r="C199" s="16" t="s">
        <v>184</v>
      </c>
      <c r="D199" s="16" t="s">
        <v>610</v>
      </c>
      <c r="E199" s="16" t="s">
        <v>62</v>
      </c>
      <c r="F199" s="16" t="s">
        <v>222</v>
      </c>
      <c r="G199" s="8">
        <v>1</v>
      </c>
      <c r="H199" s="8"/>
      <c r="I199" s="8">
        <v>0</v>
      </c>
      <c r="J199" s="8">
        <v>86</v>
      </c>
      <c r="K199" s="8">
        <v>57</v>
      </c>
      <c r="L199" s="8">
        <v>1</v>
      </c>
      <c r="M199" s="8">
        <v>1</v>
      </c>
      <c r="N199" s="8">
        <v>0</v>
      </c>
      <c r="O199" s="8">
        <v>0</v>
      </c>
      <c r="P199" s="8">
        <v>0</v>
      </c>
      <c r="Q199" s="8">
        <v>0</v>
      </c>
      <c r="R199" s="8">
        <v>1</v>
      </c>
      <c r="S199" s="8">
        <v>0</v>
      </c>
      <c r="T199" s="23">
        <v>1</v>
      </c>
      <c r="U199" s="16" t="s">
        <v>187</v>
      </c>
      <c r="V199" s="16" t="s">
        <v>188</v>
      </c>
      <c r="W199" s="16" t="s">
        <v>189</v>
      </c>
    </row>
    <row r="200" spans="2:23" ht="15" customHeight="1">
      <c r="B200" s="16" t="s">
        <v>611</v>
      </c>
      <c r="C200" s="16" t="s">
        <v>184</v>
      </c>
      <c r="D200" s="16" t="s">
        <v>612</v>
      </c>
      <c r="E200" s="16" t="s">
        <v>62</v>
      </c>
      <c r="F200" s="16" t="s">
        <v>186</v>
      </c>
      <c r="G200" s="8">
        <v>1</v>
      </c>
      <c r="H200" s="8">
        <v>234</v>
      </c>
      <c r="I200" s="8">
        <v>4</v>
      </c>
      <c r="J200" s="8">
        <v>188185</v>
      </c>
      <c r="K200" s="8">
        <v>0</v>
      </c>
      <c r="L200" s="8">
        <v>0</v>
      </c>
      <c r="M200" s="8">
        <v>0</v>
      </c>
      <c r="N200" s="8">
        <v>0</v>
      </c>
      <c r="O200" s="8">
        <v>0</v>
      </c>
      <c r="P200" s="8">
        <v>0</v>
      </c>
      <c r="Q200" s="8">
        <v>0</v>
      </c>
      <c r="R200" s="8">
        <v>1</v>
      </c>
      <c r="S200" s="8">
        <v>0</v>
      </c>
      <c r="T200" s="23">
        <v>1</v>
      </c>
      <c r="U200" s="16" t="s">
        <v>187</v>
      </c>
      <c r="V200" s="16" t="s">
        <v>562</v>
      </c>
      <c r="W200" s="16" t="s">
        <v>613</v>
      </c>
    </row>
    <row r="201" spans="2:23" ht="15" customHeight="1">
      <c r="B201" s="16" t="s">
        <v>614</v>
      </c>
      <c r="C201" s="16" t="s">
        <v>184</v>
      </c>
      <c r="D201" s="16" t="s">
        <v>615</v>
      </c>
      <c r="E201" s="16" t="s">
        <v>65</v>
      </c>
      <c r="F201" s="16" t="s">
        <v>186</v>
      </c>
      <c r="G201" s="8">
        <v>1</v>
      </c>
      <c r="H201" s="8">
        <v>0</v>
      </c>
      <c r="I201" s="8">
        <v>0</v>
      </c>
      <c r="J201" s="8">
        <v>8287</v>
      </c>
      <c r="K201" s="8">
        <v>0</v>
      </c>
      <c r="L201" s="8">
        <v>0</v>
      </c>
      <c r="M201" s="8">
        <v>0</v>
      </c>
      <c r="N201" s="8">
        <v>0</v>
      </c>
      <c r="O201" s="8">
        <v>0</v>
      </c>
      <c r="P201" s="8">
        <v>0</v>
      </c>
      <c r="Q201" s="8">
        <v>0</v>
      </c>
      <c r="R201" s="8">
        <v>1</v>
      </c>
      <c r="S201" s="8">
        <v>0</v>
      </c>
      <c r="T201" s="23">
        <v>1</v>
      </c>
      <c r="U201" s="16"/>
      <c r="V201" s="16" t="s">
        <v>50</v>
      </c>
      <c r="W201" s="16"/>
    </row>
    <row r="202" spans="2:23" ht="15" customHeight="1">
      <c r="B202" s="16" t="s">
        <v>616</v>
      </c>
      <c r="C202" s="16" t="s">
        <v>184</v>
      </c>
      <c r="D202" s="16" t="s">
        <v>617</v>
      </c>
      <c r="E202" s="16" t="s">
        <v>68</v>
      </c>
      <c r="F202" s="16" t="s">
        <v>192</v>
      </c>
      <c r="G202" s="8">
        <v>1</v>
      </c>
      <c r="H202" s="8">
        <v>0</v>
      </c>
      <c r="I202" s="8">
        <v>0</v>
      </c>
      <c r="J202" s="8">
        <v>76893</v>
      </c>
      <c r="K202" s="8">
        <v>0</v>
      </c>
      <c r="L202" s="8">
        <v>0</v>
      </c>
      <c r="M202" s="8">
        <v>0</v>
      </c>
      <c r="N202" s="8">
        <v>0</v>
      </c>
      <c r="O202" s="8">
        <v>0</v>
      </c>
      <c r="P202" s="8">
        <v>0</v>
      </c>
      <c r="Q202" s="8">
        <v>1</v>
      </c>
      <c r="R202" s="8">
        <v>0</v>
      </c>
      <c r="S202" s="8">
        <v>0</v>
      </c>
      <c r="T202" s="23">
        <v>1</v>
      </c>
      <c r="U202" s="16"/>
      <c r="V202" s="16" t="s">
        <v>50</v>
      </c>
      <c r="W202" s="16"/>
    </row>
    <row r="203" spans="2:23" ht="15" customHeight="1">
      <c r="B203" s="16" t="s">
        <v>618</v>
      </c>
      <c r="C203" s="16" t="s">
        <v>184</v>
      </c>
      <c r="D203" s="16" t="s">
        <v>619</v>
      </c>
      <c r="E203" s="16" t="s">
        <v>65</v>
      </c>
      <c r="F203" s="16" t="s">
        <v>186</v>
      </c>
      <c r="G203" s="8">
        <v>1</v>
      </c>
      <c r="H203" s="8">
        <v>0</v>
      </c>
      <c r="I203" s="8">
        <v>0</v>
      </c>
      <c r="J203" s="8">
        <v>14194</v>
      </c>
      <c r="K203" s="8">
        <v>0</v>
      </c>
      <c r="L203" s="8">
        <v>0</v>
      </c>
      <c r="M203" s="8">
        <v>0</v>
      </c>
      <c r="N203" s="8">
        <v>0</v>
      </c>
      <c r="O203" s="8">
        <v>0</v>
      </c>
      <c r="P203" s="8">
        <v>0</v>
      </c>
      <c r="Q203" s="8">
        <v>0</v>
      </c>
      <c r="R203" s="8">
        <v>1</v>
      </c>
      <c r="S203" s="8">
        <v>0</v>
      </c>
      <c r="T203" s="23">
        <v>1</v>
      </c>
      <c r="U203" s="16"/>
      <c r="V203" s="16" t="s">
        <v>50</v>
      </c>
      <c r="W203" s="16"/>
    </row>
    <row r="204" spans="2:23" ht="15" customHeight="1">
      <c r="B204" s="16" t="s">
        <v>620</v>
      </c>
      <c r="C204" s="16" t="s">
        <v>184</v>
      </c>
      <c r="D204" s="16" t="s">
        <v>621</v>
      </c>
      <c r="E204" s="16" t="s">
        <v>65</v>
      </c>
      <c r="F204" s="16" t="s">
        <v>186</v>
      </c>
      <c r="G204" s="8">
        <v>1</v>
      </c>
      <c r="H204" s="8">
        <v>0</v>
      </c>
      <c r="I204" s="8">
        <v>0</v>
      </c>
      <c r="J204" s="8">
        <v>5025</v>
      </c>
      <c r="K204" s="8">
        <v>0</v>
      </c>
      <c r="L204" s="8">
        <v>0</v>
      </c>
      <c r="M204" s="8">
        <v>0</v>
      </c>
      <c r="N204" s="8">
        <v>0</v>
      </c>
      <c r="O204" s="8">
        <v>0</v>
      </c>
      <c r="P204" s="8">
        <v>0</v>
      </c>
      <c r="Q204" s="8">
        <v>0</v>
      </c>
      <c r="R204" s="8">
        <v>1</v>
      </c>
      <c r="S204" s="8">
        <v>0</v>
      </c>
      <c r="T204" s="23">
        <v>1</v>
      </c>
      <c r="U204" s="16"/>
      <c r="V204" s="16" t="s">
        <v>50</v>
      </c>
      <c r="W204" s="16"/>
    </row>
    <row r="205" spans="2:23" ht="15" customHeight="1">
      <c r="B205" s="16" t="s">
        <v>622</v>
      </c>
      <c r="C205" s="16" t="s">
        <v>184</v>
      </c>
      <c r="D205" s="16" t="s">
        <v>623</v>
      </c>
      <c r="E205" s="16" t="s">
        <v>62</v>
      </c>
      <c r="F205" s="16" t="s">
        <v>186</v>
      </c>
      <c r="G205" s="8">
        <v>1</v>
      </c>
      <c r="H205" s="8">
        <v>454</v>
      </c>
      <c r="I205" s="8">
        <v>7</v>
      </c>
      <c r="J205" s="8">
        <v>86541</v>
      </c>
      <c r="K205" s="8">
        <v>0</v>
      </c>
      <c r="L205" s="8">
        <v>0</v>
      </c>
      <c r="M205" s="8">
        <v>0</v>
      </c>
      <c r="N205" s="8">
        <v>0</v>
      </c>
      <c r="O205" s="8">
        <v>0</v>
      </c>
      <c r="P205" s="8">
        <v>0</v>
      </c>
      <c r="Q205" s="8">
        <v>0</v>
      </c>
      <c r="R205" s="8">
        <v>1</v>
      </c>
      <c r="S205" s="8">
        <v>0</v>
      </c>
      <c r="T205" s="23">
        <v>1</v>
      </c>
      <c r="U205" s="16" t="s">
        <v>187</v>
      </c>
      <c r="V205" s="16" t="s">
        <v>557</v>
      </c>
      <c r="W205" s="16" t="s">
        <v>558</v>
      </c>
    </row>
    <row r="206" spans="2:23" ht="15" customHeight="1">
      <c r="B206" s="16" t="s">
        <v>624</v>
      </c>
      <c r="C206" s="16" t="s">
        <v>184</v>
      </c>
      <c r="D206" s="16" t="s">
        <v>625</v>
      </c>
      <c r="E206" s="16" t="s">
        <v>65</v>
      </c>
      <c r="F206" s="16" t="s">
        <v>186</v>
      </c>
      <c r="G206" s="8">
        <v>1</v>
      </c>
      <c r="H206" s="8"/>
      <c r="I206" s="8">
        <v>0</v>
      </c>
      <c r="J206" s="8">
        <v>50</v>
      </c>
      <c r="K206" s="8">
        <v>12</v>
      </c>
      <c r="L206" s="8">
        <v>0</v>
      </c>
      <c r="M206" s="8">
        <v>0</v>
      </c>
      <c r="N206" s="8">
        <v>0</v>
      </c>
      <c r="O206" s="8">
        <v>0</v>
      </c>
      <c r="P206" s="8">
        <v>0</v>
      </c>
      <c r="Q206" s="8">
        <v>0</v>
      </c>
      <c r="R206" s="8">
        <v>1</v>
      </c>
      <c r="S206" s="8">
        <v>0</v>
      </c>
      <c r="T206" s="23">
        <v>1</v>
      </c>
      <c r="U206" s="16"/>
      <c r="V206" s="16" t="s">
        <v>50</v>
      </c>
      <c r="W206" s="16"/>
    </row>
    <row r="207" spans="2:23" ht="15" customHeight="1">
      <c r="B207" s="16" t="s">
        <v>531</v>
      </c>
      <c r="C207" s="16" t="s">
        <v>626</v>
      </c>
      <c r="D207" s="16" t="s">
        <v>627</v>
      </c>
      <c r="E207" s="16" t="s">
        <v>65</v>
      </c>
      <c r="F207" s="16" t="s">
        <v>186</v>
      </c>
      <c r="G207" s="8">
        <v>1</v>
      </c>
      <c r="H207" s="8">
        <v>411</v>
      </c>
      <c r="I207" s="8">
        <v>356</v>
      </c>
      <c r="J207" s="8">
        <v>15009</v>
      </c>
      <c r="K207" s="8">
        <v>2680</v>
      </c>
      <c r="L207" s="8">
        <v>75</v>
      </c>
      <c r="M207" s="8">
        <v>25</v>
      </c>
      <c r="N207" s="8">
        <v>1</v>
      </c>
      <c r="O207" s="8">
        <v>49</v>
      </c>
      <c r="P207" s="8">
        <v>0</v>
      </c>
      <c r="Q207" s="8">
        <v>0</v>
      </c>
      <c r="R207" s="8">
        <v>1</v>
      </c>
      <c r="S207" s="8">
        <v>0</v>
      </c>
      <c r="T207" s="23">
        <v>1</v>
      </c>
      <c r="U207" s="16"/>
      <c r="V207" s="16" t="s">
        <v>50</v>
      </c>
      <c r="W207" s="16"/>
    </row>
    <row r="208" spans="2:23" ht="15" customHeight="1">
      <c r="B208" s="16" t="s">
        <v>628</v>
      </c>
      <c r="C208" s="16" t="s">
        <v>184</v>
      </c>
      <c r="D208" s="16" t="s">
        <v>629</v>
      </c>
      <c r="E208" s="16" t="s">
        <v>71</v>
      </c>
      <c r="F208" s="16" t="s">
        <v>192</v>
      </c>
      <c r="G208" s="8">
        <v>1</v>
      </c>
      <c r="H208" s="8"/>
      <c r="I208" s="8">
        <v>0</v>
      </c>
      <c r="J208" s="8">
        <v>64</v>
      </c>
      <c r="K208" s="8">
        <v>0</v>
      </c>
      <c r="L208" s="8">
        <v>0</v>
      </c>
      <c r="M208" s="8">
        <v>0</v>
      </c>
      <c r="N208" s="8">
        <v>0</v>
      </c>
      <c r="O208" s="8">
        <v>0</v>
      </c>
      <c r="P208" s="8">
        <v>0</v>
      </c>
      <c r="Q208" s="8">
        <v>0</v>
      </c>
      <c r="R208" s="8">
        <v>1</v>
      </c>
      <c r="S208" s="8">
        <v>0</v>
      </c>
      <c r="T208" s="23">
        <v>1</v>
      </c>
      <c r="U208" s="16"/>
      <c r="V208" s="16" t="s">
        <v>50</v>
      </c>
      <c r="W208" s="16"/>
    </row>
    <row r="209" spans="2:23" ht="15" customHeight="1">
      <c r="B209" s="16" t="s">
        <v>630</v>
      </c>
      <c r="C209" s="16" t="s">
        <v>184</v>
      </c>
      <c r="D209" s="16" t="s">
        <v>631</v>
      </c>
      <c r="E209" s="16" t="s">
        <v>65</v>
      </c>
      <c r="F209" s="16" t="s">
        <v>186</v>
      </c>
      <c r="G209" s="8">
        <v>1</v>
      </c>
      <c r="H209" s="8">
        <v>0</v>
      </c>
      <c r="I209" s="8">
        <v>0</v>
      </c>
      <c r="J209" s="8">
        <v>1188</v>
      </c>
      <c r="K209" s="8">
        <v>0</v>
      </c>
      <c r="L209" s="8">
        <v>0</v>
      </c>
      <c r="M209" s="8">
        <v>0</v>
      </c>
      <c r="N209" s="8">
        <v>0</v>
      </c>
      <c r="O209" s="8">
        <v>0</v>
      </c>
      <c r="P209" s="8">
        <v>0</v>
      </c>
      <c r="Q209" s="8">
        <v>0</v>
      </c>
      <c r="R209" s="8">
        <v>1</v>
      </c>
      <c r="S209" s="8">
        <v>0</v>
      </c>
      <c r="T209" s="23">
        <v>1</v>
      </c>
      <c r="U209" s="16"/>
      <c r="V209" s="16" t="s">
        <v>50</v>
      </c>
      <c r="W209" s="16"/>
    </row>
    <row r="210" spans="2:23" ht="15" customHeight="1">
      <c r="B210" s="16" t="s">
        <v>632</v>
      </c>
      <c r="C210" s="16" t="s">
        <v>555</v>
      </c>
      <c r="D210" s="16" t="s">
        <v>633</v>
      </c>
      <c r="E210" s="16" t="s">
        <v>65</v>
      </c>
      <c r="F210" s="16" t="s">
        <v>186</v>
      </c>
      <c r="G210" s="8">
        <v>1</v>
      </c>
      <c r="H210" s="8">
        <v>426</v>
      </c>
      <c r="I210" s="8">
        <v>6</v>
      </c>
      <c r="J210" s="8">
        <v>30457</v>
      </c>
      <c r="K210" s="8">
        <v>0</v>
      </c>
      <c r="L210" s="8">
        <v>0</v>
      </c>
      <c r="M210" s="8">
        <v>0</v>
      </c>
      <c r="N210" s="8">
        <v>0</v>
      </c>
      <c r="O210" s="8">
        <v>0</v>
      </c>
      <c r="P210" s="8">
        <v>0</v>
      </c>
      <c r="Q210" s="8">
        <v>0</v>
      </c>
      <c r="R210" s="8">
        <v>1</v>
      </c>
      <c r="S210" s="8">
        <v>0</v>
      </c>
      <c r="T210" s="23">
        <v>1</v>
      </c>
      <c r="U210" s="16"/>
      <c r="V210" s="16" t="s">
        <v>50</v>
      </c>
      <c r="W210" s="16"/>
    </row>
    <row r="211" spans="2:23" ht="15" customHeight="1">
      <c r="B211" s="16" t="s">
        <v>634</v>
      </c>
      <c r="C211" s="16" t="s">
        <v>184</v>
      </c>
      <c r="D211" s="16" t="s">
        <v>635</v>
      </c>
      <c r="E211" s="16" t="s">
        <v>68</v>
      </c>
      <c r="F211" s="16" t="s">
        <v>192</v>
      </c>
      <c r="G211" s="8">
        <v>1</v>
      </c>
      <c r="H211" s="8">
        <v>0</v>
      </c>
      <c r="I211" s="8">
        <v>0</v>
      </c>
      <c r="J211" s="8">
        <v>19747</v>
      </c>
      <c r="K211" s="8">
        <v>0</v>
      </c>
      <c r="L211" s="8">
        <v>0</v>
      </c>
      <c r="M211" s="8">
        <v>0</v>
      </c>
      <c r="N211" s="8">
        <v>0</v>
      </c>
      <c r="O211" s="8">
        <v>0</v>
      </c>
      <c r="P211" s="8">
        <v>0</v>
      </c>
      <c r="Q211" s="8">
        <v>1</v>
      </c>
      <c r="R211" s="8">
        <v>0</v>
      </c>
      <c r="S211" s="8">
        <v>0</v>
      </c>
      <c r="T211" s="23">
        <v>1</v>
      </c>
      <c r="U211" s="16"/>
      <c r="V211" s="16" t="s">
        <v>50</v>
      </c>
      <c r="W211" s="16"/>
    </row>
    <row r="212" spans="2:23" ht="15" customHeight="1">
      <c r="B212" s="16" t="s">
        <v>636</v>
      </c>
      <c r="C212" s="16" t="s">
        <v>184</v>
      </c>
      <c r="D212" s="16" t="s">
        <v>637</v>
      </c>
      <c r="E212" s="16" t="s">
        <v>62</v>
      </c>
      <c r="F212" s="16" t="s">
        <v>186</v>
      </c>
      <c r="G212" s="8">
        <v>1</v>
      </c>
      <c r="H212" s="8"/>
      <c r="I212" s="8">
        <v>0</v>
      </c>
      <c r="J212" s="8">
        <v>303</v>
      </c>
      <c r="K212" s="8">
        <v>34</v>
      </c>
      <c r="L212" s="8">
        <v>1</v>
      </c>
      <c r="M212" s="8">
        <v>1</v>
      </c>
      <c r="N212" s="8">
        <v>0</v>
      </c>
      <c r="O212" s="8">
        <v>0</v>
      </c>
      <c r="P212" s="8">
        <v>0</v>
      </c>
      <c r="Q212" s="8">
        <v>0</v>
      </c>
      <c r="R212" s="8">
        <v>1</v>
      </c>
      <c r="S212" s="8">
        <v>0</v>
      </c>
      <c r="T212" s="23">
        <v>1</v>
      </c>
      <c r="U212" s="16"/>
      <c r="V212" s="16" t="s">
        <v>50</v>
      </c>
      <c r="W212" s="16"/>
    </row>
    <row r="213" spans="2:23" ht="15" customHeight="1">
      <c r="B213" s="16" t="s">
        <v>638</v>
      </c>
      <c r="C213" s="16" t="s">
        <v>184</v>
      </c>
      <c r="D213" s="16" t="s">
        <v>639</v>
      </c>
      <c r="E213" s="16" t="s">
        <v>68</v>
      </c>
      <c r="F213" s="16" t="s">
        <v>192</v>
      </c>
      <c r="G213" s="8">
        <v>1</v>
      </c>
      <c r="H213" s="8">
        <v>0</v>
      </c>
      <c r="I213" s="8">
        <v>0</v>
      </c>
      <c r="J213" s="8">
        <v>45693</v>
      </c>
      <c r="K213" s="8">
        <v>0</v>
      </c>
      <c r="L213" s="8">
        <v>0</v>
      </c>
      <c r="M213" s="8">
        <v>0</v>
      </c>
      <c r="N213" s="8">
        <v>0</v>
      </c>
      <c r="O213" s="8">
        <v>0</v>
      </c>
      <c r="P213" s="8">
        <v>0</v>
      </c>
      <c r="Q213" s="8">
        <v>0</v>
      </c>
      <c r="R213" s="8">
        <v>1</v>
      </c>
      <c r="S213" s="8">
        <v>0</v>
      </c>
      <c r="T213" s="23">
        <v>1</v>
      </c>
      <c r="U213" s="16"/>
      <c r="V213" s="16" t="s">
        <v>50</v>
      </c>
      <c r="W213" s="16"/>
    </row>
    <row r="214" spans="2:23" ht="15" customHeight="1">
      <c r="B214" s="16" t="s">
        <v>640</v>
      </c>
      <c r="C214" s="16" t="s">
        <v>184</v>
      </c>
      <c r="D214" s="16" t="s">
        <v>641</v>
      </c>
      <c r="E214" s="16" t="s">
        <v>65</v>
      </c>
      <c r="F214" s="16" t="s">
        <v>186</v>
      </c>
      <c r="G214" s="8">
        <v>1</v>
      </c>
      <c r="H214" s="8">
        <v>0</v>
      </c>
      <c r="I214" s="8">
        <v>0</v>
      </c>
      <c r="J214" s="8">
        <v>77731</v>
      </c>
      <c r="K214" s="8">
        <v>0</v>
      </c>
      <c r="L214" s="8">
        <v>0</v>
      </c>
      <c r="M214" s="8">
        <v>0</v>
      </c>
      <c r="N214" s="8">
        <v>0</v>
      </c>
      <c r="O214" s="8">
        <v>0</v>
      </c>
      <c r="P214" s="8">
        <v>0</v>
      </c>
      <c r="Q214" s="8">
        <v>0</v>
      </c>
      <c r="R214" s="8">
        <v>1</v>
      </c>
      <c r="S214" s="8">
        <v>0</v>
      </c>
      <c r="T214" s="23">
        <v>1</v>
      </c>
      <c r="U214" s="16"/>
      <c r="V214" s="16" t="s">
        <v>50</v>
      </c>
      <c r="W214" s="16"/>
    </row>
    <row r="215" spans="2:23" ht="15" customHeight="1">
      <c r="B215" s="16" t="s">
        <v>642</v>
      </c>
      <c r="C215" s="16" t="s">
        <v>184</v>
      </c>
      <c r="D215" s="16" t="s">
        <v>643</v>
      </c>
      <c r="E215" s="16" t="s">
        <v>62</v>
      </c>
      <c r="F215" s="16" t="s">
        <v>222</v>
      </c>
      <c r="G215" s="8">
        <v>1</v>
      </c>
      <c r="H215" s="8"/>
      <c r="I215" s="8">
        <v>0</v>
      </c>
      <c r="J215" s="8">
        <v>43</v>
      </c>
      <c r="K215" s="8">
        <v>2</v>
      </c>
      <c r="L215" s="8">
        <v>0</v>
      </c>
      <c r="M215" s="8">
        <v>0</v>
      </c>
      <c r="N215" s="8">
        <v>0</v>
      </c>
      <c r="O215" s="8">
        <v>0</v>
      </c>
      <c r="P215" s="8">
        <v>0</v>
      </c>
      <c r="Q215" s="8">
        <v>0</v>
      </c>
      <c r="R215" s="8">
        <v>1</v>
      </c>
      <c r="S215" s="8">
        <v>0</v>
      </c>
      <c r="T215" s="23">
        <v>1</v>
      </c>
      <c r="U215" s="16"/>
      <c r="V215" s="16" t="s">
        <v>50</v>
      </c>
      <c r="W215" s="16"/>
    </row>
    <row r="216" spans="2:23" ht="15" customHeight="1">
      <c r="B216" s="16" t="s">
        <v>644</v>
      </c>
      <c r="C216" s="16" t="s">
        <v>184</v>
      </c>
      <c r="D216" s="16" t="s">
        <v>645</v>
      </c>
      <c r="E216" s="16" t="s">
        <v>65</v>
      </c>
      <c r="F216" s="16" t="s">
        <v>186</v>
      </c>
      <c r="G216" s="8">
        <v>1</v>
      </c>
      <c r="H216" s="8">
        <v>303</v>
      </c>
      <c r="I216" s="8">
        <v>5</v>
      </c>
      <c r="J216" s="8">
        <v>9370</v>
      </c>
      <c r="K216" s="8">
        <v>0</v>
      </c>
      <c r="L216" s="8">
        <v>0</v>
      </c>
      <c r="M216" s="8">
        <v>0</v>
      </c>
      <c r="N216" s="8">
        <v>0</v>
      </c>
      <c r="O216" s="8">
        <v>0</v>
      </c>
      <c r="P216" s="8">
        <v>0</v>
      </c>
      <c r="Q216" s="8">
        <v>0</v>
      </c>
      <c r="R216" s="8">
        <v>1</v>
      </c>
      <c r="S216" s="8">
        <v>0</v>
      </c>
      <c r="T216" s="23">
        <v>1</v>
      </c>
      <c r="U216" s="16"/>
      <c r="V216" s="16" t="s">
        <v>50</v>
      </c>
      <c r="W216" s="16"/>
    </row>
    <row r="217" spans="2:23" ht="15" customHeight="1">
      <c r="B217" s="16" t="s">
        <v>646</v>
      </c>
      <c r="C217" s="16" t="s">
        <v>184</v>
      </c>
      <c r="D217" s="16" t="s">
        <v>647</v>
      </c>
      <c r="E217" s="16" t="s">
        <v>62</v>
      </c>
      <c r="F217" s="16" t="s">
        <v>186</v>
      </c>
      <c r="G217" s="8">
        <v>1</v>
      </c>
      <c r="H217" s="8"/>
      <c r="I217" s="8">
        <v>0</v>
      </c>
      <c r="J217" s="8">
        <v>213</v>
      </c>
      <c r="K217" s="8">
        <v>81</v>
      </c>
      <c r="L217" s="8">
        <v>8</v>
      </c>
      <c r="M217" s="8">
        <v>8</v>
      </c>
      <c r="N217" s="8">
        <v>0</v>
      </c>
      <c r="O217" s="8">
        <v>0</v>
      </c>
      <c r="P217" s="8">
        <v>0</v>
      </c>
      <c r="Q217" s="8">
        <v>1</v>
      </c>
      <c r="R217" s="8">
        <v>0</v>
      </c>
      <c r="S217" s="8">
        <v>0</v>
      </c>
      <c r="T217" s="23">
        <v>1</v>
      </c>
      <c r="U217" s="16" t="s">
        <v>187</v>
      </c>
      <c r="V217" s="16" t="s">
        <v>200</v>
      </c>
      <c r="W217" s="16" t="s">
        <v>201</v>
      </c>
    </row>
    <row r="218" spans="2:23" ht="15" customHeight="1">
      <c r="B218" s="16" t="s">
        <v>648</v>
      </c>
      <c r="C218" s="16" t="s">
        <v>184</v>
      </c>
      <c r="D218" s="16" t="s">
        <v>649</v>
      </c>
      <c r="E218" s="16" t="s">
        <v>68</v>
      </c>
      <c r="F218" s="16" t="s">
        <v>192</v>
      </c>
      <c r="G218" s="8">
        <v>1</v>
      </c>
      <c r="H218" s="8"/>
      <c r="I218" s="8">
        <v>0</v>
      </c>
      <c r="J218" s="8">
        <v>43</v>
      </c>
      <c r="K218" s="8">
        <v>0</v>
      </c>
      <c r="L218" s="8">
        <v>0</v>
      </c>
      <c r="M218" s="8">
        <v>0</v>
      </c>
      <c r="N218" s="8">
        <v>0</v>
      </c>
      <c r="O218" s="8">
        <v>0</v>
      </c>
      <c r="P218" s="8">
        <v>0</v>
      </c>
      <c r="Q218" s="8">
        <v>1</v>
      </c>
      <c r="R218" s="8">
        <v>0</v>
      </c>
      <c r="S218" s="8">
        <v>0</v>
      </c>
      <c r="T218" s="23">
        <v>1</v>
      </c>
      <c r="U218" s="16"/>
      <c r="V218" s="16" t="s">
        <v>50</v>
      </c>
      <c r="W218" s="16"/>
    </row>
    <row r="219" spans="2:23" ht="15" customHeight="1">
      <c r="B219" s="16" t="s">
        <v>650</v>
      </c>
      <c r="C219" s="16" t="s">
        <v>184</v>
      </c>
      <c r="D219" s="16" t="s">
        <v>651</v>
      </c>
      <c r="E219" s="16" t="s">
        <v>130</v>
      </c>
      <c r="F219" s="16" t="s">
        <v>192</v>
      </c>
      <c r="G219" s="8">
        <v>1</v>
      </c>
      <c r="H219" s="8"/>
      <c r="I219" s="8">
        <v>0</v>
      </c>
      <c r="J219" s="8" t="s">
        <v>101</v>
      </c>
      <c r="K219" s="8">
        <v>0</v>
      </c>
      <c r="L219" s="8" t="s">
        <v>101</v>
      </c>
      <c r="M219" s="8">
        <v>0</v>
      </c>
      <c r="N219" s="8">
        <v>0</v>
      </c>
      <c r="O219" s="8">
        <v>0</v>
      </c>
      <c r="P219" s="8">
        <v>5</v>
      </c>
      <c r="Q219" s="8">
        <v>1</v>
      </c>
      <c r="R219" s="8">
        <v>0</v>
      </c>
      <c r="S219" s="8">
        <v>0</v>
      </c>
      <c r="T219" s="23">
        <v>1</v>
      </c>
      <c r="U219" s="16"/>
      <c r="V219" s="16" t="s">
        <v>50</v>
      </c>
      <c r="W219" s="16"/>
    </row>
    <row r="220" spans="2:23" ht="15" customHeight="1">
      <c r="B220" s="16" t="s">
        <v>652</v>
      </c>
      <c r="C220" s="16" t="s">
        <v>163</v>
      </c>
      <c r="D220" s="16" t="s">
        <v>653</v>
      </c>
      <c r="E220" s="16" t="s">
        <v>62</v>
      </c>
      <c r="F220" s="16" t="s">
        <v>186</v>
      </c>
      <c r="G220" s="8">
        <v>1</v>
      </c>
      <c r="H220" s="8">
        <v>150</v>
      </c>
      <c r="I220" s="8">
        <v>3</v>
      </c>
      <c r="J220" s="8">
        <v>1330588</v>
      </c>
      <c r="K220" s="8">
        <v>0</v>
      </c>
      <c r="L220" s="8">
        <v>0</v>
      </c>
      <c r="M220" s="8">
        <v>0</v>
      </c>
      <c r="N220" s="8">
        <v>0</v>
      </c>
      <c r="O220" s="8">
        <v>0</v>
      </c>
      <c r="P220" s="8">
        <v>0</v>
      </c>
      <c r="Q220" s="8">
        <v>0</v>
      </c>
      <c r="R220" s="8">
        <v>1</v>
      </c>
      <c r="S220" s="8">
        <v>0</v>
      </c>
      <c r="T220" s="23">
        <v>1</v>
      </c>
      <c r="U220" s="16" t="s">
        <v>187</v>
      </c>
      <c r="V220" s="16" t="s">
        <v>654</v>
      </c>
      <c r="W220" s="16" t="s">
        <v>655</v>
      </c>
    </row>
    <row r="221" spans="2:23" ht="15" customHeight="1">
      <c r="B221" s="16" t="s">
        <v>656</v>
      </c>
      <c r="C221" s="16" t="s">
        <v>184</v>
      </c>
      <c r="D221" s="16" t="s">
        <v>657</v>
      </c>
      <c r="E221" s="16" t="s">
        <v>65</v>
      </c>
      <c r="F221" s="16" t="s">
        <v>186</v>
      </c>
      <c r="G221" s="8">
        <v>1</v>
      </c>
      <c r="H221" s="8">
        <v>0</v>
      </c>
      <c r="I221" s="8">
        <v>0</v>
      </c>
      <c r="J221" s="8">
        <v>5842</v>
      </c>
      <c r="K221" s="8">
        <v>0</v>
      </c>
      <c r="L221" s="8">
        <v>0</v>
      </c>
      <c r="M221" s="8">
        <v>0</v>
      </c>
      <c r="N221" s="8">
        <v>0</v>
      </c>
      <c r="O221" s="8">
        <v>0</v>
      </c>
      <c r="P221" s="8">
        <v>0</v>
      </c>
      <c r="Q221" s="8">
        <v>0</v>
      </c>
      <c r="R221" s="8">
        <v>1</v>
      </c>
      <c r="S221" s="8">
        <v>0</v>
      </c>
      <c r="T221" s="23">
        <v>1</v>
      </c>
      <c r="U221" s="16"/>
      <c r="V221" s="16" t="s">
        <v>50</v>
      </c>
      <c r="W221" s="16"/>
    </row>
    <row r="222" spans="2:23" ht="15" customHeight="1">
      <c r="B222" s="16" t="s">
        <v>658</v>
      </c>
      <c r="C222" s="16" t="s">
        <v>184</v>
      </c>
      <c r="D222" s="16" t="s">
        <v>659</v>
      </c>
      <c r="E222" s="16" t="s">
        <v>97</v>
      </c>
      <c r="F222" s="16" t="s">
        <v>192</v>
      </c>
      <c r="G222" s="8">
        <v>1</v>
      </c>
      <c r="H222" s="8"/>
      <c r="I222" s="8">
        <v>0</v>
      </c>
      <c r="J222" s="8">
        <v>0</v>
      </c>
      <c r="K222" s="8">
        <v>0</v>
      </c>
      <c r="L222" s="8">
        <v>0</v>
      </c>
      <c r="M222" s="8">
        <v>0</v>
      </c>
      <c r="N222" s="8">
        <v>0</v>
      </c>
      <c r="O222" s="8">
        <v>0</v>
      </c>
      <c r="P222" s="8">
        <v>0</v>
      </c>
      <c r="Q222" s="8">
        <v>1</v>
      </c>
      <c r="R222" s="8">
        <v>0</v>
      </c>
      <c r="S222" s="8">
        <v>0</v>
      </c>
      <c r="T222" s="23">
        <v>1</v>
      </c>
      <c r="U222" s="16"/>
      <c r="V222" s="16" t="s">
        <v>50</v>
      </c>
      <c r="W222" s="16"/>
    </row>
    <row r="223" spans="2:23" ht="15" customHeight="1">
      <c r="B223" s="16" t="s">
        <v>660</v>
      </c>
      <c r="C223" s="16" t="s">
        <v>661</v>
      </c>
      <c r="D223" s="16" t="s">
        <v>662</v>
      </c>
      <c r="E223" s="16" t="s">
        <v>76</v>
      </c>
      <c r="F223" s="16" t="s">
        <v>186</v>
      </c>
      <c r="G223" s="8">
        <v>1</v>
      </c>
      <c r="H223" s="8">
        <v>34</v>
      </c>
      <c r="I223" s="8">
        <v>25</v>
      </c>
      <c r="J223" s="8">
        <v>42179</v>
      </c>
      <c r="K223" s="8">
        <v>0</v>
      </c>
      <c r="L223" s="8">
        <v>15</v>
      </c>
      <c r="M223" s="8">
        <v>14</v>
      </c>
      <c r="N223" s="8">
        <v>0</v>
      </c>
      <c r="O223" s="8">
        <v>1</v>
      </c>
      <c r="P223" s="8">
        <v>0</v>
      </c>
      <c r="Q223" s="8">
        <v>0</v>
      </c>
      <c r="R223" s="8">
        <v>1</v>
      </c>
      <c r="S223" s="8">
        <v>0</v>
      </c>
      <c r="T223" s="23">
        <v>1</v>
      </c>
      <c r="U223" s="16"/>
      <c r="V223" s="16" t="s">
        <v>50</v>
      </c>
      <c r="W223" s="16"/>
    </row>
    <row r="224" spans="2:23" ht="15" customHeight="1">
      <c r="B224" s="16" t="s">
        <v>663</v>
      </c>
      <c r="C224" s="16" t="s">
        <v>184</v>
      </c>
      <c r="D224" s="16" t="s">
        <v>664</v>
      </c>
      <c r="E224" s="16" t="s">
        <v>62</v>
      </c>
      <c r="F224" s="16" t="s">
        <v>186</v>
      </c>
      <c r="G224" s="8">
        <v>1</v>
      </c>
      <c r="H224" s="8">
        <v>108</v>
      </c>
      <c r="I224" s="8">
        <v>2</v>
      </c>
      <c r="J224" s="8">
        <v>28057</v>
      </c>
      <c r="K224" s="8">
        <v>0</v>
      </c>
      <c r="L224" s="8">
        <v>0</v>
      </c>
      <c r="M224" s="8">
        <v>0</v>
      </c>
      <c r="N224" s="8">
        <v>0</v>
      </c>
      <c r="O224" s="8">
        <v>0</v>
      </c>
      <c r="P224" s="8">
        <v>0</v>
      </c>
      <c r="Q224" s="8">
        <v>1</v>
      </c>
      <c r="R224" s="8">
        <v>0</v>
      </c>
      <c r="S224" s="8">
        <v>0</v>
      </c>
      <c r="T224" s="23">
        <v>1</v>
      </c>
      <c r="U224" s="16"/>
      <c r="V224" s="16" t="s">
        <v>50</v>
      </c>
      <c r="W224" s="16"/>
    </row>
    <row r="225" spans="2:23" ht="15" customHeight="1">
      <c r="B225" s="16" t="s">
        <v>665</v>
      </c>
      <c r="C225" s="16" t="s">
        <v>184</v>
      </c>
      <c r="D225" s="16" t="s">
        <v>666</v>
      </c>
      <c r="E225" s="16" t="s">
        <v>81</v>
      </c>
      <c r="F225" s="16" t="s">
        <v>222</v>
      </c>
      <c r="G225" s="8">
        <v>1</v>
      </c>
      <c r="H225" s="8">
        <v>647</v>
      </c>
      <c r="I225" s="8">
        <v>10</v>
      </c>
      <c r="J225" s="8">
        <v>1167416</v>
      </c>
      <c r="K225" s="8">
        <v>0</v>
      </c>
      <c r="L225" s="8">
        <v>2</v>
      </c>
      <c r="M225" s="8">
        <v>2</v>
      </c>
      <c r="N225" s="8">
        <v>0</v>
      </c>
      <c r="O225" s="8">
        <v>0</v>
      </c>
      <c r="P225" s="8">
        <v>0</v>
      </c>
      <c r="Q225" s="8">
        <v>0</v>
      </c>
      <c r="R225" s="8">
        <v>1</v>
      </c>
      <c r="S225" s="8">
        <v>0</v>
      </c>
      <c r="T225" s="23">
        <v>1</v>
      </c>
      <c r="U225" s="16"/>
      <c r="V225" s="16" t="s">
        <v>50</v>
      </c>
      <c r="W225" s="16"/>
    </row>
    <row r="226" spans="2:23" ht="15" customHeight="1">
      <c r="B226" s="16" t="s">
        <v>667</v>
      </c>
      <c r="C226" s="16" t="s">
        <v>184</v>
      </c>
      <c r="D226" s="16" t="s">
        <v>668</v>
      </c>
      <c r="E226" s="16" t="s">
        <v>62</v>
      </c>
      <c r="F226" s="16" t="s">
        <v>186</v>
      </c>
      <c r="G226" s="8">
        <v>1</v>
      </c>
      <c r="H226" s="8">
        <v>49</v>
      </c>
      <c r="I226" s="8">
        <v>1</v>
      </c>
      <c r="J226" s="8">
        <v>45156</v>
      </c>
      <c r="K226" s="8">
        <v>0</v>
      </c>
      <c r="L226" s="8">
        <v>0</v>
      </c>
      <c r="M226" s="8">
        <v>0</v>
      </c>
      <c r="N226" s="8">
        <v>0</v>
      </c>
      <c r="O226" s="8">
        <v>0</v>
      </c>
      <c r="P226" s="8">
        <v>0</v>
      </c>
      <c r="Q226" s="8">
        <v>1</v>
      </c>
      <c r="R226" s="8">
        <v>0</v>
      </c>
      <c r="S226" s="8">
        <v>0</v>
      </c>
      <c r="T226" s="23">
        <v>1</v>
      </c>
      <c r="U226" s="16" t="s">
        <v>187</v>
      </c>
      <c r="V226" s="16" t="s">
        <v>669</v>
      </c>
      <c r="W226" s="16" t="s">
        <v>667</v>
      </c>
    </row>
    <row r="227" spans="2:23" ht="15" customHeight="1">
      <c r="B227" s="16" t="s">
        <v>670</v>
      </c>
      <c r="C227" s="16" t="s">
        <v>184</v>
      </c>
      <c r="D227" s="16" t="s">
        <v>671</v>
      </c>
      <c r="E227" s="16" t="s">
        <v>78</v>
      </c>
      <c r="F227" s="16" t="s">
        <v>192</v>
      </c>
      <c r="G227" s="8">
        <v>1</v>
      </c>
      <c r="H227" s="8">
        <v>166</v>
      </c>
      <c r="I227" s="8">
        <v>3</v>
      </c>
      <c r="J227" s="8">
        <v>8210</v>
      </c>
      <c r="K227" s="8">
        <v>0</v>
      </c>
      <c r="L227" s="8">
        <v>2</v>
      </c>
      <c r="M227" s="8">
        <v>2</v>
      </c>
      <c r="N227" s="8">
        <v>0</v>
      </c>
      <c r="O227" s="8">
        <v>0</v>
      </c>
      <c r="P227" s="8">
        <v>0</v>
      </c>
      <c r="Q227" s="8">
        <v>0</v>
      </c>
      <c r="R227" s="8">
        <v>1</v>
      </c>
      <c r="S227" s="8">
        <v>0</v>
      </c>
      <c r="T227" s="23">
        <v>1</v>
      </c>
      <c r="U227" s="16"/>
      <c r="V227" s="16" t="s">
        <v>50</v>
      </c>
      <c r="W227" s="16"/>
    </row>
    <row r="228" spans="2:23" ht="15" customHeight="1">
      <c r="B228" s="16" t="s">
        <v>672</v>
      </c>
      <c r="C228" s="16" t="s">
        <v>184</v>
      </c>
      <c r="D228" s="16" t="s">
        <v>673</v>
      </c>
      <c r="E228" s="16" t="s">
        <v>65</v>
      </c>
      <c r="F228" s="16" t="s">
        <v>186</v>
      </c>
      <c r="G228" s="8">
        <v>1</v>
      </c>
      <c r="H228" s="8"/>
      <c r="I228" s="8">
        <v>0</v>
      </c>
      <c r="J228" s="8">
        <v>191</v>
      </c>
      <c r="K228" s="8">
        <v>97</v>
      </c>
      <c r="L228" s="8">
        <v>0</v>
      </c>
      <c r="M228" s="8">
        <v>0</v>
      </c>
      <c r="N228" s="8">
        <v>0</v>
      </c>
      <c r="O228" s="8">
        <v>0</v>
      </c>
      <c r="P228" s="8">
        <v>0</v>
      </c>
      <c r="Q228" s="8">
        <v>0</v>
      </c>
      <c r="R228" s="8">
        <v>1</v>
      </c>
      <c r="S228" s="8">
        <v>0</v>
      </c>
      <c r="T228" s="23">
        <v>1</v>
      </c>
      <c r="U228" s="16"/>
      <c r="V228" s="16" t="s">
        <v>50</v>
      </c>
      <c r="W228" s="16"/>
    </row>
    <row r="229" spans="2:23" ht="15" customHeight="1">
      <c r="B229" s="16" t="s">
        <v>674</v>
      </c>
      <c r="C229" s="16" t="s">
        <v>675</v>
      </c>
      <c r="D229" s="16" t="s">
        <v>676</v>
      </c>
      <c r="E229" s="16" t="s">
        <v>65</v>
      </c>
      <c r="F229" s="16" t="s">
        <v>192</v>
      </c>
      <c r="G229" s="8">
        <v>1</v>
      </c>
      <c r="H229" s="8">
        <v>955</v>
      </c>
      <c r="I229" s="8">
        <v>14</v>
      </c>
      <c r="J229" s="8">
        <v>1855990</v>
      </c>
      <c r="K229" s="8">
        <v>0</v>
      </c>
      <c r="L229" s="8">
        <v>0</v>
      </c>
      <c r="M229" s="8">
        <v>0</v>
      </c>
      <c r="N229" s="8">
        <v>0</v>
      </c>
      <c r="O229" s="8">
        <v>0</v>
      </c>
      <c r="P229" s="8">
        <v>0</v>
      </c>
      <c r="Q229" s="8">
        <v>0</v>
      </c>
      <c r="R229" s="8">
        <v>1</v>
      </c>
      <c r="S229" s="8">
        <v>0</v>
      </c>
      <c r="T229" s="23">
        <v>1</v>
      </c>
      <c r="U229" s="16"/>
      <c r="V229" s="16" t="s">
        <v>50</v>
      </c>
      <c r="W229" s="16"/>
    </row>
    <row r="230" spans="2:23" ht="15" customHeight="1">
      <c r="B230" s="16" t="s">
        <v>677</v>
      </c>
      <c r="C230" s="16" t="s">
        <v>184</v>
      </c>
      <c r="D230" s="16" t="s">
        <v>678</v>
      </c>
      <c r="E230" s="16" t="s">
        <v>68</v>
      </c>
      <c r="F230" s="16" t="s">
        <v>192</v>
      </c>
      <c r="G230" s="8">
        <v>1</v>
      </c>
      <c r="H230" s="8">
        <v>0</v>
      </c>
      <c r="I230" s="8">
        <v>0</v>
      </c>
      <c r="J230" s="8">
        <v>30837</v>
      </c>
      <c r="K230" s="8">
        <v>0</v>
      </c>
      <c r="L230" s="8">
        <v>23</v>
      </c>
      <c r="M230" s="8">
        <v>23</v>
      </c>
      <c r="N230" s="8">
        <v>0</v>
      </c>
      <c r="O230" s="8">
        <v>0</v>
      </c>
      <c r="P230" s="8">
        <v>0</v>
      </c>
      <c r="Q230" s="8">
        <v>0</v>
      </c>
      <c r="R230" s="8">
        <v>1</v>
      </c>
      <c r="S230" s="8">
        <v>0</v>
      </c>
      <c r="T230" s="23">
        <v>1</v>
      </c>
      <c r="U230" s="16"/>
      <c r="V230" s="16" t="s">
        <v>50</v>
      </c>
      <c r="W230" s="16"/>
    </row>
    <row r="231" spans="2:23" ht="15" customHeight="1">
      <c r="B231" s="16" t="s">
        <v>679</v>
      </c>
      <c r="C231" s="16" t="s">
        <v>184</v>
      </c>
      <c r="D231" s="16" t="s">
        <v>680</v>
      </c>
      <c r="E231" s="16" t="s">
        <v>65</v>
      </c>
      <c r="F231" s="16" t="s">
        <v>186</v>
      </c>
      <c r="G231" s="8">
        <v>1</v>
      </c>
      <c r="H231" s="8">
        <v>0</v>
      </c>
      <c r="I231" s="8">
        <v>0</v>
      </c>
      <c r="J231" s="8">
        <v>2073</v>
      </c>
      <c r="K231" s="8">
        <v>0</v>
      </c>
      <c r="L231" s="8">
        <v>0</v>
      </c>
      <c r="M231" s="8">
        <v>0</v>
      </c>
      <c r="N231" s="8">
        <v>0</v>
      </c>
      <c r="O231" s="8">
        <v>0</v>
      </c>
      <c r="P231" s="8">
        <v>0</v>
      </c>
      <c r="Q231" s="8">
        <v>1</v>
      </c>
      <c r="R231" s="8">
        <v>0</v>
      </c>
      <c r="S231" s="8">
        <v>0</v>
      </c>
      <c r="T231" s="23">
        <v>1</v>
      </c>
      <c r="U231" s="16"/>
      <c r="V231" s="16" t="s">
        <v>50</v>
      </c>
      <c r="W231" s="16"/>
    </row>
    <row r="232" spans="2:23" ht="15" customHeight="1">
      <c r="B232" s="16" t="s">
        <v>681</v>
      </c>
      <c r="C232" s="16" t="s">
        <v>184</v>
      </c>
      <c r="D232" s="16" t="s">
        <v>682</v>
      </c>
      <c r="E232" s="16" t="s">
        <v>65</v>
      </c>
      <c r="F232" s="16" t="s">
        <v>186</v>
      </c>
      <c r="G232" s="8">
        <v>1</v>
      </c>
      <c r="H232" s="8">
        <v>0</v>
      </c>
      <c r="I232" s="8">
        <v>0</v>
      </c>
      <c r="J232" s="8">
        <v>4972</v>
      </c>
      <c r="K232" s="8">
        <v>0</v>
      </c>
      <c r="L232" s="8">
        <v>0</v>
      </c>
      <c r="M232" s="8">
        <v>0</v>
      </c>
      <c r="N232" s="8">
        <v>0</v>
      </c>
      <c r="O232" s="8">
        <v>0</v>
      </c>
      <c r="P232" s="8">
        <v>0</v>
      </c>
      <c r="Q232" s="8">
        <v>0</v>
      </c>
      <c r="R232" s="8">
        <v>1</v>
      </c>
      <c r="S232" s="8">
        <v>0</v>
      </c>
      <c r="T232" s="23">
        <v>1</v>
      </c>
      <c r="U232" s="16"/>
      <c r="V232" s="16" t="s">
        <v>50</v>
      </c>
      <c r="W232" s="16"/>
    </row>
    <row r="233" spans="2:23" ht="15" customHeight="1">
      <c r="B233" s="16" t="s">
        <v>683</v>
      </c>
      <c r="C233" s="16" t="s">
        <v>184</v>
      </c>
      <c r="D233" s="16" t="s">
        <v>684</v>
      </c>
      <c r="E233" s="16" t="s">
        <v>68</v>
      </c>
      <c r="F233" s="16" t="s">
        <v>192</v>
      </c>
      <c r="G233" s="8">
        <v>1</v>
      </c>
      <c r="H233" s="8"/>
      <c r="I233" s="8">
        <v>0</v>
      </c>
      <c r="J233" s="8">
        <v>6698</v>
      </c>
      <c r="K233" s="8">
        <v>0</v>
      </c>
      <c r="L233" s="8">
        <v>2</v>
      </c>
      <c r="M233" s="8">
        <v>2</v>
      </c>
      <c r="N233" s="8">
        <v>0</v>
      </c>
      <c r="O233" s="8">
        <v>0</v>
      </c>
      <c r="P233" s="8">
        <v>0</v>
      </c>
      <c r="Q233" s="8">
        <v>1</v>
      </c>
      <c r="R233" s="8">
        <v>0</v>
      </c>
      <c r="S233" s="8">
        <v>0</v>
      </c>
      <c r="T233" s="23">
        <v>1</v>
      </c>
      <c r="U233" s="16"/>
      <c r="V233" s="16" t="s">
        <v>50</v>
      </c>
      <c r="W233" s="16"/>
    </row>
    <row r="234" spans="2:23" ht="15" customHeight="1">
      <c r="B234" s="16" t="s">
        <v>685</v>
      </c>
      <c r="C234" s="16" t="s">
        <v>184</v>
      </c>
      <c r="D234" s="16" t="s">
        <v>686</v>
      </c>
      <c r="E234" s="16" t="s">
        <v>124</v>
      </c>
      <c r="F234" s="16" t="s">
        <v>222</v>
      </c>
      <c r="G234" s="8">
        <v>1</v>
      </c>
      <c r="H234" s="8"/>
      <c r="I234" s="8">
        <v>0</v>
      </c>
      <c r="J234" s="8">
        <v>138</v>
      </c>
      <c r="K234" s="8">
        <v>0</v>
      </c>
      <c r="L234" s="8">
        <v>0</v>
      </c>
      <c r="M234" s="8">
        <v>0</v>
      </c>
      <c r="N234" s="8">
        <v>0</v>
      </c>
      <c r="O234" s="8">
        <v>0</v>
      </c>
      <c r="P234" s="8">
        <v>0</v>
      </c>
      <c r="Q234" s="8">
        <v>1</v>
      </c>
      <c r="R234" s="8">
        <v>0</v>
      </c>
      <c r="S234" s="8">
        <v>0</v>
      </c>
      <c r="T234" s="23">
        <v>1</v>
      </c>
      <c r="U234" s="16" t="s">
        <v>187</v>
      </c>
      <c r="V234" s="16" t="s">
        <v>338</v>
      </c>
      <c r="W234" s="16" t="s">
        <v>339</v>
      </c>
    </row>
    <row r="235" spans="2:23" ht="15" customHeight="1">
      <c r="B235" s="16" t="s">
        <v>687</v>
      </c>
      <c r="C235" s="16" t="s">
        <v>184</v>
      </c>
      <c r="D235" s="16" t="s">
        <v>688</v>
      </c>
      <c r="E235" s="16" t="s">
        <v>78</v>
      </c>
      <c r="F235" s="16" t="s">
        <v>192</v>
      </c>
      <c r="G235" s="8">
        <v>1</v>
      </c>
      <c r="H235" s="8"/>
      <c r="I235" s="8">
        <v>0</v>
      </c>
      <c r="J235" s="8">
        <v>215</v>
      </c>
      <c r="K235" s="8">
        <v>0</v>
      </c>
      <c r="L235" s="8">
        <v>1</v>
      </c>
      <c r="M235" s="8">
        <v>1</v>
      </c>
      <c r="N235" s="8">
        <v>0</v>
      </c>
      <c r="O235" s="8">
        <v>0</v>
      </c>
      <c r="P235" s="8">
        <v>0</v>
      </c>
      <c r="Q235" s="8">
        <v>0</v>
      </c>
      <c r="R235" s="8">
        <v>1</v>
      </c>
      <c r="S235" s="8">
        <v>0</v>
      </c>
      <c r="T235" s="23">
        <v>1</v>
      </c>
      <c r="U235" s="16"/>
      <c r="V235" s="16" t="s">
        <v>50</v>
      </c>
      <c r="W235" s="16"/>
    </row>
    <row r="236" spans="2:23" ht="15" customHeight="1">
      <c r="B236" s="16" t="s">
        <v>689</v>
      </c>
      <c r="C236" s="16" t="s">
        <v>184</v>
      </c>
      <c r="D236" s="16" t="s">
        <v>690</v>
      </c>
      <c r="E236" s="16" t="s">
        <v>85</v>
      </c>
      <c r="F236" s="16" t="s">
        <v>222</v>
      </c>
      <c r="G236" s="8">
        <v>1</v>
      </c>
      <c r="H236" s="8"/>
      <c r="I236" s="8">
        <v>0</v>
      </c>
      <c r="J236" s="8">
        <v>613</v>
      </c>
      <c r="K236" s="8">
        <v>0</v>
      </c>
      <c r="L236" s="8">
        <v>0</v>
      </c>
      <c r="M236" s="8">
        <v>0</v>
      </c>
      <c r="N236" s="8">
        <v>0</v>
      </c>
      <c r="O236" s="8">
        <v>0</v>
      </c>
      <c r="P236" s="8">
        <v>0</v>
      </c>
      <c r="Q236" s="8">
        <v>1</v>
      </c>
      <c r="R236" s="8">
        <v>0</v>
      </c>
      <c r="S236" s="8">
        <v>0</v>
      </c>
      <c r="T236" s="23">
        <v>1</v>
      </c>
      <c r="U236" s="16"/>
      <c r="V236" s="16" t="s">
        <v>50</v>
      </c>
      <c r="W236" s="16"/>
    </row>
    <row r="237" spans="2:23" ht="15" customHeight="1">
      <c r="B237" s="16" t="s">
        <v>691</v>
      </c>
      <c r="C237" s="16" t="s">
        <v>184</v>
      </c>
      <c r="D237" s="16" t="s">
        <v>692</v>
      </c>
      <c r="E237" s="16" t="s">
        <v>62</v>
      </c>
      <c r="F237" s="16" t="s">
        <v>186</v>
      </c>
      <c r="G237" s="8">
        <v>1</v>
      </c>
      <c r="H237" s="8"/>
      <c r="I237" s="8">
        <v>0</v>
      </c>
      <c r="J237" s="8">
        <v>28</v>
      </c>
      <c r="K237" s="8">
        <v>1</v>
      </c>
      <c r="L237" s="8">
        <v>0</v>
      </c>
      <c r="M237" s="8">
        <v>0</v>
      </c>
      <c r="N237" s="8">
        <v>0</v>
      </c>
      <c r="O237" s="8">
        <v>0</v>
      </c>
      <c r="P237" s="8">
        <v>0</v>
      </c>
      <c r="Q237" s="8">
        <v>1</v>
      </c>
      <c r="R237" s="8">
        <v>0</v>
      </c>
      <c r="S237" s="8">
        <v>0</v>
      </c>
      <c r="T237" s="23">
        <v>1</v>
      </c>
      <c r="U237" s="16" t="s">
        <v>187</v>
      </c>
      <c r="V237" s="16" t="s">
        <v>236</v>
      </c>
      <c r="W237" s="16" t="s">
        <v>237</v>
      </c>
    </row>
    <row r="238" spans="2:23" ht="15" customHeight="1">
      <c r="B238" s="16" t="s">
        <v>693</v>
      </c>
      <c r="C238" s="16" t="s">
        <v>184</v>
      </c>
      <c r="D238" s="16" t="s">
        <v>694</v>
      </c>
      <c r="E238" s="16" t="s">
        <v>62</v>
      </c>
      <c r="F238" s="16" t="s">
        <v>186</v>
      </c>
      <c r="G238" s="8">
        <v>1</v>
      </c>
      <c r="H238" s="8"/>
      <c r="I238" s="8">
        <v>0</v>
      </c>
      <c r="J238" s="8">
        <v>112</v>
      </c>
      <c r="K238" s="8">
        <v>23</v>
      </c>
      <c r="L238" s="8">
        <v>0</v>
      </c>
      <c r="M238" s="8">
        <v>0</v>
      </c>
      <c r="N238" s="8">
        <v>0</v>
      </c>
      <c r="O238" s="8">
        <v>0</v>
      </c>
      <c r="P238" s="8">
        <v>0</v>
      </c>
      <c r="Q238" s="8">
        <v>0</v>
      </c>
      <c r="R238" s="8">
        <v>1</v>
      </c>
      <c r="S238" s="8">
        <v>0</v>
      </c>
      <c r="T238" s="23">
        <v>1</v>
      </c>
      <c r="U238" s="16"/>
      <c r="V238" s="16" t="s">
        <v>50</v>
      </c>
      <c r="W238" s="16"/>
    </row>
    <row r="239" spans="2:23" ht="15" customHeight="1">
      <c r="B239" s="16" t="s">
        <v>695</v>
      </c>
      <c r="C239" s="16" t="s">
        <v>184</v>
      </c>
      <c r="D239" s="16" t="s">
        <v>696</v>
      </c>
      <c r="E239" s="16" t="s">
        <v>85</v>
      </c>
      <c r="F239" s="16" t="s">
        <v>222</v>
      </c>
      <c r="G239" s="8">
        <v>1</v>
      </c>
      <c r="H239" s="8"/>
      <c r="I239" s="8">
        <v>0</v>
      </c>
      <c r="J239" s="8">
        <v>30</v>
      </c>
      <c r="K239" s="8">
        <v>0</v>
      </c>
      <c r="L239" s="8">
        <v>0</v>
      </c>
      <c r="M239" s="8">
        <v>0</v>
      </c>
      <c r="N239" s="8">
        <v>0</v>
      </c>
      <c r="O239" s="8">
        <v>0</v>
      </c>
      <c r="P239" s="8">
        <v>0</v>
      </c>
      <c r="Q239" s="8">
        <v>0</v>
      </c>
      <c r="R239" s="8">
        <v>1</v>
      </c>
      <c r="S239" s="8">
        <v>0</v>
      </c>
      <c r="T239" s="23">
        <v>1</v>
      </c>
      <c r="U239" s="16"/>
      <c r="V239" s="16" t="s">
        <v>50</v>
      </c>
      <c r="W239" s="16"/>
    </row>
    <row r="240" spans="2:23" ht="15" customHeight="1">
      <c r="B240" s="16" t="s">
        <v>697</v>
      </c>
      <c r="C240" s="16" t="s">
        <v>184</v>
      </c>
      <c r="D240" s="16" t="s">
        <v>698</v>
      </c>
      <c r="E240" s="16" t="s">
        <v>62</v>
      </c>
      <c r="F240" s="16" t="s">
        <v>186</v>
      </c>
      <c r="G240" s="8">
        <v>1</v>
      </c>
      <c r="H240" s="8"/>
      <c r="I240" s="8">
        <v>0</v>
      </c>
      <c r="J240" s="8">
        <v>50</v>
      </c>
      <c r="K240" s="8">
        <v>7</v>
      </c>
      <c r="L240" s="8">
        <v>0</v>
      </c>
      <c r="M240" s="8">
        <v>0</v>
      </c>
      <c r="N240" s="8">
        <v>0</v>
      </c>
      <c r="O240" s="8">
        <v>0</v>
      </c>
      <c r="P240" s="8">
        <v>0</v>
      </c>
      <c r="Q240" s="8">
        <v>0</v>
      </c>
      <c r="R240" s="8">
        <v>1</v>
      </c>
      <c r="S240" s="8">
        <v>0</v>
      </c>
      <c r="T240" s="23">
        <v>1</v>
      </c>
      <c r="U240" s="16" t="s">
        <v>187</v>
      </c>
      <c r="V240" s="16" t="s">
        <v>200</v>
      </c>
      <c r="W240" s="16" t="s">
        <v>201</v>
      </c>
    </row>
    <row r="241" spans="2:23" ht="15" customHeight="1">
      <c r="B241" s="16" t="s">
        <v>699</v>
      </c>
      <c r="C241" s="16" t="s">
        <v>184</v>
      </c>
      <c r="D241" s="16" t="s">
        <v>700</v>
      </c>
      <c r="E241" s="16" t="s">
        <v>65</v>
      </c>
      <c r="F241" s="16" t="s">
        <v>186</v>
      </c>
      <c r="G241" s="8">
        <v>1</v>
      </c>
      <c r="H241" s="8">
        <v>0</v>
      </c>
      <c r="I241" s="8">
        <v>0</v>
      </c>
      <c r="J241" s="8">
        <v>62478</v>
      </c>
      <c r="K241" s="8">
        <v>0</v>
      </c>
      <c r="L241" s="8">
        <v>0</v>
      </c>
      <c r="M241" s="8">
        <v>0</v>
      </c>
      <c r="N241" s="8">
        <v>0</v>
      </c>
      <c r="O241" s="8">
        <v>0</v>
      </c>
      <c r="P241" s="8">
        <v>0</v>
      </c>
      <c r="Q241" s="8">
        <v>0</v>
      </c>
      <c r="R241" s="8">
        <v>0</v>
      </c>
      <c r="S241" s="8">
        <v>1</v>
      </c>
      <c r="T241" s="23">
        <v>1</v>
      </c>
      <c r="U241" s="16"/>
      <c r="V241" s="16" t="s">
        <v>50</v>
      </c>
      <c r="W241" s="16"/>
    </row>
    <row r="242" spans="2:23" ht="15" customHeight="1">
      <c r="B242" s="16" t="s">
        <v>701</v>
      </c>
      <c r="C242" s="16" t="s">
        <v>184</v>
      </c>
      <c r="D242" s="16" t="s">
        <v>702</v>
      </c>
      <c r="E242" s="16" t="s">
        <v>65</v>
      </c>
      <c r="F242" s="16" t="s">
        <v>186</v>
      </c>
      <c r="G242" s="8">
        <v>1</v>
      </c>
      <c r="H242" s="8"/>
      <c r="I242" s="8">
        <v>0</v>
      </c>
      <c r="J242" s="8">
        <v>326</v>
      </c>
      <c r="K242" s="8">
        <v>25</v>
      </c>
      <c r="L242" s="8">
        <v>1</v>
      </c>
      <c r="M242" s="8">
        <v>1</v>
      </c>
      <c r="N242" s="8">
        <v>0</v>
      </c>
      <c r="O242" s="8">
        <v>0</v>
      </c>
      <c r="P242" s="8">
        <v>0</v>
      </c>
      <c r="Q242" s="8">
        <v>1</v>
      </c>
      <c r="R242" s="8">
        <v>0</v>
      </c>
      <c r="S242" s="8">
        <v>0</v>
      </c>
      <c r="T242" s="23">
        <v>1</v>
      </c>
      <c r="U242" s="16"/>
      <c r="V242" s="16" t="s">
        <v>50</v>
      </c>
      <c r="W242" s="16"/>
    </row>
    <row r="243" spans="2:23" ht="15" customHeight="1">
      <c r="B243" s="16" t="s">
        <v>580</v>
      </c>
      <c r="C243" s="16" t="s">
        <v>184</v>
      </c>
      <c r="D243" s="16" t="s">
        <v>703</v>
      </c>
      <c r="E243" s="16" t="s">
        <v>65</v>
      </c>
      <c r="F243" s="16" t="s">
        <v>186</v>
      </c>
      <c r="G243" s="8">
        <v>1</v>
      </c>
      <c r="H243" s="8"/>
      <c r="I243" s="8">
        <v>0</v>
      </c>
      <c r="J243" s="8">
        <v>240</v>
      </c>
      <c r="K243" s="8">
        <v>17</v>
      </c>
      <c r="L243" s="8">
        <v>0</v>
      </c>
      <c r="M243" s="8">
        <v>0</v>
      </c>
      <c r="N243" s="8">
        <v>0</v>
      </c>
      <c r="O243" s="8">
        <v>0</v>
      </c>
      <c r="P243" s="8">
        <v>0</v>
      </c>
      <c r="Q243" s="8">
        <v>0</v>
      </c>
      <c r="R243" s="8">
        <v>1</v>
      </c>
      <c r="S243" s="8">
        <v>0</v>
      </c>
      <c r="T243" s="23">
        <v>1</v>
      </c>
      <c r="U243" s="16"/>
      <c r="V243" s="16" t="s">
        <v>50</v>
      </c>
      <c r="W243" s="16"/>
    </row>
    <row r="244" spans="2:23" ht="15" customHeight="1">
      <c r="B244" s="16" t="s">
        <v>704</v>
      </c>
      <c r="C244" s="16" t="s">
        <v>184</v>
      </c>
      <c r="D244" s="16" t="s">
        <v>705</v>
      </c>
      <c r="E244" s="16" t="s">
        <v>99</v>
      </c>
      <c r="F244" s="16" t="s">
        <v>192</v>
      </c>
      <c r="G244" s="8">
        <v>1</v>
      </c>
      <c r="H244" s="8"/>
      <c r="I244" s="8">
        <v>0</v>
      </c>
      <c r="J244" s="8" t="s">
        <v>101</v>
      </c>
      <c r="K244" s="8">
        <v>0</v>
      </c>
      <c r="L244" s="8" t="s">
        <v>101</v>
      </c>
      <c r="M244" s="8">
        <v>1</v>
      </c>
      <c r="N244" s="8">
        <v>0</v>
      </c>
      <c r="O244" s="8">
        <v>0</v>
      </c>
      <c r="P244" s="8">
        <v>1</v>
      </c>
      <c r="Q244" s="8">
        <v>0</v>
      </c>
      <c r="R244" s="8">
        <v>0</v>
      </c>
      <c r="S244" s="8">
        <v>1</v>
      </c>
      <c r="T244" s="23">
        <v>1</v>
      </c>
      <c r="U244" s="16"/>
      <c r="V244" s="16" t="s">
        <v>50</v>
      </c>
      <c r="W244" s="16"/>
    </row>
    <row r="245" spans="2:23" ht="15" customHeight="1">
      <c r="B245" s="16" t="s">
        <v>706</v>
      </c>
      <c r="C245" s="16" t="s">
        <v>184</v>
      </c>
      <c r="D245" s="16" t="s">
        <v>707</v>
      </c>
      <c r="E245" s="16" t="s">
        <v>102</v>
      </c>
      <c r="F245" s="16" t="s">
        <v>192</v>
      </c>
      <c r="G245" s="8">
        <v>1</v>
      </c>
      <c r="H245" s="8"/>
      <c r="I245" s="8">
        <v>0</v>
      </c>
      <c r="J245" s="8" t="s">
        <v>101</v>
      </c>
      <c r="K245" s="8">
        <v>0</v>
      </c>
      <c r="L245" s="8" t="s">
        <v>101</v>
      </c>
      <c r="M245" s="8">
        <v>0</v>
      </c>
      <c r="N245" s="8">
        <v>0</v>
      </c>
      <c r="O245" s="8">
        <v>0</v>
      </c>
      <c r="P245" s="8">
        <v>5</v>
      </c>
      <c r="Q245" s="8">
        <v>1</v>
      </c>
      <c r="R245" s="8">
        <v>0</v>
      </c>
      <c r="S245" s="8">
        <v>0</v>
      </c>
      <c r="T245" s="23">
        <v>1</v>
      </c>
      <c r="U245" s="16"/>
      <c r="V245" s="16" t="s">
        <v>50</v>
      </c>
      <c r="W245" s="16"/>
    </row>
    <row r="246" spans="2:23" ht="15" customHeight="1">
      <c r="B246" s="16" t="s">
        <v>708</v>
      </c>
      <c r="C246" s="16" t="s">
        <v>184</v>
      </c>
      <c r="D246" s="16" t="s">
        <v>709</v>
      </c>
      <c r="E246" s="16" t="s">
        <v>104</v>
      </c>
      <c r="F246" s="16" t="s">
        <v>222</v>
      </c>
      <c r="G246" s="8">
        <v>1</v>
      </c>
      <c r="H246" s="8">
        <v>421</v>
      </c>
      <c r="I246" s="8">
        <v>6</v>
      </c>
      <c r="J246" s="8">
        <v>113700</v>
      </c>
      <c r="K246" s="8">
        <v>0</v>
      </c>
      <c r="L246" s="8">
        <v>0</v>
      </c>
      <c r="M246" s="8">
        <v>0</v>
      </c>
      <c r="N246" s="8">
        <v>0</v>
      </c>
      <c r="O246" s="8">
        <v>0</v>
      </c>
      <c r="P246" s="8">
        <v>0</v>
      </c>
      <c r="Q246" s="8">
        <v>0</v>
      </c>
      <c r="R246" s="8">
        <v>1</v>
      </c>
      <c r="S246" s="8">
        <v>0</v>
      </c>
      <c r="T246" s="23">
        <v>1</v>
      </c>
      <c r="U246" s="16"/>
      <c r="V246" s="16" t="s">
        <v>50</v>
      </c>
      <c r="W246" s="16"/>
    </row>
    <row r="247" spans="2:23" ht="15" customHeight="1">
      <c r="B247" s="16" t="s">
        <v>710</v>
      </c>
      <c r="C247" s="16" t="s">
        <v>184</v>
      </c>
      <c r="D247" s="16" t="s">
        <v>711</v>
      </c>
      <c r="E247" s="16" t="s">
        <v>65</v>
      </c>
      <c r="F247" s="16" t="s">
        <v>186</v>
      </c>
      <c r="G247" s="8">
        <v>1</v>
      </c>
      <c r="H247" s="8">
        <v>162</v>
      </c>
      <c r="I247" s="8">
        <v>162</v>
      </c>
      <c r="J247" s="8">
        <v>1853</v>
      </c>
      <c r="K247" s="8">
        <v>520</v>
      </c>
      <c r="L247" s="8">
        <v>44</v>
      </c>
      <c r="M247" s="8">
        <v>19</v>
      </c>
      <c r="N247" s="8">
        <v>25</v>
      </c>
      <c r="O247" s="8">
        <v>0</v>
      </c>
      <c r="P247" s="8">
        <v>0</v>
      </c>
      <c r="Q247" s="8">
        <v>0</v>
      </c>
      <c r="R247" s="8">
        <v>1</v>
      </c>
      <c r="S247" s="8">
        <v>0</v>
      </c>
      <c r="T247" s="23">
        <v>1</v>
      </c>
      <c r="U247" s="16"/>
      <c r="V247" s="16" t="s">
        <v>50</v>
      </c>
      <c r="W247" s="16"/>
    </row>
    <row r="248" spans="2:23" ht="15" customHeight="1">
      <c r="B248" s="16" t="s">
        <v>712</v>
      </c>
      <c r="C248" s="16" t="s">
        <v>713</v>
      </c>
      <c r="D248" s="16" t="s">
        <v>714</v>
      </c>
      <c r="E248" s="16" t="s">
        <v>104</v>
      </c>
      <c r="F248" s="16" t="s">
        <v>222</v>
      </c>
      <c r="G248" s="8">
        <v>1</v>
      </c>
      <c r="H248" s="8">
        <v>303</v>
      </c>
      <c r="I248" s="8">
        <v>5</v>
      </c>
      <c r="J248" s="8">
        <v>60700</v>
      </c>
      <c r="K248" s="8">
        <v>0</v>
      </c>
      <c r="L248" s="8">
        <v>0</v>
      </c>
      <c r="M248" s="8">
        <v>0</v>
      </c>
      <c r="N248" s="8">
        <v>0</v>
      </c>
      <c r="O248" s="8">
        <v>0</v>
      </c>
      <c r="P248" s="8">
        <v>0</v>
      </c>
      <c r="Q248" s="8">
        <v>0</v>
      </c>
      <c r="R248" s="8">
        <v>1</v>
      </c>
      <c r="S248" s="8">
        <v>0</v>
      </c>
      <c r="T248" s="23">
        <v>1</v>
      </c>
      <c r="U248" s="16"/>
      <c r="V248" s="16" t="s">
        <v>50</v>
      </c>
      <c r="W248" s="16"/>
    </row>
    <row r="249" spans="2:23" ht="15" customHeight="1">
      <c r="B249" s="16" t="s">
        <v>715</v>
      </c>
      <c r="C249" s="16" t="s">
        <v>184</v>
      </c>
      <c r="D249" s="16" t="s">
        <v>716</v>
      </c>
      <c r="E249" s="16" t="s">
        <v>62</v>
      </c>
      <c r="F249" s="16" t="s">
        <v>186</v>
      </c>
      <c r="G249" s="8">
        <v>1</v>
      </c>
      <c r="H249" s="8">
        <v>161</v>
      </c>
      <c r="I249" s="8">
        <v>134</v>
      </c>
      <c r="J249" s="8">
        <v>7340</v>
      </c>
      <c r="K249" s="8">
        <v>1457</v>
      </c>
      <c r="L249" s="8">
        <v>27</v>
      </c>
      <c r="M249" s="8">
        <v>23</v>
      </c>
      <c r="N249" s="8">
        <v>1</v>
      </c>
      <c r="O249" s="8">
        <v>3</v>
      </c>
      <c r="P249" s="8">
        <v>0</v>
      </c>
      <c r="Q249" s="8">
        <v>0</v>
      </c>
      <c r="R249" s="8">
        <v>1</v>
      </c>
      <c r="S249" s="8">
        <v>0</v>
      </c>
      <c r="T249" s="23">
        <v>1</v>
      </c>
      <c r="U249" s="16"/>
      <c r="V249" s="16" t="s">
        <v>50</v>
      </c>
      <c r="W249" s="16"/>
    </row>
    <row r="250" spans="2:23" ht="15" customHeight="1">
      <c r="B250" s="16" t="s">
        <v>717</v>
      </c>
      <c r="C250" s="16" t="s">
        <v>184</v>
      </c>
      <c r="D250" s="16" t="s">
        <v>718</v>
      </c>
      <c r="E250" s="16" t="s">
        <v>62</v>
      </c>
      <c r="F250" s="16" t="s">
        <v>186</v>
      </c>
      <c r="G250" s="8">
        <v>1</v>
      </c>
      <c r="H250" s="8"/>
      <c r="I250" s="8">
        <v>0</v>
      </c>
      <c r="J250" s="8">
        <v>2109</v>
      </c>
      <c r="K250" s="8">
        <v>0</v>
      </c>
      <c r="L250" s="8">
        <v>1</v>
      </c>
      <c r="M250" s="8">
        <v>1</v>
      </c>
      <c r="N250" s="8">
        <v>0</v>
      </c>
      <c r="O250" s="8">
        <v>0</v>
      </c>
      <c r="P250" s="8">
        <v>0</v>
      </c>
      <c r="Q250" s="8">
        <v>0</v>
      </c>
      <c r="R250" s="8">
        <v>1</v>
      </c>
      <c r="S250" s="8">
        <v>0</v>
      </c>
      <c r="T250" s="23">
        <v>1</v>
      </c>
      <c r="U250" s="16" t="s">
        <v>187</v>
      </c>
      <c r="V250" s="16" t="s">
        <v>200</v>
      </c>
      <c r="W250" s="16" t="s">
        <v>201</v>
      </c>
    </row>
    <row r="251" spans="2:23" ht="15" customHeight="1">
      <c r="B251" s="16" t="s">
        <v>719</v>
      </c>
      <c r="C251" s="16" t="s">
        <v>184</v>
      </c>
      <c r="D251" s="16" t="s">
        <v>720</v>
      </c>
      <c r="E251" s="16" t="s">
        <v>78</v>
      </c>
      <c r="F251" s="16" t="s">
        <v>192</v>
      </c>
      <c r="G251" s="8">
        <v>1</v>
      </c>
      <c r="H251" s="8"/>
      <c r="I251" s="8">
        <v>0</v>
      </c>
      <c r="J251" s="8">
        <v>8130</v>
      </c>
      <c r="K251" s="8">
        <v>0</v>
      </c>
      <c r="L251" s="8">
        <v>0</v>
      </c>
      <c r="M251" s="8">
        <v>0</v>
      </c>
      <c r="N251" s="8">
        <v>0</v>
      </c>
      <c r="O251" s="8">
        <v>0</v>
      </c>
      <c r="P251" s="8">
        <v>0</v>
      </c>
      <c r="Q251" s="8">
        <v>0</v>
      </c>
      <c r="R251" s="8">
        <v>1</v>
      </c>
      <c r="S251" s="8">
        <v>0</v>
      </c>
      <c r="T251" s="23">
        <v>1</v>
      </c>
      <c r="U251" s="16"/>
      <c r="V251" s="16" t="s">
        <v>50</v>
      </c>
      <c r="W251" s="16"/>
    </row>
    <row r="252" spans="2:23" ht="15" customHeight="1">
      <c r="B252" s="16" t="s">
        <v>721</v>
      </c>
      <c r="C252" s="16" t="s">
        <v>184</v>
      </c>
      <c r="D252" s="16" t="s">
        <v>722</v>
      </c>
      <c r="E252" s="16" t="s">
        <v>62</v>
      </c>
      <c r="F252" s="16" t="s">
        <v>186</v>
      </c>
      <c r="G252" s="8">
        <v>1</v>
      </c>
      <c r="H252" s="8"/>
      <c r="I252" s="8">
        <v>0</v>
      </c>
      <c r="J252" s="8">
        <v>9</v>
      </c>
      <c r="K252" s="8">
        <v>2</v>
      </c>
      <c r="L252" s="8">
        <v>0</v>
      </c>
      <c r="M252" s="8">
        <v>0</v>
      </c>
      <c r="N252" s="8">
        <v>0</v>
      </c>
      <c r="O252" s="8">
        <v>0</v>
      </c>
      <c r="P252" s="8">
        <v>0</v>
      </c>
      <c r="Q252" s="8">
        <v>1</v>
      </c>
      <c r="R252" s="8">
        <v>0</v>
      </c>
      <c r="S252" s="8">
        <v>0</v>
      </c>
      <c r="T252" s="23">
        <v>1</v>
      </c>
      <c r="U252" s="16" t="s">
        <v>187</v>
      </c>
      <c r="V252" s="16" t="s">
        <v>400</v>
      </c>
      <c r="W252" s="16" t="s">
        <v>401</v>
      </c>
    </row>
    <row r="253" spans="2:23" ht="15" customHeight="1">
      <c r="B253" s="16" t="s">
        <v>723</v>
      </c>
      <c r="C253" s="16" t="s">
        <v>184</v>
      </c>
      <c r="D253" s="16" t="s">
        <v>724</v>
      </c>
      <c r="E253" s="16" t="s">
        <v>65</v>
      </c>
      <c r="F253" s="16" t="s">
        <v>186</v>
      </c>
      <c r="G253" s="8">
        <v>1</v>
      </c>
      <c r="H253" s="8"/>
      <c r="I253" s="8">
        <v>0</v>
      </c>
      <c r="J253" s="8">
        <v>2531</v>
      </c>
      <c r="K253" s="8">
        <v>0</v>
      </c>
      <c r="L253" s="8">
        <v>0</v>
      </c>
      <c r="M253" s="8">
        <v>0</v>
      </c>
      <c r="N253" s="8">
        <v>0</v>
      </c>
      <c r="O253" s="8">
        <v>0</v>
      </c>
      <c r="P253" s="8">
        <v>0</v>
      </c>
      <c r="Q253" s="8">
        <v>1</v>
      </c>
      <c r="R253" s="8">
        <v>0</v>
      </c>
      <c r="S253" s="8">
        <v>0</v>
      </c>
      <c r="T253" s="23">
        <v>1</v>
      </c>
      <c r="U253" s="16"/>
      <c r="V253" s="16" t="s">
        <v>50</v>
      </c>
      <c r="W253" s="16"/>
    </row>
    <row r="254" spans="2:23" ht="15" customHeight="1">
      <c r="B254" s="16" t="s">
        <v>725</v>
      </c>
      <c r="C254" s="16" t="s">
        <v>184</v>
      </c>
      <c r="D254" s="16" t="s">
        <v>726</v>
      </c>
      <c r="E254" s="16" t="s">
        <v>85</v>
      </c>
      <c r="F254" s="16" t="s">
        <v>186</v>
      </c>
      <c r="G254" s="8">
        <v>1</v>
      </c>
      <c r="H254" s="8"/>
      <c r="I254" s="8">
        <v>0</v>
      </c>
      <c r="J254" s="8">
        <v>0</v>
      </c>
      <c r="K254" s="8">
        <v>0</v>
      </c>
      <c r="L254" s="8">
        <v>1</v>
      </c>
      <c r="M254" s="8">
        <v>1</v>
      </c>
      <c r="N254" s="8">
        <v>0</v>
      </c>
      <c r="O254" s="8">
        <v>0</v>
      </c>
      <c r="P254" s="8">
        <v>0</v>
      </c>
      <c r="Q254" s="8">
        <v>0</v>
      </c>
      <c r="R254" s="8">
        <v>1</v>
      </c>
      <c r="S254" s="8">
        <v>0</v>
      </c>
      <c r="T254" s="23">
        <v>1</v>
      </c>
      <c r="U254" s="16"/>
      <c r="V254" s="16" t="s">
        <v>50</v>
      </c>
      <c r="W254" s="16"/>
    </row>
    <row r="255" spans="2:23" ht="15" customHeight="1">
      <c r="B255" s="16" t="s">
        <v>727</v>
      </c>
      <c r="C255" s="16" t="s">
        <v>184</v>
      </c>
      <c r="D255" s="16" t="s">
        <v>728</v>
      </c>
      <c r="E255" s="16" t="s">
        <v>85</v>
      </c>
      <c r="F255" s="16" t="s">
        <v>186</v>
      </c>
      <c r="G255" s="8">
        <v>1</v>
      </c>
      <c r="H255" s="8"/>
      <c r="I255" s="8">
        <v>0</v>
      </c>
      <c r="J255" s="8">
        <v>0</v>
      </c>
      <c r="K255" s="8">
        <v>0</v>
      </c>
      <c r="L255" s="8">
        <v>0</v>
      </c>
      <c r="M255" s="8">
        <v>0</v>
      </c>
      <c r="N255" s="8">
        <v>0</v>
      </c>
      <c r="O255" s="8">
        <v>0</v>
      </c>
      <c r="P255" s="8">
        <v>0</v>
      </c>
      <c r="Q255" s="8">
        <v>1</v>
      </c>
      <c r="R255" s="8">
        <v>0</v>
      </c>
      <c r="S255" s="8">
        <v>0</v>
      </c>
      <c r="T255" s="23">
        <v>1</v>
      </c>
      <c r="U255" s="16"/>
      <c r="V255" s="16" t="s">
        <v>50</v>
      </c>
      <c r="W255" s="16"/>
    </row>
    <row r="256" spans="2:23" ht="15" customHeight="1">
      <c r="B256" s="16" t="s">
        <v>729</v>
      </c>
      <c r="C256" s="16" t="s">
        <v>184</v>
      </c>
      <c r="D256" s="16" t="s">
        <v>730</v>
      </c>
      <c r="E256" s="16" t="s">
        <v>120</v>
      </c>
      <c r="F256" s="16" t="s">
        <v>222</v>
      </c>
      <c r="G256" s="8">
        <v>1</v>
      </c>
      <c r="H256" s="8"/>
      <c r="I256" s="8">
        <v>0</v>
      </c>
      <c r="J256" s="8">
        <v>0</v>
      </c>
      <c r="K256" s="8">
        <v>0</v>
      </c>
      <c r="L256" s="8">
        <v>0</v>
      </c>
      <c r="M256" s="8">
        <v>0</v>
      </c>
      <c r="N256" s="8">
        <v>0</v>
      </c>
      <c r="O256" s="8">
        <v>0</v>
      </c>
      <c r="P256" s="8">
        <v>0</v>
      </c>
      <c r="Q256" s="8">
        <v>0</v>
      </c>
      <c r="R256" s="8">
        <v>1</v>
      </c>
      <c r="S256" s="8">
        <v>0</v>
      </c>
      <c r="T256" s="23">
        <v>1</v>
      </c>
      <c r="U256" s="16"/>
      <c r="V256" s="16" t="s">
        <v>50</v>
      </c>
      <c r="W256" s="16"/>
    </row>
    <row r="257" spans="2:23" ht="15" customHeight="1">
      <c r="B257" s="16" t="s">
        <v>731</v>
      </c>
      <c r="C257" s="16" t="s">
        <v>184</v>
      </c>
      <c r="D257" s="16" t="s">
        <v>732</v>
      </c>
      <c r="E257" s="16" t="s">
        <v>138</v>
      </c>
      <c r="F257" s="16" t="s">
        <v>192</v>
      </c>
      <c r="G257" s="8">
        <v>1</v>
      </c>
      <c r="H257" s="8"/>
      <c r="I257" s="8">
        <v>0</v>
      </c>
      <c r="J257" s="8" t="s">
        <v>101</v>
      </c>
      <c r="K257" s="8">
        <v>0</v>
      </c>
      <c r="L257" s="8" t="s">
        <v>101</v>
      </c>
      <c r="M257" s="8">
        <v>0</v>
      </c>
      <c r="N257" s="8">
        <v>0</v>
      </c>
      <c r="O257" s="8">
        <v>0</v>
      </c>
      <c r="P257" s="8">
        <v>4</v>
      </c>
      <c r="Q257" s="8">
        <v>1</v>
      </c>
      <c r="R257" s="8">
        <v>0</v>
      </c>
      <c r="S257" s="8">
        <v>0</v>
      </c>
      <c r="T257" s="23">
        <v>1</v>
      </c>
      <c r="U257" s="16"/>
      <c r="V257" s="16" t="s">
        <v>50</v>
      </c>
      <c r="W257" s="16"/>
    </row>
    <row r="258" spans="2:23" ht="15" customHeight="1">
      <c r="B258" s="16" t="s">
        <v>733</v>
      </c>
      <c r="C258" s="16" t="s">
        <v>184</v>
      </c>
      <c r="D258" s="16" t="s">
        <v>734</v>
      </c>
      <c r="E258" s="16" t="s">
        <v>118</v>
      </c>
      <c r="F258" s="16" t="s">
        <v>222</v>
      </c>
      <c r="G258" s="8">
        <v>1</v>
      </c>
      <c r="H258" s="8"/>
      <c r="I258" s="8">
        <v>0</v>
      </c>
      <c r="J258" s="8">
        <v>115</v>
      </c>
      <c r="K258" s="8">
        <v>136</v>
      </c>
      <c r="L258" s="8">
        <v>0</v>
      </c>
      <c r="M258" s="8">
        <v>0</v>
      </c>
      <c r="N258" s="8">
        <v>0</v>
      </c>
      <c r="O258" s="8">
        <v>0</v>
      </c>
      <c r="P258" s="8">
        <v>0</v>
      </c>
      <c r="Q258" s="8">
        <v>0</v>
      </c>
      <c r="R258" s="8">
        <v>1</v>
      </c>
      <c r="S258" s="8">
        <v>0</v>
      </c>
      <c r="T258" s="23">
        <v>1</v>
      </c>
      <c r="U258" s="16"/>
      <c r="V258" s="16" t="s">
        <v>50</v>
      </c>
      <c r="W258" s="16"/>
    </row>
    <row r="259" spans="2:23" ht="15" customHeight="1">
      <c r="B259" s="16" t="s">
        <v>735</v>
      </c>
      <c r="C259" s="16" t="s">
        <v>184</v>
      </c>
      <c r="D259" s="16" t="s">
        <v>736</v>
      </c>
      <c r="E259" s="16" t="s">
        <v>62</v>
      </c>
      <c r="F259" s="16" t="s">
        <v>186</v>
      </c>
      <c r="G259" s="8">
        <v>1</v>
      </c>
      <c r="H259" s="8"/>
      <c r="I259" s="8">
        <v>0</v>
      </c>
      <c r="J259" s="8">
        <v>884</v>
      </c>
      <c r="K259" s="8">
        <v>0</v>
      </c>
      <c r="L259" s="8">
        <v>0</v>
      </c>
      <c r="M259" s="8">
        <v>0</v>
      </c>
      <c r="N259" s="8">
        <v>0</v>
      </c>
      <c r="O259" s="8">
        <v>0</v>
      </c>
      <c r="P259" s="8">
        <v>0</v>
      </c>
      <c r="Q259" s="8">
        <v>0</v>
      </c>
      <c r="R259" s="8">
        <v>1</v>
      </c>
      <c r="S259" s="8">
        <v>0</v>
      </c>
      <c r="T259" s="23">
        <v>1</v>
      </c>
      <c r="U259" s="16" t="s">
        <v>187</v>
      </c>
      <c r="V259" s="16" t="s">
        <v>200</v>
      </c>
      <c r="W259" s="16" t="s">
        <v>201</v>
      </c>
    </row>
    <row r="260" spans="2:23" ht="15" customHeight="1">
      <c r="B260" s="16" t="s">
        <v>737</v>
      </c>
      <c r="C260" s="16" t="s">
        <v>184</v>
      </c>
      <c r="D260" s="16" t="s">
        <v>738</v>
      </c>
      <c r="E260" s="16" t="s">
        <v>65</v>
      </c>
      <c r="F260" s="16" t="s">
        <v>186</v>
      </c>
      <c r="G260" s="8">
        <v>1</v>
      </c>
      <c r="H260" s="8"/>
      <c r="I260" s="8">
        <v>0</v>
      </c>
      <c r="J260" s="8">
        <v>1098</v>
      </c>
      <c r="K260" s="8">
        <v>0</v>
      </c>
      <c r="L260" s="8">
        <v>0</v>
      </c>
      <c r="M260" s="8">
        <v>0</v>
      </c>
      <c r="N260" s="8">
        <v>0</v>
      </c>
      <c r="O260" s="8">
        <v>0</v>
      </c>
      <c r="P260" s="8">
        <v>0</v>
      </c>
      <c r="Q260" s="8">
        <v>1</v>
      </c>
      <c r="R260" s="8">
        <v>0</v>
      </c>
      <c r="S260" s="8">
        <v>0</v>
      </c>
      <c r="T260" s="23">
        <v>1</v>
      </c>
      <c r="U260" s="16"/>
      <c r="V260" s="16" t="s">
        <v>50</v>
      </c>
      <c r="W260" s="16"/>
    </row>
    <row r="261" spans="2:23" ht="15" customHeight="1">
      <c r="B261" s="16" t="s">
        <v>412</v>
      </c>
      <c r="C261" s="16" t="s">
        <v>184</v>
      </c>
      <c r="D261" s="16" t="s">
        <v>739</v>
      </c>
      <c r="E261" s="16" t="s">
        <v>65</v>
      </c>
      <c r="F261" s="16" t="s">
        <v>186</v>
      </c>
      <c r="G261" s="8">
        <v>1</v>
      </c>
      <c r="H261" s="8">
        <v>290</v>
      </c>
      <c r="I261" s="8">
        <v>218</v>
      </c>
      <c r="J261" s="8">
        <v>6620</v>
      </c>
      <c r="K261" s="8">
        <v>455</v>
      </c>
      <c r="L261" s="8">
        <v>8</v>
      </c>
      <c r="M261" s="8">
        <v>0</v>
      </c>
      <c r="N261" s="8">
        <v>6</v>
      </c>
      <c r="O261" s="8">
        <v>2</v>
      </c>
      <c r="P261" s="8">
        <v>0</v>
      </c>
      <c r="Q261" s="8">
        <v>0</v>
      </c>
      <c r="R261" s="8">
        <v>1</v>
      </c>
      <c r="S261" s="8">
        <v>0</v>
      </c>
      <c r="T261" s="23">
        <v>1</v>
      </c>
      <c r="U261" s="16"/>
      <c r="V261" s="16" t="s">
        <v>50</v>
      </c>
      <c r="W261" s="16"/>
    </row>
    <row r="262" spans="2:23" ht="15" customHeight="1">
      <c r="B262" s="16" t="s">
        <v>740</v>
      </c>
      <c r="C262" s="16" t="s">
        <v>184</v>
      </c>
      <c r="D262" s="16" t="s">
        <v>741</v>
      </c>
      <c r="E262" s="16" t="s">
        <v>83</v>
      </c>
      <c r="F262" s="16" t="s">
        <v>222</v>
      </c>
      <c r="G262" s="8">
        <v>1</v>
      </c>
      <c r="H262" s="8"/>
      <c r="I262" s="8">
        <v>0</v>
      </c>
      <c r="J262" s="8">
        <v>32</v>
      </c>
      <c r="K262" s="8">
        <v>0</v>
      </c>
      <c r="L262" s="8">
        <v>0</v>
      </c>
      <c r="M262" s="8">
        <v>0</v>
      </c>
      <c r="N262" s="8">
        <v>0</v>
      </c>
      <c r="O262" s="8">
        <v>0</v>
      </c>
      <c r="P262" s="8">
        <v>0</v>
      </c>
      <c r="Q262" s="8">
        <v>0</v>
      </c>
      <c r="R262" s="8">
        <v>1</v>
      </c>
      <c r="S262" s="8">
        <v>0</v>
      </c>
      <c r="T262" s="23">
        <v>1</v>
      </c>
      <c r="U262" s="16"/>
      <c r="V262" s="16" t="s">
        <v>50</v>
      </c>
      <c r="W262" s="16"/>
    </row>
    <row r="263" spans="2:23" ht="15" customHeight="1">
      <c r="B263" s="16" t="s">
        <v>742</v>
      </c>
      <c r="C263" s="16" t="s">
        <v>184</v>
      </c>
      <c r="D263" s="16" t="s">
        <v>743</v>
      </c>
      <c r="E263" s="16" t="s">
        <v>83</v>
      </c>
      <c r="F263" s="16" t="s">
        <v>222</v>
      </c>
      <c r="G263" s="8">
        <v>1</v>
      </c>
      <c r="H263" s="8"/>
      <c r="I263" s="8">
        <v>0</v>
      </c>
      <c r="J263" s="8">
        <v>89</v>
      </c>
      <c r="K263" s="8">
        <v>0</v>
      </c>
      <c r="L263" s="8">
        <v>1</v>
      </c>
      <c r="M263" s="8">
        <v>0</v>
      </c>
      <c r="N263" s="8">
        <v>1</v>
      </c>
      <c r="O263" s="8">
        <v>0</v>
      </c>
      <c r="P263" s="8">
        <v>0</v>
      </c>
      <c r="Q263" s="8">
        <v>0</v>
      </c>
      <c r="R263" s="8">
        <v>1</v>
      </c>
      <c r="S263" s="8">
        <v>0</v>
      </c>
      <c r="T263" s="23">
        <v>1</v>
      </c>
      <c r="U263" s="16"/>
      <c r="V263" s="16" t="s">
        <v>50</v>
      </c>
      <c r="W263" s="16"/>
    </row>
    <row r="264" spans="2:23" ht="15" customHeight="1">
      <c r="B264" s="16" t="s">
        <v>744</v>
      </c>
      <c r="C264" s="16" t="s">
        <v>184</v>
      </c>
      <c r="D264" s="16" t="s">
        <v>745</v>
      </c>
      <c r="E264" s="16" t="s">
        <v>65</v>
      </c>
      <c r="F264" s="16" t="s">
        <v>186</v>
      </c>
      <c r="G264" s="8">
        <v>1</v>
      </c>
      <c r="H264" s="8"/>
      <c r="I264" s="8">
        <v>0</v>
      </c>
      <c r="J264" s="8">
        <v>580</v>
      </c>
      <c r="K264" s="8">
        <v>0</v>
      </c>
      <c r="L264" s="8">
        <v>0</v>
      </c>
      <c r="M264" s="8">
        <v>0</v>
      </c>
      <c r="N264" s="8">
        <v>0</v>
      </c>
      <c r="O264" s="8">
        <v>0</v>
      </c>
      <c r="P264" s="8">
        <v>0</v>
      </c>
      <c r="Q264" s="8">
        <v>0</v>
      </c>
      <c r="R264" s="8">
        <v>1</v>
      </c>
      <c r="S264" s="8">
        <v>0</v>
      </c>
      <c r="T264" s="23">
        <v>1</v>
      </c>
      <c r="U264" s="16"/>
      <c r="V264" s="16" t="s">
        <v>50</v>
      </c>
      <c r="W264" s="16"/>
    </row>
    <row r="265" spans="2:23" ht="15" customHeight="1">
      <c r="B265" s="16" t="s">
        <v>746</v>
      </c>
      <c r="C265" s="16" t="s">
        <v>184</v>
      </c>
      <c r="D265" s="16" t="s">
        <v>747</v>
      </c>
      <c r="E265" s="16" t="s">
        <v>65</v>
      </c>
      <c r="F265" s="16" t="s">
        <v>186</v>
      </c>
      <c r="G265" s="8">
        <v>1</v>
      </c>
      <c r="H265" s="8"/>
      <c r="I265" s="8">
        <v>0</v>
      </c>
      <c r="J265" s="8">
        <v>167</v>
      </c>
      <c r="K265" s="8">
        <v>0</v>
      </c>
      <c r="L265" s="8">
        <v>0</v>
      </c>
      <c r="M265" s="8">
        <v>0</v>
      </c>
      <c r="N265" s="8">
        <v>0</v>
      </c>
      <c r="O265" s="8">
        <v>0</v>
      </c>
      <c r="P265" s="8">
        <v>0</v>
      </c>
      <c r="Q265" s="8">
        <v>0</v>
      </c>
      <c r="R265" s="8">
        <v>1</v>
      </c>
      <c r="S265" s="8">
        <v>0</v>
      </c>
      <c r="T265" s="23">
        <v>1</v>
      </c>
      <c r="U265" s="16"/>
      <c r="V265" s="16" t="s">
        <v>50</v>
      </c>
      <c r="W265" s="16"/>
    </row>
    <row r="266" spans="2:23" ht="15" customHeight="1">
      <c r="B266" s="16" t="s">
        <v>748</v>
      </c>
      <c r="C266" s="16" t="s">
        <v>184</v>
      </c>
      <c r="D266" s="16" t="s">
        <v>749</v>
      </c>
      <c r="E266" s="16" t="s">
        <v>83</v>
      </c>
      <c r="F266" s="16" t="s">
        <v>222</v>
      </c>
      <c r="G266" s="8">
        <v>1</v>
      </c>
      <c r="H266" s="8"/>
      <c r="I266" s="8">
        <v>0</v>
      </c>
      <c r="J266" s="8">
        <v>1705</v>
      </c>
      <c r="K266" s="8">
        <v>0</v>
      </c>
      <c r="L266" s="8">
        <v>0</v>
      </c>
      <c r="M266" s="8">
        <v>0</v>
      </c>
      <c r="N266" s="8">
        <v>0</v>
      </c>
      <c r="O266" s="8">
        <v>0</v>
      </c>
      <c r="P266" s="8">
        <v>0</v>
      </c>
      <c r="Q266" s="8">
        <v>1</v>
      </c>
      <c r="R266" s="8">
        <v>0</v>
      </c>
      <c r="S266" s="8">
        <v>0</v>
      </c>
      <c r="T266" s="23">
        <v>1</v>
      </c>
      <c r="U266" s="16"/>
      <c r="V266" s="16" t="s">
        <v>50</v>
      </c>
      <c r="W266" s="16"/>
    </row>
    <row r="267" spans="2:23" ht="15" customHeight="1">
      <c r="B267" s="16" t="s">
        <v>750</v>
      </c>
      <c r="C267" s="16" t="s">
        <v>184</v>
      </c>
      <c r="D267" s="16" t="s">
        <v>751</v>
      </c>
      <c r="E267" s="16" t="s">
        <v>83</v>
      </c>
      <c r="F267" s="16" t="s">
        <v>222</v>
      </c>
      <c r="G267" s="8">
        <v>1</v>
      </c>
      <c r="H267" s="8"/>
      <c r="I267" s="8">
        <v>0</v>
      </c>
      <c r="J267" s="8">
        <v>90</v>
      </c>
      <c r="K267" s="8">
        <v>0</v>
      </c>
      <c r="L267" s="8">
        <v>2</v>
      </c>
      <c r="M267" s="8">
        <v>1</v>
      </c>
      <c r="N267" s="8">
        <v>1</v>
      </c>
      <c r="O267" s="8">
        <v>0</v>
      </c>
      <c r="P267" s="8">
        <v>0</v>
      </c>
      <c r="Q267" s="8">
        <v>0</v>
      </c>
      <c r="R267" s="8">
        <v>1</v>
      </c>
      <c r="S267" s="8">
        <v>0</v>
      </c>
      <c r="T267" s="23">
        <v>1</v>
      </c>
      <c r="U267" s="16"/>
      <c r="V267" s="16" t="s">
        <v>50</v>
      </c>
      <c r="W267" s="16"/>
    </row>
    <row r="268" spans="2:23" ht="15" customHeight="1">
      <c r="B268" s="16" t="s">
        <v>752</v>
      </c>
      <c r="C268" s="16" t="s">
        <v>184</v>
      </c>
      <c r="D268" s="16" t="s">
        <v>753</v>
      </c>
      <c r="E268" s="16" t="s">
        <v>62</v>
      </c>
      <c r="F268" s="16" t="s">
        <v>186</v>
      </c>
      <c r="G268" s="8">
        <v>1</v>
      </c>
      <c r="H268" s="8"/>
      <c r="I268" s="8">
        <v>0</v>
      </c>
      <c r="J268" s="8">
        <v>6</v>
      </c>
      <c r="K268" s="8">
        <v>3</v>
      </c>
      <c r="L268" s="8">
        <v>0</v>
      </c>
      <c r="M268" s="8">
        <v>0</v>
      </c>
      <c r="N268" s="8">
        <v>0</v>
      </c>
      <c r="O268" s="8">
        <v>0</v>
      </c>
      <c r="P268" s="8">
        <v>0</v>
      </c>
      <c r="Q268" s="8">
        <v>0</v>
      </c>
      <c r="R268" s="8">
        <v>1</v>
      </c>
      <c r="S268" s="8">
        <v>0</v>
      </c>
      <c r="T268" s="23">
        <v>1</v>
      </c>
      <c r="U268" s="16" t="s">
        <v>187</v>
      </c>
      <c r="V268" s="16" t="s">
        <v>200</v>
      </c>
      <c r="W268" s="16" t="s">
        <v>201</v>
      </c>
    </row>
    <row r="269" spans="2:23" ht="15" customHeight="1">
      <c r="B269" s="16" t="s">
        <v>754</v>
      </c>
      <c r="C269" s="16" t="s">
        <v>184</v>
      </c>
      <c r="D269" s="16" t="s">
        <v>755</v>
      </c>
      <c r="E269" s="16" t="s">
        <v>83</v>
      </c>
      <c r="F269" s="16" t="s">
        <v>222</v>
      </c>
      <c r="G269" s="8">
        <v>1</v>
      </c>
      <c r="H269" s="8"/>
      <c r="I269" s="8">
        <v>0</v>
      </c>
      <c r="J269" s="8">
        <v>95</v>
      </c>
      <c r="K269" s="8">
        <v>0</v>
      </c>
      <c r="L269" s="8">
        <v>5</v>
      </c>
      <c r="M269" s="8">
        <v>3</v>
      </c>
      <c r="N269" s="8">
        <v>2</v>
      </c>
      <c r="O269" s="8">
        <v>0</v>
      </c>
      <c r="P269" s="8">
        <v>0</v>
      </c>
      <c r="Q269" s="8">
        <v>0</v>
      </c>
      <c r="R269" s="8">
        <v>1</v>
      </c>
      <c r="S269" s="8">
        <v>0</v>
      </c>
      <c r="T269" s="23">
        <v>1</v>
      </c>
      <c r="U269" s="16"/>
      <c r="V269" s="16" t="s">
        <v>50</v>
      </c>
      <c r="W269" s="16"/>
    </row>
    <row r="270" spans="2:23" ht="15" customHeight="1">
      <c r="B270" s="16" t="s">
        <v>756</v>
      </c>
      <c r="C270" s="16" t="s">
        <v>184</v>
      </c>
      <c r="D270" s="16" t="s">
        <v>757</v>
      </c>
      <c r="E270" s="16" t="s">
        <v>81</v>
      </c>
      <c r="F270" s="16" t="s">
        <v>222</v>
      </c>
      <c r="G270" s="8">
        <v>1</v>
      </c>
      <c r="H270" s="8">
        <v>315</v>
      </c>
      <c r="I270" s="8">
        <v>5</v>
      </c>
      <c r="J270" s="8">
        <v>46218</v>
      </c>
      <c r="K270" s="8">
        <v>0</v>
      </c>
      <c r="L270" s="8">
        <v>0</v>
      </c>
      <c r="M270" s="8">
        <v>0</v>
      </c>
      <c r="N270" s="8">
        <v>0</v>
      </c>
      <c r="O270" s="8">
        <v>0</v>
      </c>
      <c r="P270" s="8">
        <v>0</v>
      </c>
      <c r="Q270" s="8">
        <v>0</v>
      </c>
      <c r="R270" s="8">
        <v>1</v>
      </c>
      <c r="S270" s="8">
        <v>0</v>
      </c>
      <c r="T270" s="23">
        <v>1</v>
      </c>
      <c r="U270" s="16"/>
      <c r="V270" s="16" t="s">
        <v>50</v>
      </c>
      <c r="W270" s="16"/>
    </row>
    <row r="271" spans="2:23" ht="15" customHeight="1">
      <c r="B271" s="16" t="s">
        <v>758</v>
      </c>
      <c r="C271" s="16" t="s">
        <v>184</v>
      </c>
      <c r="D271" s="16" t="s">
        <v>759</v>
      </c>
      <c r="E271" s="16" t="s">
        <v>81</v>
      </c>
      <c r="F271" s="16" t="s">
        <v>222</v>
      </c>
      <c r="G271" s="8">
        <v>1</v>
      </c>
      <c r="H271" s="8">
        <v>148</v>
      </c>
      <c r="I271" s="8">
        <v>3</v>
      </c>
      <c r="J271" s="8">
        <v>9077</v>
      </c>
      <c r="K271" s="8">
        <v>0</v>
      </c>
      <c r="L271" s="8">
        <v>0</v>
      </c>
      <c r="M271" s="8">
        <v>0</v>
      </c>
      <c r="N271" s="8">
        <v>0</v>
      </c>
      <c r="O271" s="8">
        <v>0</v>
      </c>
      <c r="P271" s="8">
        <v>0</v>
      </c>
      <c r="Q271" s="8">
        <v>1</v>
      </c>
      <c r="R271" s="8">
        <v>0</v>
      </c>
      <c r="S271" s="8">
        <v>0</v>
      </c>
      <c r="T271" s="23">
        <v>1</v>
      </c>
      <c r="U271" s="16"/>
      <c r="V271" s="16" t="s">
        <v>50</v>
      </c>
      <c r="W271" s="16"/>
    </row>
    <row r="272" spans="2:23" ht="15" customHeight="1">
      <c r="B272" s="16" t="s">
        <v>760</v>
      </c>
      <c r="C272" s="16" t="s">
        <v>184</v>
      </c>
      <c r="D272" s="16" t="s">
        <v>761</v>
      </c>
      <c r="E272" s="16" t="s">
        <v>65</v>
      </c>
      <c r="F272" s="16" t="s">
        <v>186</v>
      </c>
      <c r="G272" s="8">
        <v>1</v>
      </c>
      <c r="H272" s="8"/>
      <c r="I272" s="8">
        <v>0</v>
      </c>
      <c r="J272" s="8">
        <v>7381</v>
      </c>
      <c r="K272" s="8">
        <v>0</v>
      </c>
      <c r="L272" s="8">
        <v>0</v>
      </c>
      <c r="M272" s="8">
        <v>0</v>
      </c>
      <c r="N272" s="8">
        <v>0</v>
      </c>
      <c r="O272" s="8">
        <v>0</v>
      </c>
      <c r="P272" s="8">
        <v>0</v>
      </c>
      <c r="Q272" s="8">
        <v>0</v>
      </c>
      <c r="R272" s="8">
        <v>1</v>
      </c>
      <c r="S272" s="8">
        <v>0</v>
      </c>
      <c r="T272" s="23">
        <v>1</v>
      </c>
      <c r="U272" s="16"/>
      <c r="V272" s="16" t="s">
        <v>50</v>
      </c>
      <c r="W272" s="16"/>
    </row>
    <row r="273" spans="2:23" ht="15" customHeight="1">
      <c r="B273" s="16" t="s">
        <v>762</v>
      </c>
      <c r="C273" s="16" t="s">
        <v>184</v>
      </c>
      <c r="D273" s="16" t="s">
        <v>763</v>
      </c>
      <c r="E273" s="16" t="s">
        <v>62</v>
      </c>
      <c r="F273" s="16" t="s">
        <v>186</v>
      </c>
      <c r="G273" s="8">
        <v>1</v>
      </c>
      <c r="H273" s="8"/>
      <c r="I273" s="8">
        <v>0</v>
      </c>
      <c r="J273" s="8">
        <v>7</v>
      </c>
      <c r="K273" s="8">
        <v>0</v>
      </c>
      <c r="L273" s="8">
        <v>0</v>
      </c>
      <c r="M273" s="8">
        <v>0</v>
      </c>
      <c r="N273" s="8">
        <v>0</v>
      </c>
      <c r="O273" s="8">
        <v>0</v>
      </c>
      <c r="P273" s="8">
        <v>0</v>
      </c>
      <c r="Q273" s="8">
        <v>0</v>
      </c>
      <c r="R273" s="8">
        <v>1</v>
      </c>
      <c r="S273" s="8">
        <v>0</v>
      </c>
      <c r="T273" s="23">
        <v>1</v>
      </c>
      <c r="U273" s="16" t="s">
        <v>187</v>
      </c>
      <c r="V273" s="16" t="s">
        <v>435</v>
      </c>
      <c r="W273" s="16" t="s">
        <v>764</v>
      </c>
    </row>
    <row r="274" spans="2:23" ht="15" customHeight="1">
      <c r="B274" s="16" t="s">
        <v>765</v>
      </c>
      <c r="C274" s="16" t="s">
        <v>184</v>
      </c>
      <c r="D274" s="16" t="s">
        <v>766</v>
      </c>
      <c r="E274" s="16" t="s">
        <v>87</v>
      </c>
      <c r="F274" s="16" t="s">
        <v>192</v>
      </c>
      <c r="G274" s="8">
        <v>1</v>
      </c>
      <c r="H274" s="8"/>
      <c r="I274" s="8">
        <v>0</v>
      </c>
      <c r="J274" s="8">
        <v>1</v>
      </c>
      <c r="K274" s="8">
        <v>1</v>
      </c>
      <c r="L274" s="8">
        <v>0</v>
      </c>
      <c r="M274" s="8">
        <v>0</v>
      </c>
      <c r="N274" s="8">
        <v>0</v>
      </c>
      <c r="O274" s="8">
        <v>0</v>
      </c>
      <c r="P274" s="8">
        <v>0</v>
      </c>
      <c r="Q274" s="8">
        <v>0</v>
      </c>
      <c r="R274" s="8">
        <v>1</v>
      </c>
      <c r="S274" s="8">
        <v>0</v>
      </c>
      <c r="T274" s="23">
        <v>1</v>
      </c>
      <c r="U274" s="16"/>
      <c r="V274" s="16" t="s">
        <v>50</v>
      </c>
      <c r="W274" s="16"/>
    </row>
    <row r="275" spans="2:23" ht="15" customHeight="1">
      <c r="B275" s="16" t="s">
        <v>767</v>
      </c>
      <c r="C275" s="16" t="s">
        <v>184</v>
      </c>
      <c r="D275" s="16" t="s">
        <v>768</v>
      </c>
      <c r="E275" s="16" t="s">
        <v>83</v>
      </c>
      <c r="F275" s="16" t="s">
        <v>222</v>
      </c>
      <c r="G275" s="8">
        <v>1</v>
      </c>
      <c r="H275" s="8"/>
      <c r="I275" s="8">
        <v>0</v>
      </c>
      <c r="J275" s="8">
        <v>0</v>
      </c>
      <c r="K275" s="8">
        <v>0</v>
      </c>
      <c r="L275" s="8">
        <v>2</v>
      </c>
      <c r="M275" s="8">
        <v>2</v>
      </c>
      <c r="N275" s="8">
        <v>0</v>
      </c>
      <c r="O275" s="8">
        <v>0</v>
      </c>
      <c r="P275" s="8">
        <v>0</v>
      </c>
      <c r="Q275" s="8">
        <v>0</v>
      </c>
      <c r="R275" s="8">
        <v>1</v>
      </c>
      <c r="S275" s="8">
        <v>0</v>
      </c>
      <c r="T275" s="23">
        <v>1</v>
      </c>
      <c r="U275" s="16"/>
      <c r="V275" s="16" t="s">
        <v>50</v>
      </c>
      <c r="W275" s="16"/>
    </row>
    <row r="276" spans="2:23" ht="15" customHeight="1">
      <c r="B276" s="16" t="s">
        <v>769</v>
      </c>
      <c r="C276" s="16" t="s">
        <v>184</v>
      </c>
      <c r="D276" s="16" t="s">
        <v>770</v>
      </c>
      <c r="E276" s="16" t="s">
        <v>83</v>
      </c>
      <c r="F276" s="16" t="s">
        <v>222</v>
      </c>
      <c r="G276" s="8">
        <v>1</v>
      </c>
      <c r="H276" s="8"/>
      <c r="I276" s="8">
        <v>0</v>
      </c>
      <c r="J276" s="8">
        <v>41</v>
      </c>
      <c r="K276" s="8">
        <v>0</v>
      </c>
      <c r="L276" s="8">
        <v>0</v>
      </c>
      <c r="M276" s="8">
        <v>0</v>
      </c>
      <c r="N276" s="8">
        <v>0</v>
      </c>
      <c r="O276" s="8">
        <v>0</v>
      </c>
      <c r="P276" s="8">
        <v>0</v>
      </c>
      <c r="Q276" s="8">
        <v>0</v>
      </c>
      <c r="R276" s="8">
        <v>1</v>
      </c>
      <c r="S276" s="8">
        <v>0</v>
      </c>
      <c r="T276" s="23">
        <v>1</v>
      </c>
      <c r="U276" s="16"/>
      <c r="V276" s="16" t="s">
        <v>50</v>
      </c>
      <c r="W276" s="16"/>
    </row>
    <row r="277" spans="2:23" ht="15" customHeight="1">
      <c r="B277" s="16" t="s">
        <v>771</v>
      </c>
      <c r="C277" s="16" t="s">
        <v>184</v>
      </c>
      <c r="D277" s="16" t="s">
        <v>772</v>
      </c>
      <c r="E277" s="16" t="s">
        <v>62</v>
      </c>
      <c r="F277" s="16" t="s">
        <v>186</v>
      </c>
      <c r="G277" s="8">
        <v>1</v>
      </c>
      <c r="H277" s="8"/>
      <c r="I277" s="8">
        <v>0</v>
      </c>
      <c r="J277" s="8">
        <v>1</v>
      </c>
      <c r="K277" s="8">
        <v>116</v>
      </c>
      <c r="L277" s="8">
        <v>0</v>
      </c>
      <c r="M277" s="8">
        <v>0</v>
      </c>
      <c r="N277" s="8">
        <v>0</v>
      </c>
      <c r="O277" s="8">
        <v>0</v>
      </c>
      <c r="P277" s="8">
        <v>0</v>
      </c>
      <c r="Q277" s="8">
        <v>0</v>
      </c>
      <c r="R277" s="8">
        <v>1</v>
      </c>
      <c r="S277" s="8">
        <v>0</v>
      </c>
      <c r="T277" s="23">
        <v>1</v>
      </c>
      <c r="U277" s="16" t="s">
        <v>187</v>
      </c>
      <c r="V277" s="16" t="s">
        <v>188</v>
      </c>
      <c r="W277" s="16" t="s">
        <v>189</v>
      </c>
    </row>
    <row r="278" spans="2:23" ht="15" customHeight="1">
      <c r="B278" s="16" t="s">
        <v>773</v>
      </c>
      <c r="C278" s="16" t="s">
        <v>184</v>
      </c>
      <c r="D278" s="16" t="s">
        <v>774</v>
      </c>
      <c r="E278" s="16" t="s">
        <v>62</v>
      </c>
      <c r="F278" s="16" t="s">
        <v>186</v>
      </c>
      <c r="G278" s="8">
        <v>1</v>
      </c>
      <c r="H278" s="8"/>
      <c r="I278" s="8">
        <v>0</v>
      </c>
      <c r="J278" s="8">
        <v>21</v>
      </c>
      <c r="K278" s="8">
        <v>67</v>
      </c>
      <c r="L278" s="8">
        <v>2</v>
      </c>
      <c r="M278" s="8">
        <v>1</v>
      </c>
      <c r="N278" s="8">
        <v>0</v>
      </c>
      <c r="O278" s="8">
        <v>1</v>
      </c>
      <c r="P278" s="8">
        <v>0</v>
      </c>
      <c r="Q278" s="8">
        <v>0</v>
      </c>
      <c r="R278" s="8">
        <v>1</v>
      </c>
      <c r="S278" s="8">
        <v>0</v>
      </c>
      <c r="T278" s="23">
        <v>1</v>
      </c>
      <c r="U278" s="16" t="s">
        <v>187</v>
      </c>
      <c r="V278" s="16" t="s">
        <v>439</v>
      </c>
      <c r="W278" s="16" t="s">
        <v>775</v>
      </c>
    </row>
    <row r="279" spans="2:23" ht="15" customHeight="1">
      <c r="B279" s="16" t="s">
        <v>776</v>
      </c>
      <c r="C279" s="16" t="s">
        <v>184</v>
      </c>
      <c r="D279" s="16" t="s">
        <v>777</v>
      </c>
      <c r="E279" s="16" t="s">
        <v>68</v>
      </c>
      <c r="F279" s="16" t="s">
        <v>192</v>
      </c>
      <c r="G279" s="8">
        <v>1</v>
      </c>
      <c r="H279" s="8"/>
      <c r="I279" s="8">
        <v>0</v>
      </c>
      <c r="J279" s="8">
        <v>147</v>
      </c>
      <c r="K279" s="8">
        <v>28084</v>
      </c>
      <c r="L279" s="8">
        <v>414</v>
      </c>
      <c r="M279" s="8">
        <v>393</v>
      </c>
      <c r="N279" s="8">
        <v>21</v>
      </c>
      <c r="O279" s="8">
        <v>0</v>
      </c>
      <c r="P279" s="8">
        <v>0</v>
      </c>
      <c r="Q279" s="8">
        <v>0</v>
      </c>
      <c r="R279" s="8">
        <v>1</v>
      </c>
      <c r="S279" s="8">
        <v>0</v>
      </c>
      <c r="T279" s="23">
        <v>1</v>
      </c>
      <c r="U279" s="16"/>
      <c r="V279" s="16" t="s">
        <v>50</v>
      </c>
      <c r="W279" s="16"/>
    </row>
    <row r="280" spans="2:23" ht="15" customHeight="1">
      <c r="B280" s="16" t="s">
        <v>580</v>
      </c>
      <c r="C280" s="16" t="s">
        <v>184</v>
      </c>
      <c r="D280" s="16" t="s">
        <v>778</v>
      </c>
      <c r="E280" s="16" t="s">
        <v>62</v>
      </c>
      <c r="F280" s="16" t="s">
        <v>186</v>
      </c>
      <c r="G280" s="8">
        <v>1</v>
      </c>
      <c r="H280" s="8"/>
      <c r="I280" s="8">
        <v>0</v>
      </c>
      <c r="J280" s="8">
        <v>10</v>
      </c>
      <c r="K280" s="8">
        <v>6</v>
      </c>
      <c r="L280" s="8">
        <v>0</v>
      </c>
      <c r="M280" s="8">
        <v>0</v>
      </c>
      <c r="N280" s="8">
        <v>0</v>
      </c>
      <c r="O280" s="8">
        <v>0</v>
      </c>
      <c r="P280" s="8">
        <v>0</v>
      </c>
      <c r="Q280" s="8">
        <v>0</v>
      </c>
      <c r="R280" s="8">
        <v>1</v>
      </c>
      <c r="S280" s="8">
        <v>0</v>
      </c>
      <c r="T280" s="23">
        <v>1</v>
      </c>
      <c r="U280" s="16"/>
      <c r="V280" s="16" t="s">
        <v>50</v>
      </c>
      <c r="W280" s="16"/>
    </row>
    <row r="281" spans="2:23" ht="15" customHeight="1">
      <c r="B281" s="16" t="s">
        <v>779</v>
      </c>
      <c r="C281" s="16" t="s">
        <v>184</v>
      </c>
      <c r="D281" s="16" t="s">
        <v>780</v>
      </c>
      <c r="E281" s="16" t="s">
        <v>116</v>
      </c>
      <c r="F281" s="16" t="s">
        <v>186</v>
      </c>
      <c r="G281" s="8">
        <v>1</v>
      </c>
      <c r="H281" s="8">
        <v>0</v>
      </c>
      <c r="I281" s="8">
        <v>0</v>
      </c>
      <c r="J281" s="8">
        <v>5373</v>
      </c>
      <c r="K281" s="8">
        <v>1056</v>
      </c>
      <c r="L281" s="8">
        <v>12</v>
      </c>
      <c r="M281" s="8">
        <v>12</v>
      </c>
      <c r="N281" s="8">
        <v>0</v>
      </c>
      <c r="O281" s="8">
        <v>0</v>
      </c>
      <c r="P281" s="8">
        <v>0</v>
      </c>
      <c r="Q281" s="8">
        <v>1</v>
      </c>
      <c r="R281" s="8">
        <v>0</v>
      </c>
      <c r="S281" s="8">
        <v>0</v>
      </c>
      <c r="T281" s="23">
        <v>1</v>
      </c>
      <c r="U281" s="16"/>
      <c r="V281" s="16" t="s">
        <v>50</v>
      </c>
      <c r="W281" s="16"/>
    </row>
    <row r="282" spans="2:23" ht="15" customHeight="1">
      <c r="B282" s="16" t="s">
        <v>781</v>
      </c>
      <c r="C282" s="16" t="s">
        <v>184</v>
      </c>
      <c r="D282" s="16" t="s">
        <v>782</v>
      </c>
      <c r="E282" s="16" t="s">
        <v>85</v>
      </c>
      <c r="F282" s="16" t="s">
        <v>222</v>
      </c>
      <c r="G282" s="8">
        <v>1</v>
      </c>
      <c r="H282" s="8"/>
      <c r="I282" s="8">
        <v>0</v>
      </c>
      <c r="J282" s="8">
        <v>0</v>
      </c>
      <c r="K282" s="8">
        <v>0</v>
      </c>
      <c r="L282" s="8">
        <v>2</v>
      </c>
      <c r="M282" s="8">
        <v>2</v>
      </c>
      <c r="N282" s="8">
        <v>0</v>
      </c>
      <c r="O282" s="8">
        <v>0</v>
      </c>
      <c r="P282" s="8">
        <v>0</v>
      </c>
      <c r="Q282" s="8">
        <v>0</v>
      </c>
      <c r="R282" s="8">
        <v>1</v>
      </c>
      <c r="S282" s="8">
        <v>0</v>
      </c>
      <c r="T282" s="23">
        <v>1</v>
      </c>
      <c r="U282" s="16"/>
      <c r="V282" s="16" t="s">
        <v>50</v>
      </c>
      <c r="W282" s="16"/>
    </row>
    <row r="283" spans="2:23" ht="15" customHeight="1">
      <c r="B283" s="16" t="s">
        <v>783</v>
      </c>
      <c r="C283" s="16" t="s">
        <v>184</v>
      </c>
      <c r="D283" s="16" t="s">
        <v>784</v>
      </c>
      <c r="E283" s="16" t="s">
        <v>116</v>
      </c>
      <c r="F283" s="16" t="s">
        <v>186</v>
      </c>
      <c r="G283" s="8">
        <v>1</v>
      </c>
      <c r="H283" s="8"/>
      <c r="I283" s="8">
        <v>0</v>
      </c>
      <c r="J283" s="8">
        <v>280</v>
      </c>
      <c r="K283" s="8">
        <v>694</v>
      </c>
      <c r="L283" s="8">
        <v>4</v>
      </c>
      <c r="M283" s="8">
        <v>4</v>
      </c>
      <c r="N283" s="8">
        <v>0</v>
      </c>
      <c r="O283" s="8">
        <v>0</v>
      </c>
      <c r="P283" s="8">
        <v>0</v>
      </c>
      <c r="Q283" s="8">
        <v>0</v>
      </c>
      <c r="R283" s="8">
        <v>1</v>
      </c>
      <c r="S283" s="8">
        <v>0</v>
      </c>
      <c r="T283" s="23">
        <v>1</v>
      </c>
      <c r="U283" s="16"/>
      <c r="V283" s="16" t="s">
        <v>50</v>
      </c>
      <c r="W283" s="16"/>
    </row>
    <row r="284" spans="2:23" ht="15" customHeight="1">
      <c r="B284" s="16" t="s">
        <v>785</v>
      </c>
      <c r="C284" s="16" t="s">
        <v>184</v>
      </c>
      <c r="D284" s="16" t="s">
        <v>786</v>
      </c>
      <c r="E284" s="16" t="s">
        <v>65</v>
      </c>
      <c r="F284" s="16" t="s">
        <v>186</v>
      </c>
      <c r="G284" s="8">
        <v>1</v>
      </c>
      <c r="H284" s="8"/>
      <c r="I284" s="8">
        <v>0</v>
      </c>
      <c r="J284" s="8">
        <v>6282</v>
      </c>
      <c r="K284" s="8">
        <v>0</v>
      </c>
      <c r="L284" s="8">
        <v>0</v>
      </c>
      <c r="M284" s="8">
        <v>0</v>
      </c>
      <c r="N284" s="8">
        <v>0</v>
      </c>
      <c r="O284" s="8">
        <v>0</v>
      </c>
      <c r="P284" s="8">
        <v>0</v>
      </c>
      <c r="Q284" s="8">
        <v>0</v>
      </c>
      <c r="R284" s="8">
        <v>1</v>
      </c>
      <c r="S284" s="8">
        <v>0</v>
      </c>
      <c r="T284" s="23">
        <v>1</v>
      </c>
      <c r="U284" s="16"/>
      <c r="V284" s="16" t="s">
        <v>50</v>
      </c>
      <c r="W284" s="16"/>
    </row>
    <row r="285" spans="2:23" ht="15" customHeight="1">
      <c r="B285" s="16" t="s">
        <v>787</v>
      </c>
      <c r="C285" s="16" t="s">
        <v>184</v>
      </c>
      <c r="D285" s="16" t="s">
        <v>788</v>
      </c>
      <c r="E285" s="16" t="s">
        <v>62</v>
      </c>
      <c r="F285" s="16" t="s">
        <v>186</v>
      </c>
      <c r="G285" s="8">
        <v>1</v>
      </c>
      <c r="H285" s="8"/>
      <c r="I285" s="8">
        <v>0</v>
      </c>
      <c r="J285" s="8">
        <v>0</v>
      </c>
      <c r="K285" s="8">
        <v>119</v>
      </c>
      <c r="L285" s="8">
        <v>5</v>
      </c>
      <c r="M285" s="8">
        <v>2</v>
      </c>
      <c r="N285" s="8">
        <v>0</v>
      </c>
      <c r="O285" s="8">
        <v>3</v>
      </c>
      <c r="P285" s="8">
        <v>0</v>
      </c>
      <c r="Q285" s="8">
        <v>1</v>
      </c>
      <c r="R285" s="8">
        <v>0</v>
      </c>
      <c r="S285" s="8">
        <v>0</v>
      </c>
      <c r="T285" s="23">
        <v>1</v>
      </c>
      <c r="U285" s="16"/>
      <c r="V285" s="16" t="s">
        <v>50</v>
      </c>
      <c r="W285" s="16"/>
    </row>
    <row r="286" spans="2:23" ht="15" customHeight="1">
      <c r="B286" s="16" t="s">
        <v>789</v>
      </c>
      <c r="C286" s="16" t="s">
        <v>184</v>
      </c>
      <c r="D286" s="16" t="s">
        <v>790</v>
      </c>
      <c r="E286" s="16" t="s">
        <v>62</v>
      </c>
      <c r="F286" s="16" t="s">
        <v>186</v>
      </c>
      <c r="G286" s="8">
        <v>1</v>
      </c>
      <c r="H286" s="8"/>
      <c r="I286" s="8">
        <v>0</v>
      </c>
      <c r="J286" s="8">
        <v>47</v>
      </c>
      <c r="K286" s="8">
        <v>1</v>
      </c>
      <c r="L286" s="8">
        <v>0</v>
      </c>
      <c r="M286" s="8">
        <v>0</v>
      </c>
      <c r="N286" s="8">
        <v>0</v>
      </c>
      <c r="O286" s="8">
        <v>0</v>
      </c>
      <c r="P286" s="8">
        <v>0</v>
      </c>
      <c r="Q286" s="8">
        <v>0</v>
      </c>
      <c r="R286" s="8">
        <v>1</v>
      </c>
      <c r="S286" s="8">
        <v>0</v>
      </c>
      <c r="T286" s="23">
        <v>1</v>
      </c>
      <c r="U286" s="16" t="s">
        <v>187</v>
      </c>
      <c r="V286" s="16" t="s">
        <v>435</v>
      </c>
      <c r="W286" s="16" t="s">
        <v>436</v>
      </c>
    </row>
    <row r="287" spans="2:23" ht="15" customHeight="1">
      <c r="B287" s="16" t="s">
        <v>791</v>
      </c>
      <c r="C287" s="16" t="s">
        <v>184</v>
      </c>
      <c r="D287" s="16" t="s">
        <v>792</v>
      </c>
      <c r="E287" s="16" t="s">
        <v>134</v>
      </c>
      <c r="F287" s="16" t="s">
        <v>192</v>
      </c>
      <c r="G287" s="8">
        <v>1</v>
      </c>
      <c r="H287" s="8"/>
      <c r="I287" s="8">
        <v>0</v>
      </c>
      <c r="J287" s="8" t="s">
        <v>101</v>
      </c>
      <c r="K287" s="8">
        <v>0</v>
      </c>
      <c r="L287" s="8" t="s">
        <v>101</v>
      </c>
      <c r="M287" s="8">
        <v>0</v>
      </c>
      <c r="N287" s="8">
        <v>0</v>
      </c>
      <c r="O287" s="8">
        <v>0</v>
      </c>
      <c r="P287" s="8">
        <v>5</v>
      </c>
      <c r="Q287" s="8">
        <v>1</v>
      </c>
      <c r="R287" s="8">
        <v>0</v>
      </c>
      <c r="S287" s="8">
        <v>0</v>
      </c>
      <c r="T287" s="23">
        <v>1</v>
      </c>
      <c r="U287" s="16"/>
      <c r="V287" s="16" t="s">
        <v>50</v>
      </c>
      <c r="W287" s="16"/>
    </row>
    <row r="288" spans="2:23" ht="15" customHeight="1">
      <c r="B288" s="16" t="s">
        <v>793</v>
      </c>
      <c r="C288" s="16" t="s">
        <v>184</v>
      </c>
      <c r="D288" s="16" t="s">
        <v>794</v>
      </c>
      <c r="E288" s="16" t="s">
        <v>78</v>
      </c>
      <c r="F288" s="16" t="s">
        <v>192</v>
      </c>
      <c r="G288" s="8">
        <v>1</v>
      </c>
      <c r="H288" s="8">
        <v>340</v>
      </c>
      <c r="I288" s="8">
        <v>5</v>
      </c>
      <c r="J288" s="8">
        <v>119000</v>
      </c>
      <c r="K288" s="8">
        <v>0</v>
      </c>
      <c r="L288" s="8">
        <v>0</v>
      </c>
      <c r="M288" s="8">
        <v>0</v>
      </c>
      <c r="N288" s="8">
        <v>0</v>
      </c>
      <c r="O288" s="8">
        <v>0</v>
      </c>
      <c r="P288" s="8">
        <v>0</v>
      </c>
      <c r="Q288" s="8">
        <v>1</v>
      </c>
      <c r="R288" s="8">
        <v>0</v>
      </c>
      <c r="S288" s="8">
        <v>0</v>
      </c>
      <c r="T288" s="23">
        <v>1</v>
      </c>
      <c r="U288" s="16"/>
      <c r="V288" s="16" t="s">
        <v>50</v>
      </c>
      <c r="W288" s="16"/>
    </row>
    <row r="289" spans="2:23" ht="15" customHeight="1">
      <c r="B289" s="16" t="s">
        <v>795</v>
      </c>
      <c r="C289" s="16" t="s">
        <v>184</v>
      </c>
      <c r="D289" s="16" t="s">
        <v>796</v>
      </c>
      <c r="E289" s="16" t="s">
        <v>132</v>
      </c>
      <c r="F289" s="16" t="s">
        <v>192</v>
      </c>
      <c r="G289" s="8">
        <v>1</v>
      </c>
      <c r="H289" s="8"/>
      <c r="I289" s="8">
        <v>0</v>
      </c>
      <c r="J289" s="8">
        <v>0</v>
      </c>
      <c r="K289" s="8">
        <v>0</v>
      </c>
      <c r="L289" s="8">
        <v>0</v>
      </c>
      <c r="M289" s="8">
        <v>0</v>
      </c>
      <c r="N289" s="8">
        <v>0</v>
      </c>
      <c r="O289" s="8">
        <v>0</v>
      </c>
      <c r="P289" s="8">
        <v>0</v>
      </c>
      <c r="Q289" s="8">
        <v>0</v>
      </c>
      <c r="R289" s="8">
        <v>1</v>
      </c>
      <c r="S289" s="8">
        <v>0</v>
      </c>
      <c r="T289" s="23">
        <v>1</v>
      </c>
      <c r="U289" s="16"/>
      <c r="V289" s="16" t="s">
        <v>50</v>
      </c>
      <c r="W289" s="16"/>
    </row>
    <row r="290" spans="2:23" ht="15" customHeight="1">
      <c r="B290" s="16" t="s">
        <v>240</v>
      </c>
      <c r="C290" s="16" t="s">
        <v>184</v>
      </c>
      <c r="D290" s="16" t="s">
        <v>797</v>
      </c>
      <c r="E290" s="16" t="s">
        <v>73</v>
      </c>
      <c r="F290" s="16" t="s">
        <v>192</v>
      </c>
      <c r="G290" s="8">
        <v>1</v>
      </c>
      <c r="H290" s="8"/>
      <c r="I290" s="8">
        <v>0</v>
      </c>
      <c r="J290" s="8">
        <v>0</v>
      </c>
      <c r="K290" s="8">
        <v>0</v>
      </c>
      <c r="L290" s="8">
        <v>0</v>
      </c>
      <c r="M290" s="8">
        <v>0</v>
      </c>
      <c r="N290" s="8">
        <v>0</v>
      </c>
      <c r="O290" s="8">
        <v>0</v>
      </c>
      <c r="P290" s="8">
        <v>0</v>
      </c>
      <c r="Q290" s="8">
        <v>0</v>
      </c>
      <c r="R290" s="8">
        <v>1</v>
      </c>
      <c r="S290" s="8">
        <v>0</v>
      </c>
      <c r="T290" s="23">
        <v>1</v>
      </c>
      <c r="U290" s="16"/>
      <c r="V290" s="16" t="s">
        <v>50</v>
      </c>
      <c r="W290" s="16"/>
    </row>
    <row r="291" spans="2:23" ht="15" customHeight="1">
      <c r="B291" s="16" t="s">
        <v>798</v>
      </c>
      <c r="C291" s="16" t="s">
        <v>184</v>
      </c>
      <c r="D291" s="16" t="s">
        <v>799</v>
      </c>
      <c r="E291" s="16" t="s">
        <v>83</v>
      </c>
      <c r="F291" s="16" t="s">
        <v>222</v>
      </c>
      <c r="G291" s="8">
        <v>1</v>
      </c>
      <c r="H291" s="8"/>
      <c r="I291" s="8">
        <v>0</v>
      </c>
      <c r="J291" s="8">
        <v>1</v>
      </c>
      <c r="K291" s="8">
        <v>0</v>
      </c>
      <c r="L291" s="8">
        <v>2</v>
      </c>
      <c r="M291" s="8">
        <v>1</v>
      </c>
      <c r="N291" s="8">
        <v>1</v>
      </c>
      <c r="O291" s="8">
        <v>0</v>
      </c>
      <c r="P291" s="8">
        <v>0</v>
      </c>
      <c r="Q291" s="8">
        <v>0</v>
      </c>
      <c r="R291" s="8">
        <v>1</v>
      </c>
      <c r="S291" s="8">
        <v>0</v>
      </c>
      <c r="T291" s="23">
        <v>1</v>
      </c>
      <c r="U291" s="16"/>
      <c r="V291" s="16" t="s">
        <v>50</v>
      </c>
      <c r="W291" s="16"/>
    </row>
    <row r="292" spans="2:23" ht="15" customHeight="1">
      <c r="B292" s="16" t="s">
        <v>318</v>
      </c>
      <c r="C292" s="16" t="s">
        <v>184</v>
      </c>
      <c r="D292" s="16" t="s">
        <v>800</v>
      </c>
      <c r="E292" s="16" t="s">
        <v>73</v>
      </c>
      <c r="F292" s="16" t="s">
        <v>192</v>
      </c>
      <c r="G292" s="8">
        <v>1</v>
      </c>
      <c r="H292" s="8"/>
      <c r="I292" s="8">
        <v>0</v>
      </c>
      <c r="J292" s="8">
        <v>0</v>
      </c>
      <c r="K292" s="8">
        <v>0</v>
      </c>
      <c r="L292" s="8">
        <v>0</v>
      </c>
      <c r="M292" s="8">
        <v>0</v>
      </c>
      <c r="N292" s="8">
        <v>0</v>
      </c>
      <c r="O292" s="8">
        <v>0</v>
      </c>
      <c r="P292" s="8">
        <v>0</v>
      </c>
      <c r="Q292" s="8">
        <v>0</v>
      </c>
      <c r="R292" s="8">
        <v>1</v>
      </c>
      <c r="S292" s="8">
        <v>0</v>
      </c>
      <c r="T292" s="23">
        <v>1</v>
      </c>
      <c r="U292" s="16"/>
      <c r="V292" s="16" t="s">
        <v>50</v>
      </c>
      <c r="W292" s="16"/>
    </row>
    <row r="293" spans="2:23" ht="15" customHeight="1">
      <c r="B293" s="16" t="s">
        <v>240</v>
      </c>
      <c r="C293" s="16" t="s">
        <v>184</v>
      </c>
      <c r="D293" s="16" t="s">
        <v>801</v>
      </c>
      <c r="E293" s="16" t="s">
        <v>73</v>
      </c>
      <c r="F293" s="16" t="s">
        <v>192</v>
      </c>
      <c r="G293" s="8">
        <v>1</v>
      </c>
      <c r="H293" s="8"/>
      <c r="I293" s="8">
        <v>0</v>
      </c>
      <c r="J293" s="8">
        <v>0</v>
      </c>
      <c r="K293" s="8">
        <v>0</v>
      </c>
      <c r="L293" s="8">
        <v>0</v>
      </c>
      <c r="M293" s="8">
        <v>0</v>
      </c>
      <c r="N293" s="8">
        <v>0</v>
      </c>
      <c r="O293" s="8">
        <v>0</v>
      </c>
      <c r="P293" s="8">
        <v>0</v>
      </c>
      <c r="Q293" s="8">
        <v>1</v>
      </c>
      <c r="R293" s="8">
        <v>0</v>
      </c>
      <c r="S293" s="8">
        <v>0</v>
      </c>
      <c r="T293" s="23">
        <v>1</v>
      </c>
      <c r="U293" s="16"/>
      <c r="V293" s="16" t="s">
        <v>50</v>
      </c>
      <c r="W293" s="16"/>
    </row>
    <row r="294" spans="2:23" ht="15" customHeight="1">
      <c r="B294" s="16" t="s">
        <v>802</v>
      </c>
      <c r="C294" s="16" t="s">
        <v>184</v>
      </c>
      <c r="D294" s="16" t="s">
        <v>803</v>
      </c>
      <c r="E294" s="16" t="s">
        <v>95</v>
      </c>
      <c r="F294" s="16" t="s">
        <v>192</v>
      </c>
      <c r="G294" s="8">
        <v>1</v>
      </c>
      <c r="H294" s="8"/>
      <c r="I294" s="8">
        <v>0</v>
      </c>
      <c r="J294" s="8">
        <v>0</v>
      </c>
      <c r="K294" s="8">
        <v>0</v>
      </c>
      <c r="L294" s="8">
        <v>0</v>
      </c>
      <c r="M294" s="8">
        <v>0</v>
      </c>
      <c r="N294" s="8">
        <v>0</v>
      </c>
      <c r="O294" s="8">
        <v>0</v>
      </c>
      <c r="P294" s="8">
        <v>0</v>
      </c>
      <c r="Q294" s="8">
        <v>0</v>
      </c>
      <c r="R294" s="8">
        <v>1</v>
      </c>
      <c r="S294" s="8">
        <v>0</v>
      </c>
      <c r="T294" s="23">
        <v>1</v>
      </c>
      <c r="U294" s="16"/>
      <c r="V294" s="16" t="s">
        <v>50</v>
      </c>
      <c r="W294" s="16"/>
    </row>
    <row r="295" spans="2:23" ht="15" customHeight="1">
      <c r="B295" s="16" t="s">
        <v>240</v>
      </c>
      <c r="C295" s="16" t="s">
        <v>184</v>
      </c>
      <c r="D295" s="16" t="s">
        <v>804</v>
      </c>
      <c r="E295" s="16" t="s">
        <v>73</v>
      </c>
      <c r="F295" s="16" t="s">
        <v>192</v>
      </c>
      <c r="G295" s="8">
        <v>1</v>
      </c>
      <c r="H295" s="8"/>
      <c r="I295" s="8">
        <v>0</v>
      </c>
      <c r="J295" s="8">
        <v>0</v>
      </c>
      <c r="K295" s="8">
        <v>0</v>
      </c>
      <c r="L295" s="8">
        <v>0</v>
      </c>
      <c r="M295" s="8">
        <v>0</v>
      </c>
      <c r="N295" s="8">
        <v>0</v>
      </c>
      <c r="O295" s="8">
        <v>0</v>
      </c>
      <c r="P295" s="8">
        <v>0</v>
      </c>
      <c r="Q295" s="8">
        <v>0</v>
      </c>
      <c r="R295" s="8">
        <v>1</v>
      </c>
      <c r="S295" s="8">
        <v>0</v>
      </c>
      <c r="T295" s="23">
        <v>1</v>
      </c>
      <c r="U295" s="16"/>
      <c r="V295" s="16" t="s">
        <v>50</v>
      </c>
      <c r="W295" s="16"/>
    </row>
    <row r="296" spans="2:23" ht="15" customHeight="1">
      <c r="B296" s="16" t="s">
        <v>318</v>
      </c>
      <c r="C296" s="16" t="s">
        <v>184</v>
      </c>
      <c r="D296" s="16" t="s">
        <v>805</v>
      </c>
      <c r="E296" s="16" t="s">
        <v>73</v>
      </c>
      <c r="F296" s="16" t="s">
        <v>192</v>
      </c>
      <c r="G296" s="8">
        <v>1</v>
      </c>
      <c r="H296" s="8"/>
      <c r="I296" s="8">
        <v>0</v>
      </c>
      <c r="J296" s="8">
        <v>0</v>
      </c>
      <c r="K296" s="8">
        <v>0</v>
      </c>
      <c r="L296" s="8">
        <v>0</v>
      </c>
      <c r="M296" s="8">
        <v>0</v>
      </c>
      <c r="N296" s="8">
        <v>0</v>
      </c>
      <c r="O296" s="8">
        <v>0</v>
      </c>
      <c r="P296" s="8">
        <v>0</v>
      </c>
      <c r="Q296" s="8">
        <v>0</v>
      </c>
      <c r="R296" s="8">
        <v>1</v>
      </c>
      <c r="S296" s="8">
        <v>0</v>
      </c>
      <c r="T296" s="23">
        <v>1</v>
      </c>
      <c r="U296" s="16"/>
      <c r="V296" s="16" t="s">
        <v>50</v>
      </c>
      <c r="W296" s="16"/>
    </row>
    <row r="297" spans="2:23" ht="15" customHeight="1">
      <c r="B297" s="16" t="s">
        <v>806</v>
      </c>
      <c r="C297" s="16" t="s">
        <v>184</v>
      </c>
      <c r="D297" s="16" t="s">
        <v>807</v>
      </c>
      <c r="E297" s="16" t="s">
        <v>87</v>
      </c>
      <c r="F297" s="16" t="s">
        <v>192</v>
      </c>
      <c r="G297" s="8">
        <v>1</v>
      </c>
      <c r="H297" s="8"/>
      <c r="I297" s="8">
        <v>0</v>
      </c>
      <c r="J297" s="8">
        <v>2</v>
      </c>
      <c r="K297" s="8">
        <v>6</v>
      </c>
      <c r="L297" s="8">
        <v>1</v>
      </c>
      <c r="M297" s="8">
        <v>0</v>
      </c>
      <c r="N297" s="8">
        <v>1</v>
      </c>
      <c r="O297" s="8">
        <v>0</v>
      </c>
      <c r="P297" s="8">
        <v>0</v>
      </c>
      <c r="Q297" s="8">
        <v>0</v>
      </c>
      <c r="R297" s="8">
        <v>1</v>
      </c>
      <c r="S297" s="8">
        <v>0</v>
      </c>
      <c r="T297" s="23">
        <v>1</v>
      </c>
      <c r="U297" s="16"/>
      <c r="V297" s="16" t="s">
        <v>50</v>
      </c>
      <c r="W297" s="16"/>
    </row>
    <row r="298" spans="2:23" ht="15" customHeight="1">
      <c r="B298" s="16" t="s">
        <v>808</v>
      </c>
      <c r="C298" s="16" t="s">
        <v>184</v>
      </c>
      <c r="D298" s="16" t="s">
        <v>809</v>
      </c>
      <c r="E298" s="16" t="s">
        <v>73</v>
      </c>
      <c r="F298" s="16" t="s">
        <v>192</v>
      </c>
      <c r="G298" s="8">
        <v>1</v>
      </c>
      <c r="H298" s="8"/>
      <c r="I298" s="8">
        <v>0</v>
      </c>
      <c r="J298" s="8">
        <v>0</v>
      </c>
      <c r="K298" s="8">
        <v>0</v>
      </c>
      <c r="L298" s="8">
        <v>0</v>
      </c>
      <c r="M298" s="8">
        <v>0</v>
      </c>
      <c r="N298" s="8">
        <v>0</v>
      </c>
      <c r="O298" s="8">
        <v>0</v>
      </c>
      <c r="P298" s="8">
        <v>0</v>
      </c>
      <c r="Q298" s="8">
        <v>0</v>
      </c>
      <c r="R298" s="8">
        <v>1</v>
      </c>
      <c r="S298" s="8">
        <v>0</v>
      </c>
      <c r="T298" s="23">
        <v>1</v>
      </c>
      <c r="U298" s="16"/>
      <c r="V298" s="16" t="s">
        <v>50</v>
      </c>
      <c r="W298" s="16"/>
    </row>
    <row r="299" spans="2:23" ht="15" customHeight="1">
      <c r="B299" s="16" t="s">
        <v>810</v>
      </c>
      <c r="C299" s="16" t="s">
        <v>184</v>
      </c>
      <c r="D299" s="16" t="s">
        <v>811</v>
      </c>
      <c r="E299" s="16" t="s">
        <v>73</v>
      </c>
      <c r="F299" s="16" t="s">
        <v>192</v>
      </c>
      <c r="G299" s="8">
        <v>1</v>
      </c>
      <c r="H299" s="8"/>
      <c r="I299" s="8">
        <v>0</v>
      </c>
      <c r="J299" s="8">
        <v>0</v>
      </c>
      <c r="K299" s="8">
        <v>0</v>
      </c>
      <c r="L299" s="8">
        <v>0</v>
      </c>
      <c r="M299" s="8">
        <v>0</v>
      </c>
      <c r="N299" s="8">
        <v>0</v>
      </c>
      <c r="O299" s="8">
        <v>0</v>
      </c>
      <c r="P299" s="8">
        <v>0</v>
      </c>
      <c r="Q299" s="8">
        <v>1</v>
      </c>
      <c r="R299" s="8">
        <v>0</v>
      </c>
      <c r="S299" s="8">
        <v>0</v>
      </c>
      <c r="T299" s="23">
        <v>1</v>
      </c>
      <c r="U299" s="16" t="s">
        <v>187</v>
      </c>
      <c r="V299" s="16" t="s">
        <v>812</v>
      </c>
      <c r="W299" s="16" t="s">
        <v>813</v>
      </c>
    </row>
    <row r="300" spans="2:23" ht="15" customHeight="1">
      <c r="B300" s="16" t="s">
        <v>814</v>
      </c>
      <c r="C300" s="16" t="s">
        <v>184</v>
      </c>
      <c r="D300" s="16" t="s">
        <v>815</v>
      </c>
      <c r="E300" s="16" t="s">
        <v>73</v>
      </c>
      <c r="F300" s="16" t="s">
        <v>192</v>
      </c>
      <c r="G300" s="8">
        <v>1</v>
      </c>
      <c r="H300" s="8"/>
      <c r="I300" s="8">
        <v>0</v>
      </c>
      <c r="J300" s="8">
        <v>0</v>
      </c>
      <c r="K300" s="8">
        <v>0</v>
      </c>
      <c r="L300" s="8">
        <v>0</v>
      </c>
      <c r="M300" s="8">
        <v>0</v>
      </c>
      <c r="N300" s="8">
        <v>0</v>
      </c>
      <c r="O300" s="8">
        <v>0</v>
      </c>
      <c r="P300" s="8">
        <v>0</v>
      </c>
      <c r="Q300" s="8">
        <v>0</v>
      </c>
      <c r="R300" s="8">
        <v>1</v>
      </c>
      <c r="S300" s="8">
        <v>0</v>
      </c>
      <c r="T300" s="23">
        <v>1</v>
      </c>
      <c r="U300" s="16"/>
      <c r="V300" s="16" t="s">
        <v>50</v>
      </c>
      <c r="W300" s="16"/>
    </row>
    <row r="301" spans="2:23" ht="15" customHeight="1">
      <c r="B301" s="16" t="s">
        <v>816</v>
      </c>
      <c r="C301" s="16" t="s">
        <v>184</v>
      </c>
      <c r="D301" s="16" t="s">
        <v>817</v>
      </c>
      <c r="E301" s="16" t="s">
        <v>136</v>
      </c>
      <c r="F301" s="16" t="s">
        <v>192</v>
      </c>
      <c r="G301" s="8">
        <v>1</v>
      </c>
      <c r="H301" s="8"/>
      <c r="I301" s="8">
        <v>0</v>
      </c>
      <c r="J301" s="8">
        <v>0</v>
      </c>
      <c r="K301" s="8">
        <v>0</v>
      </c>
      <c r="L301" s="8">
        <v>0</v>
      </c>
      <c r="M301" s="8">
        <v>0</v>
      </c>
      <c r="N301" s="8">
        <v>0</v>
      </c>
      <c r="O301" s="8">
        <v>0</v>
      </c>
      <c r="P301" s="8">
        <v>0</v>
      </c>
      <c r="Q301" s="8">
        <v>1</v>
      </c>
      <c r="R301" s="8">
        <v>0</v>
      </c>
      <c r="S301" s="8">
        <v>0</v>
      </c>
      <c r="T301" s="23">
        <v>1</v>
      </c>
      <c r="U301" s="16"/>
      <c r="V301" s="16" t="s">
        <v>50</v>
      </c>
      <c r="W301" s="16"/>
    </row>
    <row r="302" spans="2:23" ht="15" customHeight="1">
      <c r="B302" s="16" t="s">
        <v>818</v>
      </c>
      <c r="C302" s="16" t="s">
        <v>184</v>
      </c>
      <c r="D302" s="16" t="s">
        <v>819</v>
      </c>
      <c r="E302" s="16" t="s">
        <v>97</v>
      </c>
      <c r="F302" s="16" t="s">
        <v>192</v>
      </c>
      <c r="G302" s="8">
        <v>1</v>
      </c>
      <c r="H302" s="8"/>
      <c r="I302" s="8">
        <v>0</v>
      </c>
      <c r="J302" s="8">
        <v>0</v>
      </c>
      <c r="K302" s="8">
        <v>0</v>
      </c>
      <c r="L302" s="8">
        <v>0</v>
      </c>
      <c r="M302" s="8">
        <v>0</v>
      </c>
      <c r="N302" s="8">
        <v>0</v>
      </c>
      <c r="O302" s="8">
        <v>0</v>
      </c>
      <c r="P302" s="8">
        <v>0</v>
      </c>
      <c r="Q302" s="8">
        <v>0</v>
      </c>
      <c r="R302" s="8">
        <v>1</v>
      </c>
      <c r="S302" s="8">
        <v>0</v>
      </c>
      <c r="T302" s="23">
        <v>1</v>
      </c>
      <c r="U302" s="16"/>
      <c r="V302" s="16" t="s">
        <v>50</v>
      </c>
      <c r="W302" s="16"/>
    </row>
    <row r="303" spans="2:23" ht="15" customHeight="1">
      <c r="B303" s="16" t="s">
        <v>820</v>
      </c>
      <c r="C303" s="16" t="s">
        <v>184</v>
      </c>
      <c r="D303" s="16" t="s">
        <v>821</v>
      </c>
      <c r="E303" s="16" t="s">
        <v>62</v>
      </c>
      <c r="F303" s="16" t="s">
        <v>186</v>
      </c>
      <c r="G303" s="8">
        <v>1</v>
      </c>
      <c r="H303" s="8"/>
      <c r="I303" s="8">
        <v>0</v>
      </c>
      <c r="J303" s="8">
        <v>0</v>
      </c>
      <c r="K303" s="8">
        <v>6</v>
      </c>
      <c r="L303" s="8">
        <v>0</v>
      </c>
      <c r="M303" s="8">
        <v>0</v>
      </c>
      <c r="N303" s="8">
        <v>0</v>
      </c>
      <c r="O303" s="8">
        <v>0</v>
      </c>
      <c r="P303" s="8">
        <v>0</v>
      </c>
      <c r="Q303" s="8">
        <v>0</v>
      </c>
      <c r="R303" s="8">
        <v>1</v>
      </c>
      <c r="S303" s="8">
        <v>0</v>
      </c>
      <c r="T303" s="23">
        <v>1</v>
      </c>
      <c r="U303" s="16"/>
      <c r="V303" s="16" t="s">
        <v>50</v>
      </c>
      <c r="W303" s="16"/>
    </row>
    <row r="304" spans="2:23" ht="15" customHeight="1">
      <c r="B304" s="16" t="s">
        <v>822</v>
      </c>
      <c r="C304" s="16" t="s">
        <v>184</v>
      </c>
      <c r="D304" s="16" t="s">
        <v>823</v>
      </c>
      <c r="E304" s="16" t="s">
        <v>73</v>
      </c>
      <c r="F304" s="16" t="s">
        <v>192</v>
      </c>
      <c r="G304" s="8">
        <v>1</v>
      </c>
      <c r="H304" s="8"/>
      <c r="I304" s="8">
        <v>0</v>
      </c>
      <c r="J304" s="8">
        <v>0</v>
      </c>
      <c r="K304" s="8">
        <v>0</v>
      </c>
      <c r="L304" s="8">
        <v>0</v>
      </c>
      <c r="M304" s="8">
        <v>0</v>
      </c>
      <c r="N304" s="8">
        <v>0</v>
      </c>
      <c r="O304" s="8">
        <v>0</v>
      </c>
      <c r="P304" s="8">
        <v>0</v>
      </c>
      <c r="Q304" s="8">
        <v>0</v>
      </c>
      <c r="R304" s="8">
        <v>1</v>
      </c>
      <c r="S304" s="8">
        <v>0</v>
      </c>
      <c r="T304" s="23">
        <v>1</v>
      </c>
      <c r="U304" s="16"/>
      <c r="V304" s="16" t="s">
        <v>50</v>
      </c>
      <c r="W304" s="16"/>
    </row>
    <row r="305" spans="2:23" ht="15" customHeight="1">
      <c r="B305" s="16" t="s">
        <v>824</v>
      </c>
      <c r="C305" s="16" t="s">
        <v>184</v>
      </c>
      <c r="D305" s="16" t="s">
        <v>825</v>
      </c>
      <c r="E305" s="16" t="s">
        <v>73</v>
      </c>
      <c r="F305" s="16" t="s">
        <v>192</v>
      </c>
      <c r="G305" s="8">
        <v>1</v>
      </c>
      <c r="H305" s="8"/>
      <c r="I305" s="8">
        <v>0</v>
      </c>
      <c r="J305" s="8">
        <v>0</v>
      </c>
      <c r="K305" s="8">
        <v>0</v>
      </c>
      <c r="L305" s="8">
        <v>0</v>
      </c>
      <c r="M305" s="8">
        <v>0</v>
      </c>
      <c r="N305" s="8">
        <v>0</v>
      </c>
      <c r="O305" s="8">
        <v>0</v>
      </c>
      <c r="P305" s="8">
        <v>0</v>
      </c>
      <c r="Q305" s="8">
        <v>0</v>
      </c>
      <c r="R305" s="8">
        <v>1</v>
      </c>
      <c r="S305" s="8">
        <v>0</v>
      </c>
      <c r="T305" s="23">
        <v>1</v>
      </c>
      <c r="U305" s="16"/>
      <c r="V305" s="16" t="s">
        <v>50</v>
      </c>
      <c r="W305" s="16"/>
    </row>
    <row r="306" spans="2:23" ht="15" customHeight="1">
      <c r="B306" s="16" t="s">
        <v>826</v>
      </c>
      <c r="C306" s="16" t="s">
        <v>184</v>
      </c>
      <c r="D306" s="16" t="s">
        <v>827</v>
      </c>
      <c r="E306" s="16" t="s">
        <v>95</v>
      </c>
      <c r="F306" s="16" t="s">
        <v>192</v>
      </c>
      <c r="G306" s="8">
        <v>1</v>
      </c>
      <c r="H306" s="8"/>
      <c r="I306" s="8">
        <v>0</v>
      </c>
      <c r="J306" s="8">
        <v>0</v>
      </c>
      <c r="K306" s="8">
        <v>0</v>
      </c>
      <c r="L306" s="8">
        <v>0</v>
      </c>
      <c r="M306" s="8">
        <v>0</v>
      </c>
      <c r="N306" s="8">
        <v>0</v>
      </c>
      <c r="O306" s="8">
        <v>0</v>
      </c>
      <c r="P306" s="8">
        <v>0</v>
      </c>
      <c r="Q306" s="8">
        <v>0</v>
      </c>
      <c r="R306" s="8">
        <v>1</v>
      </c>
      <c r="S306" s="8">
        <v>0</v>
      </c>
      <c r="T306" s="23">
        <v>1</v>
      </c>
      <c r="U306" s="16"/>
      <c r="V306" s="16" t="s">
        <v>50</v>
      </c>
      <c r="W306" s="16"/>
    </row>
    <row r="307" spans="2:23" ht="15" customHeight="1">
      <c r="B307" s="16" t="s">
        <v>828</v>
      </c>
      <c r="C307" s="16" t="s">
        <v>184</v>
      </c>
      <c r="D307" s="16" t="s">
        <v>829</v>
      </c>
      <c r="E307" s="16" t="s">
        <v>73</v>
      </c>
      <c r="F307" s="16" t="s">
        <v>192</v>
      </c>
      <c r="G307" s="8">
        <v>1</v>
      </c>
      <c r="H307" s="8"/>
      <c r="I307" s="8">
        <v>0</v>
      </c>
      <c r="J307" s="8">
        <v>0</v>
      </c>
      <c r="K307" s="8">
        <v>0</v>
      </c>
      <c r="L307" s="8">
        <v>0</v>
      </c>
      <c r="M307" s="8">
        <v>0</v>
      </c>
      <c r="N307" s="8">
        <v>0</v>
      </c>
      <c r="O307" s="8">
        <v>0</v>
      </c>
      <c r="P307" s="8">
        <v>0</v>
      </c>
      <c r="Q307" s="8">
        <v>0</v>
      </c>
      <c r="R307" s="8">
        <v>1</v>
      </c>
      <c r="S307" s="8">
        <v>0</v>
      </c>
      <c r="T307" s="23">
        <v>1</v>
      </c>
      <c r="U307" s="16" t="s">
        <v>187</v>
      </c>
      <c r="V307" s="16" t="s">
        <v>830</v>
      </c>
      <c r="W307" s="16" t="s">
        <v>831</v>
      </c>
    </row>
    <row r="308" spans="2:23" ht="15" customHeight="1">
      <c r="B308" s="16" t="s">
        <v>832</v>
      </c>
      <c r="C308" s="16" t="s">
        <v>184</v>
      </c>
      <c r="D308" s="16" t="s">
        <v>833</v>
      </c>
      <c r="E308" s="16" t="s">
        <v>97</v>
      </c>
      <c r="F308" s="16" t="s">
        <v>192</v>
      </c>
      <c r="G308" s="8">
        <v>1</v>
      </c>
      <c r="H308" s="8"/>
      <c r="I308" s="8">
        <v>0</v>
      </c>
      <c r="J308" s="8">
        <v>0</v>
      </c>
      <c r="K308" s="8">
        <v>0</v>
      </c>
      <c r="L308" s="8">
        <v>0</v>
      </c>
      <c r="M308" s="8">
        <v>0</v>
      </c>
      <c r="N308" s="8">
        <v>0</v>
      </c>
      <c r="O308" s="8">
        <v>0</v>
      </c>
      <c r="P308" s="8">
        <v>0</v>
      </c>
      <c r="Q308" s="8">
        <v>0</v>
      </c>
      <c r="R308" s="8">
        <v>1</v>
      </c>
      <c r="S308" s="8">
        <v>0</v>
      </c>
      <c r="T308" s="23">
        <v>1</v>
      </c>
      <c r="U308" s="16"/>
      <c r="V308" s="16" t="s">
        <v>50</v>
      </c>
      <c r="W308" s="16"/>
    </row>
    <row r="309" spans="2:23" ht="15" customHeight="1">
      <c r="B309" s="16" t="s">
        <v>240</v>
      </c>
      <c r="C309" s="16" t="s">
        <v>184</v>
      </c>
      <c r="D309" s="16" t="s">
        <v>834</v>
      </c>
      <c r="E309" s="16" t="s">
        <v>73</v>
      </c>
      <c r="F309" s="16" t="s">
        <v>192</v>
      </c>
      <c r="G309" s="8">
        <v>1</v>
      </c>
      <c r="H309" s="8"/>
      <c r="I309" s="8">
        <v>0</v>
      </c>
      <c r="J309" s="8">
        <v>0</v>
      </c>
      <c r="K309" s="8">
        <v>0</v>
      </c>
      <c r="L309" s="8">
        <v>0</v>
      </c>
      <c r="M309" s="8">
        <v>0</v>
      </c>
      <c r="N309" s="8">
        <v>0</v>
      </c>
      <c r="O309" s="8">
        <v>0</v>
      </c>
      <c r="P309" s="8">
        <v>0</v>
      </c>
      <c r="Q309" s="8">
        <v>0</v>
      </c>
      <c r="R309" s="8">
        <v>1</v>
      </c>
      <c r="S309" s="8">
        <v>0</v>
      </c>
      <c r="T309" s="23">
        <v>1</v>
      </c>
      <c r="U309" s="16"/>
      <c r="V309" s="16" t="s">
        <v>50</v>
      </c>
      <c r="W309" s="16"/>
    </row>
    <row r="310" spans="2:23" ht="15" customHeight="1">
      <c r="B310" s="16" t="s">
        <v>835</v>
      </c>
      <c r="C310" s="16" t="s">
        <v>184</v>
      </c>
      <c r="D310" s="16" t="s">
        <v>836</v>
      </c>
      <c r="E310" s="16" t="s">
        <v>95</v>
      </c>
      <c r="F310" s="16" t="s">
        <v>192</v>
      </c>
      <c r="G310" s="8">
        <v>1</v>
      </c>
      <c r="H310" s="8"/>
      <c r="I310" s="8">
        <v>0</v>
      </c>
      <c r="J310" s="8">
        <v>0</v>
      </c>
      <c r="K310" s="8">
        <v>0</v>
      </c>
      <c r="L310" s="8">
        <v>0</v>
      </c>
      <c r="M310" s="8">
        <v>0</v>
      </c>
      <c r="N310" s="8">
        <v>0</v>
      </c>
      <c r="O310" s="8">
        <v>0</v>
      </c>
      <c r="P310" s="8">
        <v>0</v>
      </c>
      <c r="Q310" s="8">
        <v>0</v>
      </c>
      <c r="R310" s="8">
        <v>1</v>
      </c>
      <c r="S310" s="8">
        <v>0</v>
      </c>
      <c r="T310" s="23">
        <v>1</v>
      </c>
      <c r="U310" s="16"/>
      <c r="V310" s="16" t="s">
        <v>50</v>
      </c>
      <c r="W310" s="16"/>
    </row>
    <row r="311" spans="2:23" ht="15" customHeight="1">
      <c r="B311" s="16" t="s">
        <v>318</v>
      </c>
      <c r="C311" s="16" t="s">
        <v>184</v>
      </c>
      <c r="D311" s="16" t="s">
        <v>837</v>
      </c>
      <c r="E311" s="16" t="s">
        <v>73</v>
      </c>
      <c r="F311" s="16" t="s">
        <v>192</v>
      </c>
      <c r="G311" s="8">
        <v>1</v>
      </c>
      <c r="H311" s="8"/>
      <c r="I311" s="8">
        <v>0</v>
      </c>
      <c r="J311" s="8">
        <v>0</v>
      </c>
      <c r="K311" s="8">
        <v>0</v>
      </c>
      <c r="L311" s="8">
        <v>0</v>
      </c>
      <c r="M311" s="8">
        <v>0</v>
      </c>
      <c r="N311" s="8">
        <v>0</v>
      </c>
      <c r="O311" s="8">
        <v>0</v>
      </c>
      <c r="P311" s="8">
        <v>0</v>
      </c>
      <c r="Q311" s="8">
        <v>0</v>
      </c>
      <c r="R311" s="8">
        <v>1</v>
      </c>
      <c r="S311" s="8">
        <v>0</v>
      </c>
      <c r="T311" s="23">
        <v>1</v>
      </c>
      <c r="U311" s="16"/>
      <c r="V311" s="16" t="s">
        <v>50</v>
      </c>
      <c r="W311" s="16"/>
    </row>
    <row r="312" spans="2:23" ht="15" customHeight="1">
      <c r="B312" s="16" t="s">
        <v>240</v>
      </c>
      <c r="C312" s="16" t="s">
        <v>184</v>
      </c>
      <c r="D312" s="16" t="s">
        <v>838</v>
      </c>
      <c r="E312" s="16" t="s">
        <v>73</v>
      </c>
      <c r="F312" s="16" t="s">
        <v>192</v>
      </c>
      <c r="G312" s="8">
        <v>1</v>
      </c>
      <c r="H312" s="8"/>
      <c r="I312" s="8">
        <v>0</v>
      </c>
      <c r="J312" s="8">
        <v>0</v>
      </c>
      <c r="K312" s="8">
        <v>0</v>
      </c>
      <c r="L312" s="8">
        <v>0</v>
      </c>
      <c r="M312" s="8">
        <v>0</v>
      </c>
      <c r="N312" s="8">
        <v>0</v>
      </c>
      <c r="O312" s="8">
        <v>0</v>
      </c>
      <c r="P312" s="8">
        <v>0</v>
      </c>
      <c r="Q312" s="8">
        <v>0</v>
      </c>
      <c r="R312" s="8">
        <v>1</v>
      </c>
      <c r="S312" s="8">
        <v>0</v>
      </c>
      <c r="T312" s="23">
        <v>1</v>
      </c>
      <c r="U312" s="16" t="s">
        <v>187</v>
      </c>
      <c r="V312" s="16" t="s">
        <v>839</v>
      </c>
      <c r="W312" s="16" t="s">
        <v>840</v>
      </c>
    </row>
  </sheetData>
  <autoFilter ref="B27:W27"/>
  <hyperlinks>
    <hyperlink ref="C1" location="Содержание!B4" display="К содержанию"/>
    <hyperlink ref="D28" r:id="rId1" display="http://vk.com/club17990792"/>
    <hyperlink ref="D29" r:id="rId2" display="https://dzen.ru/id/5eaafa59cf77ee27c9421287"/>
    <hyperlink ref="D30" r:id="rId3" display="http://ok.ru/group/70000001016930"/>
    <hyperlink ref="D31" r:id="rId4" display="http://vk.com/club171736200"/>
    <hyperlink ref="D32" r:id="rId5" display="http://www.youtube.com/channel/UCWaPTBsDgQ84bQQDBykfgsw"/>
    <hyperlink ref="D33" r:id="rId6" display="https://dzen.ru/id/59c4d5894bf161c6efdacbb0"/>
    <hyperlink ref="D34" r:id="rId7" display="https://web.telegram.org/#/im?p=@hamovnikipoleznychatik"/>
    <hyperlink ref="D35" r:id="rId8" display="https://hron-prostatit.ru/forum/viewforum.php?f=4"/>
    <hyperlink ref="D36" r:id="rId9" display="https://nup.ru/topic/10258-viden-3-ja-popytka"/>
    <hyperlink ref="D37" r:id="rId10" display="http://vk.com/club118324715"/>
    <hyperlink ref="D38" r:id="rId11" display="http://vk.com/club131908471"/>
    <hyperlink ref="D39" r:id="rId12" display="http://vk.com/club149047382"/>
    <hyperlink ref="D40" r:id="rId13" display="https://instagram.com/ps.popov"/>
    <hyperlink ref="D41" r:id="rId14" display="http://www.youtube.com/channel/UCxOrMcy80l0areWExDLFgaA"/>
    <hyperlink ref="D42" r:id="rId15" display="https://dzen.ru/id/5ea3fd8b22b6bd32eecb63f5"/>
    <hyperlink ref="D43" r:id="rId16" display="http://www.youtube.com/channel/UCvaXsE0Uokmax_yXrG2sjYA"/>
    <hyperlink ref="D44" r:id="rId17" display="https://www.babyblog.ru/community/happypregn"/>
    <hyperlink ref="D45" r:id="rId18" display="https://dzen.ru/id/622275bf78e29463273cba64"/>
    <hyperlink ref="D46" r:id="rId19" display="http://vk.com/club217589574"/>
    <hyperlink ref="D47" r:id="rId20" display="https://web.telegram.org/#/im?p=@ecoterina_blog"/>
    <hyperlink ref="D48" r:id="rId21" display="https://sprosivracha.com/questions/4318945-povyshennyy-gemoglobin-u-muzhchiny"/>
    <hyperlink ref="D49" r:id="rId22" display="http://vk.com/club50079856"/>
    <hyperlink ref="D50" r:id="rId23" display="http://vk.com/club49066148"/>
    <hyperlink ref="D51" r:id="rId24" display="http://vk.com/club119027"/>
    <hyperlink ref="D52" r:id="rId25" display="http://vk.com/club25882042"/>
    <hyperlink ref="D53" r:id="rId26" display="http://vk.com/club15752015"/>
    <hyperlink ref="D54" r:id="rId27" display="http://vk.com/club61570233"/>
    <hyperlink ref="D55" r:id="rId28" display="http://vk.com/club88570414"/>
    <hyperlink ref="D56" r:id="rId29" display="http://vk.com/club42224436"/>
    <hyperlink ref="D57" r:id="rId30" display="http://vk.com/club117764704"/>
    <hyperlink ref="D58" r:id="rId31" display="http://www.facebook.com/profile.php?id=458554734265709"/>
    <hyperlink ref="D59" r:id="rId32" display="http://vk.com/club177710119"/>
    <hyperlink ref="D60" r:id="rId33" display="https://web.telegram.org/#/im?p=@epifanovnews"/>
    <hyperlink ref="D61" r:id="rId34" display="http://vk.com/club213272284"/>
    <hyperlink ref="D62" r:id="rId35" display="https://dzen.ru/id/5e6f8929a238dc1744a2e67f"/>
    <hyperlink ref="D63" r:id="rId36" display="https://web.telegram.org/#/im?p=@revmomoscow"/>
    <hyperlink ref="D64" r:id="rId37" display="http://vk.com/club223258406"/>
    <hyperlink ref="D65" r:id="rId38" display="https://www.ozon.ru/context/detail/id/711343209"/>
    <hyperlink ref="D66" r:id="rId39" display="https://web.telegram.org/#/im?p=@informchane"/>
    <hyperlink ref="D67" r:id="rId40" display="https://web.telegram.org/#/im?p=@semaglu"/>
    <hyperlink ref="D68" r:id="rId41" display="https://web.telegram.org/#/im?p=@d04a_chat"/>
    <hyperlink ref="D69" r:id="rId42" display="https://web.telegram.org/#/im?p=@actualphlebology"/>
    <hyperlink ref="D70" r:id="rId43" display="https://instagram.com/pavel_chukhnov"/>
    <hyperlink ref="D71" r:id="rId44" display="http://vk.com/club231508037"/>
    <hyperlink ref="D72" r:id="rId45" display="https://web.telegram.org/#/im?p=@dgdschat"/>
    <hyperlink ref="D73" r:id="rId46" display="https://web.telegram.org/#/im?p=@chatmcf"/>
    <hyperlink ref="D74" r:id="rId47" display="https://www.otzyvru.com/trental"/>
    <hyperlink ref="D75" r:id="rId48" display="https://www.vashe-mnenie.com/reviews.php?name=trental"/>
    <hyperlink ref="D76" r:id="rId49" display="https://rutube.ru/video/person/41619480"/>
    <hyperlink ref="D77" r:id="rId50" display="https://web.telegram.org/#/im?p=@beremennost_pregnancy"/>
    <hyperlink ref="D78" r:id="rId51" display="https://www.babyplan.ru/forums/topic/139903-povtorjajushhiesja-bhb"/>
    <hyperlink ref="D79" r:id="rId52" display="http://vk.com/club236733457"/>
    <hyperlink ref="D80" r:id="rId53" display="https://sprosivracha.com/questions/4304858-odyshka-posle-aksh"/>
    <hyperlink ref="D81" r:id="rId54" display="https://forums.rusmedserv.com/showthread.php?t=501236"/>
    <hyperlink ref="D82" r:id="rId55" display="https://web.telegram.org/#/im?p=@1407442894"/>
    <hyperlink ref="D83" r:id="rId56" display="https://sprosivracha.com/questions/4323146-pochemu-vnizu-nog-zhzhenie-i-krovopodteki"/>
    <hyperlink ref="D84" r:id="rId57" display="https://sprosivracha.com/questions/4345843-bolezn-byurgera"/>
    <hyperlink ref="D85" r:id="rId58" display="https://sprosivracha.com/questions/4346985-sovmestnyy-priem-lekarstv"/>
    <hyperlink ref="D86" r:id="rId59" display="https://otzovik.com/reviews/trental_soteks"/>
    <hyperlink ref="D87" r:id="rId60" display="http://www.facebook.com/profile.php?id=100001058827965"/>
    <hyperlink ref="D88" r:id="rId61" display="http://www.facebook.com/profile.php?id=100000821827539"/>
    <hyperlink ref="D89" r:id="rId62" display="http://vk.com/id193966433"/>
    <hyperlink ref="D90" r:id="rId63" display="http://www.facebook.com/profile.php?id=100002108655362"/>
    <hyperlink ref="D91" r:id="rId64" display="http://vk.com/club64593569"/>
    <hyperlink ref="D92" r:id="rId65" display="http://vk.com/club61391520"/>
    <hyperlink ref="D93" r:id="rId66" display="http://vk.com/club64697447"/>
    <hyperlink ref="D94" r:id="rId67" display="http://vk.com/club29445319"/>
    <hyperlink ref="D95" r:id="rId68" display="http://www.facebook.com/profile.php?id=100001690301142"/>
    <hyperlink ref="D96" r:id="rId69" display="http://vk.com/club32572053"/>
    <hyperlink ref="D97" r:id="rId70" display="http://vk.com/club74822124"/>
    <hyperlink ref="D98" r:id="rId71" display="http://vk.com/id123313021"/>
    <hyperlink ref="D99" r:id="rId72" display="http://vk.com/id13041644"/>
    <hyperlink ref="D100" r:id="rId73" display="http://vk.com/id2084950"/>
    <hyperlink ref="D101" r:id="rId74" display="http://www.youtube.com/channel/UC_C5Vm1gvOBo8vlSYY4MnmA"/>
    <hyperlink ref="D102" r:id="rId75" display="http://vk.com/club58170807"/>
    <hyperlink ref="D103" r:id="rId76" display="http://vk.com/club25201586"/>
    <hyperlink ref="D104" r:id="rId77" display="http://vk.com/club30913680"/>
    <hyperlink ref="D105" r:id="rId78" display="http://vk.com/club35402404"/>
    <hyperlink ref="D106" r:id="rId79" display="http://vk.com/club42217841"/>
    <hyperlink ref="D107" r:id="rId80" display="http://vk.com/club99694181"/>
    <hyperlink ref="D108" r:id="rId81" display="http://vk.com/id318581728"/>
    <hyperlink ref="D109" r:id="rId82" display="http://vk.com/id207151277"/>
    <hyperlink ref="D110" r:id="rId83" display="http://ok.ru/group/50657161838784"/>
    <hyperlink ref="D111" r:id="rId84" display="http://www.facebook.com/profile.php?id=100001816816435"/>
    <hyperlink ref="D112" r:id="rId85" display="http://www.facebook.com/profile.php?id=694726573"/>
    <hyperlink ref="D113" r:id="rId86" display="http://ok.ru/group/51625046769845"/>
    <hyperlink ref="D114" r:id="rId87" display="http://vk.com/club110220095"/>
    <hyperlink ref="D115" r:id="rId88" display="http://vk.com/club112497291"/>
    <hyperlink ref="D116" r:id="rId89" display="http://ok.ru/group/52171764269129"/>
    <hyperlink ref="D117" r:id="rId90" display="http://ok.ru/group/52161146519625"/>
    <hyperlink ref="D118" r:id="rId91" display="http://www.youtube.com/channel/UCksniXe-K1I7NC8tmNDGNjA"/>
    <hyperlink ref="D119" r:id="rId92" display="http://www.facebook.com/profile.php?id=100004823103752"/>
    <hyperlink ref="D120" r:id="rId93" display="http://vk.com/club118474860"/>
    <hyperlink ref="D121" r:id="rId94" display="http://vk.com/club55541786"/>
    <hyperlink ref="D122" r:id="rId95" display="http://vk.com/club37094416"/>
    <hyperlink ref="D123" r:id="rId96" display="http://www.facebook.com/profile.php?id=100005165671504"/>
    <hyperlink ref="D124" r:id="rId97" display="http://vk.com/club5626752"/>
    <hyperlink ref="D125" r:id="rId98" display="http://vk.com/club126883252"/>
    <hyperlink ref="D126" r:id="rId99" display="http://ok.ru/profile/523027629056"/>
    <hyperlink ref="D127" r:id="rId100" display="http://vk.com/club132664992"/>
    <hyperlink ref="D128" r:id="rId101" display="https://instagram.com/luly_abdula"/>
    <hyperlink ref="D129" r:id="rId102" display="https://instagram.com/mila.fomina"/>
    <hyperlink ref="D130" r:id="rId103" display="http://ok.ru/group/55695437463587"/>
    <hyperlink ref="D131" r:id="rId104" display="http://vk.com/id199272441"/>
    <hyperlink ref="D132" r:id="rId105" display="http://www.facebook.com/profile.php?id=799794627"/>
    <hyperlink ref="D133" r:id="rId106" display="http://www.facebook.com/profile.php?id=100012674343660"/>
    <hyperlink ref="D134" r:id="rId107" display="http://vk.com/club58175895"/>
    <hyperlink ref="D135" r:id="rId108" display="http://www.facebook.com/profile.php?id=100011353800327"/>
    <hyperlink ref="D136" r:id="rId109" display="http://sojuzpharma.ru"/>
    <hyperlink ref="D137" r:id="rId110" display="http://www.facebook.com/profile.php?id=100001525526292"/>
    <hyperlink ref="D138" r:id="rId111" display="http://www.facebook.com/profile.php?id=100003398325503"/>
    <hyperlink ref="D139" r:id="rId112" display="http://www.facebook.com/profile.php?id=100004399958144"/>
    <hyperlink ref="D140" r:id="rId113" display="http://vk.com/club149695687"/>
    <hyperlink ref="D141" r:id="rId114" display="http://www.facebook.com/profile.php?id=100000609345114"/>
    <hyperlink ref="D142" r:id="rId115" display="http://www.youtube.com/channel/UCiXRoPtKroEsb7LRL-8esHg"/>
    <hyperlink ref="D143" r:id="rId116" display="http://vk.com/club153134547"/>
    <hyperlink ref="D144" r:id="rId117" display="http://www.facebook.com/profile.php?id=100006312763962"/>
    <hyperlink ref="D145" r:id="rId118" display="http://vk.com/id450124649"/>
    <hyperlink ref="D146" r:id="rId119" display="http://www.facebook.com/profile.php?id=100022147444966"/>
    <hyperlink ref="D147" r:id="rId120" display="http://www.facebook.com/profile.php?id=100023342230421"/>
    <hyperlink ref="D148" r:id="rId121" display="http://vk.com/club15967739"/>
    <hyperlink ref="D149" r:id="rId122" display="https://instagram.com/dr_kozlova_antonina"/>
    <hyperlink ref="D150" r:id="rId123" display="http://www.facebook.com/profile.php?id=100007215365532"/>
    <hyperlink ref="D151" r:id="rId124" display="http://www.facebook.com/profile.php?id=100024259613570"/>
    <hyperlink ref="D152" r:id="rId125" display="https://web.telegram.org/#/im?p=@ivnvo"/>
    <hyperlink ref="D153" r:id="rId126" display="https://dzen.ru/id/5a0b09f2a936f43df63f4406"/>
    <hyperlink ref="D154" r:id="rId127" display="https://dzen.ru/id/5959e452d7d0a6883223aee1"/>
    <hyperlink ref="D155" r:id="rId128" display="https://dzen.ru/id/595f6ede3c50f7579cfcac0c"/>
    <hyperlink ref="D156" r:id="rId129" display="http://ok.ru/group/55077875286120"/>
    <hyperlink ref="D157" r:id="rId130" display="http://vk.com/club169469876"/>
    <hyperlink ref="D158" r:id="rId131" display="http://ok.ru/profile/575282624141"/>
    <hyperlink ref="D159" r:id="rId132" display="https://instagram.com/kahidov"/>
    <hyperlink ref="D160" r:id="rId133" display="http://vk.com/club172880205"/>
    <hyperlink ref="D161" r:id="rId134" display="http://www.facebook.com/profile.php?id=100005065122372"/>
    <hyperlink ref="D162" r:id="rId135" display="https://instagram.com/doctor.eni"/>
    <hyperlink ref="D163" r:id="rId136" display="https://instagram.com/doctor.kean"/>
    <hyperlink ref="D164" r:id="rId137" display="http://vk.com/club175752600"/>
    <hyperlink ref="D165" r:id="rId138" display="https://irecommend.ru/content/vazodilatiruyushchee-sredstvo-sanofi-aventis-trental"/>
    <hyperlink ref="D166" r:id="rId139" display="http://vk.com/club182515813"/>
    <hyperlink ref="D167" r:id="rId140" display="http://www.facebook.com/profile.php?id=100035378387882"/>
    <hyperlink ref="D168" r:id="rId141" display="https://dzen.ru/id/5935bc1cd7d0a62756e9cd78"/>
    <hyperlink ref="D169" r:id="rId142" display="http://www.facebook.com/profile.php?id=180047975857924"/>
    <hyperlink ref="D170" r:id="rId143" display="https://dzen.ru/id/5b5f6cb0320be700acd65bfe"/>
    <hyperlink ref="D171" r:id="rId144" display="http://vk.com/club192553540"/>
    <hyperlink ref="D172" r:id="rId145" display="http://ok.ru/group/62637872906275"/>
    <hyperlink ref="D173" r:id="rId146" display="https://web.telegram.org/#/im?p=@pravoslavievtelege"/>
    <hyperlink ref="D174" r:id="rId147" display="http://vk.com/club193354828"/>
    <hyperlink ref="D175" r:id="rId148" display="http://ok.ru/group/54782456954971"/>
    <hyperlink ref="D176" r:id="rId149" display="http://vk.com/club166491509"/>
    <hyperlink ref="D177" r:id="rId150" display="https://instagram.com/pro_talina"/>
    <hyperlink ref="D178" r:id="rId151" display="https://irecommend.ru/content/gel-doktor-biokon-sinyak-dlya-ekspress-udaleniya-sinyakov-s-toniruyushchim-effektom"/>
    <hyperlink ref="D179" r:id="rId152" display="http://vk.com/club197092538"/>
    <hyperlink ref="D180" r:id="rId153" display="https://dzen.ru/id/5d9a22f96f5f6f00adf62457"/>
    <hyperlink ref="D181" r:id="rId154" display="https://dzen.ru/id/5e3d24f28103b13abd405c70"/>
    <hyperlink ref="D182" r:id="rId155" display="http://ok.ru/group/64968977350691"/>
    <hyperlink ref="D183" r:id="rId156" display="http://ok.ru/group/65890095595555"/>
    <hyperlink ref="D184" r:id="rId157" display="http://ok.ru/group/55780516757702"/>
    <hyperlink ref="D185" r:id="rId158" display="http://ok.ru/group/65900379045923"/>
    <hyperlink ref="D186" r:id="rId159" display="http://ok.ru/group/66285485228067"/>
    <hyperlink ref="D187" r:id="rId160" display="http://ok.ru/group/66453854027811"/>
    <hyperlink ref="D188" r:id="rId161" display="https://forum.steelfactor.ru/index.php?showtopic=46978"/>
    <hyperlink ref="D189" r:id="rId162" display="http://www.youtube.com/channel/UCACxYUqXai-PhTBwBJEBB7g"/>
    <hyperlink ref="D190" r:id="rId163" display="http://dadanews.ru"/>
    <hyperlink ref="D191" r:id="rId164" display="http://vk.com/club206214408"/>
    <hyperlink ref="D192" r:id="rId165" display="http://www.youtube.com/channel/UCKuzqICdyXvnNNGPkbQivnw"/>
    <hyperlink ref="D193" r:id="rId166" display="https://web.telegram.org/#/im?p=@darixana_nukus"/>
    <hyperlink ref="D194" r:id="rId167" display="https://web.telegram.org/#/im?p=@1699667973"/>
    <hyperlink ref="D195" r:id="rId168" display="http://ok.ru/group/68602594918435"/>
    <hyperlink ref="D196" r:id="rId169" display="http://vk.com/club209406938"/>
    <hyperlink ref="D197" r:id="rId170" display="https://web.telegram.org/#/im?p=@1395655902"/>
    <hyperlink ref="D198" r:id="rId171" display="https://web.telegram.org/#/im?p=@pharmacomlabsnews"/>
    <hyperlink ref="D199" r:id="rId172" display="http://vk.com/id708630637"/>
    <hyperlink ref="D200" r:id="rId173" display="http://vk.com/club211243521"/>
    <hyperlink ref="D201" r:id="rId174" display="https://web.telegram.org/#/im?p=@1455776108"/>
    <hyperlink ref="D202" r:id="rId175" display="https://dzen.ru/id/62107cb555365a370a816f80"/>
    <hyperlink ref="D203" r:id="rId176" display="https://web.telegram.org/#/im?p=@grizhapro"/>
    <hyperlink ref="D204" r:id="rId177" display="https://web.telegram.org/#/im?p=@epifanovnews1"/>
    <hyperlink ref="D205" r:id="rId178" display="http://vk.com/club213047982"/>
    <hyperlink ref="D206" r:id="rId179" display="https://web.telegram.org/#/im?p=@kristheme"/>
    <hyperlink ref="D207" r:id="rId180" display="https://web.telegram.org/#/im?p=@nmic_blokhina"/>
    <hyperlink ref="D208" r:id="rId181" display="http://www.facebook.com/profile.php?id=100004009910617"/>
    <hyperlink ref="D209" r:id="rId182" display="https://web.telegram.org/#/im?p=@mseshnyichat"/>
    <hyperlink ref="D210" r:id="rId183" display="https://web.telegram.org/#/im?p=@dr_sveta"/>
    <hyperlink ref="D211" r:id="rId184" display="https://dzen.ru/id/5f10c2705b8c597418428eae"/>
    <hyperlink ref="D212" r:id="rId185" display="http://vk.com/club215871371"/>
    <hyperlink ref="D213" r:id="rId186" display="https://dzen.ru/id/614adc4dfebd966f417ce21b"/>
    <hyperlink ref="D214" r:id="rId187" display="https://web.telegram.org/#/im?p=@1610051836"/>
    <hyperlink ref="D215" r:id="rId188" display="http://vk.com/id753636546"/>
    <hyperlink ref="D216" r:id="rId189" display="https://web.telegram.org/#/im?p=@infect_voenmed"/>
    <hyperlink ref="D217" r:id="rId190" display="http://vk.com/club218277808"/>
    <hyperlink ref="D218" r:id="rId191" display="https://dzen.ru/id/63d576d904f91437db4f6079"/>
    <hyperlink ref="D219" r:id="rId192" display="https://www.wildberries.ru/catalog/138992242/detail.aspx"/>
    <hyperlink ref="D220" r:id="rId193" display="http://vk.com/club219255672"/>
    <hyperlink ref="D221" r:id="rId194" display="https://web.telegram.org/#/im?p=@oncolyachat"/>
    <hyperlink ref="D222" r:id="rId195" display="https://www.woman.ru/health/medley7/thread/4982316"/>
    <hyperlink ref="D223" r:id="rId196" display="http://ok.ru/group/70000002368282"/>
    <hyperlink ref="D224" r:id="rId197" display="http://vk.com/club221308444"/>
    <hyperlink ref="D225" r:id="rId198" display="https://instagram.com/pro_vizor888"/>
    <hyperlink ref="D226" r:id="rId199" display="http://vk.com/club222205353"/>
    <hyperlink ref="D227" r:id="rId200" display="http://www.youtube.com/channel/UCosNTG9GrBdebSefMoeGRcg"/>
    <hyperlink ref="D228" r:id="rId201" display="https://web.telegram.org/#/im?p=@koikchan"/>
    <hyperlink ref="D229" r:id="rId202" display="https://web.telegram.org/#/im?p=@cybers"/>
    <hyperlink ref="D230" r:id="rId203" display="https://dzen.ru/id/64a2e86494176c3852e42e53"/>
    <hyperlink ref="D231" r:id="rId204" display="https://web.telegram.org/#/im?p=@dariashuer_chat"/>
    <hyperlink ref="D232" r:id="rId205" display="https://web.telegram.org/#/im?p=@menyanakrilo"/>
    <hyperlink ref="D233" r:id="rId206" display="https://dzen.ru/id/65d0c3e1762e4434e05212bf"/>
    <hyperlink ref="D234" r:id="rId207" display="https://forum.baby.ru/u/usr2132532"/>
    <hyperlink ref="D235" r:id="rId208" display="http://www.youtube.com/channel/UCKOzubpp5HC1t7-cUjrGlIg"/>
    <hyperlink ref="D236" r:id="rId209" display="https://mom.life/user/65205d9de7d91d4302481a33"/>
    <hyperlink ref="D237" r:id="rId210" display="http://vk.com/club226248434"/>
    <hyperlink ref="D238" r:id="rId211" display="http://vk.com/club226278715"/>
    <hyperlink ref="D239" r:id="rId212" display="https://mom.life/user/5d92597f47da0052e87d2560"/>
    <hyperlink ref="D240" r:id="rId213" display="http://vk.com/club226299499"/>
    <hyperlink ref="D241" r:id="rId214" display="https://web.telegram.org/#/im?p=@mostodaychat"/>
    <hyperlink ref="D242" r:id="rId215" display="https://web.telegram.org/#/im?p=@zdorovie_i_me"/>
    <hyperlink ref="D243" r:id="rId216" display="https://web.telegram.org/#/im?p=@forums_rms"/>
    <hyperlink ref="D244" r:id="rId217" display="https://otzovik.com/reviews/klinika_zdravklinik_russia_moscow"/>
    <hyperlink ref="D245" r:id="rId218" display="https://www.ozon.ru/context/detail/id/754700631"/>
    <hyperlink ref="D246" r:id="rId219" display="https://www.tiktok.com/@dok.kirillova"/>
    <hyperlink ref="D247" r:id="rId220" display="https://web.telegram.org/#/im?p=@batr_fit"/>
    <hyperlink ref="D248" r:id="rId221" display="https://www.tiktok.com/@makarov_batumi"/>
    <hyperlink ref="D249" r:id="rId222" display="http://vk.com/club228862181"/>
    <hyperlink ref="D250" r:id="rId223" display="http://vk.com/club229000699"/>
    <hyperlink ref="D251" r:id="rId224" display="http://www.youtube.com/channel/UCxLwhz0ILbvCiWhSYe3jPeg"/>
    <hyperlink ref="D252" r:id="rId225" display="http://vk.com/club227669108"/>
    <hyperlink ref="D253" r:id="rId226" display="https://web.telegram.org/#/im?p=@babiesinjune_andmoms"/>
    <hyperlink ref="D254" r:id="rId227" display="https://mom.life/channel/5d4811d6ebdb000de72653af"/>
    <hyperlink ref="D255" r:id="rId228" display="https://mom.life/channel/55d0e592853983ed068b456a"/>
    <hyperlink ref="D256" r:id="rId229" display="https://otvet.mail.ru/profile/id317415007"/>
    <hyperlink ref="D257" r:id="rId230" display="https://market.yandex.ru/product/1401075805"/>
    <hyperlink ref="D258" r:id="rId231" display="https://teletype.in/@dominantazdorovja"/>
    <hyperlink ref="D259" r:id="rId232" display="http://vk.com/club232208667"/>
    <hyperlink ref="D260" r:id="rId233" display="https://web.telegram.org/#/im?p=@boston_terrier_here"/>
    <hyperlink ref="D261" r:id="rId234" display="https://web.telegram.org/#/im?p=@2214211507"/>
    <hyperlink ref="D262" r:id="rId235" display="https://threads.com/@artem1983m"/>
    <hyperlink ref="D263" r:id="rId236" display="https://threads.com/@tatjana.onufrieva"/>
    <hyperlink ref="D264" r:id="rId237" display="https://web.telegram.org/#/im?p=@glomerulonefritiga"/>
    <hyperlink ref="D265" r:id="rId238" display="https://web.telegram.org/#/im?p=@like_in_cash"/>
    <hyperlink ref="D266" r:id="rId239" display="https://threads.com/@dimasikdoc"/>
    <hyperlink ref="D267" r:id="rId240" display="https://threads.com/@madame_cle_"/>
    <hyperlink ref="D268" r:id="rId241" display="http://vk.com/club233198825"/>
    <hyperlink ref="D269" r:id="rId242" display="https://threads.com/@oksanaderunets"/>
    <hyperlink ref="D270" r:id="rId243" display="https://instagram.com/arm_buller"/>
    <hyperlink ref="D271" r:id="rId244" display="https://instagram.com/morozov.andrei.official"/>
    <hyperlink ref="D272" r:id="rId245" display="https://web.telegram.org/#/im?p=@2605536942"/>
    <hyperlink ref="D273" r:id="rId246" display="http://vk.com/club185694161"/>
    <hyperlink ref="D274" r:id="rId247" display="https://rutube.ru/video/person/73643784"/>
    <hyperlink ref="D275" r:id="rId248" display="https://threads.com/@kirill19720708"/>
    <hyperlink ref="D276" r:id="rId249" display="https://threads.com/@gnomic8801"/>
    <hyperlink ref="D277" r:id="rId250" display="http://vk.com/club235865439"/>
    <hyperlink ref="D278" r:id="rId251" display="http://vk.com/club235912791"/>
    <hyperlink ref="D279" r:id="rId252" display="https://dzen.ru/id/698d829de5a6106bda5a3db0"/>
    <hyperlink ref="D280" r:id="rId253" display="http://vk.com/club235949966"/>
    <hyperlink ref="D281" r:id="rId254" display="https://max.ru/clariryofmind"/>
    <hyperlink ref="D282" r:id="rId255" display="https://mom.life/user/699a006386aa2543640a2ece"/>
    <hyperlink ref="D283" r:id="rId256" display="https://max.ru/id7730183173_biz"/>
    <hyperlink ref="D284" r:id="rId257" display="https://web.telegram.org/#/im?p=@1572358258"/>
    <hyperlink ref="D285" r:id="rId258" display="http://vk.com/club237474828"/>
    <hyperlink ref="D286" r:id="rId259" display="http://vk.com/club237610432"/>
    <hyperlink ref="D287" r:id="rId260" display="https://otzyv.pro/category/nootropnyie-preparatyi/25346-trental.html"/>
    <hyperlink ref="D288" r:id="rId261" display="http://www.youtube.com/channel/UCxRnwT5qacpzhJx1JR-8Gbg"/>
    <hyperlink ref="D289" r:id="rId262" display="https://ftour.otzyv.ru/tema/269515/1340"/>
    <hyperlink ref="D290" r:id="rId263" display="https://sprosivracha.com/questions/4302256-rasseyanyy-skleroz-vozmozhno-obostrenie"/>
    <hyperlink ref="D291" r:id="rId264" display="https://threads.com/@mommycine"/>
    <hyperlink ref="D292" r:id="rId265" display="https://sprosivracha.com/questions/4306509-boli-pri-mocheispuskanii"/>
    <hyperlink ref="D293" r:id="rId266" display="https://sprosivracha.com/questions/4308352-prolezhni-na-pyatke"/>
    <hyperlink ref="D294" r:id="rId267" display="https://pikabu.ru/story/_13943619"/>
    <hyperlink ref="D295" r:id="rId268" display="https://sprosivracha.com/questions/4308136-gzt-v-38-let-nizkiy-testosteron"/>
    <hyperlink ref="D296" r:id="rId269" display="https://sprosivracha.com/questions/4315220-oslozhneniya-posle-operacii-na-pozvonochnike"/>
    <hyperlink ref="D297" r:id="rId270" display="https://rutube.ru/video/person/78253766"/>
    <hyperlink ref="D298" r:id="rId271" display="https://sprosivracha.com/questions/4321477-bolit-stopa"/>
    <hyperlink ref="D299" r:id="rId272" display="https://sprosivracha.com/questions/4323707-perelom-dzhonsa"/>
    <hyperlink ref="D300" r:id="rId273" display="https://sprosivracha.com/questions/4326468-onemenie-v-oblasti-pyatok-i-tyazhest-v-nogah-posle-operacii"/>
    <hyperlink ref="D301" r:id="rId274" display="https://medihost.ru/questions?id=342170"/>
    <hyperlink ref="D302" r:id="rId275" display="https://www.woman.ru/forum/3/relations/sex/thread-devochki-posovetuyte-nash-vozbuditel-id6424968"/>
    <hyperlink ref="D303" r:id="rId276" display="http://vk.com/club238438025"/>
    <hyperlink ref="D304" r:id="rId277" display="https://sprosivracha.com/questions/4342996-nemeet-ruka"/>
    <hyperlink ref="D305" r:id="rId278" display="https://sprosivracha.com/questions/4343588-nemeet-guba-i-nos-posle-ushiba-glaza"/>
    <hyperlink ref="D306" r:id="rId279" display="https://pikabu.ru/story/_13999811"/>
    <hyperlink ref="D307" r:id="rId280" display="https://sprosivracha.com/questions/4352389-ishemicheskiy-pravostoronniy-insult-u-dedushki-90-let"/>
    <hyperlink ref="D308" r:id="rId281" display="https://www.woman.ru/forum/all/chat-room/thread-khram-prekrasnogo-pana-id6425242/88"/>
    <hyperlink ref="D309" r:id="rId282" display="https://sprosivracha.com/questions/4361026-sineyu-na-holode"/>
    <hyperlink ref="D310" r:id="rId283" display="https://pikabu.ru/story/_14011323"/>
    <hyperlink ref="D311" r:id="rId284" display="https://sprosivracha.com/questions/4368183-rozha-otek-nogi-infekciya"/>
    <hyperlink ref="D312" r:id="rId285" display="https://sprosivracha.com/questions/4368061-babushka-stala-sovsem-ploho-hodit"/>
  </hyperlinks>
  <pageMargins left="0.75" right="0.75" top="1" bottom="1" header="0.5" footer="0.5"/>
  <drawing r:id="rId286"/>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7e33300-612a-4c29-8485-4781c258e9f9}">
  <dimension ref="B1:Z346"/>
  <sheetViews>
    <sheetView showGridLines="0" workbookViewId="0" topLeftCell="A1"/>
  </sheetViews>
  <sheetFormatPr defaultRowHeight="12.75"/>
  <cols>
    <col min="1" max="1" width="4.714285714285714" customWidth="1"/>
    <col min="2" max="2" width="40.714285714285715" customWidth="1"/>
    <col min="3" max="3" width="15.714285714285714" customWidth="1"/>
    <col min="4" max="4" width="16.714285714285715" customWidth="1"/>
    <col min="5" max="5" width="15.714285714285714" customWidth="1"/>
    <col min="6" max="6" width="23" customWidth="1"/>
    <col min="7" max="11" width="15.714285714285714" customWidth="1"/>
    <col min="12" max="12" width="16.714285714285715" customWidth="1"/>
    <col min="13" max="24" width="15.714285714285714" customWidth="1"/>
    <col min="25" max="25" width="16.714285714285715" customWidth="1"/>
    <col min="26" max="26" width="15.714285714285714" customWidth="1"/>
  </cols>
  <sheetData>
    <row r="1" spans="2:3" s="1" customFormat="1" ht="30" customHeight="1">
      <c r="B1" s="1" t="s">
        <v>0</v>
      </c>
      <c r="C1" s="4" t="s">
        <v>2</v>
      </c>
    </row>
    <row r="4" spans="2:2" ht="12.75">
      <c r="B4" s="2" t="s">
        <v>28</v>
      </c>
    </row>
    <row r="6" spans="2:2"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spans="2:2" ht="12.75">
      <c r="B25" s="12" t="s">
        <v>843</v>
      </c>
    </row>
    <row r="27" spans="2:26" ht="30" customHeight="1">
      <c r="B27" s="5" t="s">
        <v>844</v>
      </c>
      <c r="C27" s="5" t="s">
        <v>150</v>
      </c>
      <c r="D27" s="5" t="s">
        <v>48</v>
      </c>
      <c r="E27" s="5" t="s">
        <v>32</v>
      </c>
      <c r="F27" s="5" t="s">
        <v>49</v>
      </c>
      <c r="G27" s="6" t="s">
        <v>5</v>
      </c>
      <c r="H27" s="6" t="s">
        <v>54</v>
      </c>
      <c r="I27" s="6" t="s">
        <v>845</v>
      </c>
      <c r="J27" s="6" t="s">
        <v>846</v>
      </c>
      <c r="K27" s="6" t="s">
        <v>51</v>
      </c>
      <c r="L27" s="6" t="s">
        <v>34</v>
      </c>
      <c r="M27" s="6" t="s">
        <v>177</v>
      </c>
      <c r="N27" s="6" t="s">
        <v>178</v>
      </c>
      <c r="O27" s="6" t="s">
        <v>179</v>
      </c>
      <c r="P27" s="6" t="s">
        <v>36</v>
      </c>
      <c r="Q27" s="6" t="s">
        <v>57</v>
      </c>
      <c r="R27" s="6" t="s">
        <v>38</v>
      </c>
      <c r="S27" s="5" t="s">
        <v>27</v>
      </c>
      <c r="T27" s="5" t="s">
        <v>180</v>
      </c>
      <c r="U27" s="5" t="s">
        <v>181</v>
      </c>
      <c r="V27" s="5" t="s">
        <v>182</v>
      </c>
      <c r="W27" s="5" t="s">
        <v>847</v>
      </c>
      <c r="X27" s="5" t="s">
        <v>848</v>
      </c>
      <c r="Y27" s="5" t="s">
        <v>849</v>
      </c>
      <c r="Z27" s="5" t="s">
        <v>167</v>
      </c>
    </row>
    <row r="28" spans="2:26" ht="15" customHeight="1">
      <c r="B28" s="16" t="s">
        <v>850</v>
      </c>
      <c r="C28" s="16" t="s">
        <v>184</v>
      </c>
      <c r="D28" s="16" t="s">
        <v>62</v>
      </c>
      <c r="E28" s="16" t="s">
        <v>222</v>
      </c>
      <c r="F28" s="16" t="s">
        <v>851</v>
      </c>
      <c r="G28" s="8">
        <v>11</v>
      </c>
      <c r="H28" s="8">
        <v>23</v>
      </c>
      <c r="I28" s="8">
        <v>0</v>
      </c>
      <c r="J28" s="8">
        <v>427020</v>
      </c>
      <c r="K28" s="8">
        <v>0</v>
      </c>
      <c r="L28" s="8">
        <v>0</v>
      </c>
      <c r="M28" s="8">
        <v>0</v>
      </c>
      <c r="N28" s="8">
        <v>0</v>
      </c>
      <c r="O28" s="8">
        <v>0</v>
      </c>
      <c r="P28" s="8">
        <v>3</v>
      </c>
      <c r="Q28" s="8">
        <v>8</v>
      </c>
      <c r="R28" s="8">
        <v>0</v>
      </c>
      <c r="S28" s="16">
        <v>10</v>
      </c>
      <c r="T28" s="16"/>
      <c r="U28" s="16" t="s">
        <v>50</v>
      </c>
      <c r="V28" s="16"/>
      <c r="W28" s="16" t="s">
        <v>852</v>
      </c>
      <c r="X28" s="7" t="s">
        <v>852</v>
      </c>
      <c r="Y28" s="16" t="s">
        <v>50</v>
      </c>
      <c r="Z28" s="16" t="s">
        <v>50</v>
      </c>
    </row>
    <row r="29" spans="2:26" ht="15" customHeight="1">
      <c r="B29" s="16" t="s">
        <v>853</v>
      </c>
      <c r="C29" s="16" t="s">
        <v>184</v>
      </c>
      <c r="D29" s="16" t="s">
        <v>62</v>
      </c>
      <c r="E29" s="16" t="s">
        <v>222</v>
      </c>
      <c r="F29" s="16" t="s">
        <v>854</v>
      </c>
      <c r="G29" s="8">
        <v>7</v>
      </c>
      <c r="H29" s="8">
        <v>11</v>
      </c>
      <c r="I29" s="8">
        <v>303</v>
      </c>
      <c r="J29" s="8">
        <v>3138</v>
      </c>
      <c r="K29" s="8">
        <v>0</v>
      </c>
      <c r="L29" s="8">
        <v>0</v>
      </c>
      <c r="M29" s="8">
        <v>0</v>
      </c>
      <c r="N29" s="8">
        <v>0</v>
      </c>
      <c r="O29" s="8">
        <v>0</v>
      </c>
      <c r="P29" s="8">
        <v>3</v>
      </c>
      <c r="Q29" s="8">
        <v>3</v>
      </c>
      <c r="R29" s="8">
        <v>1</v>
      </c>
      <c r="S29" s="16">
        <v>1</v>
      </c>
      <c r="T29" s="16" t="s">
        <v>187</v>
      </c>
      <c r="U29" s="16" t="s">
        <v>188</v>
      </c>
      <c r="V29" s="16" t="s">
        <v>189</v>
      </c>
      <c r="W29" s="16" t="s">
        <v>855</v>
      </c>
      <c r="X29" s="7" t="s">
        <v>855</v>
      </c>
      <c r="Y29" s="16" t="s">
        <v>50</v>
      </c>
      <c r="Z29" s="16" t="s">
        <v>50</v>
      </c>
    </row>
    <row r="30" spans="2:26" ht="15" customHeight="1">
      <c r="B30" s="16" t="s">
        <v>856</v>
      </c>
      <c r="C30" s="16" t="s">
        <v>184</v>
      </c>
      <c r="D30" s="16" t="s">
        <v>62</v>
      </c>
      <c r="E30" s="16" t="s">
        <v>222</v>
      </c>
      <c r="F30" s="16" t="s">
        <v>857</v>
      </c>
      <c r="G30" s="8">
        <v>6</v>
      </c>
      <c r="H30" s="8">
        <v>12</v>
      </c>
      <c r="I30" s="8">
        <v>0</v>
      </c>
      <c r="J30" s="8">
        <v>296644</v>
      </c>
      <c r="K30" s="8">
        <v>0</v>
      </c>
      <c r="L30" s="8">
        <v>0</v>
      </c>
      <c r="M30" s="8">
        <v>0</v>
      </c>
      <c r="N30" s="8">
        <v>0</v>
      </c>
      <c r="O30" s="8">
        <v>0</v>
      </c>
      <c r="P30" s="8">
        <v>5</v>
      </c>
      <c r="Q30" s="8">
        <v>1</v>
      </c>
      <c r="R30" s="8">
        <v>0</v>
      </c>
      <c r="S30" s="16">
        <v>6</v>
      </c>
      <c r="T30" s="16"/>
      <c r="U30" s="16" t="s">
        <v>50</v>
      </c>
      <c r="V30" s="16"/>
      <c r="W30" s="16" t="s">
        <v>852</v>
      </c>
      <c r="X30" s="7" t="s">
        <v>852</v>
      </c>
      <c r="Y30" s="16" t="s">
        <v>50</v>
      </c>
      <c r="Z30" s="16" t="s">
        <v>50</v>
      </c>
    </row>
    <row r="31" spans="2:26" ht="15" customHeight="1">
      <c r="B31" s="16" t="s">
        <v>858</v>
      </c>
      <c r="C31" s="16" t="s">
        <v>184</v>
      </c>
      <c r="D31" s="16" t="s">
        <v>73</v>
      </c>
      <c r="E31" s="16" t="s">
        <v>192</v>
      </c>
      <c r="F31" s="16" t="s">
        <v>859</v>
      </c>
      <c r="G31" s="8">
        <v>6</v>
      </c>
      <c r="H31" s="8">
        <v>0</v>
      </c>
      <c r="I31" s="8">
        <v>0</v>
      </c>
      <c r="J31" s="8">
        <v>0</v>
      </c>
      <c r="K31" s="8">
        <v>0</v>
      </c>
      <c r="L31" s="8">
        <v>0</v>
      </c>
      <c r="M31" s="8">
        <v>0</v>
      </c>
      <c r="N31" s="8">
        <v>0</v>
      </c>
      <c r="O31" s="8">
        <v>0</v>
      </c>
      <c r="P31" s="8">
        <v>0</v>
      </c>
      <c r="Q31" s="8">
        <v>6</v>
      </c>
      <c r="R31" s="8">
        <v>0</v>
      </c>
      <c r="S31" s="16">
        <v>6</v>
      </c>
      <c r="T31" s="16"/>
      <c r="U31" s="16" t="s">
        <v>50</v>
      </c>
      <c r="V31" s="16"/>
      <c r="W31" s="16" t="s">
        <v>852</v>
      </c>
      <c r="X31" s="7" t="s">
        <v>852</v>
      </c>
      <c r="Y31" s="16" t="s">
        <v>50</v>
      </c>
      <c r="Z31" s="16" t="s">
        <v>50</v>
      </c>
    </row>
    <row r="32" spans="2:26" ht="15" customHeight="1">
      <c r="B32" s="16" t="s">
        <v>860</v>
      </c>
      <c r="C32" s="16" t="s">
        <v>184</v>
      </c>
      <c r="D32" s="16" t="s">
        <v>68</v>
      </c>
      <c r="E32" s="16" t="s">
        <v>192</v>
      </c>
      <c r="F32" s="16" t="s">
        <v>861</v>
      </c>
      <c r="G32" s="8">
        <v>6</v>
      </c>
      <c r="H32" s="8">
        <v>0</v>
      </c>
      <c r="I32" s="8">
        <v>0</v>
      </c>
      <c r="J32" s="8">
        <v>984623</v>
      </c>
      <c r="K32" s="8">
        <v>0</v>
      </c>
      <c r="L32" s="8">
        <v>0</v>
      </c>
      <c r="M32" s="8">
        <v>0</v>
      </c>
      <c r="N32" s="8">
        <v>0</v>
      </c>
      <c r="O32" s="8">
        <v>0</v>
      </c>
      <c r="P32" s="8">
        <v>1</v>
      </c>
      <c r="Q32" s="8">
        <v>4</v>
      </c>
      <c r="R32" s="8">
        <v>1</v>
      </c>
      <c r="S32" s="16">
        <v>4</v>
      </c>
      <c r="T32" s="16"/>
      <c r="U32" s="16" t="s">
        <v>50</v>
      </c>
      <c r="V32" s="16"/>
      <c r="W32" s="16" t="s">
        <v>852</v>
      </c>
      <c r="X32" s="7" t="s">
        <v>852</v>
      </c>
      <c r="Y32" s="16" t="s">
        <v>50</v>
      </c>
      <c r="Z32" s="16" t="s">
        <v>50</v>
      </c>
    </row>
    <row r="33" spans="2:26" ht="15" customHeight="1">
      <c r="B33" s="16" t="s">
        <v>862</v>
      </c>
      <c r="C33" s="16" t="s">
        <v>184</v>
      </c>
      <c r="D33" s="16" t="s">
        <v>62</v>
      </c>
      <c r="E33" s="16" t="s">
        <v>222</v>
      </c>
      <c r="F33" s="16" t="s">
        <v>863</v>
      </c>
      <c r="G33" s="8">
        <v>6</v>
      </c>
      <c r="H33" s="8">
        <v>20</v>
      </c>
      <c r="I33" s="8">
        <v>0</v>
      </c>
      <c r="J33" s="8">
        <v>359809</v>
      </c>
      <c r="K33" s="8">
        <v>0</v>
      </c>
      <c r="L33" s="8">
        <v>0</v>
      </c>
      <c r="M33" s="8">
        <v>0</v>
      </c>
      <c r="N33" s="8">
        <v>0</v>
      </c>
      <c r="O33" s="8">
        <v>0</v>
      </c>
      <c r="P33" s="8">
        <v>1</v>
      </c>
      <c r="Q33" s="8">
        <v>5</v>
      </c>
      <c r="R33" s="8">
        <v>0</v>
      </c>
      <c r="S33" s="16">
        <v>5</v>
      </c>
      <c r="T33" s="16" t="s">
        <v>187</v>
      </c>
      <c r="U33" s="16" t="s">
        <v>557</v>
      </c>
      <c r="V33" s="16" t="s">
        <v>558</v>
      </c>
      <c r="W33" s="16" t="s">
        <v>852</v>
      </c>
      <c r="X33" s="7" t="s">
        <v>852</v>
      </c>
      <c r="Y33" s="16" t="s">
        <v>864</v>
      </c>
      <c r="Z33" s="16" t="s">
        <v>50</v>
      </c>
    </row>
    <row r="34" spans="2:26" ht="15" customHeight="1">
      <c r="B34" s="16" t="s">
        <v>865</v>
      </c>
      <c r="C34" s="16" t="s">
        <v>184</v>
      </c>
      <c r="D34" s="16" t="s">
        <v>65</v>
      </c>
      <c r="E34" s="16" t="s">
        <v>222</v>
      </c>
      <c r="F34" s="16" t="s">
        <v>866</v>
      </c>
      <c r="G34" s="8">
        <v>4</v>
      </c>
      <c r="H34" s="8">
        <v>11</v>
      </c>
      <c r="I34" s="8">
        <v>0</v>
      </c>
      <c r="J34" s="8">
        <v>40128</v>
      </c>
      <c r="K34" s="8">
        <v>0</v>
      </c>
      <c r="L34" s="8">
        <v>0</v>
      </c>
      <c r="M34" s="8">
        <v>0</v>
      </c>
      <c r="N34" s="8">
        <v>0</v>
      </c>
      <c r="O34" s="8">
        <v>0</v>
      </c>
      <c r="P34" s="8">
        <v>0</v>
      </c>
      <c r="Q34" s="8">
        <v>2</v>
      </c>
      <c r="R34" s="8">
        <v>2</v>
      </c>
      <c r="S34" s="16">
        <v>3</v>
      </c>
      <c r="T34" s="16"/>
      <c r="U34" s="16" t="s">
        <v>50</v>
      </c>
      <c r="V34" s="16"/>
      <c r="W34" s="16" t="s">
        <v>852</v>
      </c>
      <c r="X34" s="7" t="s">
        <v>852</v>
      </c>
      <c r="Y34" s="16" t="s">
        <v>50</v>
      </c>
      <c r="Z34" s="16" t="s">
        <v>50</v>
      </c>
    </row>
    <row r="35" spans="2:26" ht="15" customHeight="1">
      <c r="B35" s="16" t="s">
        <v>867</v>
      </c>
      <c r="C35" s="16" t="s">
        <v>151</v>
      </c>
      <c r="D35" s="16" t="s">
        <v>62</v>
      </c>
      <c r="E35" s="16" t="s">
        <v>222</v>
      </c>
      <c r="F35" s="16" t="s">
        <v>868</v>
      </c>
      <c r="G35" s="8">
        <v>3</v>
      </c>
      <c r="H35" s="8">
        <v>6</v>
      </c>
      <c r="I35" s="8">
        <v>44</v>
      </c>
      <c r="J35" s="8">
        <v>154469</v>
      </c>
      <c r="K35" s="8">
        <v>0</v>
      </c>
      <c r="L35" s="8">
        <v>1</v>
      </c>
      <c r="M35" s="8">
        <v>1</v>
      </c>
      <c r="N35" s="8">
        <v>0</v>
      </c>
      <c r="O35" s="8">
        <v>0</v>
      </c>
      <c r="P35" s="8">
        <v>2</v>
      </c>
      <c r="Q35" s="8">
        <v>1</v>
      </c>
      <c r="R35" s="8">
        <v>0</v>
      </c>
      <c r="S35" s="16">
        <v>2</v>
      </c>
      <c r="T35" s="16" t="s">
        <v>187</v>
      </c>
      <c r="U35" s="16" t="s">
        <v>256</v>
      </c>
      <c r="V35" s="16" t="s">
        <v>257</v>
      </c>
      <c r="W35" s="16" t="s">
        <v>852</v>
      </c>
      <c r="X35" s="7" t="s">
        <v>852</v>
      </c>
      <c r="Y35" s="16" t="s">
        <v>864</v>
      </c>
      <c r="Z35" s="16" t="s">
        <v>869</v>
      </c>
    </row>
    <row r="36" spans="2:26" ht="15" customHeight="1">
      <c r="B36" s="16" t="s">
        <v>223</v>
      </c>
      <c r="C36" s="16" t="s">
        <v>184</v>
      </c>
      <c r="D36" s="16" t="s">
        <v>78</v>
      </c>
      <c r="E36" s="16" t="s">
        <v>192</v>
      </c>
      <c r="F36" s="16" t="s">
        <v>224</v>
      </c>
      <c r="G36" s="8">
        <v>3</v>
      </c>
      <c r="H36" s="8">
        <v>77</v>
      </c>
      <c r="I36" s="8">
        <v>12000</v>
      </c>
      <c r="J36" s="8">
        <v>12000</v>
      </c>
      <c r="K36" s="8">
        <v>12074</v>
      </c>
      <c r="L36" s="8">
        <v>98</v>
      </c>
      <c r="M36" s="8">
        <v>84</v>
      </c>
      <c r="N36" s="8">
        <v>14</v>
      </c>
      <c r="O36" s="8">
        <v>0</v>
      </c>
      <c r="P36" s="8">
        <v>0</v>
      </c>
      <c r="Q36" s="8">
        <v>3</v>
      </c>
      <c r="R36" s="8">
        <v>0</v>
      </c>
      <c r="S36" s="16">
        <v>1</v>
      </c>
      <c r="T36" s="16" t="s">
        <v>187</v>
      </c>
      <c r="U36" s="16" t="s">
        <v>50</v>
      </c>
      <c r="V36" s="16"/>
      <c r="W36" s="16" t="s">
        <v>50</v>
      </c>
      <c r="X36" s="7" t="s">
        <v>50</v>
      </c>
      <c r="Y36" s="16" t="s">
        <v>50</v>
      </c>
      <c r="Z36" s="16" t="s">
        <v>50</v>
      </c>
    </row>
    <row r="37" spans="2:26" ht="15" customHeight="1">
      <c r="B37" s="16" t="s">
        <v>238</v>
      </c>
      <c r="C37" s="16" t="s">
        <v>184</v>
      </c>
      <c r="D37" s="16" t="s">
        <v>65</v>
      </c>
      <c r="E37" s="16" t="s">
        <v>186</v>
      </c>
      <c r="F37" s="16" t="s">
        <v>239</v>
      </c>
      <c r="G37" s="8">
        <v>3</v>
      </c>
      <c r="H37" s="8">
        <v>1224</v>
      </c>
      <c r="I37" s="8">
        <v>8143</v>
      </c>
      <c r="J37" s="8">
        <v>8143</v>
      </c>
      <c r="K37" s="8">
        <v>14970</v>
      </c>
      <c r="L37" s="8">
        <v>991</v>
      </c>
      <c r="M37" s="8">
        <v>953</v>
      </c>
      <c r="N37" s="8">
        <v>38</v>
      </c>
      <c r="O37" s="8">
        <v>0</v>
      </c>
      <c r="P37" s="8">
        <v>1</v>
      </c>
      <c r="Q37" s="8">
        <v>2</v>
      </c>
      <c r="R37" s="8">
        <v>0</v>
      </c>
      <c r="S37" s="16">
        <v>1</v>
      </c>
      <c r="T37" s="16"/>
      <c r="U37" s="16" t="s">
        <v>50</v>
      </c>
      <c r="V37" s="16"/>
      <c r="W37" s="16" t="s">
        <v>50</v>
      </c>
      <c r="X37" s="7" t="s">
        <v>50</v>
      </c>
      <c r="Y37" s="16" t="s">
        <v>50</v>
      </c>
      <c r="Z37" s="16" t="s">
        <v>50</v>
      </c>
    </row>
    <row r="38" spans="2:26" ht="15" customHeight="1">
      <c r="B38" s="16" t="s">
        <v>870</v>
      </c>
      <c r="C38" s="16" t="s">
        <v>151</v>
      </c>
      <c r="D38" s="16" t="s">
        <v>62</v>
      </c>
      <c r="E38" s="16" t="s">
        <v>222</v>
      </c>
      <c r="F38" s="16" t="s">
        <v>871</v>
      </c>
      <c r="G38" s="8">
        <v>2</v>
      </c>
      <c r="H38" s="8">
        <v>12</v>
      </c>
      <c r="I38" s="8">
        <v>1058</v>
      </c>
      <c r="J38" s="8">
        <v>102407</v>
      </c>
      <c r="K38" s="8">
        <v>0</v>
      </c>
      <c r="L38" s="8">
        <v>7</v>
      </c>
      <c r="M38" s="8">
        <v>7</v>
      </c>
      <c r="N38" s="8">
        <v>0</v>
      </c>
      <c r="O38" s="8">
        <v>0</v>
      </c>
      <c r="P38" s="8">
        <v>0</v>
      </c>
      <c r="Q38" s="8">
        <v>1</v>
      </c>
      <c r="R38" s="8">
        <v>1</v>
      </c>
      <c r="S38" s="16">
        <v>1</v>
      </c>
      <c r="T38" s="16" t="s">
        <v>187</v>
      </c>
      <c r="U38" s="16" t="s">
        <v>262</v>
      </c>
      <c r="V38" s="16" t="s">
        <v>872</v>
      </c>
      <c r="W38" s="16" t="s">
        <v>852</v>
      </c>
      <c r="X38" s="7" t="s">
        <v>852</v>
      </c>
      <c r="Y38" s="16" t="s">
        <v>50</v>
      </c>
      <c r="Z38" s="16" t="s">
        <v>50</v>
      </c>
    </row>
    <row r="39" spans="2:26" ht="15" customHeight="1">
      <c r="B39" s="16" t="s">
        <v>873</v>
      </c>
      <c r="C39" s="16" t="s">
        <v>234</v>
      </c>
      <c r="D39" s="16" t="s">
        <v>62</v>
      </c>
      <c r="E39" s="16" t="s">
        <v>222</v>
      </c>
      <c r="F39" s="16" t="s">
        <v>874</v>
      </c>
      <c r="G39" s="8">
        <v>2</v>
      </c>
      <c r="H39" s="8">
        <v>12</v>
      </c>
      <c r="I39" s="8">
        <v>388</v>
      </c>
      <c r="J39" s="8">
        <v>197908</v>
      </c>
      <c r="K39" s="8">
        <v>0</v>
      </c>
      <c r="L39" s="8">
        <v>0</v>
      </c>
      <c r="M39" s="8">
        <v>0</v>
      </c>
      <c r="N39" s="8">
        <v>0</v>
      </c>
      <c r="O39" s="8">
        <v>0</v>
      </c>
      <c r="P39" s="8">
        <v>2</v>
      </c>
      <c r="Q39" s="8">
        <v>0</v>
      </c>
      <c r="R39" s="8">
        <v>0</v>
      </c>
      <c r="S39" s="16">
        <v>1</v>
      </c>
      <c r="T39" s="16" t="s">
        <v>187</v>
      </c>
      <c r="U39" s="16" t="s">
        <v>562</v>
      </c>
      <c r="V39" s="16" t="s">
        <v>875</v>
      </c>
      <c r="W39" s="16" t="s">
        <v>855</v>
      </c>
      <c r="X39" s="7" t="s">
        <v>855</v>
      </c>
      <c r="Y39" s="16" t="s">
        <v>876</v>
      </c>
      <c r="Z39" s="16" t="s">
        <v>869</v>
      </c>
    </row>
    <row r="40" spans="2:26" ht="15" customHeight="1">
      <c r="B40" s="16" t="s">
        <v>877</v>
      </c>
      <c r="C40" s="16" t="s">
        <v>184</v>
      </c>
      <c r="D40" s="16" t="s">
        <v>62</v>
      </c>
      <c r="E40" s="16" t="s">
        <v>222</v>
      </c>
      <c r="F40" s="16" t="s">
        <v>878</v>
      </c>
      <c r="G40" s="8">
        <v>2</v>
      </c>
      <c r="H40" s="8">
        <v>2</v>
      </c>
      <c r="I40" s="8">
        <v>46</v>
      </c>
      <c r="J40" s="8">
        <v>24588</v>
      </c>
      <c r="K40" s="8">
        <v>0</v>
      </c>
      <c r="L40" s="8">
        <v>0</v>
      </c>
      <c r="M40" s="8">
        <v>0</v>
      </c>
      <c r="N40" s="8">
        <v>0</v>
      </c>
      <c r="O40" s="8">
        <v>0</v>
      </c>
      <c r="P40" s="8">
        <v>0</v>
      </c>
      <c r="Q40" s="8">
        <v>1</v>
      </c>
      <c r="R40" s="8">
        <v>1</v>
      </c>
      <c r="S40" s="16">
        <v>1</v>
      </c>
      <c r="T40" s="16" t="s">
        <v>187</v>
      </c>
      <c r="U40" s="16" t="s">
        <v>273</v>
      </c>
      <c r="V40" s="16" t="s">
        <v>274</v>
      </c>
      <c r="W40" s="16" t="s">
        <v>852</v>
      </c>
      <c r="X40" s="7" t="s">
        <v>852</v>
      </c>
      <c r="Y40" s="16" t="s">
        <v>50</v>
      </c>
      <c r="Z40" s="16" t="s">
        <v>50</v>
      </c>
    </row>
    <row r="41" spans="2:26" ht="15" customHeight="1">
      <c r="B41" s="16" t="s">
        <v>879</v>
      </c>
      <c r="C41" s="16" t="s">
        <v>184</v>
      </c>
      <c r="D41" s="16" t="s">
        <v>62</v>
      </c>
      <c r="E41" s="16" t="s">
        <v>222</v>
      </c>
      <c r="F41" s="16" t="s">
        <v>880</v>
      </c>
      <c r="G41" s="8">
        <v>2</v>
      </c>
      <c r="H41" s="8">
        <v>4</v>
      </c>
      <c r="I41" s="8">
        <v>182</v>
      </c>
      <c r="J41" s="8">
        <v>3147</v>
      </c>
      <c r="K41" s="8">
        <v>0</v>
      </c>
      <c r="L41" s="8">
        <v>0</v>
      </c>
      <c r="M41" s="8">
        <v>0</v>
      </c>
      <c r="N41" s="8">
        <v>0</v>
      </c>
      <c r="O41" s="8">
        <v>0</v>
      </c>
      <c r="P41" s="8">
        <v>1</v>
      </c>
      <c r="Q41" s="8">
        <v>1</v>
      </c>
      <c r="R41" s="8">
        <v>0</v>
      </c>
      <c r="S41" s="16">
        <v>1</v>
      </c>
      <c r="T41" s="16" t="s">
        <v>187</v>
      </c>
      <c r="U41" s="16" t="s">
        <v>881</v>
      </c>
      <c r="V41" s="16" t="s">
        <v>882</v>
      </c>
      <c r="W41" s="16" t="s">
        <v>852</v>
      </c>
      <c r="X41" s="7" t="s">
        <v>852</v>
      </c>
      <c r="Y41" s="16" t="s">
        <v>864</v>
      </c>
      <c r="Z41" s="16" t="s">
        <v>883</v>
      </c>
    </row>
    <row r="42" spans="2:26" ht="15" customHeight="1">
      <c r="B42" s="16" t="s">
        <v>884</v>
      </c>
      <c r="C42" s="16" t="s">
        <v>184</v>
      </c>
      <c r="D42" s="16" t="s">
        <v>62</v>
      </c>
      <c r="E42" s="16" t="s">
        <v>222</v>
      </c>
      <c r="F42" s="16" t="s">
        <v>885</v>
      </c>
      <c r="G42" s="8">
        <v>2</v>
      </c>
      <c r="H42" s="8">
        <v>90</v>
      </c>
      <c r="I42" s="8">
        <v>1366</v>
      </c>
      <c r="J42" s="8">
        <v>65147</v>
      </c>
      <c r="K42" s="8">
        <v>0</v>
      </c>
      <c r="L42" s="8">
        <v>4</v>
      </c>
      <c r="M42" s="8">
        <v>0</v>
      </c>
      <c r="N42" s="8">
        <v>4</v>
      </c>
      <c r="O42" s="8">
        <v>0</v>
      </c>
      <c r="P42" s="8">
        <v>0</v>
      </c>
      <c r="Q42" s="8">
        <v>2</v>
      </c>
      <c r="R42" s="8">
        <v>0</v>
      </c>
      <c r="S42" s="16">
        <v>1</v>
      </c>
      <c r="T42" s="16" t="s">
        <v>187</v>
      </c>
      <c r="U42" s="16" t="s">
        <v>369</v>
      </c>
      <c r="V42" s="16" t="s">
        <v>886</v>
      </c>
      <c r="W42" s="16" t="s">
        <v>852</v>
      </c>
      <c r="X42" s="7" t="s">
        <v>852</v>
      </c>
      <c r="Y42" s="16" t="s">
        <v>50</v>
      </c>
      <c r="Z42" s="16" t="s">
        <v>50</v>
      </c>
    </row>
    <row r="43" spans="2:26" ht="15" customHeight="1">
      <c r="B43" s="16" t="s">
        <v>887</v>
      </c>
      <c r="C43" s="16" t="s">
        <v>194</v>
      </c>
      <c r="D43" s="16" t="s">
        <v>76</v>
      </c>
      <c r="E43" s="16" t="s">
        <v>222</v>
      </c>
      <c r="F43" s="16" t="s">
        <v>888</v>
      </c>
      <c r="G43" s="8">
        <v>2</v>
      </c>
      <c r="H43" s="8">
        <v>2</v>
      </c>
      <c r="I43" s="8">
        <v>954</v>
      </c>
      <c r="J43" s="8">
        <v>252496</v>
      </c>
      <c r="K43" s="8">
        <v>0</v>
      </c>
      <c r="L43" s="8">
        <v>2</v>
      </c>
      <c r="M43" s="8">
        <v>2</v>
      </c>
      <c r="N43" s="8">
        <v>0</v>
      </c>
      <c r="O43" s="8">
        <v>0</v>
      </c>
      <c r="P43" s="8">
        <v>1</v>
      </c>
      <c r="Q43" s="8">
        <v>1</v>
      </c>
      <c r="R43" s="8">
        <v>0</v>
      </c>
      <c r="S43" s="16">
        <v>1</v>
      </c>
      <c r="T43" s="16" t="s">
        <v>187</v>
      </c>
      <c r="U43" s="16" t="s">
        <v>478</v>
      </c>
      <c r="V43" s="16" t="s">
        <v>889</v>
      </c>
      <c r="W43" s="16" t="s">
        <v>852</v>
      </c>
      <c r="X43" s="7" t="s">
        <v>852</v>
      </c>
      <c r="Y43" s="16" t="s">
        <v>50</v>
      </c>
      <c r="Z43" s="16" t="s">
        <v>50</v>
      </c>
    </row>
    <row r="44" spans="2:26" ht="15" customHeight="1">
      <c r="B44" s="16" t="s">
        <v>890</v>
      </c>
      <c r="C44" s="16" t="s">
        <v>184</v>
      </c>
      <c r="D44" s="16" t="s">
        <v>62</v>
      </c>
      <c r="E44" s="16" t="s">
        <v>222</v>
      </c>
      <c r="F44" s="16" t="s">
        <v>891</v>
      </c>
      <c r="G44" s="8">
        <v>2</v>
      </c>
      <c r="H44" s="8">
        <v>2</v>
      </c>
      <c r="I44" s="8">
        <v>95</v>
      </c>
      <c r="J44" s="8">
        <v>7606</v>
      </c>
      <c r="K44" s="8">
        <v>0</v>
      </c>
      <c r="L44" s="8">
        <v>0</v>
      </c>
      <c r="M44" s="8">
        <v>0</v>
      </c>
      <c r="N44" s="8">
        <v>0</v>
      </c>
      <c r="O44" s="8">
        <v>0</v>
      </c>
      <c r="P44" s="8">
        <v>1</v>
      </c>
      <c r="Q44" s="8">
        <v>1</v>
      </c>
      <c r="R44" s="8">
        <v>0</v>
      </c>
      <c r="S44" s="16">
        <v>1</v>
      </c>
      <c r="T44" s="16"/>
      <c r="U44" s="16" t="s">
        <v>50</v>
      </c>
      <c r="V44" s="16"/>
      <c r="W44" s="16" t="s">
        <v>852</v>
      </c>
      <c r="X44" s="7" t="s">
        <v>852</v>
      </c>
      <c r="Y44" s="16" t="s">
        <v>50</v>
      </c>
      <c r="Z44" s="16" t="s">
        <v>50</v>
      </c>
    </row>
    <row r="45" spans="2:26" ht="15" customHeight="1">
      <c r="B45" s="16" t="s">
        <v>892</v>
      </c>
      <c r="C45" s="16" t="s">
        <v>184</v>
      </c>
      <c r="D45" s="16" t="s">
        <v>112</v>
      </c>
      <c r="E45" s="16" t="s">
        <v>192</v>
      </c>
      <c r="F45" s="16" t="s">
        <v>893</v>
      </c>
      <c r="G45" s="8">
        <v>2</v>
      </c>
      <c r="H45" s="8">
        <v>0</v>
      </c>
      <c r="I45" s="8" t="s">
        <v>101</v>
      </c>
      <c r="J45" s="8" t="s">
        <v>101</v>
      </c>
      <c r="K45" s="8">
        <v>0</v>
      </c>
      <c r="L45" s="8" t="s">
        <v>101</v>
      </c>
      <c r="M45" s="8">
        <v>0</v>
      </c>
      <c r="N45" s="8">
        <v>0</v>
      </c>
      <c r="O45" s="8">
        <v>0</v>
      </c>
      <c r="P45" s="8">
        <v>2</v>
      </c>
      <c r="Q45" s="8">
        <v>0</v>
      </c>
      <c r="R45" s="8">
        <v>0</v>
      </c>
      <c r="S45" s="16">
        <v>1</v>
      </c>
      <c r="T45" s="16"/>
      <c r="U45" s="16" t="s">
        <v>50</v>
      </c>
      <c r="V45" s="16"/>
      <c r="W45" s="16" t="s">
        <v>855</v>
      </c>
      <c r="X45" s="7" t="s">
        <v>855</v>
      </c>
      <c r="Y45" s="16" t="s">
        <v>50</v>
      </c>
      <c r="Z45" s="16" t="s">
        <v>50</v>
      </c>
    </row>
    <row r="46" spans="2:26" ht="15" customHeight="1">
      <c r="B46" s="16" t="s">
        <v>892</v>
      </c>
      <c r="C46" s="16" t="s">
        <v>184</v>
      </c>
      <c r="D46" s="16" t="s">
        <v>114</v>
      </c>
      <c r="E46" s="16" t="s">
        <v>192</v>
      </c>
      <c r="F46" s="16" t="s">
        <v>894</v>
      </c>
      <c r="G46" s="8">
        <v>2</v>
      </c>
      <c r="H46" s="8">
        <v>0</v>
      </c>
      <c r="I46" s="8" t="s">
        <v>101</v>
      </c>
      <c r="J46" s="8" t="s">
        <v>101</v>
      </c>
      <c r="K46" s="8">
        <v>0</v>
      </c>
      <c r="L46" s="8" t="s">
        <v>101</v>
      </c>
      <c r="M46" s="8">
        <v>0</v>
      </c>
      <c r="N46" s="8">
        <v>0</v>
      </c>
      <c r="O46" s="8">
        <v>0</v>
      </c>
      <c r="P46" s="8">
        <v>2</v>
      </c>
      <c r="Q46" s="8">
        <v>0</v>
      </c>
      <c r="R46" s="8">
        <v>0</v>
      </c>
      <c r="S46" s="16">
        <v>1</v>
      </c>
      <c r="T46" s="16"/>
      <c r="U46" s="16" t="s">
        <v>50</v>
      </c>
      <c r="V46" s="16"/>
      <c r="W46" s="16" t="s">
        <v>855</v>
      </c>
      <c r="X46" s="7" t="s">
        <v>855</v>
      </c>
      <c r="Y46" s="16" t="s">
        <v>50</v>
      </c>
      <c r="Z46" s="16" t="s">
        <v>50</v>
      </c>
    </row>
    <row r="47" spans="2:26" ht="15" customHeight="1">
      <c r="B47" s="16" t="s">
        <v>895</v>
      </c>
      <c r="C47" s="16" t="s">
        <v>184</v>
      </c>
      <c r="D47" s="16" t="s">
        <v>62</v>
      </c>
      <c r="E47" s="16" t="s">
        <v>222</v>
      </c>
      <c r="F47" s="16" t="s">
        <v>896</v>
      </c>
      <c r="G47" s="8">
        <v>2</v>
      </c>
      <c r="H47" s="8">
        <v>4</v>
      </c>
      <c r="I47" s="8">
        <v>76</v>
      </c>
      <c r="J47" s="8">
        <v>3147</v>
      </c>
      <c r="K47" s="8">
        <v>0</v>
      </c>
      <c r="L47" s="8">
        <v>0</v>
      </c>
      <c r="M47" s="8">
        <v>0</v>
      </c>
      <c r="N47" s="8">
        <v>0</v>
      </c>
      <c r="O47" s="8">
        <v>0</v>
      </c>
      <c r="P47" s="8">
        <v>1</v>
      </c>
      <c r="Q47" s="8">
        <v>1</v>
      </c>
      <c r="R47" s="8">
        <v>0</v>
      </c>
      <c r="S47" s="16">
        <v>1</v>
      </c>
      <c r="T47" s="16"/>
      <c r="U47" s="16" t="s">
        <v>50</v>
      </c>
      <c r="V47" s="16"/>
      <c r="W47" s="16" t="s">
        <v>852</v>
      </c>
      <c r="X47" s="7" t="s">
        <v>852</v>
      </c>
      <c r="Y47" s="16" t="s">
        <v>876</v>
      </c>
      <c r="Z47" s="16" t="s">
        <v>50</v>
      </c>
    </row>
    <row r="48" spans="2:26" ht="15" customHeight="1">
      <c r="B48" s="16" t="s">
        <v>275</v>
      </c>
      <c r="C48" s="16" t="s">
        <v>184</v>
      </c>
      <c r="D48" s="16" t="s">
        <v>68</v>
      </c>
      <c r="E48" s="16" t="s">
        <v>192</v>
      </c>
      <c r="F48" s="16" t="s">
        <v>276</v>
      </c>
      <c r="G48" s="8">
        <v>2</v>
      </c>
      <c r="H48" s="8">
        <v>0</v>
      </c>
      <c r="I48" s="8">
        <v>11296</v>
      </c>
      <c r="J48" s="8">
        <v>11297</v>
      </c>
      <c r="K48" s="8">
        <v>209</v>
      </c>
      <c r="L48" s="8">
        <v>9</v>
      </c>
      <c r="M48" s="8">
        <v>6</v>
      </c>
      <c r="N48" s="8">
        <v>3</v>
      </c>
      <c r="O48" s="8">
        <v>0</v>
      </c>
      <c r="P48" s="8">
        <v>0</v>
      </c>
      <c r="Q48" s="8">
        <v>2</v>
      </c>
      <c r="R48" s="8">
        <v>0</v>
      </c>
      <c r="S48" s="16">
        <v>1</v>
      </c>
      <c r="T48" s="16"/>
      <c r="U48" s="16" t="s">
        <v>50</v>
      </c>
      <c r="V48" s="16"/>
      <c r="W48" s="16" t="s">
        <v>855</v>
      </c>
      <c r="X48" s="7" t="s">
        <v>855</v>
      </c>
      <c r="Y48" s="16" t="s">
        <v>50</v>
      </c>
      <c r="Z48" s="16" t="s">
        <v>50</v>
      </c>
    </row>
    <row r="49" spans="2:26" ht="15" customHeight="1">
      <c r="B49" s="16" t="s">
        <v>897</v>
      </c>
      <c r="C49" s="16" t="s">
        <v>184</v>
      </c>
      <c r="D49" s="16" t="s">
        <v>65</v>
      </c>
      <c r="E49" s="16" t="s">
        <v>192</v>
      </c>
      <c r="F49" s="16" t="s">
        <v>898</v>
      </c>
      <c r="G49" s="8">
        <v>2</v>
      </c>
      <c r="H49" s="8">
        <v>0</v>
      </c>
      <c r="I49" s="8">
        <v>0</v>
      </c>
      <c r="J49" s="8">
        <v>1103</v>
      </c>
      <c r="K49" s="8">
        <v>0</v>
      </c>
      <c r="L49" s="8">
        <v>0</v>
      </c>
      <c r="M49" s="8">
        <v>0</v>
      </c>
      <c r="N49" s="8">
        <v>0</v>
      </c>
      <c r="O49" s="8">
        <v>0</v>
      </c>
      <c r="P49" s="8">
        <v>0</v>
      </c>
      <c r="Q49" s="8">
        <v>2</v>
      </c>
      <c r="R49" s="8">
        <v>0</v>
      </c>
      <c r="S49" s="16">
        <v>1</v>
      </c>
      <c r="T49" s="16"/>
      <c r="U49" s="16" t="s">
        <v>50</v>
      </c>
      <c r="V49" s="16"/>
      <c r="W49" s="16" t="s">
        <v>855</v>
      </c>
      <c r="X49" s="7" t="s">
        <v>855</v>
      </c>
      <c r="Y49" s="16" t="s">
        <v>50</v>
      </c>
      <c r="Z49" s="16" t="s">
        <v>50</v>
      </c>
    </row>
    <row r="50" spans="2:26" ht="15" customHeight="1">
      <c r="B50" s="16" t="s">
        <v>899</v>
      </c>
      <c r="C50" s="16" t="s">
        <v>184</v>
      </c>
      <c r="D50" s="16" t="s">
        <v>73</v>
      </c>
      <c r="E50" s="16" t="s">
        <v>192</v>
      </c>
      <c r="F50" s="16" t="s">
        <v>900</v>
      </c>
      <c r="G50" s="8">
        <v>2</v>
      </c>
      <c r="H50" s="8">
        <v>0</v>
      </c>
      <c r="I50" s="8">
        <v>0</v>
      </c>
      <c r="J50" s="8">
        <v>0</v>
      </c>
      <c r="K50" s="8">
        <v>0</v>
      </c>
      <c r="L50" s="8">
        <v>0</v>
      </c>
      <c r="M50" s="8">
        <v>0</v>
      </c>
      <c r="N50" s="8">
        <v>0</v>
      </c>
      <c r="O50" s="8">
        <v>0</v>
      </c>
      <c r="P50" s="8">
        <v>0</v>
      </c>
      <c r="Q50" s="8">
        <v>2</v>
      </c>
      <c r="R50" s="8">
        <v>0</v>
      </c>
      <c r="S50" s="16">
        <v>1</v>
      </c>
      <c r="T50" s="16"/>
      <c r="U50" s="16" t="s">
        <v>50</v>
      </c>
      <c r="V50" s="16"/>
      <c r="W50" s="16" t="s">
        <v>852</v>
      </c>
      <c r="X50" s="7" t="s">
        <v>852</v>
      </c>
      <c r="Y50" s="16" t="s">
        <v>50</v>
      </c>
      <c r="Z50" s="16" t="s">
        <v>50</v>
      </c>
    </row>
    <row r="51" spans="2:26" ht="15" customHeight="1">
      <c r="B51" s="16" t="s">
        <v>901</v>
      </c>
      <c r="C51" s="16" t="s">
        <v>184</v>
      </c>
      <c r="D51" s="16" t="s">
        <v>62</v>
      </c>
      <c r="E51" s="16" t="s">
        <v>222</v>
      </c>
      <c r="F51" s="16" t="s">
        <v>902</v>
      </c>
      <c r="G51" s="8">
        <v>2</v>
      </c>
      <c r="H51" s="8">
        <v>4</v>
      </c>
      <c r="I51" s="8">
        <v>30</v>
      </c>
      <c r="J51" s="8">
        <v>3138</v>
      </c>
      <c r="K51" s="8">
        <v>0</v>
      </c>
      <c r="L51" s="8">
        <v>0</v>
      </c>
      <c r="M51" s="8">
        <v>0</v>
      </c>
      <c r="N51" s="8">
        <v>0</v>
      </c>
      <c r="O51" s="8">
        <v>0</v>
      </c>
      <c r="P51" s="8">
        <v>2</v>
      </c>
      <c r="Q51" s="8">
        <v>0</v>
      </c>
      <c r="R51" s="8">
        <v>0</v>
      </c>
      <c r="S51" s="16">
        <v>1</v>
      </c>
      <c r="T51" s="16" t="s">
        <v>187</v>
      </c>
      <c r="U51" s="16" t="s">
        <v>200</v>
      </c>
      <c r="V51" s="16" t="s">
        <v>201</v>
      </c>
      <c r="W51" s="16" t="s">
        <v>852</v>
      </c>
      <c r="X51" s="7" t="s">
        <v>852</v>
      </c>
      <c r="Y51" s="16" t="s">
        <v>864</v>
      </c>
      <c r="Z51" s="16" t="s">
        <v>50</v>
      </c>
    </row>
    <row r="52" spans="2:26" ht="15" customHeight="1">
      <c r="B52" s="16" t="s">
        <v>903</v>
      </c>
      <c r="C52" s="16" t="s">
        <v>184</v>
      </c>
      <c r="D52" s="16" t="s">
        <v>65</v>
      </c>
      <c r="E52" s="16" t="s">
        <v>222</v>
      </c>
      <c r="F52" s="16" t="s">
        <v>904</v>
      </c>
      <c r="G52" s="8">
        <v>2</v>
      </c>
      <c r="H52" s="8">
        <v>0</v>
      </c>
      <c r="I52" s="8">
        <v>0</v>
      </c>
      <c r="J52" s="8">
        <v>8543</v>
      </c>
      <c r="K52" s="8">
        <v>0</v>
      </c>
      <c r="L52" s="8">
        <v>0</v>
      </c>
      <c r="M52" s="8">
        <v>0</v>
      </c>
      <c r="N52" s="8">
        <v>0</v>
      </c>
      <c r="O52" s="8">
        <v>0</v>
      </c>
      <c r="P52" s="8">
        <v>0</v>
      </c>
      <c r="Q52" s="8">
        <v>2</v>
      </c>
      <c r="R52" s="8">
        <v>0</v>
      </c>
      <c r="S52" s="16">
        <v>2</v>
      </c>
      <c r="T52" s="16"/>
      <c r="U52" s="16" t="s">
        <v>50</v>
      </c>
      <c r="V52" s="16"/>
      <c r="W52" s="16" t="s">
        <v>852</v>
      </c>
      <c r="X52" s="7" t="s">
        <v>852</v>
      </c>
      <c r="Y52" s="16" t="s">
        <v>50</v>
      </c>
      <c r="Z52" s="16" t="s">
        <v>50</v>
      </c>
    </row>
    <row r="53" spans="2:26" ht="15" customHeight="1">
      <c r="B53" s="16" t="s">
        <v>905</v>
      </c>
      <c r="C53" s="16" t="s">
        <v>184</v>
      </c>
      <c r="D53" s="16" t="s">
        <v>89</v>
      </c>
      <c r="E53" s="16" t="s">
        <v>192</v>
      </c>
      <c r="F53" s="16" t="s">
        <v>906</v>
      </c>
      <c r="G53" s="8">
        <v>2</v>
      </c>
      <c r="H53" s="8">
        <v>0</v>
      </c>
      <c r="I53" s="8">
        <v>0</v>
      </c>
      <c r="J53" s="8">
        <v>0</v>
      </c>
      <c r="K53" s="8">
        <v>0</v>
      </c>
      <c r="L53" s="8">
        <v>0</v>
      </c>
      <c r="M53" s="8">
        <v>0</v>
      </c>
      <c r="N53" s="8">
        <v>0</v>
      </c>
      <c r="O53" s="8">
        <v>0</v>
      </c>
      <c r="P53" s="8">
        <v>0</v>
      </c>
      <c r="Q53" s="8">
        <v>2</v>
      </c>
      <c r="R53" s="8">
        <v>0</v>
      </c>
      <c r="S53" s="16">
        <v>1</v>
      </c>
      <c r="T53" s="16"/>
      <c r="U53" s="16" t="s">
        <v>50</v>
      </c>
      <c r="V53" s="16"/>
      <c r="W53" s="16" t="s">
        <v>855</v>
      </c>
      <c r="X53" s="7" t="s">
        <v>855</v>
      </c>
      <c r="Y53" s="16" t="s">
        <v>50</v>
      </c>
      <c r="Z53" s="16" t="s">
        <v>50</v>
      </c>
    </row>
    <row r="54" spans="2:26" ht="15" customHeight="1">
      <c r="B54" s="16" t="s">
        <v>907</v>
      </c>
      <c r="C54" s="16" t="s">
        <v>151</v>
      </c>
      <c r="D54" s="16" t="s">
        <v>62</v>
      </c>
      <c r="E54" s="16" t="s">
        <v>222</v>
      </c>
      <c r="F54" s="16" t="s">
        <v>908</v>
      </c>
      <c r="G54" s="8">
        <v>2</v>
      </c>
      <c r="H54" s="8">
        <v>8</v>
      </c>
      <c r="I54" s="8">
        <v>29</v>
      </c>
      <c r="J54" s="8">
        <v>16677</v>
      </c>
      <c r="K54" s="8">
        <v>0</v>
      </c>
      <c r="L54" s="8">
        <v>0</v>
      </c>
      <c r="M54" s="8">
        <v>0</v>
      </c>
      <c r="N54" s="8">
        <v>0</v>
      </c>
      <c r="O54" s="8">
        <v>0</v>
      </c>
      <c r="P54" s="8">
        <v>0</v>
      </c>
      <c r="Q54" s="8">
        <v>2</v>
      </c>
      <c r="R54" s="8">
        <v>0</v>
      </c>
      <c r="S54" s="16">
        <v>1</v>
      </c>
      <c r="T54" s="16" t="s">
        <v>187</v>
      </c>
      <c r="U54" s="16" t="s">
        <v>909</v>
      </c>
      <c r="V54" s="16" t="s">
        <v>910</v>
      </c>
      <c r="W54" s="16" t="s">
        <v>852</v>
      </c>
      <c r="X54" s="7" t="s">
        <v>852</v>
      </c>
      <c r="Y54" s="16" t="s">
        <v>50</v>
      </c>
      <c r="Z54" s="16" t="s">
        <v>50</v>
      </c>
    </row>
    <row r="55" spans="2:26" ht="15" customHeight="1">
      <c r="B55" s="16" t="s">
        <v>911</v>
      </c>
      <c r="C55" s="16" t="s">
        <v>184</v>
      </c>
      <c r="D55" s="16" t="s">
        <v>65</v>
      </c>
      <c r="E55" s="16" t="s">
        <v>222</v>
      </c>
      <c r="F55" s="16" t="s">
        <v>912</v>
      </c>
      <c r="G55" s="8">
        <v>2</v>
      </c>
      <c r="H55" s="8">
        <v>0</v>
      </c>
      <c r="I55" s="8">
        <v>0</v>
      </c>
      <c r="J55" s="8">
        <v>11578</v>
      </c>
      <c r="K55" s="8">
        <v>0</v>
      </c>
      <c r="L55" s="8">
        <v>0</v>
      </c>
      <c r="M55" s="8">
        <v>0</v>
      </c>
      <c r="N55" s="8">
        <v>0</v>
      </c>
      <c r="O55" s="8">
        <v>0</v>
      </c>
      <c r="P55" s="8">
        <v>1</v>
      </c>
      <c r="Q55" s="8">
        <v>1</v>
      </c>
      <c r="R55" s="8">
        <v>0</v>
      </c>
      <c r="S55" s="16">
        <v>1</v>
      </c>
      <c r="T55" s="16"/>
      <c r="U55" s="16" t="s">
        <v>50</v>
      </c>
      <c r="V55" s="16"/>
      <c r="W55" s="16" t="s">
        <v>50</v>
      </c>
      <c r="X55" s="7" t="s">
        <v>50</v>
      </c>
      <c r="Y55" s="16" t="s">
        <v>50</v>
      </c>
      <c r="Z55" s="16" t="s">
        <v>50</v>
      </c>
    </row>
    <row r="56" spans="2:26" ht="15" customHeight="1">
      <c r="B56" s="16" t="s">
        <v>913</v>
      </c>
      <c r="C56" s="16" t="s">
        <v>184</v>
      </c>
      <c r="D56" s="16" t="s">
        <v>73</v>
      </c>
      <c r="E56" s="16" t="s">
        <v>192</v>
      </c>
      <c r="F56" s="16" t="s">
        <v>914</v>
      </c>
      <c r="G56" s="8">
        <v>2</v>
      </c>
      <c r="H56" s="8">
        <v>0</v>
      </c>
      <c r="I56" s="8">
        <v>0</v>
      </c>
      <c r="J56" s="8">
        <v>0</v>
      </c>
      <c r="K56" s="8">
        <v>0</v>
      </c>
      <c r="L56" s="8">
        <v>0</v>
      </c>
      <c r="M56" s="8">
        <v>0</v>
      </c>
      <c r="N56" s="8">
        <v>0</v>
      </c>
      <c r="O56" s="8">
        <v>0</v>
      </c>
      <c r="P56" s="8">
        <v>1</v>
      </c>
      <c r="Q56" s="8">
        <v>0</v>
      </c>
      <c r="R56" s="8">
        <v>1</v>
      </c>
      <c r="S56" s="16">
        <v>2</v>
      </c>
      <c r="T56" s="16"/>
      <c r="U56" s="16" t="s">
        <v>50</v>
      </c>
      <c r="V56" s="16"/>
      <c r="W56" s="16" t="s">
        <v>855</v>
      </c>
      <c r="X56" s="7" t="s">
        <v>855</v>
      </c>
      <c r="Y56" s="16" t="s">
        <v>50</v>
      </c>
      <c r="Z56" s="16" t="s">
        <v>50</v>
      </c>
    </row>
    <row r="57" spans="2:26" ht="15" customHeight="1">
      <c r="B57" s="16" t="s">
        <v>915</v>
      </c>
      <c r="C57" s="16" t="s">
        <v>184</v>
      </c>
      <c r="D57" s="16" t="s">
        <v>71</v>
      </c>
      <c r="E57" s="16" t="s">
        <v>222</v>
      </c>
      <c r="F57" s="16" t="s">
        <v>916</v>
      </c>
      <c r="G57" s="8">
        <v>2</v>
      </c>
      <c r="H57" s="8">
        <v>0</v>
      </c>
      <c r="I57" s="8">
        <v>0</v>
      </c>
      <c r="J57" s="8">
        <v>1592</v>
      </c>
      <c r="K57" s="8">
        <v>0</v>
      </c>
      <c r="L57" s="8">
        <v>0</v>
      </c>
      <c r="M57" s="8">
        <v>0</v>
      </c>
      <c r="N57" s="8">
        <v>0</v>
      </c>
      <c r="O57" s="8">
        <v>0</v>
      </c>
      <c r="P57" s="8">
        <v>0</v>
      </c>
      <c r="Q57" s="8">
        <v>2</v>
      </c>
      <c r="R57" s="8">
        <v>0</v>
      </c>
      <c r="S57" s="16">
        <v>1</v>
      </c>
      <c r="T57" s="16"/>
      <c r="U57" s="16" t="s">
        <v>50</v>
      </c>
      <c r="V57" s="16"/>
      <c r="W57" s="16" t="s">
        <v>50</v>
      </c>
      <c r="X57" s="7" t="s">
        <v>50</v>
      </c>
      <c r="Y57" s="16" t="s">
        <v>50</v>
      </c>
      <c r="Z57" s="16" t="s">
        <v>50</v>
      </c>
    </row>
    <row r="58" spans="2:26" ht="15" customHeight="1">
      <c r="B58" s="16" t="s">
        <v>917</v>
      </c>
      <c r="C58" s="16" t="s">
        <v>184</v>
      </c>
      <c r="D58" s="16" t="s">
        <v>65</v>
      </c>
      <c r="E58" s="16" t="s">
        <v>222</v>
      </c>
      <c r="F58" s="16" t="s">
        <v>918</v>
      </c>
      <c r="G58" s="8">
        <v>2</v>
      </c>
      <c r="H58" s="8">
        <v>0</v>
      </c>
      <c r="I58" s="8">
        <v>0</v>
      </c>
      <c r="J58" s="8">
        <v>30096</v>
      </c>
      <c r="K58" s="8">
        <v>0</v>
      </c>
      <c r="L58" s="8">
        <v>0</v>
      </c>
      <c r="M58" s="8">
        <v>0</v>
      </c>
      <c r="N58" s="8">
        <v>0</v>
      </c>
      <c r="O58" s="8">
        <v>0</v>
      </c>
      <c r="P58" s="8">
        <v>1</v>
      </c>
      <c r="Q58" s="8">
        <v>1</v>
      </c>
      <c r="R58" s="8">
        <v>0</v>
      </c>
      <c r="S58" s="16">
        <v>1</v>
      </c>
      <c r="T58" s="16"/>
      <c r="U58" s="16" t="s">
        <v>50</v>
      </c>
      <c r="V58" s="16"/>
      <c r="W58" s="16" t="s">
        <v>50</v>
      </c>
      <c r="X58" s="7" t="s">
        <v>50</v>
      </c>
      <c r="Y58" s="16" t="s">
        <v>50</v>
      </c>
      <c r="Z58" s="16" t="s">
        <v>50</v>
      </c>
    </row>
    <row r="59" spans="2:26" ht="15" customHeight="1">
      <c r="B59" s="16" t="s">
        <v>308</v>
      </c>
      <c r="C59" s="16" t="s">
        <v>184</v>
      </c>
      <c r="D59" s="16" t="s">
        <v>62</v>
      </c>
      <c r="E59" s="16" t="s">
        <v>186</v>
      </c>
      <c r="F59" s="16" t="s">
        <v>309</v>
      </c>
      <c r="G59" s="8">
        <v>2</v>
      </c>
      <c r="H59" s="8">
        <v>0</v>
      </c>
      <c r="I59" s="8">
        <v>7</v>
      </c>
      <c r="J59" s="8">
        <v>7</v>
      </c>
      <c r="K59" s="8">
        <v>0</v>
      </c>
      <c r="L59" s="8">
        <v>0</v>
      </c>
      <c r="M59" s="8">
        <v>0</v>
      </c>
      <c r="N59" s="8">
        <v>0</v>
      </c>
      <c r="O59" s="8">
        <v>0</v>
      </c>
      <c r="P59" s="8">
        <v>0</v>
      </c>
      <c r="Q59" s="8">
        <v>2</v>
      </c>
      <c r="R59" s="8">
        <v>0</v>
      </c>
      <c r="S59" s="16">
        <v>1</v>
      </c>
      <c r="T59" s="16" t="s">
        <v>187</v>
      </c>
      <c r="U59" s="16" t="s">
        <v>200</v>
      </c>
      <c r="V59" s="16" t="s">
        <v>201</v>
      </c>
      <c r="W59" s="16" t="s">
        <v>50</v>
      </c>
      <c r="X59" s="7" t="s">
        <v>50</v>
      </c>
      <c r="Y59" s="16" t="s">
        <v>50</v>
      </c>
      <c r="Z59" s="16" t="s">
        <v>50</v>
      </c>
    </row>
    <row r="60" spans="2:26" ht="15" customHeight="1">
      <c r="B60" s="16" t="s">
        <v>919</v>
      </c>
      <c r="C60" s="16" t="s">
        <v>184</v>
      </c>
      <c r="D60" s="16" t="s">
        <v>81</v>
      </c>
      <c r="E60" s="16" t="s">
        <v>222</v>
      </c>
      <c r="F60" s="16" t="s">
        <v>920</v>
      </c>
      <c r="G60" s="8">
        <v>2</v>
      </c>
      <c r="H60" s="8">
        <v>10</v>
      </c>
      <c r="I60" s="8">
        <v>0</v>
      </c>
      <c r="J60" s="8">
        <v>47551</v>
      </c>
      <c r="K60" s="8">
        <v>0</v>
      </c>
      <c r="L60" s="8">
        <v>0</v>
      </c>
      <c r="M60" s="8">
        <v>0</v>
      </c>
      <c r="N60" s="8">
        <v>0</v>
      </c>
      <c r="O60" s="8">
        <v>0</v>
      </c>
      <c r="P60" s="8">
        <v>0</v>
      </c>
      <c r="Q60" s="8">
        <v>2</v>
      </c>
      <c r="R60" s="8">
        <v>0</v>
      </c>
      <c r="S60" s="16">
        <v>1</v>
      </c>
      <c r="T60" s="16"/>
      <c r="U60" s="16" t="s">
        <v>50</v>
      </c>
      <c r="V60" s="16"/>
      <c r="W60" s="16" t="s">
        <v>50</v>
      </c>
      <c r="X60" s="7" t="s">
        <v>50</v>
      </c>
      <c r="Y60" s="16" t="s">
        <v>50</v>
      </c>
      <c r="Z60" s="16" t="s">
        <v>50</v>
      </c>
    </row>
    <row r="61" spans="2:26" ht="15" customHeight="1">
      <c r="B61" s="16" t="s">
        <v>921</v>
      </c>
      <c r="C61" s="16" t="s">
        <v>184</v>
      </c>
      <c r="D61" s="16" t="s">
        <v>65</v>
      </c>
      <c r="E61" s="16" t="s">
        <v>222</v>
      </c>
      <c r="F61" s="16" t="s">
        <v>922</v>
      </c>
      <c r="G61" s="8">
        <v>2</v>
      </c>
      <c r="H61" s="8">
        <v>0</v>
      </c>
      <c r="I61" s="8">
        <v>0</v>
      </c>
      <c r="J61" s="8">
        <v>12738</v>
      </c>
      <c r="K61" s="8">
        <v>0</v>
      </c>
      <c r="L61" s="8">
        <v>0</v>
      </c>
      <c r="M61" s="8">
        <v>0</v>
      </c>
      <c r="N61" s="8">
        <v>0</v>
      </c>
      <c r="O61" s="8">
        <v>0</v>
      </c>
      <c r="P61" s="8">
        <v>1</v>
      </c>
      <c r="Q61" s="8">
        <v>1</v>
      </c>
      <c r="R61" s="8">
        <v>0</v>
      </c>
      <c r="S61" s="16">
        <v>1</v>
      </c>
      <c r="T61" s="16"/>
      <c r="U61" s="16" t="s">
        <v>50</v>
      </c>
      <c r="V61" s="16"/>
      <c r="W61" s="16" t="s">
        <v>852</v>
      </c>
      <c r="X61" s="7" t="s">
        <v>852</v>
      </c>
      <c r="Y61" s="16" t="s">
        <v>50</v>
      </c>
      <c r="Z61" s="16" t="s">
        <v>50</v>
      </c>
    </row>
    <row r="62" spans="2:26" ht="15" customHeight="1">
      <c r="B62" s="16" t="s">
        <v>923</v>
      </c>
      <c r="C62" s="16" t="s">
        <v>184</v>
      </c>
      <c r="D62" s="16" t="s">
        <v>68</v>
      </c>
      <c r="E62" s="16" t="s">
        <v>192</v>
      </c>
      <c r="F62" s="16" t="s">
        <v>924</v>
      </c>
      <c r="G62" s="8">
        <v>2</v>
      </c>
      <c r="H62" s="8">
        <v>0</v>
      </c>
      <c r="I62" s="8">
        <v>0</v>
      </c>
      <c r="J62" s="8">
        <v>300512</v>
      </c>
      <c r="K62" s="8">
        <v>0</v>
      </c>
      <c r="L62" s="8">
        <v>0</v>
      </c>
      <c r="M62" s="8">
        <v>0</v>
      </c>
      <c r="N62" s="8">
        <v>0</v>
      </c>
      <c r="O62" s="8">
        <v>0</v>
      </c>
      <c r="P62" s="8">
        <v>2</v>
      </c>
      <c r="Q62" s="8">
        <v>0</v>
      </c>
      <c r="R62" s="8">
        <v>0</v>
      </c>
      <c r="S62" s="16">
        <v>2</v>
      </c>
      <c r="T62" s="16"/>
      <c r="U62" s="16" t="s">
        <v>50</v>
      </c>
      <c r="V62" s="16"/>
      <c r="W62" s="16" t="s">
        <v>50</v>
      </c>
      <c r="X62" s="7" t="s">
        <v>50</v>
      </c>
      <c r="Y62" s="16" t="s">
        <v>50</v>
      </c>
      <c r="Z62" s="16" t="s">
        <v>50</v>
      </c>
    </row>
    <row r="63" spans="2:26" ht="15" customHeight="1">
      <c r="B63" s="16" t="s">
        <v>323</v>
      </c>
      <c r="C63" s="16" t="s">
        <v>184</v>
      </c>
      <c r="D63" s="16" t="s">
        <v>71</v>
      </c>
      <c r="E63" s="16" t="s">
        <v>222</v>
      </c>
      <c r="F63" s="16" t="s">
        <v>324</v>
      </c>
      <c r="G63" s="8">
        <v>1</v>
      </c>
      <c r="H63" s="8">
        <v>0</v>
      </c>
      <c r="I63" s="8">
        <v>1004</v>
      </c>
      <c r="J63" s="8">
        <v>1486</v>
      </c>
      <c r="K63" s="8">
        <v>0</v>
      </c>
      <c r="L63" s="8">
        <v>0</v>
      </c>
      <c r="M63" s="8">
        <v>0</v>
      </c>
      <c r="N63" s="8">
        <v>0</v>
      </c>
      <c r="O63" s="8">
        <v>0</v>
      </c>
      <c r="P63" s="8">
        <v>0</v>
      </c>
      <c r="Q63" s="8">
        <v>1</v>
      </c>
      <c r="R63" s="8">
        <v>0</v>
      </c>
      <c r="S63" s="16">
        <v>1</v>
      </c>
      <c r="T63" s="16"/>
      <c r="U63" s="16" t="s">
        <v>50</v>
      </c>
      <c r="V63" s="16"/>
      <c r="W63" s="16" t="s">
        <v>855</v>
      </c>
      <c r="X63" s="7" t="s">
        <v>855</v>
      </c>
      <c r="Y63" s="16" t="s">
        <v>50</v>
      </c>
      <c r="Z63" s="16" t="s">
        <v>50</v>
      </c>
    </row>
    <row r="64" spans="2:26" ht="15" customHeight="1">
      <c r="B64" s="16" t="s">
        <v>325</v>
      </c>
      <c r="C64" s="16" t="s">
        <v>184</v>
      </c>
      <c r="D64" s="16" t="s">
        <v>71</v>
      </c>
      <c r="E64" s="16" t="s">
        <v>192</v>
      </c>
      <c r="F64" s="16" t="s">
        <v>326</v>
      </c>
      <c r="G64" s="8">
        <v>1</v>
      </c>
      <c r="H64" s="8">
        <v>0</v>
      </c>
      <c r="I64" s="8">
        <v>5046</v>
      </c>
      <c r="J64" s="8">
        <v>9325</v>
      </c>
      <c r="K64" s="8">
        <v>0</v>
      </c>
      <c r="L64" s="8">
        <v>0</v>
      </c>
      <c r="M64" s="8">
        <v>0</v>
      </c>
      <c r="N64" s="8">
        <v>0</v>
      </c>
      <c r="O64" s="8">
        <v>0</v>
      </c>
      <c r="P64" s="8">
        <v>0</v>
      </c>
      <c r="Q64" s="8">
        <v>1</v>
      </c>
      <c r="R64" s="8">
        <v>0</v>
      </c>
      <c r="S64" s="16">
        <v>1</v>
      </c>
      <c r="T64" s="16" t="s">
        <v>187</v>
      </c>
      <c r="U64" s="16" t="s">
        <v>200</v>
      </c>
      <c r="V64" s="16" t="s">
        <v>201</v>
      </c>
      <c r="W64" s="16" t="s">
        <v>852</v>
      </c>
      <c r="X64" s="7" t="s">
        <v>852</v>
      </c>
      <c r="Y64" s="16" t="s">
        <v>50</v>
      </c>
      <c r="Z64" s="16" t="s">
        <v>50</v>
      </c>
    </row>
    <row r="65" spans="2:26" ht="15" customHeight="1">
      <c r="B65" s="16" t="s">
        <v>327</v>
      </c>
      <c r="C65" s="16" t="s">
        <v>184</v>
      </c>
      <c r="D65" s="16" t="s">
        <v>62</v>
      </c>
      <c r="E65" s="16" t="s">
        <v>222</v>
      </c>
      <c r="F65" s="16" t="s">
        <v>328</v>
      </c>
      <c r="G65" s="8">
        <v>1</v>
      </c>
      <c r="H65" s="8">
        <v>14</v>
      </c>
      <c r="I65" s="8">
        <v>2267</v>
      </c>
      <c r="J65" s="8">
        <v>2267</v>
      </c>
      <c r="K65" s="8">
        <v>26</v>
      </c>
      <c r="L65" s="8">
        <v>2</v>
      </c>
      <c r="M65" s="8">
        <v>2</v>
      </c>
      <c r="N65" s="8">
        <v>0</v>
      </c>
      <c r="O65" s="8">
        <v>0</v>
      </c>
      <c r="P65" s="8">
        <v>0</v>
      </c>
      <c r="Q65" s="8">
        <v>1</v>
      </c>
      <c r="R65" s="8">
        <v>0</v>
      </c>
      <c r="S65" s="16">
        <v>1</v>
      </c>
      <c r="T65" s="16" t="s">
        <v>187</v>
      </c>
      <c r="U65" s="16" t="s">
        <v>329</v>
      </c>
      <c r="V65" s="16" t="s">
        <v>330</v>
      </c>
      <c r="W65" s="16" t="s">
        <v>852</v>
      </c>
      <c r="X65" s="7" t="s">
        <v>852</v>
      </c>
      <c r="Y65" s="16" t="s">
        <v>50</v>
      </c>
      <c r="Z65" s="16" t="s">
        <v>50</v>
      </c>
    </row>
    <row r="66" spans="2:26" ht="15" customHeight="1">
      <c r="B66" s="16" t="s">
        <v>925</v>
      </c>
      <c r="C66" s="16" t="s">
        <v>161</v>
      </c>
      <c r="D66" s="16" t="s">
        <v>62</v>
      </c>
      <c r="E66" s="16" t="s">
        <v>222</v>
      </c>
      <c r="F66" s="16" t="s">
        <v>926</v>
      </c>
      <c r="G66" s="8">
        <v>1</v>
      </c>
      <c r="H66" s="8">
        <v>5</v>
      </c>
      <c r="I66" s="8">
        <v>707</v>
      </c>
      <c r="J66" s="8">
        <v>422734</v>
      </c>
      <c r="K66" s="8">
        <v>0</v>
      </c>
      <c r="L66" s="8">
        <v>0</v>
      </c>
      <c r="M66" s="8">
        <v>0</v>
      </c>
      <c r="N66" s="8">
        <v>0</v>
      </c>
      <c r="O66" s="8">
        <v>0</v>
      </c>
      <c r="P66" s="8">
        <v>0</v>
      </c>
      <c r="Q66" s="8">
        <v>1</v>
      </c>
      <c r="R66" s="8">
        <v>0</v>
      </c>
      <c r="S66" s="16">
        <v>1</v>
      </c>
      <c r="T66" s="16" t="s">
        <v>187</v>
      </c>
      <c r="U66" s="16" t="s">
        <v>188</v>
      </c>
      <c r="V66" s="16" t="s">
        <v>189</v>
      </c>
      <c r="W66" s="16" t="s">
        <v>852</v>
      </c>
      <c r="X66" s="7" t="s">
        <v>852</v>
      </c>
      <c r="Y66" s="16" t="s">
        <v>50</v>
      </c>
      <c r="Z66" s="16" t="s">
        <v>50</v>
      </c>
    </row>
    <row r="67" spans="2:26" ht="15" customHeight="1">
      <c r="B67" s="16" t="s">
        <v>927</v>
      </c>
      <c r="C67" s="16" t="s">
        <v>513</v>
      </c>
      <c r="D67" s="16" t="s">
        <v>62</v>
      </c>
      <c r="E67" s="16" t="s">
        <v>222</v>
      </c>
      <c r="F67" s="16" t="s">
        <v>928</v>
      </c>
      <c r="G67" s="8">
        <v>1</v>
      </c>
      <c r="H67" s="8">
        <v>6</v>
      </c>
      <c r="I67" s="8">
        <v>162</v>
      </c>
      <c r="J67" s="8">
        <v>1770722</v>
      </c>
      <c r="K67" s="8">
        <v>0</v>
      </c>
      <c r="L67" s="8">
        <v>0</v>
      </c>
      <c r="M67" s="8">
        <v>0</v>
      </c>
      <c r="N67" s="8">
        <v>0</v>
      </c>
      <c r="O67" s="8">
        <v>0</v>
      </c>
      <c r="P67" s="8">
        <v>0</v>
      </c>
      <c r="Q67" s="8">
        <v>1</v>
      </c>
      <c r="R67" s="8">
        <v>0</v>
      </c>
      <c r="S67" s="16">
        <v>1</v>
      </c>
      <c r="T67" s="16" t="s">
        <v>187</v>
      </c>
      <c r="U67" s="16" t="s">
        <v>515</v>
      </c>
      <c r="V67" s="16" t="s">
        <v>516</v>
      </c>
      <c r="W67" s="16" t="s">
        <v>852</v>
      </c>
      <c r="X67" s="7" t="s">
        <v>852</v>
      </c>
      <c r="Y67" s="16" t="s">
        <v>50</v>
      </c>
      <c r="Z67" s="16" t="s">
        <v>50</v>
      </c>
    </row>
    <row r="68" spans="2:26" ht="15" customHeight="1">
      <c r="B68" s="16" t="s">
        <v>331</v>
      </c>
      <c r="C68" s="16" t="s">
        <v>184</v>
      </c>
      <c r="D68" s="16" t="s">
        <v>71</v>
      </c>
      <c r="E68" s="16" t="s">
        <v>192</v>
      </c>
      <c r="F68" s="16" t="s">
        <v>332</v>
      </c>
      <c r="G68" s="8">
        <v>1</v>
      </c>
      <c r="H68" s="8">
        <v>0</v>
      </c>
      <c r="I68" s="8">
        <v>659</v>
      </c>
      <c r="J68" s="8">
        <v>659</v>
      </c>
      <c r="K68" s="8">
        <v>0</v>
      </c>
      <c r="L68" s="8">
        <v>0</v>
      </c>
      <c r="M68" s="8">
        <v>0</v>
      </c>
      <c r="N68" s="8">
        <v>0</v>
      </c>
      <c r="O68" s="8">
        <v>0</v>
      </c>
      <c r="P68" s="8">
        <v>0</v>
      </c>
      <c r="Q68" s="8">
        <v>1</v>
      </c>
      <c r="R68" s="8">
        <v>0</v>
      </c>
      <c r="S68" s="16">
        <v>1</v>
      </c>
      <c r="T68" s="16" t="s">
        <v>187</v>
      </c>
      <c r="U68" s="16" t="s">
        <v>188</v>
      </c>
      <c r="V68" s="16" t="s">
        <v>189</v>
      </c>
      <c r="W68" s="16" t="s">
        <v>855</v>
      </c>
      <c r="X68" s="7" t="s">
        <v>855</v>
      </c>
      <c r="Y68" s="16" t="s">
        <v>50</v>
      </c>
      <c r="Z68" s="16" t="s">
        <v>883</v>
      </c>
    </row>
    <row r="69" spans="2:26" ht="15" customHeight="1">
      <c r="B69" s="16" t="s">
        <v>333</v>
      </c>
      <c r="C69" s="16" t="s">
        <v>184</v>
      </c>
      <c r="D69" s="16" t="s">
        <v>62</v>
      </c>
      <c r="E69" s="16" t="s">
        <v>186</v>
      </c>
      <c r="F69" s="16" t="s">
        <v>334</v>
      </c>
      <c r="G69" s="8">
        <v>1</v>
      </c>
      <c r="H69" s="8">
        <v>0</v>
      </c>
      <c r="I69" s="8">
        <v>3804</v>
      </c>
      <c r="J69" s="8">
        <v>3804</v>
      </c>
      <c r="K69" s="8">
        <v>146</v>
      </c>
      <c r="L69" s="8">
        <v>1</v>
      </c>
      <c r="M69" s="8">
        <v>1</v>
      </c>
      <c r="N69" s="8">
        <v>0</v>
      </c>
      <c r="O69" s="8">
        <v>0</v>
      </c>
      <c r="P69" s="8">
        <v>0</v>
      </c>
      <c r="Q69" s="8">
        <v>0</v>
      </c>
      <c r="R69" s="8">
        <v>1</v>
      </c>
      <c r="S69" s="16">
        <v>1</v>
      </c>
      <c r="T69" s="16" t="s">
        <v>187</v>
      </c>
      <c r="U69" s="16" t="s">
        <v>236</v>
      </c>
      <c r="V69" s="16" t="s">
        <v>237</v>
      </c>
      <c r="W69" s="16" t="s">
        <v>50</v>
      </c>
      <c r="X69" s="7" t="s">
        <v>50</v>
      </c>
      <c r="Y69" s="16" t="s">
        <v>50</v>
      </c>
      <c r="Z69" s="16" t="s">
        <v>50</v>
      </c>
    </row>
    <row r="70" spans="2:26" ht="15" customHeight="1">
      <c r="B70" s="16" t="s">
        <v>345</v>
      </c>
      <c r="C70" s="16" t="s">
        <v>151</v>
      </c>
      <c r="D70" s="16" t="s">
        <v>62</v>
      </c>
      <c r="E70" s="16" t="s">
        <v>186</v>
      </c>
      <c r="F70" s="16" t="s">
        <v>346</v>
      </c>
      <c r="G70" s="8">
        <v>1</v>
      </c>
      <c r="H70" s="8">
        <v>12</v>
      </c>
      <c r="I70" s="8">
        <v>202696</v>
      </c>
      <c r="J70" s="8">
        <v>202696</v>
      </c>
      <c r="K70" s="8">
        <v>312</v>
      </c>
      <c r="L70" s="8">
        <v>1</v>
      </c>
      <c r="M70" s="8">
        <v>1</v>
      </c>
      <c r="N70" s="8">
        <v>0</v>
      </c>
      <c r="O70" s="8">
        <v>0</v>
      </c>
      <c r="P70" s="8">
        <v>0</v>
      </c>
      <c r="Q70" s="8">
        <v>1</v>
      </c>
      <c r="R70" s="8">
        <v>0</v>
      </c>
      <c r="S70" s="16">
        <v>1</v>
      </c>
      <c r="T70" s="16" t="s">
        <v>187</v>
      </c>
      <c r="U70" s="16" t="s">
        <v>50</v>
      </c>
      <c r="V70" s="16"/>
      <c r="W70" s="16" t="s">
        <v>50</v>
      </c>
      <c r="X70" s="7" t="s">
        <v>50</v>
      </c>
      <c r="Y70" s="16" t="s">
        <v>50</v>
      </c>
      <c r="Z70" s="16" t="s">
        <v>50</v>
      </c>
    </row>
    <row r="71" spans="2:26" ht="15" customHeight="1">
      <c r="B71" s="16" t="s">
        <v>347</v>
      </c>
      <c r="C71" s="16" t="s">
        <v>184</v>
      </c>
      <c r="D71" s="16" t="s">
        <v>71</v>
      </c>
      <c r="E71" s="16" t="s">
        <v>192</v>
      </c>
      <c r="F71" s="16" t="s">
        <v>348</v>
      </c>
      <c r="G71" s="8">
        <v>1</v>
      </c>
      <c r="H71" s="8">
        <v>0</v>
      </c>
      <c r="I71" s="8">
        <v>0</v>
      </c>
      <c r="J71" s="8">
        <v>0</v>
      </c>
      <c r="K71" s="8">
        <v>0</v>
      </c>
      <c r="L71" s="8">
        <v>0</v>
      </c>
      <c r="M71" s="8">
        <v>0</v>
      </c>
      <c r="N71" s="8">
        <v>0</v>
      </c>
      <c r="O71" s="8">
        <v>0</v>
      </c>
      <c r="P71" s="8">
        <v>0</v>
      </c>
      <c r="Q71" s="8">
        <v>1</v>
      </c>
      <c r="R71" s="8">
        <v>0</v>
      </c>
      <c r="S71" s="16">
        <v>1</v>
      </c>
      <c r="T71" s="16" t="s">
        <v>187</v>
      </c>
      <c r="U71" s="16" t="s">
        <v>200</v>
      </c>
      <c r="V71" s="16" t="s">
        <v>201</v>
      </c>
      <c r="W71" s="16" t="s">
        <v>855</v>
      </c>
      <c r="X71" s="7" t="s">
        <v>855</v>
      </c>
      <c r="Y71" s="16" t="s">
        <v>50</v>
      </c>
      <c r="Z71" s="16" t="s">
        <v>50</v>
      </c>
    </row>
    <row r="72" spans="2:26" ht="15" customHeight="1">
      <c r="B72" s="16" t="s">
        <v>356</v>
      </c>
      <c r="C72" s="16" t="s">
        <v>184</v>
      </c>
      <c r="D72" s="16" t="s">
        <v>62</v>
      </c>
      <c r="E72" s="16" t="s">
        <v>222</v>
      </c>
      <c r="F72" s="16" t="s">
        <v>357</v>
      </c>
      <c r="G72" s="8">
        <v>1</v>
      </c>
      <c r="H72" s="8">
        <v>0</v>
      </c>
      <c r="I72" s="8">
        <v>257</v>
      </c>
      <c r="J72" s="8">
        <v>257</v>
      </c>
      <c r="K72" s="8">
        <v>3</v>
      </c>
      <c r="L72" s="8">
        <v>0</v>
      </c>
      <c r="M72" s="8">
        <v>0</v>
      </c>
      <c r="N72" s="8">
        <v>0</v>
      </c>
      <c r="O72" s="8">
        <v>0</v>
      </c>
      <c r="P72" s="8">
        <v>0</v>
      </c>
      <c r="Q72" s="8">
        <v>1</v>
      </c>
      <c r="R72" s="8">
        <v>0</v>
      </c>
      <c r="S72" s="16">
        <v>1</v>
      </c>
      <c r="T72" s="16" t="s">
        <v>187</v>
      </c>
      <c r="U72" s="16" t="s">
        <v>358</v>
      </c>
      <c r="V72" s="16" t="s">
        <v>359</v>
      </c>
      <c r="W72" s="16" t="s">
        <v>852</v>
      </c>
      <c r="X72" s="7" t="s">
        <v>852</v>
      </c>
      <c r="Y72" s="16" t="s">
        <v>50</v>
      </c>
      <c r="Z72" s="16" t="s">
        <v>50</v>
      </c>
    </row>
    <row r="73" spans="2:26" ht="15" customHeight="1">
      <c r="B73" s="16" t="s">
        <v>929</v>
      </c>
      <c r="C73" s="16" t="s">
        <v>184</v>
      </c>
      <c r="D73" s="16" t="s">
        <v>62</v>
      </c>
      <c r="E73" s="16" t="s">
        <v>222</v>
      </c>
      <c r="F73" s="16" t="s">
        <v>930</v>
      </c>
      <c r="G73" s="8">
        <v>1</v>
      </c>
      <c r="H73" s="8">
        <v>0</v>
      </c>
      <c r="I73" s="8">
        <v>377</v>
      </c>
      <c r="J73" s="8">
        <v>7</v>
      </c>
      <c r="K73" s="8">
        <v>0</v>
      </c>
      <c r="L73" s="8">
        <v>0</v>
      </c>
      <c r="M73" s="8">
        <v>0</v>
      </c>
      <c r="N73" s="8">
        <v>0</v>
      </c>
      <c r="O73" s="8">
        <v>0</v>
      </c>
      <c r="P73" s="8">
        <v>0</v>
      </c>
      <c r="Q73" s="8">
        <v>1</v>
      </c>
      <c r="R73" s="8">
        <v>0</v>
      </c>
      <c r="S73" s="16">
        <v>1</v>
      </c>
      <c r="T73" s="16" t="s">
        <v>187</v>
      </c>
      <c r="U73" s="16" t="s">
        <v>435</v>
      </c>
      <c r="V73" s="16" t="s">
        <v>764</v>
      </c>
      <c r="W73" s="16" t="s">
        <v>852</v>
      </c>
      <c r="X73" s="7" t="s">
        <v>852</v>
      </c>
      <c r="Y73" s="16" t="s">
        <v>50</v>
      </c>
      <c r="Z73" s="16" t="s">
        <v>50</v>
      </c>
    </row>
    <row r="74" spans="2:26" ht="15" customHeight="1">
      <c r="B74" s="16" t="s">
        <v>360</v>
      </c>
      <c r="C74" s="16" t="s">
        <v>184</v>
      </c>
      <c r="D74" s="16" t="s">
        <v>62</v>
      </c>
      <c r="E74" s="16" t="s">
        <v>222</v>
      </c>
      <c r="F74" s="16" t="s">
        <v>361</v>
      </c>
      <c r="G74" s="8">
        <v>1</v>
      </c>
      <c r="H74" s="8">
        <v>44</v>
      </c>
      <c r="I74" s="8">
        <v>7422</v>
      </c>
      <c r="J74" s="8">
        <v>7422</v>
      </c>
      <c r="K74" s="8">
        <v>0</v>
      </c>
      <c r="L74" s="8">
        <v>0</v>
      </c>
      <c r="M74" s="8">
        <v>0</v>
      </c>
      <c r="N74" s="8">
        <v>0</v>
      </c>
      <c r="O74" s="8">
        <v>0</v>
      </c>
      <c r="P74" s="8">
        <v>1</v>
      </c>
      <c r="Q74" s="8">
        <v>0</v>
      </c>
      <c r="R74" s="8">
        <v>0</v>
      </c>
      <c r="S74" s="16">
        <v>1</v>
      </c>
      <c r="T74" s="16" t="s">
        <v>187</v>
      </c>
      <c r="U74" s="16" t="s">
        <v>200</v>
      </c>
      <c r="V74" s="16" t="s">
        <v>201</v>
      </c>
      <c r="W74" s="16" t="s">
        <v>855</v>
      </c>
      <c r="X74" s="7" t="s">
        <v>855</v>
      </c>
      <c r="Y74" s="16" t="s">
        <v>876</v>
      </c>
      <c r="Z74" s="16" t="s">
        <v>50</v>
      </c>
    </row>
    <row r="75" spans="2:26" ht="15" customHeight="1">
      <c r="B75" s="16" t="s">
        <v>931</v>
      </c>
      <c r="C75" s="16" t="s">
        <v>151</v>
      </c>
      <c r="D75" s="16" t="s">
        <v>62</v>
      </c>
      <c r="E75" s="16" t="s">
        <v>222</v>
      </c>
      <c r="F75" s="16" t="s">
        <v>932</v>
      </c>
      <c r="G75" s="8">
        <v>1</v>
      </c>
      <c r="H75" s="8">
        <v>2</v>
      </c>
      <c r="I75" s="8">
        <v>1410</v>
      </c>
      <c r="J75" s="8">
        <v>89236</v>
      </c>
      <c r="K75" s="8">
        <v>0</v>
      </c>
      <c r="L75" s="8">
        <v>6</v>
      </c>
      <c r="M75" s="8">
        <v>6</v>
      </c>
      <c r="N75" s="8">
        <v>0</v>
      </c>
      <c r="O75" s="8">
        <v>0</v>
      </c>
      <c r="P75" s="8">
        <v>0</v>
      </c>
      <c r="Q75" s="8">
        <v>1</v>
      </c>
      <c r="R75" s="8">
        <v>0</v>
      </c>
      <c r="S75" s="16">
        <v>1</v>
      </c>
      <c r="T75" s="16" t="s">
        <v>187</v>
      </c>
      <c r="U75" s="16" t="s">
        <v>933</v>
      </c>
      <c r="V75" s="16" t="s">
        <v>934</v>
      </c>
      <c r="W75" s="16" t="s">
        <v>855</v>
      </c>
      <c r="X75" s="7" t="s">
        <v>855</v>
      </c>
      <c r="Y75" s="16" t="s">
        <v>864</v>
      </c>
      <c r="Z75" s="16" t="s">
        <v>883</v>
      </c>
    </row>
    <row r="76" spans="2:26" ht="15" customHeight="1">
      <c r="B76" s="16" t="s">
        <v>935</v>
      </c>
      <c r="C76" s="16" t="s">
        <v>184</v>
      </c>
      <c r="D76" s="16" t="s">
        <v>62</v>
      </c>
      <c r="E76" s="16" t="s">
        <v>222</v>
      </c>
      <c r="F76" s="16" t="s">
        <v>936</v>
      </c>
      <c r="G76" s="8">
        <v>1</v>
      </c>
      <c r="H76" s="8">
        <v>3</v>
      </c>
      <c r="I76" s="8">
        <v>745</v>
      </c>
      <c r="J76" s="8">
        <v>80790</v>
      </c>
      <c r="K76" s="8">
        <v>0</v>
      </c>
      <c r="L76" s="8">
        <v>0</v>
      </c>
      <c r="M76" s="8">
        <v>0</v>
      </c>
      <c r="N76" s="8">
        <v>0</v>
      </c>
      <c r="O76" s="8">
        <v>0</v>
      </c>
      <c r="P76" s="8">
        <v>0</v>
      </c>
      <c r="Q76" s="8">
        <v>1</v>
      </c>
      <c r="R76" s="8">
        <v>0</v>
      </c>
      <c r="S76" s="16">
        <v>1</v>
      </c>
      <c r="T76" s="16" t="s">
        <v>187</v>
      </c>
      <c r="U76" s="16" t="s">
        <v>400</v>
      </c>
      <c r="V76" s="16" t="s">
        <v>401</v>
      </c>
      <c r="W76" s="16" t="s">
        <v>852</v>
      </c>
      <c r="X76" s="7" t="s">
        <v>852</v>
      </c>
      <c r="Y76" s="16" t="s">
        <v>50</v>
      </c>
      <c r="Z76" s="16" t="s">
        <v>50</v>
      </c>
    </row>
    <row r="77" spans="2:26" ht="15" customHeight="1">
      <c r="B77" s="16" t="s">
        <v>937</v>
      </c>
      <c r="C77" s="16" t="s">
        <v>184</v>
      </c>
      <c r="D77" s="16" t="s">
        <v>62</v>
      </c>
      <c r="E77" s="16" t="s">
        <v>222</v>
      </c>
      <c r="F77" s="16" t="s">
        <v>938</v>
      </c>
      <c r="G77" s="8">
        <v>1</v>
      </c>
      <c r="H77" s="8">
        <v>1</v>
      </c>
      <c r="I77" s="8">
        <v>777</v>
      </c>
      <c r="J77" s="8">
        <v>3129</v>
      </c>
      <c r="K77" s="8">
        <v>0</v>
      </c>
      <c r="L77" s="8">
        <v>0</v>
      </c>
      <c r="M77" s="8">
        <v>0</v>
      </c>
      <c r="N77" s="8">
        <v>0</v>
      </c>
      <c r="O77" s="8">
        <v>0</v>
      </c>
      <c r="P77" s="8">
        <v>0</v>
      </c>
      <c r="Q77" s="8">
        <v>1</v>
      </c>
      <c r="R77" s="8">
        <v>0</v>
      </c>
      <c r="S77" s="16">
        <v>1</v>
      </c>
      <c r="T77" s="16" t="s">
        <v>187</v>
      </c>
      <c r="U77" s="16" t="s">
        <v>939</v>
      </c>
      <c r="V77" s="16" t="s">
        <v>940</v>
      </c>
      <c r="W77" s="16" t="s">
        <v>855</v>
      </c>
      <c r="X77" s="7" t="s">
        <v>855</v>
      </c>
      <c r="Y77" s="16" t="s">
        <v>50</v>
      </c>
      <c r="Z77" s="16" t="s">
        <v>50</v>
      </c>
    </row>
    <row r="78" spans="2:26" ht="15" customHeight="1">
      <c r="B78" s="16" t="s">
        <v>362</v>
      </c>
      <c r="C78" s="16" t="s">
        <v>184</v>
      </c>
      <c r="D78" s="16" t="s">
        <v>62</v>
      </c>
      <c r="E78" s="16" t="s">
        <v>222</v>
      </c>
      <c r="F78" s="16" t="s">
        <v>363</v>
      </c>
      <c r="G78" s="8">
        <v>1</v>
      </c>
      <c r="H78" s="8">
        <v>0</v>
      </c>
      <c r="I78" s="8">
        <v>347</v>
      </c>
      <c r="J78" s="8">
        <v>347</v>
      </c>
      <c r="K78" s="8">
        <v>0</v>
      </c>
      <c r="L78" s="8">
        <v>0</v>
      </c>
      <c r="M78" s="8">
        <v>0</v>
      </c>
      <c r="N78" s="8">
        <v>0</v>
      </c>
      <c r="O78" s="8">
        <v>0</v>
      </c>
      <c r="P78" s="8">
        <v>0</v>
      </c>
      <c r="Q78" s="8">
        <v>1</v>
      </c>
      <c r="R78" s="8">
        <v>0</v>
      </c>
      <c r="S78" s="16">
        <v>1</v>
      </c>
      <c r="T78" s="16" t="s">
        <v>187</v>
      </c>
      <c r="U78" s="16" t="s">
        <v>188</v>
      </c>
      <c r="V78" s="16" t="s">
        <v>189</v>
      </c>
      <c r="W78" s="16" t="s">
        <v>855</v>
      </c>
      <c r="X78" s="7" t="s">
        <v>855</v>
      </c>
      <c r="Y78" s="16" t="s">
        <v>864</v>
      </c>
      <c r="Z78" s="16" t="s">
        <v>50</v>
      </c>
    </row>
    <row r="79" spans="2:26" ht="15" customHeight="1">
      <c r="B79" s="16" t="s">
        <v>371</v>
      </c>
      <c r="C79" s="16" t="s">
        <v>151</v>
      </c>
      <c r="D79" s="16" t="s">
        <v>62</v>
      </c>
      <c r="E79" s="16" t="s">
        <v>186</v>
      </c>
      <c r="F79" s="16" t="s">
        <v>372</v>
      </c>
      <c r="G79" s="8">
        <v>1</v>
      </c>
      <c r="H79" s="8">
        <v>12</v>
      </c>
      <c r="I79" s="8">
        <v>117183</v>
      </c>
      <c r="J79" s="8">
        <v>117183</v>
      </c>
      <c r="K79" s="8">
        <v>201</v>
      </c>
      <c r="L79" s="8">
        <v>2</v>
      </c>
      <c r="M79" s="8">
        <v>1</v>
      </c>
      <c r="N79" s="8">
        <v>0</v>
      </c>
      <c r="O79" s="8">
        <v>1</v>
      </c>
      <c r="P79" s="8">
        <v>0</v>
      </c>
      <c r="Q79" s="8">
        <v>1</v>
      </c>
      <c r="R79" s="8">
        <v>0</v>
      </c>
      <c r="S79" s="16">
        <v>1</v>
      </c>
      <c r="T79" s="16"/>
      <c r="U79" s="16" t="s">
        <v>50</v>
      </c>
      <c r="V79" s="16"/>
      <c r="W79" s="16" t="s">
        <v>50</v>
      </c>
      <c r="X79" s="7" t="s">
        <v>50</v>
      </c>
      <c r="Y79" s="16" t="s">
        <v>50</v>
      </c>
      <c r="Z79" s="16" t="s">
        <v>50</v>
      </c>
    </row>
    <row r="80" spans="2:26" ht="15" customHeight="1">
      <c r="B80" s="16" t="s">
        <v>373</v>
      </c>
      <c r="C80" s="16" t="s">
        <v>151</v>
      </c>
      <c r="D80" s="16" t="s">
        <v>62</v>
      </c>
      <c r="E80" s="16" t="s">
        <v>186</v>
      </c>
      <c r="F80" s="16" t="s">
        <v>374</v>
      </c>
      <c r="G80" s="8">
        <v>1</v>
      </c>
      <c r="H80" s="8">
        <v>5</v>
      </c>
      <c r="I80" s="8">
        <v>106361</v>
      </c>
      <c r="J80" s="8">
        <v>106361</v>
      </c>
      <c r="K80" s="8">
        <v>255</v>
      </c>
      <c r="L80" s="8">
        <v>0</v>
      </c>
      <c r="M80" s="8">
        <v>0</v>
      </c>
      <c r="N80" s="8">
        <v>0</v>
      </c>
      <c r="O80" s="8">
        <v>0</v>
      </c>
      <c r="P80" s="8">
        <v>0</v>
      </c>
      <c r="Q80" s="8">
        <v>1</v>
      </c>
      <c r="R80" s="8">
        <v>0</v>
      </c>
      <c r="S80" s="16">
        <v>1</v>
      </c>
      <c r="T80" s="16"/>
      <c r="U80" s="16" t="s">
        <v>50</v>
      </c>
      <c r="V80" s="16"/>
      <c r="W80" s="16" t="s">
        <v>50</v>
      </c>
      <c r="X80" s="7" t="s">
        <v>50</v>
      </c>
      <c r="Y80" s="16" t="s">
        <v>50</v>
      </c>
      <c r="Z80" s="16" t="s">
        <v>50</v>
      </c>
    </row>
    <row r="81" spans="2:26" ht="15" customHeight="1">
      <c r="B81" s="16" t="s">
        <v>375</v>
      </c>
      <c r="C81" s="16" t="s">
        <v>184</v>
      </c>
      <c r="D81" s="16" t="s">
        <v>62</v>
      </c>
      <c r="E81" s="16" t="s">
        <v>186</v>
      </c>
      <c r="F81" s="16" t="s">
        <v>376</v>
      </c>
      <c r="G81" s="8">
        <v>1</v>
      </c>
      <c r="H81" s="8">
        <v>0</v>
      </c>
      <c r="I81" s="8">
        <v>8765</v>
      </c>
      <c r="J81" s="8">
        <v>8765</v>
      </c>
      <c r="K81" s="8">
        <v>57</v>
      </c>
      <c r="L81" s="8">
        <v>0</v>
      </c>
      <c r="M81" s="8">
        <v>0</v>
      </c>
      <c r="N81" s="8">
        <v>0</v>
      </c>
      <c r="O81" s="8">
        <v>0</v>
      </c>
      <c r="P81" s="8">
        <v>0</v>
      </c>
      <c r="Q81" s="8">
        <v>1</v>
      </c>
      <c r="R81" s="8">
        <v>0</v>
      </c>
      <c r="S81" s="16">
        <v>1</v>
      </c>
      <c r="T81" s="16"/>
      <c r="U81" s="16" t="s">
        <v>50</v>
      </c>
      <c r="V81" s="16"/>
      <c r="W81" s="16" t="s">
        <v>50</v>
      </c>
      <c r="X81" s="7" t="s">
        <v>50</v>
      </c>
      <c r="Y81" s="16" t="s">
        <v>50</v>
      </c>
      <c r="Z81" s="16" t="s">
        <v>50</v>
      </c>
    </row>
    <row r="82" spans="2:26" ht="15" customHeight="1">
      <c r="B82" s="16" t="s">
        <v>252</v>
      </c>
      <c r="C82" s="16" t="s">
        <v>184</v>
      </c>
      <c r="D82" s="16" t="s">
        <v>62</v>
      </c>
      <c r="E82" s="16" t="s">
        <v>186</v>
      </c>
      <c r="F82" s="16" t="s">
        <v>253</v>
      </c>
      <c r="G82" s="8">
        <v>1</v>
      </c>
      <c r="H82" s="8">
        <v>0</v>
      </c>
      <c r="I82" s="8">
        <v>18236</v>
      </c>
      <c r="J82" s="8">
        <v>18236</v>
      </c>
      <c r="K82" s="8">
        <v>331</v>
      </c>
      <c r="L82" s="8">
        <v>0</v>
      </c>
      <c r="M82" s="8">
        <v>0</v>
      </c>
      <c r="N82" s="8">
        <v>0</v>
      </c>
      <c r="O82" s="8">
        <v>0</v>
      </c>
      <c r="P82" s="8">
        <v>0</v>
      </c>
      <c r="Q82" s="8">
        <v>1</v>
      </c>
      <c r="R82" s="8">
        <v>0</v>
      </c>
      <c r="S82" s="16">
        <v>1</v>
      </c>
      <c r="T82" s="16"/>
      <c r="U82" s="16" t="s">
        <v>50</v>
      </c>
      <c r="V82" s="16"/>
      <c r="W82" s="16" t="s">
        <v>50</v>
      </c>
      <c r="X82" s="7" t="s">
        <v>50</v>
      </c>
      <c r="Y82" s="16" t="s">
        <v>50</v>
      </c>
      <c r="Z82" s="16" t="s">
        <v>50</v>
      </c>
    </row>
    <row r="83" spans="2:26" ht="15" customHeight="1">
      <c r="B83" s="16" t="s">
        <v>941</v>
      </c>
      <c r="C83" s="16" t="s">
        <v>367</v>
      </c>
      <c r="D83" s="16" t="s">
        <v>62</v>
      </c>
      <c r="E83" s="16" t="s">
        <v>222</v>
      </c>
      <c r="F83" s="16" t="s">
        <v>942</v>
      </c>
      <c r="G83" s="8">
        <v>1</v>
      </c>
      <c r="H83" s="8">
        <v>8</v>
      </c>
      <c r="I83" s="8">
        <v>287</v>
      </c>
      <c r="J83" s="8">
        <v>9871561</v>
      </c>
      <c r="K83" s="8">
        <v>0</v>
      </c>
      <c r="L83" s="8">
        <v>0</v>
      </c>
      <c r="M83" s="8">
        <v>0</v>
      </c>
      <c r="N83" s="8">
        <v>0</v>
      </c>
      <c r="O83" s="8">
        <v>0</v>
      </c>
      <c r="P83" s="8">
        <v>1</v>
      </c>
      <c r="Q83" s="8">
        <v>0</v>
      </c>
      <c r="R83" s="8">
        <v>0</v>
      </c>
      <c r="S83" s="16">
        <v>1</v>
      </c>
      <c r="T83" s="16" t="s">
        <v>187</v>
      </c>
      <c r="U83" s="16" t="s">
        <v>369</v>
      </c>
      <c r="V83" s="16" t="s">
        <v>370</v>
      </c>
      <c r="W83" s="16" t="s">
        <v>852</v>
      </c>
      <c r="X83" s="7" t="s">
        <v>852</v>
      </c>
      <c r="Y83" s="16" t="s">
        <v>876</v>
      </c>
      <c r="Z83" s="16" t="s">
        <v>883</v>
      </c>
    </row>
    <row r="84" spans="2:26" ht="15" customHeight="1">
      <c r="B84" s="16" t="s">
        <v>943</v>
      </c>
      <c r="C84" s="16" t="s">
        <v>184</v>
      </c>
      <c r="D84" s="16" t="s">
        <v>62</v>
      </c>
      <c r="E84" s="16" t="s">
        <v>222</v>
      </c>
      <c r="F84" s="16" t="s">
        <v>944</v>
      </c>
      <c r="G84" s="8">
        <v>1</v>
      </c>
      <c r="H84" s="8">
        <v>2</v>
      </c>
      <c r="I84" s="8">
        <v>511</v>
      </c>
      <c r="J84" s="8">
        <v>3138</v>
      </c>
      <c r="K84" s="8">
        <v>0</v>
      </c>
      <c r="L84" s="8">
        <v>0</v>
      </c>
      <c r="M84" s="8">
        <v>0</v>
      </c>
      <c r="N84" s="8">
        <v>0</v>
      </c>
      <c r="O84" s="8">
        <v>0</v>
      </c>
      <c r="P84" s="8">
        <v>0</v>
      </c>
      <c r="Q84" s="8">
        <v>0</v>
      </c>
      <c r="R84" s="8">
        <v>1</v>
      </c>
      <c r="S84" s="16">
        <v>1</v>
      </c>
      <c r="T84" s="16" t="s">
        <v>187</v>
      </c>
      <c r="U84" s="16" t="s">
        <v>385</v>
      </c>
      <c r="V84" s="16" t="s">
        <v>945</v>
      </c>
      <c r="W84" s="16" t="s">
        <v>852</v>
      </c>
      <c r="X84" s="7" t="s">
        <v>852</v>
      </c>
      <c r="Y84" s="16" t="s">
        <v>50</v>
      </c>
      <c r="Z84" s="16" t="s">
        <v>50</v>
      </c>
    </row>
    <row r="85" spans="2:26" ht="15" customHeight="1">
      <c r="B85" s="16" t="s">
        <v>377</v>
      </c>
      <c r="C85" s="16" t="s">
        <v>151</v>
      </c>
      <c r="D85" s="16" t="s">
        <v>62</v>
      </c>
      <c r="E85" s="16" t="s">
        <v>186</v>
      </c>
      <c r="F85" s="16" t="s">
        <v>378</v>
      </c>
      <c r="G85" s="8">
        <v>1</v>
      </c>
      <c r="H85" s="8">
        <v>12</v>
      </c>
      <c r="I85" s="8">
        <v>53847</v>
      </c>
      <c r="J85" s="8">
        <v>53847</v>
      </c>
      <c r="K85" s="8">
        <v>72</v>
      </c>
      <c r="L85" s="8">
        <v>0</v>
      </c>
      <c r="M85" s="8">
        <v>0</v>
      </c>
      <c r="N85" s="8">
        <v>0</v>
      </c>
      <c r="O85" s="8">
        <v>0</v>
      </c>
      <c r="P85" s="8">
        <v>0</v>
      </c>
      <c r="Q85" s="8">
        <v>1</v>
      </c>
      <c r="R85" s="8">
        <v>0</v>
      </c>
      <c r="S85" s="16">
        <v>1</v>
      </c>
      <c r="T85" s="16"/>
      <c r="U85" s="16" t="s">
        <v>50</v>
      </c>
      <c r="V85" s="16"/>
      <c r="W85" s="16" t="s">
        <v>50</v>
      </c>
      <c r="X85" s="7" t="s">
        <v>50</v>
      </c>
      <c r="Y85" s="16" t="s">
        <v>50</v>
      </c>
      <c r="Z85" s="16" t="s">
        <v>50</v>
      </c>
    </row>
    <row r="86" spans="2:26" ht="15" customHeight="1">
      <c r="B86" s="16" t="s">
        <v>258</v>
      </c>
      <c r="C86" s="16" t="s">
        <v>151</v>
      </c>
      <c r="D86" s="16" t="s">
        <v>62</v>
      </c>
      <c r="E86" s="16" t="s">
        <v>186</v>
      </c>
      <c r="F86" s="16" t="s">
        <v>259</v>
      </c>
      <c r="G86" s="8">
        <v>1</v>
      </c>
      <c r="H86" s="8">
        <v>8</v>
      </c>
      <c r="I86" s="8">
        <v>68708</v>
      </c>
      <c r="J86" s="8">
        <v>68708</v>
      </c>
      <c r="K86" s="8">
        <v>2831</v>
      </c>
      <c r="L86" s="8">
        <v>8</v>
      </c>
      <c r="M86" s="8">
        <v>2</v>
      </c>
      <c r="N86" s="8">
        <v>5</v>
      </c>
      <c r="O86" s="8">
        <v>1</v>
      </c>
      <c r="P86" s="8">
        <v>0</v>
      </c>
      <c r="Q86" s="8">
        <v>1</v>
      </c>
      <c r="R86" s="8">
        <v>0</v>
      </c>
      <c r="S86" s="16">
        <v>1</v>
      </c>
      <c r="T86" s="16"/>
      <c r="U86" s="16" t="s">
        <v>50</v>
      </c>
      <c r="V86" s="16"/>
      <c r="W86" s="16" t="s">
        <v>50</v>
      </c>
      <c r="X86" s="7" t="s">
        <v>50</v>
      </c>
      <c r="Y86" s="16" t="s">
        <v>50</v>
      </c>
      <c r="Z86" s="16" t="s">
        <v>50</v>
      </c>
    </row>
    <row r="87" spans="2:26" ht="15" customHeight="1">
      <c r="B87" s="16" t="s">
        <v>379</v>
      </c>
      <c r="C87" s="16" t="s">
        <v>184</v>
      </c>
      <c r="D87" s="16" t="s">
        <v>62</v>
      </c>
      <c r="E87" s="16" t="s">
        <v>186</v>
      </c>
      <c r="F87" s="16" t="s">
        <v>380</v>
      </c>
      <c r="G87" s="8">
        <v>1</v>
      </c>
      <c r="H87" s="8">
        <v>54</v>
      </c>
      <c r="I87" s="8">
        <v>9315</v>
      </c>
      <c r="J87" s="8">
        <v>9315</v>
      </c>
      <c r="K87" s="8">
        <v>2681</v>
      </c>
      <c r="L87" s="8">
        <v>8</v>
      </c>
      <c r="M87" s="8">
        <v>4</v>
      </c>
      <c r="N87" s="8">
        <v>2</v>
      </c>
      <c r="O87" s="8">
        <v>2</v>
      </c>
      <c r="P87" s="8">
        <v>0</v>
      </c>
      <c r="Q87" s="8">
        <v>0</v>
      </c>
      <c r="R87" s="8">
        <v>1</v>
      </c>
      <c r="S87" s="16">
        <v>1</v>
      </c>
      <c r="T87" s="16"/>
      <c r="U87" s="16" t="s">
        <v>50</v>
      </c>
      <c r="V87" s="16"/>
      <c r="W87" s="16" t="s">
        <v>50</v>
      </c>
      <c r="X87" s="7" t="s">
        <v>50</v>
      </c>
      <c r="Y87" s="16" t="s">
        <v>50</v>
      </c>
      <c r="Z87" s="16" t="s">
        <v>50</v>
      </c>
    </row>
    <row r="88" spans="2:26" ht="15" customHeight="1">
      <c r="B88" s="16" t="s">
        <v>381</v>
      </c>
      <c r="C88" s="16" t="s">
        <v>184</v>
      </c>
      <c r="D88" s="16" t="s">
        <v>62</v>
      </c>
      <c r="E88" s="16" t="s">
        <v>222</v>
      </c>
      <c r="F88" s="16" t="s">
        <v>382</v>
      </c>
      <c r="G88" s="8">
        <v>1</v>
      </c>
      <c r="H88" s="8">
        <v>0</v>
      </c>
      <c r="I88" s="8">
        <v>330</v>
      </c>
      <c r="J88" s="8">
        <v>330</v>
      </c>
      <c r="K88" s="8">
        <v>47</v>
      </c>
      <c r="L88" s="8">
        <v>1</v>
      </c>
      <c r="M88" s="8">
        <v>1</v>
      </c>
      <c r="N88" s="8">
        <v>0</v>
      </c>
      <c r="O88" s="8">
        <v>0</v>
      </c>
      <c r="P88" s="8">
        <v>1</v>
      </c>
      <c r="Q88" s="8">
        <v>0</v>
      </c>
      <c r="R88" s="8">
        <v>0</v>
      </c>
      <c r="S88" s="16">
        <v>1</v>
      </c>
      <c r="T88" s="16" t="s">
        <v>187</v>
      </c>
      <c r="U88" s="16" t="s">
        <v>236</v>
      </c>
      <c r="V88" s="16" t="s">
        <v>237</v>
      </c>
      <c r="W88" s="16" t="s">
        <v>852</v>
      </c>
      <c r="X88" s="7" t="s">
        <v>852</v>
      </c>
      <c r="Y88" s="16" t="s">
        <v>864</v>
      </c>
      <c r="Z88" s="16" t="s">
        <v>883</v>
      </c>
    </row>
    <row r="89" spans="2:26" ht="15" customHeight="1">
      <c r="B89" s="16" t="s">
        <v>383</v>
      </c>
      <c r="C89" s="16" t="s">
        <v>184</v>
      </c>
      <c r="D89" s="16" t="s">
        <v>62</v>
      </c>
      <c r="E89" s="16" t="s">
        <v>222</v>
      </c>
      <c r="F89" s="16" t="s">
        <v>384</v>
      </c>
      <c r="G89" s="8">
        <v>1</v>
      </c>
      <c r="H89" s="8">
        <v>0</v>
      </c>
      <c r="I89" s="8">
        <v>279</v>
      </c>
      <c r="J89" s="8">
        <v>279</v>
      </c>
      <c r="K89" s="8">
        <v>57</v>
      </c>
      <c r="L89" s="8">
        <v>1</v>
      </c>
      <c r="M89" s="8">
        <v>1</v>
      </c>
      <c r="N89" s="8">
        <v>0</v>
      </c>
      <c r="O89" s="8">
        <v>0</v>
      </c>
      <c r="P89" s="8">
        <v>0</v>
      </c>
      <c r="Q89" s="8">
        <v>1</v>
      </c>
      <c r="R89" s="8">
        <v>0</v>
      </c>
      <c r="S89" s="16">
        <v>1</v>
      </c>
      <c r="T89" s="16" t="s">
        <v>187</v>
      </c>
      <c r="U89" s="16" t="s">
        <v>385</v>
      </c>
      <c r="V89" s="16" t="s">
        <v>386</v>
      </c>
      <c r="W89" s="16" t="s">
        <v>855</v>
      </c>
      <c r="X89" s="7" t="s">
        <v>855</v>
      </c>
      <c r="Y89" s="16" t="s">
        <v>864</v>
      </c>
      <c r="Z89" s="16" t="s">
        <v>869</v>
      </c>
    </row>
    <row r="90" spans="2:26" ht="15" customHeight="1">
      <c r="B90" s="16" t="s">
        <v>390</v>
      </c>
      <c r="C90" s="16" t="s">
        <v>184</v>
      </c>
      <c r="D90" s="16" t="s">
        <v>71</v>
      </c>
      <c r="E90" s="16" t="s">
        <v>192</v>
      </c>
      <c r="F90" s="16" t="s">
        <v>391</v>
      </c>
      <c r="G90" s="8">
        <v>1</v>
      </c>
      <c r="H90" s="8">
        <v>0</v>
      </c>
      <c r="I90" s="8">
        <v>1476</v>
      </c>
      <c r="J90" s="8">
        <v>1476</v>
      </c>
      <c r="K90" s="8">
        <v>0</v>
      </c>
      <c r="L90" s="8">
        <v>0</v>
      </c>
      <c r="M90" s="8">
        <v>0</v>
      </c>
      <c r="N90" s="8">
        <v>0</v>
      </c>
      <c r="O90" s="8">
        <v>0</v>
      </c>
      <c r="P90" s="8">
        <v>0</v>
      </c>
      <c r="Q90" s="8">
        <v>1</v>
      </c>
      <c r="R90" s="8">
        <v>0</v>
      </c>
      <c r="S90" s="16">
        <v>1</v>
      </c>
      <c r="T90" s="16" t="s">
        <v>392</v>
      </c>
      <c r="U90" s="16" t="s">
        <v>393</v>
      </c>
      <c r="V90" s="16" t="s">
        <v>394</v>
      </c>
      <c r="W90" s="16" t="s">
        <v>855</v>
      </c>
      <c r="X90" s="7" t="s">
        <v>855</v>
      </c>
      <c r="Y90" s="16" t="s">
        <v>50</v>
      </c>
      <c r="Z90" s="16" t="s">
        <v>50</v>
      </c>
    </row>
    <row r="91" spans="2:26" ht="15" customHeight="1">
      <c r="B91" s="16" t="s">
        <v>395</v>
      </c>
      <c r="C91" s="16" t="s">
        <v>184</v>
      </c>
      <c r="D91" s="16" t="s">
        <v>71</v>
      </c>
      <c r="E91" s="16" t="s">
        <v>192</v>
      </c>
      <c r="F91" s="16" t="s">
        <v>396</v>
      </c>
      <c r="G91" s="8">
        <v>1</v>
      </c>
      <c r="H91" s="8">
        <v>0</v>
      </c>
      <c r="I91" s="8">
        <v>1427</v>
      </c>
      <c r="J91" s="8">
        <v>1427</v>
      </c>
      <c r="K91" s="8">
        <v>0</v>
      </c>
      <c r="L91" s="8">
        <v>0</v>
      </c>
      <c r="M91" s="8">
        <v>0</v>
      </c>
      <c r="N91" s="8">
        <v>0</v>
      </c>
      <c r="O91" s="8">
        <v>0</v>
      </c>
      <c r="P91" s="8">
        <v>0</v>
      </c>
      <c r="Q91" s="8">
        <v>1</v>
      </c>
      <c r="R91" s="8">
        <v>0</v>
      </c>
      <c r="S91" s="16">
        <v>1</v>
      </c>
      <c r="T91" s="16" t="s">
        <v>946</v>
      </c>
      <c r="U91" s="16" t="s">
        <v>947</v>
      </c>
      <c r="V91" s="16"/>
      <c r="W91" s="16" t="s">
        <v>50</v>
      </c>
      <c r="X91" s="7" t="s">
        <v>50</v>
      </c>
      <c r="Y91" s="16" t="s">
        <v>50</v>
      </c>
      <c r="Z91" s="16" t="s">
        <v>50</v>
      </c>
    </row>
    <row r="92" spans="2:26" ht="15" customHeight="1">
      <c r="B92" s="16" t="s">
        <v>345</v>
      </c>
      <c r="C92" s="16" t="s">
        <v>184</v>
      </c>
      <c r="D92" s="16" t="s">
        <v>76</v>
      </c>
      <c r="E92" s="16" t="s">
        <v>186</v>
      </c>
      <c r="F92" s="16" t="s">
        <v>397</v>
      </c>
      <c r="G92" s="8">
        <v>1</v>
      </c>
      <c r="H92" s="8">
        <v>15</v>
      </c>
      <c r="I92" s="8">
        <v>18503</v>
      </c>
      <c r="J92" s="8">
        <v>18503</v>
      </c>
      <c r="K92" s="8">
        <v>0</v>
      </c>
      <c r="L92" s="8">
        <v>0</v>
      </c>
      <c r="M92" s="8">
        <v>0</v>
      </c>
      <c r="N92" s="8">
        <v>0</v>
      </c>
      <c r="O92" s="8">
        <v>0</v>
      </c>
      <c r="P92" s="8">
        <v>0</v>
      </c>
      <c r="Q92" s="8">
        <v>1</v>
      </c>
      <c r="R92" s="8">
        <v>0</v>
      </c>
      <c r="S92" s="16">
        <v>1</v>
      </c>
      <c r="T92" s="16" t="s">
        <v>187</v>
      </c>
      <c r="U92" s="16" t="s">
        <v>200</v>
      </c>
      <c r="V92" s="16" t="s">
        <v>201</v>
      </c>
      <c r="W92" s="16" t="s">
        <v>50</v>
      </c>
      <c r="X92" s="7" t="s">
        <v>50</v>
      </c>
      <c r="Y92" s="16" t="s">
        <v>50</v>
      </c>
      <c r="Z92" s="16" t="s">
        <v>50</v>
      </c>
    </row>
    <row r="93" spans="2:26" ht="15" customHeight="1">
      <c r="B93" s="16" t="s">
        <v>948</v>
      </c>
      <c r="C93" s="16" t="s">
        <v>234</v>
      </c>
      <c r="D93" s="16" t="s">
        <v>62</v>
      </c>
      <c r="E93" s="16" t="s">
        <v>222</v>
      </c>
      <c r="F93" s="16" t="s">
        <v>949</v>
      </c>
      <c r="G93" s="8">
        <v>1</v>
      </c>
      <c r="H93" s="8">
        <v>6</v>
      </c>
      <c r="I93" s="8">
        <v>89</v>
      </c>
      <c r="J93" s="8">
        <v>197908</v>
      </c>
      <c r="K93" s="8">
        <v>0</v>
      </c>
      <c r="L93" s="8">
        <v>0</v>
      </c>
      <c r="M93" s="8">
        <v>0</v>
      </c>
      <c r="N93" s="8">
        <v>0</v>
      </c>
      <c r="O93" s="8">
        <v>0</v>
      </c>
      <c r="P93" s="8">
        <v>0</v>
      </c>
      <c r="Q93" s="8">
        <v>1</v>
      </c>
      <c r="R93" s="8">
        <v>0</v>
      </c>
      <c r="S93" s="16">
        <v>1</v>
      </c>
      <c r="T93" s="16" t="s">
        <v>187</v>
      </c>
      <c r="U93" s="16" t="s">
        <v>236</v>
      </c>
      <c r="V93" s="16" t="s">
        <v>237</v>
      </c>
      <c r="W93" s="16" t="s">
        <v>852</v>
      </c>
      <c r="X93" s="7" t="s">
        <v>852</v>
      </c>
      <c r="Y93" s="16" t="s">
        <v>50</v>
      </c>
      <c r="Z93" s="16" t="s">
        <v>50</v>
      </c>
    </row>
    <row r="94" spans="2:26" ht="15" customHeight="1">
      <c r="B94" s="16" t="s">
        <v>252</v>
      </c>
      <c r="C94" s="16" t="s">
        <v>184</v>
      </c>
      <c r="D94" s="16" t="s">
        <v>76</v>
      </c>
      <c r="E94" s="16" t="s">
        <v>186</v>
      </c>
      <c r="F94" s="16" t="s">
        <v>404</v>
      </c>
      <c r="G94" s="8">
        <v>1</v>
      </c>
      <c r="H94" s="8">
        <v>12</v>
      </c>
      <c r="I94" s="8">
        <v>13612</v>
      </c>
      <c r="J94" s="8">
        <v>13612</v>
      </c>
      <c r="K94" s="8">
        <v>0</v>
      </c>
      <c r="L94" s="8">
        <v>0</v>
      </c>
      <c r="M94" s="8">
        <v>0</v>
      </c>
      <c r="N94" s="8">
        <v>0</v>
      </c>
      <c r="O94" s="8">
        <v>0</v>
      </c>
      <c r="P94" s="8">
        <v>0</v>
      </c>
      <c r="Q94" s="8">
        <v>1</v>
      </c>
      <c r="R94" s="8">
        <v>0</v>
      </c>
      <c r="S94" s="16">
        <v>1</v>
      </c>
      <c r="T94" s="16"/>
      <c r="U94" s="16" t="s">
        <v>50</v>
      </c>
      <c r="V94" s="16"/>
      <c r="W94" s="16" t="s">
        <v>50</v>
      </c>
      <c r="X94" s="7" t="s">
        <v>50</v>
      </c>
      <c r="Y94" s="16" t="s">
        <v>50</v>
      </c>
      <c r="Z94" s="16" t="s">
        <v>50</v>
      </c>
    </row>
    <row r="95" spans="2:26" ht="15" customHeight="1">
      <c r="B95" s="16" t="s">
        <v>950</v>
      </c>
      <c r="C95" s="16" t="s">
        <v>184</v>
      </c>
      <c r="D95" s="16" t="s">
        <v>62</v>
      </c>
      <c r="E95" s="16" t="s">
        <v>222</v>
      </c>
      <c r="F95" s="16" t="s">
        <v>951</v>
      </c>
      <c r="G95" s="8">
        <v>1</v>
      </c>
      <c r="H95" s="8">
        <v>4</v>
      </c>
      <c r="I95" s="8">
        <v>95</v>
      </c>
      <c r="J95" s="8">
        <v>35853</v>
      </c>
      <c r="K95" s="8">
        <v>0</v>
      </c>
      <c r="L95" s="8">
        <v>0</v>
      </c>
      <c r="M95" s="8">
        <v>0</v>
      </c>
      <c r="N95" s="8">
        <v>0</v>
      </c>
      <c r="O95" s="8">
        <v>0</v>
      </c>
      <c r="P95" s="8">
        <v>0</v>
      </c>
      <c r="Q95" s="8">
        <v>1</v>
      </c>
      <c r="R95" s="8">
        <v>0</v>
      </c>
      <c r="S95" s="16">
        <v>1</v>
      </c>
      <c r="T95" s="16" t="s">
        <v>187</v>
      </c>
      <c r="U95" s="16" t="s">
        <v>200</v>
      </c>
      <c r="V95" s="16" t="s">
        <v>201</v>
      </c>
      <c r="W95" s="16" t="s">
        <v>855</v>
      </c>
      <c r="X95" s="7" t="s">
        <v>855</v>
      </c>
      <c r="Y95" s="16" t="s">
        <v>864</v>
      </c>
      <c r="Z95" s="16" t="s">
        <v>883</v>
      </c>
    </row>
    <row r="96" spans="2:26" ht="15" customHeight="1">
      <c r="B96" s="16" t="s">
        <v>375</v>
      </c>
      <c r="C96" s="16" t="s">
        <v>184</v>
      </c>
      <c r="D96" s="16" t="s">
        <v>76</v>
      </c>
      <c r="E96" s="16" t="s">
        <v>186</v>
      </c>
      <c r="F96" s="16" t="s">
        <v>405</v>
      </c>
      <c r="G96" s="8">
        <v>1</v>
      </c>
      <c r="H96" s="8">
        <v>0</v>
      </c>
      <c r="I96" s="8">
        <v>2843</v>
      </c>
      <c r="J96" s="8">
        <v>2843</v>
      </c>
      <c r="K96" s="8">
        <v>0</v>
      </c>
      <c r="L96" s="8">
        <v>0</v>
      </c>
      <c r="M96" s="8">
        <v>0</v>
      </c>
      <c r="N96" s="8">
        <v>0</v>
      </c>
      <c r="O96" s="8">
        <v>0</v>
      </c>
      <c r="P96" s="8">
        <v>0</v>
      </c>
      <c r="Q96" s="8">
        <v>1</v>
      </c>
      <c r="R96" s="8">
        <v>0</v>
      </c>
      <c r="S96" s="16">
        <v>1</v>
      </c>
      <c r="T96" s="16"/>
      <c r="U96" s="16" t="s">
        <v>50</v>
      </c>
      <c r="V96" s="16"/>
      <c r="W96" s="16" t="s">
        <v>50</v>
      </c>
      <c r="X96" s="7" t="s">
        <v>50</v>
      </c>
      <c r="Y96" s="16" t="s">
        <v>50</v>
      </c>
      <c r="Z96" s="16" t="s">
        <v>50</v>
      </c>
    </row>
    <row r="97" spans="2:26" ht="15" customHeight="1">
      <c r="B97" s="16" t="s">
        <v>952</v>
      </c>
      <c r="C97" s="16" t="s">
        <v>184</v>
      </c>
      <c r="D97" s="16" t="s">
        <v>62</v>
      </c>
      <c r="E97" s="16" t="s">
        <v>222</v>
      </c>
      <c r="F97" s="16" t="s">
        <v>953</v>
      </c>
      <c r="G97" s="8">
        <v>1</v>
      </c>
      <c r="H97" s="8">
        <v>1</v>
      </c>
      <c r="I97" s="8">
        <v>1025</v>
      </c>
      <c r="J97" s="8">
        <v>4037</v>
      </c>
      <c r="K97" s="8">
        <v>0</v>
      </c>
      <c r="L97" s="8">
        <v>0</v>
      </c>
      <c r="M97" s="8">
        <v>0</v>
      </c>
      <c r="N97" s="8">
        <v>0</v>
      </c>
      <c r="O97" s="8">
        <v>0</v>
      </c>
      <c r="P97" s="8">
        <v>1</v>
      </c>
      <c r="Q97" s="8">
        <v>0</v>
      </c>
      <c r="R97" s="8">
        <v>0</v>
      </c>
      <c r="S97" s="16">
        <v>1</v>
      </c>
      <c r="T97" s="16" t="s">
        <v>187</v>
      </c>
      <c r="U97" s="16" t="s">
        <v>400</v>
      </c>
      <c r="V97" s="16" t="s">
        <v>492</v>
      </c>
      <c r="W97" s="16" t="s">
        <v>852</v>
      </c>
      <c r="X97" s="7" t="s">
        <v>852</v>
      </c>
      <c r="Y97" s="16" t="s">
        <v>50</v>
      </c>
      <c r="Z97" s="16" t="s">
        <v>50</v>
      </c>
    </row>
    <row r="98" spans="2:26" ht="15" customHeight="1">
      <c r="B98" s="16" t="s">
        <v>408</v>
      </c>
      <c r="C98" s="16" t="s">
        <v>184</v>
      </c>
      <c r="D98" s="16" t="s">
        <v>71</v>
      </c>
      <c r="E98" s="16" t="s">
        <v>192</v>
      </c>
      <c r="F98" s="16" t="s">
        <v>409</v>
      </c>
      <c r="G98" s="8">
        <v>1</v>
      </c>
      <c r="H98" s="8">
        <v>0</v>
      </c>
      <c r="I98" s="8">
        <v>313</v>
      </c>
      <c r="J98" s="8">
        <v>459</v>
      </c>
      <c r="K98" s="8">
        <v>0</v>
      </c>
      <c r="L98" s="8">
        <v>0</v>
      </c>
      <c r="M98" s="8">
        <v>0</v>
      </c>
      <c r="N98" s="8">
        <v>0</v>
      </c>
      <c r="O98" s="8">
        <v>0</v>
      </c>
      <c r="P98" s="8">
        <v>0</v>
      </c>
      <c r="Q98" s="8">
        <v>1</v>
      </c>
      <c r="R98" s="8">
        <v>0</v>
      </c>
      <c r="S98" s="16">
        <v>1</v>
      </c>
      <c r="T98" s="16" t="s">
        <v>392</v>
      </c>
      <c r="U98" s="16" t="s">
        <v>410</v>
      </c>
      <c r="V98" s="16" t="s">
        <v>411</v>
      </c>
      <c r="W98" s="16" t="s">
        <v>852</v>
      </c>
      <c r="X98" s="7" t="s">
        <v>852</v>
      </c>
      <c r="Y98" s="16" t="s">
        <v>50</v>
      </c>
      <c r="Z98" s="16" t="s">
        <v>50</v>
      </c>
    </row>
    <row r="99" spans="2:26" ht="15" customHeight="1">
      <c r="B99" s="16" t="s">
        <v>954</v>
      </c>
      <c r="C99" s="16" t="s">
        <v>151</v>
      </c>
      <c r="D99" s="16" t="s">
        <v>62</v>
      </c>
      <c r="E99" s="16" t="s">
        <v>222</v>
      </c>
      <c r="F99" s="16" t="s">
        <v>955</v>
      </c>
      <c r="G99" s="8">
        <v>1</v>
      </c>
      <c r="H99" s="8">
        <v>81</v>
      </c>
      <c r="I99" s="8">
        <v>868</v>
      </c>
      <c r="J99" s="8">
        <v>89236</v>
      </c>
      <c r="K99" s="8">
        <v>13823</v>
      </c>
      <c r="L99" s="8">
        <v>70</v>
      </c>
      <c r="M99" s="8">
        <v>9</v>
      </c>
      <c r="N99" s="8">
        <v>55</v>
      </c>
      <c r="O99" s="8">
        <v>6</v>
      </c>
      <c r="P99" s="8">
        <v>1</v>
      </c>
      <c r="Q99" s="8">
        <v>0</v>
      </c>
      <c r="R99" s="8">
        <v>0</v>
      </c>
      <c r="S99" s="16">
        <v>1</v>
      </c>
      <c r="T99" s="16" t="s">
        <v>187</v>
      </c>
      <c r="U99" s="16" t="s">
        <v>956</v>
      </c>
      <c r="V99" s="16" t="s">
        <v>957</v>
      </c>
      <c r="W99" s="16" t="s">
        <v>852</v>
      </c>
      <c r="X99" s="7" t="s">
        <v>852</v>
      </c>
      <c r="Y99" s="16" t="s">
        <v>50</v>
      </c>
      <c r="Z99" s="16" t="s">
        <v>50</v>
      </c>
    </row>
    <row r="100" spans="2:26" ht="15" customHeight="1">
      <c r="B100" s="16" t="s">
        <v>412</v>
      </c>
      <c r="C100" s="16" t="s">
        <v>413</v>
      </c>
      <c r="D100" s="16" t="s">
        <v>62</v>
      </c>
      <c r="E100" s="16" t="s">
        <v>186</v>
      </c>
      <c r="F100" s="16" t="s">
        <v>414</v>
      </c>
      <c r="G100" s="8">
        <v>1</v>
      </c>
      <c r="H100" s="8">
        <v>112</v>
      </c>
      <c r="I100" s="8">
        <v>55177</v>
      </c>
      <c r="J100" s="8">
        <v>55177</v>
      </c>
      <c r="K100" s="8">
        <v>8468</v>
      </c>
      <c r="L100" s="8">
        <v>17</v>
      </c>
      <c r="M100" s="8">
        <v>3</v>
      </c>
      <c r="N100" s="8">
        <v>11</v>
      </c>
      <c r="O100" s="8">
        <v>3</v>
      </c>
      <c r="P100" s="8">
        <v>0</v>
      </c>
      <c r="Q100" s="8">
        <v>0</v>
      </c>
      <c r="R100" s="8">
        <v>1</v>
      </c>
      <c r="S100" s="16">
        <v>1</v>
      </c>
      <c r="T100" s="16" t="s">
        <v>187</v>
      </c>
      <c r="U100" s="16" t="s">
        <v>415</v>
      </c>
      <c r="V100" s="16" t="s">
        <v>416</v>
      </c>
      <c r="W100" s="16" t="s">
        <v>50</v>
      </c>
      <c r="X100" s="7" t="s">
        <v>50</v>
      </c>
      <c r="Y100" s="16" t="s">
        <v>50</v>
      </c>
      <c r="Z100" s="16" t="s">
        <v>50</v>
      </c>
    </row>
    <row r="101" spans="2:26" ht="15" customHeight="1">
      <c r="B101" s="16" t="s">
        <v>212</v>
      </c>
      <c r="C101" s="16" t="s">
        <v>151</v>
      </c>
      <c r="D101" s="16" t="s">
        <v>62</v>
      </c>
      <c r="E101" s="16" t="s">
        <v>186</v>
      </c>
      <c r="F101" s="16" t="s">
        <v>213</v>
      </c>
      <c r="G101" s="8">
        <v>1</v>
      </c>
      <c r="H101" s="8">
        <v>51</v>
      </c>
      <c r="I101" s="8">
        <v>145360</v>
      </c>
      <c r="J101" s="8">
        <v>145360</v>
      </c>
      <c r="K101" s="8">
        <v>12409</v>
      </c>
      <c r="L101" s="8">
        <v>3</v>
      </c>
      <c r="M101" s="8">
        <v>2</v>
      </c>
      <c r="N101" s="8">
        <v>1</v>
      </c>
      <c r="O101" s="8">
        <v>0</v>
      </c>
      <c r="P101" s="8">
        <v>0</v>
      </c>
      <c r="Q101" s="8">
        <v>1</v>
      </c>
      <c r="R101" s="8">
        <v>0</v>
      </c>
      <c r="S101" s="16">
        <v>1</v>
      </c>
      <c r="T101" s="16" t="s">
        <v>187</v>
      </c>
      <c r="U101" s="16" t="s">
        <v>50</v>
      </c>
      <c r="V101" s="16"/>
      <c r="W101" s="16" t="s">
        <v>50</v>
      </c>
      <c r="X101" s="7" t="s">
        <v>50</v>
      </c>
      <c r="Y101" s="16" t="s">
        <v>50</v>
      </c>
      <c r="Z101" s="16" t="s">
        <v>50</v>
      </c>
    </row>
    <row r="102" spans="2:26" ht="15" customHeight="1">
      <c r="B102" s="16" t="s">
        <v>958</v>
      </c>
      <c r="C102" s="16" t="s">
        <v>184</v>
      </c>
      <c r="D102" s="16" t="s">
        <v>120</v>
      </c>
      <c r="E102" s="16" t="s">
        <v>222</v>
      </c>
      <c r="F102" s="16" t="s">
        <v>959</v>
      </c>
      <c r="G102" s="8">
        <v>1</v>
      </c>
      <c r="H102" s="8">
        <v>0</v>
      </c>
      <c r="I102" s="8">
        <v>67</v>
      </c>
      <c r="J102" s="8">
        <v>0</v>
      </c>
      <c r="K102" s="8">
        <v>0</v>
      </c>
      <c r="L102" s="8">
        <v>0</v>
      </c>
      <c r="M102" s="8">
        <v>0</v>
      </c>
      <c r="N102" s="8">
        <v>0</v>
      </c>
      <c r="O102" s="8">
        <v>0</v>
      </c>
      <c r="P102" s="8">
        <v>0</v>
      </c>
      <c r="Q102" s="8">
        <v>1</v>
      </c>
      <c r="R102" s="8">
        <v>0</v>
      </c>
      <c r="S102" s="16">
        <v>1</v>
      </c>
      <c r="T102" s="16"/>
      <c r="U102" s="16" t="s">
        <v>50</v>
      </c>
      <c r="V102" s="16"/>
      <c r="W102" s="16" t="s">
        <v>50</v>
      </c>
      <c r="X102" s="7" t="s">
        <v>50</v>
      </c>
      <c r="Y102" s="16" t="s">
        <v>50</v>
      </c>
      <c r="Z102" s="16" t="s">
        <v>50</v>
      </c>
    </row>
    <row r="103" spans="2:26" ht="15" customHeight="1">
      <c r="B103" s="16" t="s">
        <v>960</v>
      </c>
      <c r="C103" s="16" t="s">
        <v>151</v>
      </c>
      <c r="D103" s="16" t="s">
        <v>62</v>
      </c>
      <c r="E103" s="16" t="s">
        <v>222</v>
      </c>
      <c r="F103" s="16" t="s">
        <v>961</v>
      </c>
      <c r="G103" s="8">
        <v>1</v>
      </c>
      <c r="H103" s="8">
        <v>2</v>
      </c>
      <c r="I103" s="8">
        <v>71</v>
      </c>
      <c r="J103" s="8">
        <v>77077</v>
      </c>
      <c r="K103" s="8">
        <v>0</v>
      </c>
      <c r="L103" s="8">
        <v>0</v>
      </c>
      <c r="M103" s="8">
        <v>0</v>
      </c>
      <c r="N103" s="8">
        <v>0</v>
      </c>
      <c r="O103" s="8">
        <v>0</v>
      </c>
      <c r="P103" s="8">
        <v>0</v>
      </c>
      <c r="Q103" s="8">
        <v>1</v>
      </c>
      <c r="R103" s="8">
        <v>0</v>
      </c>
      <c r="S103" s="16">
        <v>1</v>
      </c>
      <c r="T103" s="16" t="s">
        <v>187</v>
      </c>
      <c r="U103" s="16" t="s">
        <v>881</v>
      </c>
      <c r="V103" s="16" t="s">
        <v>962</v>
      </c>
      <c r="W103" s="16" t="s">
        <v>852</v>
      </c>
      <c r="X103" s="7" t="s">
        <v>852</v>
      </c>
      <c r="Y103" s="16" t="s">
        <v>50</v>
      </c>
      <c r="Z103" s="16" t="s">
        <v>50</v>
      </c>
    </row>
    <row r="104" spans="2:26" ht="15" customHeight="1">
      <c r="B104" s="16" t="s">
        <v>963</v>
      </c>
      <c r="C104" s="16" t="s">
        <v>184</v>
      </c>
      <c r="D104" s="16" t="s">
        <v>71</v>
      </c>
      <c r="E104" s="16" t="s">
        <v>222</v>
      </c>
      <c r="F104" s="16" t="s">
        <v>964</v>
      </c>
      <c r="G104" s="8">
        <v>1</v>
      </c>
      <c r="H104" s="8">
        <v>57</v>
      </c>
      <c r="I104" s="8">
        <v>0</v>
      </c>
      <c r="J104" s="8">
        <v>13560</v>
      </c>
      <c r="K104" s="8">
        <v>0</v>
      </c>
      <c r="L104" s="8">
        <v>0</v>
      </c>
      <c r="M104" s="8">
        <v>0</v>
      </c>
      <c r="N104" s="8">
        <v>0</v>
      </c>
      <c r="O104" s="8">
        <v>0</v>
      </c>
      <c r="P104" s="8">
        <v>0</v>
      </c>
      <c r="Q104" s="8">
        <v>1</v>
      </c>
      <c r="R104" s="8">
        <v>0</v>
      </c>
      <c r="S104" s="16">
        <v>1</v>
      </c>
      <c r="T104" s="16"/>
      <c r="U104" s="16" t="s">
        <v>50</v>
      </c>
      <c r="V104" s="16"/>
      <c r="W104" s="16" t="s">
        <v>855</v>
      </c>
      <c r="X104" s="7" t="s">
        <v>855</v>
      </c>
      <c r="Y104" s="16" t="s">
        <v>50</v>
      </c>
      <c r="Z104" s="16" t="s">
        <v>50</v>
      </c>
    </row>
    <row r="105" spans="2:26" ht="15" customHeight="1">
      <c r="B105" s="16" t="s">
        <v>422</v>
      </c>
      <c r="C105" s="16" t="s">
        <v>184</v>
      </c>
      <c r="D105" s="16" t="s">
        <v>71</v>
      </c>
      <c r="E105" s="16" t="s">
        <v>222</v>
      </c>
      <c r="F105" s="16" t="s">
        <v>423</v>
      </c>
      <c r="G105" s="8">
        <v>1</v>
      </c>
      <c r="H105" s="8">
        <v>0</v>
      </c>
      <c r="I105" s="8">
        <v>4840</v>
      </c>
      <c r="J105" s="8">
        <v>9493</v>
      </c>
      <c r="K105" s="8">
        <v>0</v>
      </c>
      <c r="L105" s="8">
        <v>0</v>
      </c>
      <c r="M105" s="8">
        <v>0</v>
      </c>
      <c r="N105" s="8">
        <v>0</v>
      </c>
      <c r="O105" s="8">
        <v>0</v>
      </c>
      <c r="P105" s="8">
        <v>0</v>
      </c>
      <c r="Q105" s="8">
        <v>1</v>
      </c>
      <c r="R105" s="8">
        <v>0</v>
      </c>
      <c r="S105" s="16">
        <v>1</v>
      </c>
      <c r="T105" s="16" t="s">
        <v>392</v>
      </c>
      <c r="U105" s="16" t="s">
        <v>424</v>
      </c>
      <c r="V105" s="16" t="s">
        <v>425</v>
      </c>
      <c r="W105" s="16" t="s">
        <v>50</v>
      </c>
      <c r="X105" s="7" t="s">
        <v>50</v>
      </c>
      <c r="Y105" s="16" t="s">
        <v>50</v>
      </c>
      <c r="Z105" s="16" t="s">
        <v>50</v>
      </c>
    </row>
    <row r="106" spans="2:26" ht="15" customHeight="1">
      <c r="B106" s="16" t="s">
        <v>433</v>
      </c>
      <c r="C106" s="16" t="s">
        <v>184</v>
      </c>
      <c r="D106" s="16" t="s">
        <v>76</v>
      </c>
      <c r="E106" s="16" t="s">
        <v>222</v>
      </c>
      <c r="F106" s="16" t="s">
        <v>434</v>
      </c>
      <c r="G106" s="8">
        <v>1</v>
      </c>
      <c r="H106" s="8">
        <v>7</v>
      </c>
      <c r="I106" s="8">
        <v>9604</v>
      </c>
      <c r="J106" s="8">
        <v>9604</v>
      </c>
      <c r="K106" s="8">
        <v>0</v>
      </c>
      <c r="L106" s="8">
        <v>0</v>
      </c>
      <c r="M106" s="8">
        <v>0</v>
      </c>
      <c r="N106" s="8">
        <v>0</v>
      </c>
      <c r="O106" s="8">
        <v>0</v>
      </c>
      <c r="P106" s="8">
        <v>0</v>
      </c>
      <c r="Q106" s="8">
        <v>1</v>
      </c>
      <c r="R106" s="8">
        <v>0</v>
      </c>
      <c r="S106" s="16">
        <v>1</v>
      </c>
      <c r="T106" s="16" t="s">
        <v>187</v>
      </c>
      <c r="U106" s="16" t="s">
        <v>435</v>
      </c>
      <c r="V106" s="16" t="s">
        <v>436</v>
      </c>
      <c r="W106" s="16" t="s">
        <v>855</v>
      </c>
      <c r="X106" s="7" t="s">
        <v>855</v>
      </c>
      <c r="Y106" s="16" t="s">
        <v>50</v>
      </c>
      <c r="Z106" s="16" t="s">
        <v>50</v>
      </c>
    </row>
    <row r="107" spans="2:26" ht="15" customHeight="1">
      <c r="B107" s="16" t="s">
        <v>965</v>
      </c>
      <c r="C107" s="16" t="s">
        <v>184</v>
      </c>
      <c r="D107" s="16" t="s">
        <v>81</v>
      </c>
      <c r="E107" s="16" t="s">
        <v>222</v>
      </c>
      <c r="F107" s="16" t="s">
        <v>444</v>
      </c>
      <c r="G107" s="8">
        <v>1</v>
      </c>
      <c r="H107" s="8">
        <v>0</v>
      </c>
      <c r="I107" s="8">
        <v>654</v>
      </c>
      <c r="J107" s="8">
        <v>654</v>
      </c>
      <c r="K107" s="8">
        <v>0</v>
      </c>
      <c r="L107" s="8">
        <v>1</v>
      </c>
      <c r="M107" s="8">
        <v>1</v>
      </c>
      <c r="N107" s="8">
        <v>0</v>
      </c>
      <c r="O107" s="8">
        <v>0</v>
      </c>
      <c r="P107" s="8">
        <v>0</v>
      </c>
      <c r="Q107" s="8">
        <v>1</v>
      </c>
      <c r="R107" s="8">
        <v>0</v>
      </c>
      <c r="S107" s="16">
        <v>1</v>
      </c>
      <c r="T107" s="16"/>
      <c r="U107" s="16" t="s">
        <v>50</v>
      </c>
      <c r="V107" s="16"/>
      <c r="W107" s="16" t="s">
        <v>50</v>
      </c>
      <c r="X107" s="7" t="s">
        <v>50</v>
      </c>
      <c r="Y107" s="16" t="s">
        <v>50</v>
      </c>
      <c r="Z107" s="16" t="s">
        <v>50</v>
      </c>
    </row>
    <row r="108" spans="2:26" ht="15" customHeight="1">
      <c r="B108" s="16" t="s">
        <v>371</v>
      </c>
      <c r="C108" s="16" t="s">
        <v>184</v>
      </c>
      <c r="D108" s="16" t="s">
        <v>76</v>
      </c>
      <c r="E108" s="16" t="s">
        <v>186</v>
      </c>
      <c r="F108" s="16" t="s">
        <v>445</v>
      </c>
      <c r="G108" s="8">
        <v>1</v>
      </c>
      <c r="H108" s="8">
        <v>22</v>
      </c>
      <c r="I108" s="8">
        <v>38900</v>
      </c>
      <c r="J108" s="8">
        <v>38900</v>
      </c>
      <c r="K108" s="8">
        <v>0</v>
      </c>
      <c r="L108" s="8">
        <v>0</v>
      </c>
      <c r="M108" s="8">
        <v>0</v>
      </c>
      <c r="N108" s="8">
        <v>0</v>
      </c>
      <c r="O108" s="8">
        <v>0</v>
      </c>
      <c r="P108" s="8">
        <v>0</v>
      </c>
      <c r="Q108" s="8">
        <v>1</v>
      </c>
      <c r="R108" s="8">
        <v>0</v>
      </c>
      <c r="S108" s="16">
        <v>1</v>
      </c>
      <c r="T108" s="16" t="s">
        <v>187</v>
      </c>
      <c r="U108" s="16" t="s">
        <v>200</v>
      </c>
      <c r="V108" s="16" t="s">
        <v>201</v>
      </c>
      <c r="W108" s="16" t="s">
        <v>50</v>
      </c>
      <c r="X108" s="7" t="s">
        <v>50</v>
      </c>
      <c r="Y108" s="16" t="s">
        <v>50</v>
      </c>
      <c r="Z108" s="16" t="s">
        <v>50</v>
      </c>
    </row>
    <row r="109" spans="2:26" ht="15" customHeight="1">
      <c r="B109" s="16" t="s">
        <v>966</v>
      </c>
      <c r="C109" s="16" t="s">
        <v>184</v>
      </c>
      <c r="D109" s="16" t="s">
        <v>62</v>
      </c>
      <c r="E109" s="16" t="s">
        <v>222</v>
      </c>
      <c r="F109" s="16" t="s">
        <v>967</v>
      </c>
      <c r="G109" s="8">
        <v>1</v>
      </c>
      <c r="H109" s="8">
        <v>1</v>
      </c>
      <c r="I109" s="8">
        <v>139</v>
      </c>
      <c r="J109" s="8">
        <v>3256</v>
      </c>
      <c r="K109" s="8">
        <v>0</v>
      </c>
      <c r="L109" s="8">
        <v>0</v>
      </c>
      <c r="M109" s="8">
        <v>0</v>
      </c>
      <c r="N109" s="8">
        <v>0</v>
      </c>
      <c r="O109" s="8">
        <v>0</v>
      </c>
      <c r="P109" s="8">
        <v>0</v>
      </c>
      <c r="Q109" s="8">
        <v>1</v>
      </c>
      <c r="R109" s="8">
        <v>0</v>
      </c>
      <c r="S109" s="16">
        <v>1</v>
      </c>
      <c r="T109" s="16" t="s">
        <v>187</v>
      </c>
      <c r="U109" s="16" t="s">
        <v>968</v>
      </c>
      <c r="V109" s="16" t="s">
        <v>969</v>
      </c>
      <c r="W109" s="16" t="s">
        <v>852</v>
      </c>
      <c r="X109" s="7" t="s">
        <v>852</v>
      </c>
      <c r="Y109" s="16" t="s">
        <v>50</v>
      </c>
      <c r="Z109" s="16" t="s">
        <v>50</v>
      </c>
    </row>
    <row r="110" spans="2:26" ht="15" customHeight="1">
      <c r="B110" s="16" t="s">
        <v>970</v>
      </c>
      <c r="C110" s="16" t="s">
        <v>184</v>
      </c>
      <c r="D110" s="16" t="s">
        <v>81</v>
      </c>
      <c r="E110" s="16" t="s">
        <v>222</v>
      </c>
      <c r="F110" s="16" t="s">
        <v>971</v>
      </c>
      <c r="G110" s="8">
        <v>1</v>
      </c>
      <c r="H110" s="8">
        <v>7</v>
      </c>
      <c r="I110" s="8">
        <v>571</v>
      </c>
      <c r="J110" s="8">
        <v>866448</v>
      </c>
      <c r="K110" s="8">
        <v>0</v>
      </c>
      <c r="L110" s="8">
        <v>0</v>
      </c>
      <c r="M110" s="8">
        <v>0</v>
      </c>
      <c r="N110" s="8">
        <v>0</v>
      </c>
      <c r="O110" s="8">
        <v>0</v>
      </c>
      <c r="P110" s="8">
        <v>0</v>
      </c>
      <c r="Q110" s="8">
        <v>1</v>
      </c>
      <c r="R110" s="8">
        <v>0</v>
      </c>
      <c r="S110" s="16">
        <v>1</v>
      </c>
      <c r="T110" s="16"/>
      <c r="U110" s="16" t="s">
        <v>50</v>
      </c>
      <c r="V110" s="16"/>
      <c r="W110" s="16" t="s">
        <v>50</v>
      </c>
      <c r="X110" s="7" t="s">
        <v>50</v>
      </c>
      <c r="Y110" s="16" t="s">
        <v>50</v>
      </c>
      <c r="Z110" s="16" t="s">
        <v>50</v>
      </c>
    </row>
    <row r="111" spans="2:26" ht="15" customHeight="1">
      <c r="B111" s="16" t="s">
        <v>972</v>
      </c>
      <c r="C111" s="16" t="s">
        <v>154</v>
      </c>
      <c r="D111" s="16" t="s">
        <v>78</v>
      </c>
      <c r="E111" s="16" t="s">
        <v>192</v>
      </c>
      <c r="F111" s="16" t="s">
        <v>973</v>
      </c>
      <c r="G111" s="8">
        <v>1</v>
      </c>
      <c r="H111" s="8">
        <v>4</v>
      </c>
      <c r="I111" s="8">
        <v>5</v>
      </c>
      <c r="J111" s="8">
        <v>88100</v>
      </c>
      <c r="K111" s="8">
        <v>0</v>
      </c>
      <c r="L111" s="8">
        <v>0</v>
      </c>
      <c r="M111" s="8">
        <v>0</v>
      </c>
      <c r="N111" s="8">
        <v>0</v>
      </c>
      <c r="O111" s="8">
        <v>0</v>
      </c>
      <c r="P111" s="8">
        <v>0</v>
      </c>
      <c r="Q111" s="8">
        <v>0</v>
      </c>
      <c r="R111" s="8">
        <v>1</v>
      </c>
      <c r="S111" s="16">
        <v>1</v>
      </c>
      <c r="T111" s="16"/>
      <c r="U111" s="16" t="s">
        <v>50</v>
      </c>
      <c r="V111" s="16"/>
      <c r="W111" s="16" t="s">
        <v>855</v>
      </c>
      <c r="X111" s="7" t="s">
        <v>855</v>
      </c>
      <c r="Y111" s="16" t="s">
        <v>50</v>
      </c>
      <c r="Z111" s="16" t="s">
        <v>50</v>
      </c>
    </row>
    <row r="112" spans="2:26" ht="15" customHeight="1">
      <c r="B112" s="16" t="s">
        <v>446</v>
      </c>
      <c r="C112" s="16" t="s">
        <v>184</v>
      </c>
      <c r="D112" s="16" t="s">
        <v>62</v>
      </c>
      <c r="E112" s="16" t="s">
        <v>222</v>
      </c>
      <c r="F112" s="16" t="s">
        <v>447</v>
      </c>
      <c r="G112" s="8">
        <v>1</v>
      </c>
      <c r="H112" s="8">
        <v>0</v>
      </c>
      <c r="I112" s="8">
        <v>461</v>
      </c>
      <c r="J112" s="8">
        <v>461</v>
      </c>
      <c r="K112" s="8">
        <v>59</v>
      </c>
      <c r="L112" s="8">
        <v>0</v>
      </c>
      <c r="M112" s="8">
        <v>0</v>
      </c>
      <c r="N112" s="8">
        <v>0</v>
      </c>
      <c r="O112" s="8">
        <v>0</v>
      </c>
      <c r="P112" s="8">
        <v>1</v>
      </c>
      <c r="Q112" s="8">
        <v>0</v>
      </c>
      <c r="R112" s="8">
        <v>0</v>
      </c>
      <c r="S112" s="16">
        <v>1</v>
      </c>
      <c r="T112" s="16" t="s">
        <v>187</v>
      </c>
      <c r="U112" s="16" t="s">
        <v>358</v>
      </c>
      <c r="V112" s="16" t="s">
        <v>448</v>
      </c>
      <c r="W112" s="16" t="s">
        <v>852</v>
      </c>
      <c r="X112" s="7" t="s">
        <v>852</v>
      </c>
      <c r="Y112" s="16" t="s">
        <v>50</v>
      </c>
      <c r="Z112" s="16" t="s">
        <v>50</v>
      </c>
    </row>
    <row r="113" spans="2:26" ht="15" customHeight="1">
      <c r="B113" s="16" t="s">
        <v>974</v>
      </c>
      <c r="C113" s="16" t="s">
        <v>184</v>
      </c>
      <c r="D113" s="16" t="s">
        <v>62</v>
      </c>
      <c r="E113" s="16" t="s">
        <v>222</v>
      </c>
      <c r="F113" s="16" t="s">
        <v>975</v>
      </c>
      <c r="G113" s="8">
        <v>1</v>
      </c>
      <c r="H113" s="8">
        <v>3</v>
      </c>
      <c r="I113" s="8">
        <v>650</v>
      </c>
      <c r="J113" s="8">
        <v>58418</v>
      </c>
      <c r="K113" s="8">
        <v>0</v>
      </c>
      <c r="L113" s="8">
        <v>0</v>
      </c>
      <c r="M113" s="8">
        <v>0</v>
      </c>
      <c r="N113" s="8">
        <v>0</v>
      </c>
      <c r="O113" s="8">
        <v>0</v>
      </c>
      <c r="P113" s="8">
        <v>1</v>
      </c>
      <c r="Q113" s="8">
        <v>0</v>
      </c>
      <c r="R113" s="8">
        <v>0</v>
      </c>
      <c r="S113" s="16">
        <v>1</v>
      </c>
      <c r="T113" s="16" t="s">
        <v>187</v>
      </c>
      <c r="U113" s="16" t="s">
        <v>976</v>
      </c>
      <c r="V113" s="16" t="s">
        <v>977</v>
      </c>
      <c r="W113" s="16" t="s">
        <v>852</v>
      </c>
      <c r="X113" s="7" t="s">
        <v>852</v>
      </c>
      <c r="Y113" s="16" t="s">
        <v>50</v>
      </c>
      <c r="Z113" s="16" t="s">
        <v>50</v>
      </c>
    </row>
    <row r="114" spans="2:26" ht="15" customHeight="1">
      <c r="B114" s="16" t="s">
        <v>449</v>
      </c>
      <c r="C114" s="16" t="s">
        <v>184</v>
      </c>
      <c r="D114" s="16" t="s">
        <v>71</v>
      </c>
      <c r="E114" s="16" t="s">
        <v>192</v>
      </c>
      <c r="F114" s="16" t="s">
        <v>450</v>
      </c>
      <c r="G114" s="8">
        <v>1</v>
      </c>
      <c r="H114" s="8">
        <v>0</v>
      </c>
      <c r="I114" s="8">
        <v>0</v>
      </c>
      <c r="J114" s="8">
        <v>0</v>
      </c>
      <c r="K114" s="8">
        <v>0</v>
      </c>
      <c r="L114" s="8">
        <v>0</v>
      </c>
      <c r="M114" s="8">
        <v>0</v>
      </c>
      <c r="N114" s="8">
        <v>0</v>
      </c>
      <c r="O114" s="8">
        <v>0</v>
      </c>
      <c r="P114" s="8">
        <v>0</v>
      </c>
      <c r="Q114" s="8">
        <v>1</v>
      </c>
      <c r="R114" s="8">
        <v>0</v>
      </c>
      <c r="S114" s="16">
        <v>1</v>
      </c>
      <c r="T114" s="16"/>
      <c r="U114" s="16" t="s">
        <v>50</v>
      </c>
      <c r="V114" s="16"/>
      <c r="W114" s="16" t="s">
        <v>852</v>
      </c>
      <c r="X114" s="7" t="s">
        <v>852</v>
      </c>
      <c r="Y114" s="16" t="s">
        <v>50</v>
      </c>
      <c r="Z114" s="16" t="s">
        <v>50</v>
      </c>
    </row>
    <row r="115" spans="2:26" ht="15" customHeight="1">
      <c r="B115" s="16" t="s">
        <v>451</v>
      </c>
      <c r="C115" s="16" t="s">
        <v>184</v>
      </c>
      <c r="D115" s="16" t="s">
        <v>71</v>
      </c>
      <c r="E115" s="16" t="s">
        <v>192</v>
      </c>
      <c r="F115" s="16" t="s">
        <v>452</v>
      </c>
      <c r="G115" s="8">
        <v>1</v>
      </c>
      <c r="H115" s="8">
        <v>0</v>
      </c>
      <c r="I115" s="8">
        <v>397</v>
      </c>
      <c r="J115" s="8">
        <v>397</v>
      </c>
      <c r="K115" s="8">
        <v>0</v>
      </c>
      <c r="L115" s="8">
        <v>0</v>
      </c>
      <c r="M115" s="8">
        <v>0</v>
      </c>
      <c r="N115" s="8">
        <v>0</v>
      </c>
      <c r="O115" s="8">
        <v>0</v>
      </c>
      <c r="P115" s="8">
        <v>0</v>
      </c>
      <c r="Q115" s="8">
        <v>1</v>
      </c>
      <c r="R115" s="8">
        <v>0</v>
      </c>
      <c r="S115" s="16">
        <v>1</v>
      </c>
      <c r="T115" s="16" t="s">
        <v>392</v>
      </c>
      <c r="U115" s="16" t="s">
        <v>453</v>
      </c>
      <c r="V115" s="16" t="s">
        <v>454</v>
      </c>
      <c r="W115" s="16" t="s">
        <v>852</v>
      </c>
      <c r="X115" s="7" t="s">
        <v>852</v>
      </c>
      <c r="Y115" s="16" t="s">
        <v>50</v>
      </c>
      <c r="Z115" s="16" t="s">
        <v>50</v>
      </c>
    </row>
    <row r="116" spans="2:26" ht="15" customHeight="1">
      <c r="B116" s="16" t="s">
        <v>457</v>
      </c>
      <c r="C116" s="16" t="s">
        <v>184</v>
      </c>
      <c r="D116" s="16" t="s">
        <v>71</v>
      </c>
      <c r="E116" s="16" t="s">
        <v>192</v>
      </c>
      <c r="F116" s="16" t="s">
        <v>458</v>
      </c>
      <c r="G116" s="8">
        <v>1</v>
      </c>
      <c r="H116" s="8">
        <v>0</v>
      </c>
      <c r="I116" s="8">
        <v>25</v>
      </c>
      <c r="J116" s="8">
        <v>25</v>
      </c>
      <c r="K116" s="8">
        <v>0</v>
      </c>
      <c r="L116" s="8">
        <v>0</v>
      </c>
      <c r="M116" s="8">
        <v>0</v>
      </c>
      <c r="N116" s="8">
        <v>0</v>
      </c>
      <c r="O116" s="8">
        <v>0</v>
      </c>
      <c r="P116" s="8">
        <v>0</v>
      </c>
      <c r="Q116" s="8">
        <v>1</v>
      </c>
      <c r="R116" s="8">
        <v>0</v>
      </c>
      <c r="S116" s="16">
        <v>1</v>
      </c>
      <c r="T116" s="16" t="s">
        <v>50</v>
      </c>
      <c r="U116" s="16" t="s">
        <v>50</v>
      </c>
      <c r="V116" s="16" t="s">
        <v>459</v>
      </c>
      <c r="W116" s="16" t="s">
        <v>852</v>
      </c>
      <c r="X116" s="7" t="s">
        <v>852</v>
      </c>
      <c r="Y116" s="16" t="s">
        <v>50</v>
      </c>
      <c r="Z116" s="16" t="s">
        <v>50</v>
      </c>
    </row>
    <row r="117" spans="2:26" ht="15" customHeight="1">
      <c r="B117" s="16" t="s">
        <v>126</v>
      </c>
      <c r="C117" s="16" t="s">
        <v>184</v>
      </c>
      <c r="D117" s="16" t="s">
        <v>126</v>
      </c>
      <c r="E117" s="16" t="s">
        <v>192</v>
      </c>
      <c r="F117" s="16" t="s">
        <v>127</v>
      </c>
      <c r="G117" s="8">
        <v>1</v>
      </c>
      <c r="H117" s="8">
        <v>0</v>
      </c>
      <c r="I117" s="8">
        <v>280</v>
      </c>
      <c r="J117" s="8">
        <v>280</v>
      </c>
      <c r="K117" s="8">
        <v>0</v>
      </c>
      <c r="L117" s="8">
        <v>0</v>
      </c>
      <c r="M117" s="8">
        <v>0</v>
      </c>
      <c r="N117" s="8">
        <v>0</v>
      </c>
      <c r="O117" s="8">
        <v>0</v>
      </c>
      <c r="P117" s="8">
        <v>0</v>
      </c>
      <c r="Q117" s="8">
        <v>1</v>
      </c>
      <c r="R117" s="8">
        <v>0</v>
      </c>
      <c r="S117" s="16">
        <v>1</v>
      </c>
      <c r="T117" s="16"/>
      <c r="U117" s="16" t="s">
        <v>50</v>
      </c>
      <c r="V117" s="16"/>
      <c r="W117" s="16" t="s">
        <v>50</v>
      </c>
      <c r="X117" s="7" t="s">
        <v>50</v>
      </c>
      <c r="Y117" s="16" t="s">
        <v>50</v>
      </c>
      <c r="Z117" s="16" t="s">
        <v>50</v>
      </c>
    </row>
    <row r="118" spans="2:26" ht="15" customHeight="1">
      <c r="B118" s="16" t="s">
        <v>460</v>
      </c>
      <c r="C118" s="16" t="s">
        <v>184</v>
      </c>
      <c r="D118" s="16" t="s">
        <v>71</v>
      </c>
      <c r="E118" s="16" t="s">
        <v>192</v>
      </c>
      <c r="F118" s="16" t="s">
        <v>461</v>
      </c>
      <c r="G118" s="8">
        <v>1</v>
      </c>
      <c r="H118" s="8">
        <v>0</v>
      </c>
      <c r="I118" s="8">
        <v>0</v>
      </c>
      <c r="J118" s="8">
        <v>0</v>
      </c>
      <c r="K118" s="8">
        <v>0</v>
      </c>
      <c r="L118" s="8">
        <v>0</v>
      </c>
      <c r="M118" s="8">
        <v>0</v>
      </c>
      <c r="N118" s="8">
        <v>0</v>
      </c>
      <c r="O118" s="8">
        <v>0</v>
      </c>
      <c r="P118" s="8">
        <v>0</v>
      </c>
      <c r="Q118" s="8">
        <v>1</v>
      </c>
      <c r="R118" s="8">
        <v>0</v>
      </c>
      <c r="S118" s="16">
        <v>1</v>
      </c>
      <c r="T118" s="16" t="s">
        <v>187</v>
      </c>
      <c r="U118" s="16" t="s">
        <v>978</v>
      </c>
      <c r="V118" s="16"/>
      <c r="W118" s="16" t="s">
        <v>852</v>
      </c>
      <c r="X118" s="7" t="s">
        <v>852</v>
      </c>
      <c r="Y118" s="16" t="s">
        <v>50</v>
      </c>
      <c r="Z118" s="16" t="s">
        <v>50</v>
      </c>
    </row>
    <row r="119" spans="2:26" ht="15" customHeight="1">
      <c r="B119" s="16" t="s">
        <v>462</v>
      </c>
      <c r="C119" s="16" t="s">
        <v>184</v>
      </c>
      <c r="D119" s="16" t="s">
        <v>71</v>
      </c>
      <c r="E119" s="16" t="s">
        <v>192</v>
      </c>
      <c r="F119" s="16" t="s">
        <v>463</v>
      </c>
      <c r="G119" s="8">
        <v>1</v>
      </c>
      <c r="H119" s="8">
        <v>0</v>
      </c>
      <c r="I119" s="8">
        <v>0</v>
      </c>
      <c r="J119" s="8">
        <v>0</v>
      </c>
      <c r="K119" s="8">
        <v>0</v>
      </c>
      <c r="L119" s="8">
        <v>0</v>
      </c>
      <c r="M119" s="8">
        <v>0</v>
      </c>
      <c r="N119" s="8">
        <v>0</v>
      </c>
      <c r="O119" s="8">
        <v>0</v>
      </c>
      <c r="P119" s="8">
        <v>0</v>
      </c>
      <c r="Q119" s="8">
        <v>1</v>
      </c>
      <c r="R119" s="8">
        <v>0</v>
      </c>
      <c r="S119" s="16">
        <v>1</v>
      </c>
      <c r="T119" s="16"/>
      <c r="U119" s="16" t="s">
        <v>50</v>
      </c>
      <c r="V119" s="16"/>
      <c r="W119" s="16" t="s">
        <v>852</v>
      </c>
      <c r="X119" s="7" t="s">
        <v>852</v>
      </c>
      <c r="Y119" s="16" t="s">
        <v>50</v>
      </c>
      <c r="Z119" s="16" t="s">
        <v>50</v>
      </c>
    </row>
    <row r="120" spans="2:26" ht="15" customHeight="1">
      <c r="B120" s="16" t="s">
        <v>464</v>
      </c>
      <c r="C120" s="16" t="s">
        <v>184</v>
      </c>
      <c r="D120" s="16" t="s">
        <v>71</v>
      </c>
      <c r="E120" s="16" t="s">
        <v>192</v>
      </c>
      <c r="F120" s="16" t="s">
        <v>465</v>
      </c>
      <c r="G120" s="8">
        <v>1</v>
      </c>
      <c r="H120" s="8">
        <v>0</v>
      </c>
      <c r="I120" s="8">
        <v>618</v>
      </c>
      <c r="J120" s="8">
        <v>1025</v>
      </c>
      <c r="K120" s="8">
        <v>0</v>
      </c>
      <c r="L120" s="8">
        <v>0</v>
      </c>
      <c r="M120" s="8">
        <v>0</v>
      </c>
      <c r="N120" s="8">
        <v>0</v>
      </c>
      <c r="O120" s="8">
        <v>0</v>
      </c>
      <c r="P120" s="8">
        <v>0</v>
      </c>
      <c r="Q120" s="8">
        <v>1</v>
      </c>
      <c r="R120" s="8">
        <v>0</v>
      </c>
      <c r="S120" s="16">
        <v>1</v>
      </c>
      <c r="T120" s="16" t="s">
        <v>466</v>
      </c>
      <c r="U120" s="16" t="s">
        <v>467</v>
      </c>
      <c r="V120" s="16" t="s">
        <v>468</v>
      </c>
      <c r="W120" s="16" t="s">
        <v>855</v>
      </c>
      <c r="X120" s="7" t="s">
        <v>855</v>
      </c>
      <c r="Y120" s="16" t="s">
        <v>50</v>
      </c>
      <c r="Z120" s="16" t="s">
        <v>50</v>
      </c>
    </row>
    <row r="121" spans="2:26" ht="15" customHeight="1">
      <c r="B121" s="16" t="s">
        <v>472</v>
      </c>
      <c r="C121" s="16" t="s">
        <v>184</v>
      </c>
      <c r="D121" s="16" t="s">
        <v>71</v>
      </c>
      <c r="E121" s="16" t="s">
        <v>192</v>
      </c>
      <c r="F121" s="16" t="s">
        <v>473</v>
      </c>
      <c r="G121" s="8">
        <v>1</v>
      </c>
      <c r="H121" s="8">
        <v>0</v>
      </c>
      <c r="I121" s="8">
        <v>258</v>
      </c>
      <c r="J121" s="8">
        <v>258</v>
      </c>
      <c r="K121" s="8">
        <v>0</v>
      </c>
      <c r="L121" s="8">
        <v>0</v>
      </c>
      <c r="M121" s="8">
        <v>0</v>
      </c>
      <c r="N121" s="8">
        <v>0</v>
      </c>
      <c r="O121" s="8">
        <v>0</v>
      </c>
      <c r="P121" s="8">
        <v>0</v>
      </c>
      <c r="Q121" s="8">
        <v>1</v>
      </c>
      <c r="R121" s="8">
        <v>0</v>
      </c>
      <c r="S121" s="16">
        <v>1</v>
      </c>
      <c r="T121" s="16"/>
      <c r="U121" s="16" t="s">
        <v>50</v>
      </c>
      <c r="V121" s="16"/>
      <c r="W121" s="16" t="s">
        <v>852</v>
      </c>
      <c r="X121" s="7" t="s">
        <v>852</v>
      </c>
      <c r="Y121" s="16" t="s">
        <v>50</v>
      </c>
      <c r="Z121" s="16" t="s">
        <v>50</v>
      </c>
    </row>
    <row r="122" spans="2:26" ht="15" customHeight="1">
      <c r="B122" s="16" t="s">
        <v>979</v>
      </c>
      <c r="C122" s="16" t="s">
        <v>194</v>
      </c>
      <c r="D122" s="16" t="s">
        <v>76</v>
      </c>
      <c r="E122" s="16" t="s">
        <v>222</v>
      </c>
      <c r="F122" s="16" t="s">
        <v>980</v>
      </c>
      <c r="G122" s="8">
        <v>1</v>
      </c>
      <c r="H122" s="8">
        <v>1</v>
      </c>
      <c r="I122" s="8">
        <v>575</v>
      </c>
      <c r="J122" s="8">
        <v>252496</v>
      </c>
      <c r="K122" s="8">
        <v>0</v>
      </c>
      <c r="L122" s="8">
        <v>0</v>
      </c>
      <c r="M122" s="8">
        <v>0</v>
      </c>
      <c r="N122" s="8">
        <v>0</v>
      </c>
      <c r="O122" s="8">
        <v>0</v>
      </c>
      <c r="P122" s="8">
        <v>0</v>
      </c>
      <c r="Q122" s="8">
        <v>1</v>
      </c>
      <c r="R122" s="8">
        <v>0</v>
      </c>
      <c r="S122" s="16">
        <v>1</v>
      </c>
      <c r="T122" s="16" t="s">
        <v>187</v>
      </c>
      <c r="U122" s="16" t="s">
        <v>50</v>
      </c>
      <c r="V122" s="16"/>
      <c r="W122" s="16" t="s">
        <v>852</v>
      </c>
      <c r="X122" s="7" t="s">
        <v>852</v>
      </c>
      <c r="Y122" s="16" t="s">
        <v>50</v>
      </c>
      <c r="Z122" s="16" t="s">
        <v>50</v>
      </c>
    </row>
    <row r="123" spans="2:26" ht="15" customHeight="1">
      <c r="B123" s="16" t="s">
        <v>480</v>
      </c>
      <c r="C123" s="16" t="s">
        <v>184</v>
      </c>
      <c r="D123" s="16" t="s">
        <v>71</v>
      </c>
      <c r="E123" s="16" t="s">
        <v>192</v>
      </c>
      <c r="F123" s="16" t="s">
        <v>481</v>
      </c>
      <c r="G123" s="8">
        <v>1</v>
      </c>
      <c r="H123" s="8">
        <v>0</v>
      </c>
      <c r="I123" s="8">
        <v>80</v>
      </c>
      <c r="J123" s="8">
        <v>120</v>
      </c>
      <c r="K123" s="8">
        <v>0</v>
      </c>
      <c r="L123" s="8">
        <v>0</v>
      </c>
      <c r="M123" s="8">
        <v>0</v>
      </c>
      <c r="N123" s="8">
        <v>0</v>
      </c>
      <c r="O123" s="8">
        <v>0</v>
      </c>
      <c r="P123" s="8">
        <v>0</v>
      </c>
      <c r="Q123" s="8">
        <v>1</v>
      </c>
      <c r="R123" s="8">
        <v>0</v>
      </c>
      <c r="S123" s="16">
        <v>1</v>
      </c>
      <c r="T123" s="16"/>
      <c r="U123" s="16" t="s">
        <v>50</v>
      </c>
      <c r="V123" s="16"/>
      <c r="W123" s="16" t="s">
        <v>50</v>
      </c>
      <c r="X123" s="7" t="s">
        <v>50</v>
      </c>
      <c r="Y123" s="16" t="s">
        <v>50</v>
      </c>
      <c r="Z123" s="16" t="s">
        <v>50</v>
      </c>
    </row>
    <row r="124" spans="2:26" ht="15" customHeight="1">
      <c r="B124" s="16" t="s">
        <v>482</v>
      </c>
      <c r="C124" s="16" t="s">
        <v>184</v>
      </c>
      <c r="D124" s="16" t="s">
        <v>62</v>
      </c>
      <c r="E124" s="16" t="s">
        <v>222</v>
      </c>
      <c r="F124" s="16" t="s">
        <v>483</v>
      </c>
      <c r="G124" s="8">
        <v>1</v>
      </c>
      <c r="H124" s="8">
        <v>0</v>
      </c>
      <c r="I124" s="8">
        <v>1287</v>
      </c>
      <c r="J124" s="8">
        <v>1287</v>
      </c>
      <c r="K124" s="8">
        <v>1</v>
      </c>
      <c r="L124" s="8">
        <v>0</v>
      </c>
      <c r="M124" s="8">
        <v>0</v>
      </c>
      <c r="N124" s="8">
        <v>0</v>
      </c>
      <c r="O124" s="8">
        <v>0</v>
      </c>
      <c r="P124" s="8">
        <v>0</v>
      </c>
      <c r="Q124" s="8">
        <v>1</v>
      </c>
      <c r="R124" s="8">
        <v>0</v>
      </c>
      <c r="S124" s="16">
        <v>1</v>
      </c>
      <c r="T124" s="16" t="s">
        <v>187</v>
      </c>
      <c r="U124" s="16" t="s">
        <v>188</v>
      </c>
      <c r="V124" s="16" t="s">
        <v>189</v>
      </c>
      <c r="W124" s="16" t="s">
        <v>852</v>
      </c>
      <c r="X124" s="7" t="s">
        <v>852</v>
      </c>
      <c r="Y124" s="16" t="s">
        <v>876</v>
      </c>
      <c r="Z124" s="16" t="s">
        <v>50</v>
      </c>
    </row>
    <row r="125" spans="2:26" ht="15" customHeight="1">
      <c r="B125" s="16" t="s">
        <v>484</v>
      </c>
      <c r="C125" s="16" t="s">
        <v>184</v>
      </c>
      <c r="D125" s="16" t="s">
        <v>71</v>
      </c>
      <c r="E125" s="16" t="s">
        <v>192</v>
      </c>
      <c r="F125" s="16" t="s">
        <v>485</v>
      </c>
      <c r="G125" s="8">
        <v>1</v>
      </c>
      <c r="H125" s="8">
        <v>0</v>
      </c>
      <c r="I125" s="8">
        <v>217</v>
      </c>
      <c r="J125" s="8">
        <v>217</v>
      </c>
      <c r="K125" s="8">
        <v>0</v>
      </c>
      <c r="L125" s="8">
        <v>0</v>
      </c>
      <c r="M125" s="8">
        <v>0</v>
      </c>
      <c r="N125" s="8">
        <v>0</v>
      </c>
      <c r="O125" s="8">
        <v>0</v>
      </c>
      <c r="P125" s="8">
        <v>0</v>
      </c>
      <c r="Q125" s="8">
        <v>1</v>
      </c>
      <c r="R125" s="8">
        <v>0</v>
      </c>
      <c r="S125" s="16">
        <v>1</v>
      </c>
      <c r="T125" s="16"/>
      <c r="U125" s="16" t="s">
        <v>50</v>
      </c>
      <c r="V125" s="16"/>
      <c r="W125" s="16" t="s">
        <v>50</v>
      </c>
      <c r="X125" s="7" t="s">
        <v>50</v>
      </c>
      <c r="Y125" s="16" t="s">
        <v>50</v>
      </c>
      <c r="Z125" s="16" t="s">
        <v>50</v>
      </c>
    </row>
    <row r="126" spans="2:26" ht="15" customHeight="1">
      <c r="B126" s="16" t="s">
        <v>486</v>
      </c>
      <c r="C126" s="16" t="s">
        <v>184</v>
      </c>
      <c r="D126" s="16" t="s">
        <v>71</v>
      </c>
      <c r="E126" s="16" t="s">
        <v>192</v>
      </c>
      <c r="F126" s="16" t="s">
        <v>487</v>
      </c>
      <c r="G126" s="8">
        <v>1</v>
      </c>
      <c r="H126" s="8">
        <v>0</v>
      </c>
      <c r="I126" s="8">
        <v>2121</v>
      </c>
      <c r="J126" s="8">
        <v>2666</v>
      </c>
      <c r="K126" s="8">
        <v>0</v>
      </c>
      <c r="L126" s="8">
        <v>0</v>
      </c>
      <c r="M126" s="8">
        <v>0</v>
      </c>
      <c r="N126" s="8">
        <v>0</v>
      </c>
      <c r="O126" s="8">
        <v>0</v>
      </c>
      <c r="P126" s="8">
        <v>0</v>
      </c>
      <c r="Q126" s="8">
        <v>1</v>
      </c>
      <c r="R126" s="8">
        <v>0</v>
      </c>
      <c r="S126" s="16">
        <v>1</v>
      </c>
      <c r="T126" s="16" t="s">
        <v>392</v>
      </c>
      <c r="U126" s="16" t="s">
        <v>488</v>
      </c>
      <c r="V126" s="16" t="s">
        <v>489</v>
      </c>
      <c r="W126" s="16" t="s">
        <v>852</v>
      </c>
      <c r="X126" s="7" t="s">
        <v>852</v>
      </c>
      <c r="Y126" s="16" t="s">
        <v>50</v>
      </c>
      <c r="Z126" s="16" t="s">
        <v>50</v>
      </c>
    </row>
    <row r="127" spans="2:26" ht="15" customHeight="1">
      <c r="B127" s="16" t="s">
        <v>981</v>
      </c>
      <c r="C127" s="16" t="s">
        <v>184</v>
      </c>
      <c r="D127" s="16" t="s">
        <v>81</v>
      </c>
      <c r="E127" s="16" t="s">
        <v>222</v>
      </c>
      <c r="F127" s="16" t="s">
        <v>494</v>
      </c>
      <c r="G127" s="8">
        <v>1</v>
      </c>
      <c r="H127" s="8">
        <v>66</v>
      </c>
      <c r="I127" s="8">
        <v>5690</v>
      </c>
      <c r="J127" s="8">
        <v>5690</v>
      </c>
      <c r="K127" s="8">
        <v>3343</v>
      </c>
      <c r="L127" s="8">
        <v>26</v>
      </c>
      <c r="M127" s="8">
        <v>24</v>
      </c>
      <c r="N127" s="8">
        <v>2</v>
      </c>
      <c r="O127" s="8">
        <v>0</v>
      </c>
      <c r="P127" s="8">
        <v>0</v>
      </c>
      <c r="Q127" s="8">
        <v>0</v>
      </c>
      <c r="R127" s="8">
        <v>1</v>
      </c>
      <c r="S127" s="16">
        <v>1</v>
      </c>
      <c r="T127" s="16"/>
      <c r="U127" s="16" t="s">
        <v>50</v>
      </c>
      <c r="V127" s="16"/>
      <c r="W127" s="16" t="s">
        <v>50</v>
      </c>
      <c r="X127" s="7" t="s">
        <v>50</v>
      </c>
      <c r="Y127" s="16" t="s">
        <v>50</v>
      </c>
      <c r="Z127" s="16" t="s">
        <v>50</v>
      </c>
    </row>
    <row r="128" spans="2:26" ht="15" customHeight="1">
      <c r="B128" s="16" t="s">
        <v>982</v>
      </c>
      <c r="C128" s="16" t="s">
        <v>163</v>
      </c>
      <c r="D128" s="16" t="s">
        <v>62</v>
      </c>
      <c r="E128" s="16" t="s">
        <v>222</v>
      </c>
      <c r="F128" s="16" t="s">
        <v>983</v>
      </c>
      <c r="G128" s="8">
        <v>1</v>
      </c>
      <c r="H128" s="8">
        <v>3</v>
      </c>
      <c r="I128" s="8">
        <v>355</v>
      </c>
      <c r="J128" s="8">
        <v>1330588</v>
      </c>
      <c r="K128" s="8">
        <v>0</v>
      </c>
      <c r="L128" s="8">
        <v>0</v>
      </c>
      <c r="M128" s="8">
        <v>0</v>
      </c>
      <c r="N128" s="8">
        <v>0</v>
      </c>
      <c r="O128" s="8">
        <v>0</v>
      </c>
      <c r="P128" s="8">
        <v>0</v>
      </c>
      <c r="Q128" s="8">
        <v>1</v>
      </c>
      <c r="R128" s="8">
        <v>0</v>
      </c>
      <c r="S128" s="16">
        <v>1</v>
      </c>
      <c r="T128" s="16" t="s">
        <v>187</v>
      </c>
      <c r="U128" s="16" t="s">
        <v>654</v>
      </c>
      <c r="V128" s="16" t="s">
        <v>655</v>
      </c>
      <c r="W128" s="16" t="s">
        <v>852</v>
      </c>
      <c r="X128" s="7" t="s">
        <v>852</v>
      </c>
      <c r="Y128" s="16" t="s">
        <v>864</v>
      </c>
      <c r="Z128" s="16" t="s">
        <v>883</v>
      </c>
    </row>
    <row r="129" spans="2:26" ht="15" customHeight="1">
      <c r="B129" s="16" t="s">
        <v>495</v>
      </c>
      <c r="C129" s="16" t="s">
        <v>184</v>
      </c>
      <c r="D129" s="16" t="s">
        <v>71</v>
      </c>
      <c r="E129" s="16" t="s">
        <v>222</v>
      </c>
      <c r="F129" s="16" t="s">
        <v>496</v>
      </c>
      <c r="G129" s="8">
        <v>1</v>
      </c>
      <c r="H129" s="8">
        <v>0</v>
      </c>
      <c r="I129" s="8">
        <v>109</v>
      </c>
      <c r="J129" s="8">
        <v>109</v>
      </c>
      <c r="K129" s="8">
        <v>0</v>
      </c>
      <c r="L129" s="8">
        <v>0</v>
      </c>
      <c r="M129" s="8">
        <v>0</v>
      </c>
      <c r="N129" s="8">
        <v>0</v>
      </c>
      <c r="O129" s="8">
        <v>0</v>
      </c>
      <c r="P129" s="8">
        <v>0</v>
      </c>
      <c r="Q129" s="8">
        <v>1</v>
      </c>
      <c r="R129" s="8">
        <v>0</v>
      </c>
      <c r="S129" s="16">
        <v>1</v>
      </c>
      <c r="T129" s="16" t="s">
        <v>50</v>
      </c>
      <c r="U129" s="16" t="s">
        <v>50</v>
      </c>
      <c r="V129" s="16" t="s">
        <v>497</v>
      </c>
      <c r="W129" s="16" t="s">
        <v>855</v>
      </c>
      <c r="X129" s="7" t="s">
        <v>855</v>
      </c>
      <c r="Y129" s="16" t="s">
        <v>50</v>
      </c>
      <c r="Z129" s="16" t="s">
        <v>50</v>
      </c>
    </row>
    <row r="130" spans="2:26" ht="15" customHeight="1">
      <c r="B130" s="16" t="s">
        <v>984</v>
      </c>
      <c r="C130" s="16" t="s">
        <v>184</v>
      </c>
      <c r="D130" s="16" t="s">
        <v>62</v>
      </c>
      <c r="E130" s="16" t="s">
        <v>222</v>
      </c>
      <c r="F130" s="16" t="s">
        <v>985</v>
      </c>
      <c r="G130" s="8">
        <v>1</v>
      </c>
      <c r="H130" s="8">
        <v>3</v>
      </c>
      <c r="I130" s="8">
        <v>70</v>
      </c>
      <c r="J130" s="8">
        <v>13465</v>
      </c>
      <c r="K130" s="8">
        <v>0</v>
      </c>
      <c r="L130" s="8">
        <v>0</v>
      </c>
      <c r="M130" s="8">
        <v>0</v>
      </c>
      <c r="N130" s="8">
        <v>0</v>
      </c>
      <c r="O130" s="8">
        <v>0</v>
      </c>
      <c r="P130" s="8">
        <v>0</v>
      </c>
      <c r="Q130" s="8">
        <v>1</v>
      </c>
      <c r="R130" s="8">
        <v>0</v>
      </c>
      <c r="S130" s="16">
        <v>1</v>
      </c>
      <c r="T130" s="16"/>
      <c r="U130" s="16" t="s">
        <v>50</v>
      </c>
      <c r="V130" s="16"/>
      <c r="W130" s="16" t="s">
        <v>852</v>
      </c>
      <c r="X130" s="7" t="s">
        <v>852</v>
      </c>
      <c r="Y130" s="16" t="s">
        <v>864</v>
      </c>
      <c r="Z130" s="16" t="s">
        <v>883</v>
      </c>
    </row>
    <row r="131" spans="2:26" ht="15" customHeight="1">
      <c r="B131" s="16" t="s">
        <v>986</v>
      </c>
      <c r="C131" s="16" t="s">
        <v>184</v>
      </c>
      <c r="D131" s="16" t="s">
        <v>81</v>
      </c>
      <c r="E131" s="16" t="s">
        <v>222</v>
      </c>
      <c r="F131" s="16" t="s">
        <v>987</v>
      </c>
      <c r="G131" s="8">
        <v>1</v>
      </c>
      <c r="H131" s="8">
        <v>6</v>
      </c>
      <c r="I131" s="8">
        <v>121</v>
      </c>
      <c r="J131" s="8">
        <v>153034</v>
      </c>
      <c r="K131" s="8">
        <v>0</v>
      </c>
      <c r="L131" s="8">
        <v>0</v>
      </c>
      <c r="M131" s="8">
        <v>0</v>
      </c>
      <c r="N131" s="8">
        <v>0</v>
      </c>
      <c r="O131" s="8">
        <v>0</v>
      </c>
      <c r="P131" s="8">
        <v>0</v>
      </c>
      <c r="Q131" s="8">
        <v>1</v>
      </c>
      <c r="R131" s="8">
        <v>0</v>
      </c>
      <c r="S131" s="16">
        <v>1</v>
      </c>
      <c r="T131" s="16"/>
      <c r="U131" s="16" t="s">
        <v>50</v>
      </c>
      <c r="V131" s="16"/>
      <c r="W131" s="16" t="s">
        <v>50</v>
      </c>
      <c r="X131" s="7" t="s">
        <v>50</v>
      </c>
      <c r="Y131" s="16" t="s">
        <v>50</v>
      </c>
      <c r="Z131" s="16" t="s">
        <v>50</v>
      </c>
    </row>
    <row r="132" spans="2:26" ht="15" customHeight="1">
      <c r="B132" s="16" t="s">
        <v>988</v>
      </c>
      <c r="C132" s="16" t="s">
        <v>184</v>
      </c>
      <c r="D132" s="16" t="s">
        <v>62</v>
      </c>
      <c r="E132" s="16" t="s">
        <v>222</v>
      </c>
      <c r="F132" s="16" t="s">
        <v>989</v>
      </c>
      <c r="G132" s="8">
        <v>1</v>
      </c>
      <c r="H132" s="8">
        <v>3</v>
      </c>
      <c r="I132" s="8">
        <v>1</v>
      </c>
      <c r="J132" s="8">
        <v>58476</v>
      </c>
      <c r="K132" s="8">
        <v>0</v>
      </c>
      <c r="L132" s="8">
        <v>1</v>
      </c>
      <c r="M132" s="8">
        <v>1</v>
      </c>
      <c r="N132" s="8">
        <v>0</v>
      </c>
      <c r="O132" s="8">
        <v>0</v>
      </c>
      <c r="P132" s="8">
        <v>1</v>
      </c>
      <c r="Q132" s="8">
        <v>0</v>
      </c>
      <c r="R132" s="8">
        <v>0</v>
      </c>
      <c r="S132" s="16">
        <v>1</v>
      </c>
      <c r="T132" s="16"/>
      <c r="U132" s="16" t="s">
        <v>50</v>
      </c>
      <c r="V132" s="16"/>
      <c r="W132" s="16" t="s">
        <v>852</v>
      </c>
      <c r="X132" s="7" t="s">
        <v>852</v>
      </c>
      <c r="Y132" s="16" t="s">
        <v>864</v>
      </c>
      <c r="Z132" s="16" t="s">
        <v>50</v>
      </c>
    </row>
    <row r="133" spans="2:26" ht="15" customHeight="1">
      <c r="B133" s="16" t="s">
        <v>498</v>
      </c>
      <c r="C133" s="16" t="s">
        <v>184</v>
      </c>
      <c r="D133" s="16" t="s">
        <v>71</v>
      </c>
      <c r="E133" s="16" t="s">
        <v>192</v>
      </c>
      <c r="F133" s="16" t="s">
        <v>499</v>
      </c>
      <c r="G133" s="8">
        <v>1</v>
      </c>
      <c r="H133" s="8">
        <v>0</v>
      </c>
      <c r="I133" s="8">
        <v>1253</v>
      </c>
      <c r="J133" s="8">
        <v>1253</v>
      </c>
      <c r="K133" s="8">
        <v>0</v>
      </c>
      <c r="L133" s="8">
        <v>0</v>
      </c>
      <c r="M133" s="8">
        <v>0</v>
      </c>
      <c r="N133" s="8">
        <v>0</v>
      </c>
      <c r="O133" s="8">
        <v>0</v>
      </c>
      <c r="P133" s="8">
        <v>0</v>
      </c>
      <c r="Q133" s="8">
        <v>1</v>
      </c>
      <c r="R133" s="8">
        <v>0</v>
      </c>
      <c r="S133" s="16">
        <v>1</v>
      </c>
      <c r="T133" s="16" t="s">
        <v>392</v>
      </c>
      <c r="U133" s="16" t="s">
        <v>500</v>
      </c>
      <c r="V133" s="16" t="s">
        <v>501</v>
      </c>
      <c r="W133" s="16" t="s">
        <v>50</v>
      </c>
      <c r="X133" s="7" t="s">
        <v>50</v>
      </c>
      <c r="Y133" s="16" t="s">
        <v>50</v>
      </c>
      <c r="Z133" s="16" t="s">
        <v>50</v>
      </c>
    </row>
    <row r="134" spans="2:26" ht="15" customHeight="1">
      <c r="B134" s="16" t="s">
        <v>769</v>
      </c>
      <c r="C134" s="16" t="s">
        <v>184</v>
      </c>
      <c r="D134" s="16" t="s">
        <v>65</v>
      </c>
      <c r="E134" s="16" t="s">
        <v>222</v>
      </c>
      <c r="F134" s="16" t="s">
        <v>990</v>
      </c>
      <c r="G134" s="8">
        <v>1</v>
      </c>
      <c r="H134" s="8">
        <v>0</v>
      </c>
      <c r="I134" s="8">
        <v>0</v>
      </c>
      <c r="J134" s="8">
        <v>14194</v>
      </c>
      <c r="K134" s="8">
        <v>0</v>
      </c>
      <c r="L134" s="8">
        <v>0</v>
      </c>
      <c r="M134" s="8">
        <v>0</v>
      </c>
      <c r="N134" s="8">
        <v>0</v>
      </c>
      <c r="O134" s="8">
        <v>0</v>
      </c>
      <c r="P134" s="8">
        <v>0</v>
      </c>
      <c r="Q134" s="8">
        <v>1</v>
      </c>
      <c r="R134" s="8">
        <v>0</v>
      </c>
      <c r="S134" s="16">
        <v>1</v>
      </c>
      <c r="T134" s="16"/>
      <c r="U134" s="16" t="s">
        <v>50</v>
      </c>
      <c r="V134" s="16"/>
      <c r="W134" s="16" t="s">
        <v>855</v>
      </c>
      <c r="X134" s="7" t="s">
        <v>855</v>
      </c>
      <c r="Y134" s="16" t="s">
        <v>50</v>
      </c>
      <c r="Z134" s="16" t="s">
        <v>50</v>
      </c>
    </row>
    <row r="135" spans="2:26" ht="15" customHeight="1">
      <c r="B135" s="16" t="s">
        <v>510</v>
      </c>
      <c r="C135" s="16" t="s">
        <v>184</v>
      </c>
      <c r="D135" s="16" t="s">
        <v>76</v>
      </c>
      <c r="E135" s="16" t="s">
        <v>186</v>
      </c>
      <c r="F135" s="16" t="s">
        <v>511</v>
      </c>
      <c r="G135" s="8">
        <v>1</v>
      </c>
      <c r="H135" s="8">
        <v>0</v>
      </c>
      <c r="I135" s="8">
        <v>24752</v>
      </c>
      <c r="J135" s="8">
        <v>24752</v>
      </c>
      <c r="K135" s="8">
        <v>0</v>
      </c>
      <c r="L135" s="8">
        <v>0</v>
      </c>
      <c r="M135" s="8">
        <v>0</v>
      </c>
      <c r="N135" s="8">
        <v>0</v>
      </c>
      <c r="O135" s="8">
        <v>0</v>
      </c>
      <c r="P135" s="8">
        <v>1</v>
      </c>
      <c r="Q135" s="8">
        <v>0</v>
      </c>
      <c r="R135" s="8">
        <v>0</v>
      </c>
      <c r="S135" s="16">
        <v>1</v>
      </c>
      <c r="T135" s="16"/>
      <c r="U135" s="16" t="s">
        <v>50</v>
      </c>
      <c r="V135" s="16"/>
      <c r="W135" s="16" t="s">
        <v>50</v>
      </c>
      <c r="X135" s="7" t="s">
        <v>50</v>
      </c>
      <c r="Y135" s="16" t="s">
        <v>50</v>
      </c>
      <c r="Z135" s="16" t="s">
        <v>50</v>
      </c>
    </row>
    <row r="136" spans="2:26" ht="15" customHeight="1">
      <c r="B136" s="16" t="s">
        <v>517</v>
      </c>
      <c r="C136" s="16" t="s">
        <v>184</v>
      </c>
      <c r="D136" s="16" t="s">
        <v>76</v>
      </c>
      <c r="E136" s="16" t="s">
        <v>222</v>
      </c>
      <c r="F136" s="16" t="s">
        <v>518</v>
      </c>
      <c r="G136" s="8">
        <v>1</v>
      </c>
      <c r="H136" s="8">
        <v>0</v>
      </c>
      <c r="I136" s="8">
        <v>283</v>
      </c>
      <c r="J136" s="8">
        <v>468</v>
      </c>
      <c r="K136" s="8">
        <v>0</v>
      </c>
      <c r="L136" s="8">
        <v>0</v>
      </c>
      <c r="M136" s="8">
        <v>0</v>
      </c>
      <c r="N136" s="8">
        <v>0</v>
      </c>
      <c r="O136" s="8">
        <v>0</v>
      </c>
      <c r="P136" s="8">
        <v>0</v>
      </c>
      <c r="Q136" s="8">
        <v>1</v>
      </c>
      <c r="R136" s="8">
        <v>0</v>
      </c>
      <c r="S136" s="16">
        <v>1</v>
      </c>
      <c r="T136" s="16" t="s">
        <v>991</v>
      </c>
      <c r="U136" s="16" t="s">
        <v>50</v>
      </c>
      <c r="V136" s="16"/>
      <c r="W136" s="16" t="s">
        <v>855</v>
      </c>
      <c r="X136" s="7" t="s">
        <v>855</v>
      </c>
      <c r="Y136" s="16" t="s">
        <v>50</v>
      </c>
      <c r="Z136" s="16" t="s">
        <v>50</v>
      </c>
    </row>
    <row r="137" spans="2:26" ht="15" customHeight="1">
      <c r="B137" s="16" t="s">
        <v>992</v>
      </c>
      <c r="C137" s="16" t="s">
        <v>184</v>
      </c>
      <c r="D137" s="16" t="s">
        <v>81</v>
      </c>
      <c r="E137" s="16" t="s">
        <v>222</v>
      </c>
      <c r="F137" s="16" t="s">
        <v>993</v>
      </c>
      <c r="G137" s="8">
        <v>1</v>
      </c>
      <c r="H137" s="8">
        <v>3</v>
      </c>
      <c r="I137" s="8">
        <v>112</v>
      </c>
      <c r="J137" s="8">
        <v>9077</v>
      </c>
      <c r="K137" s="8">
        <v>0</v>
      </c>
      <c r="L137" s="8">
        <v>0</v>
      </c>
      <c r="M137" s="8">
        <v>0</v>
      </c>
      <c r="N137" s="8">
        <v>0</v>
      </c>
      <c r="O137" s="8">
        <v>0</v>
      </c>
      <c r="P137" s="8">
        <v>1</v>
      </c>
      <c r="Q137" s="8">
        <v>0</v>
      </c>
      <c r="R137" s="8">
        <v>0</v>
      </c>
      <c r="S137" s="16">
        <v>1</v>
      </c>
      <c r="T137" s="16"/>
      <c r="U137" s="16" t="s">
        <v>50</v>
      </c>
      <c r="V137" s="16"/>
      <c r="W137" s="16" t="s">
        <v>855</v>
      </c>
      <c r="X137" s="7" t="s">
        <v>855</v>
      </c>
      <c r="Y137" s="16" t="s">
        <v>50</v>
      </c>
      <c r="Z137" s="16" t="s">
        <v>50</v>
      </c>
    </row>
    <row r="138" spans="2:26" ht="15" customHeight="1">
      <c r="B138" s="16" t="s">
        <v>994</v>
      </c>
      <c r="C138" s="16" t="s">
        <v>184</v>
      </c>
      <c r="D138" s="16" t="s">
        <v>95</v>
      </c>
      <c r="E138" s="16" t="s">
        <v>192</v>
      </c>
      <c r="F138" s="16" t="s">
        <v>995</v>
      </c>
      <c r="G138" s="8">
        <v>1</v>
      </c>
      <c r="H138" s="8">
        <v>0</v>
      </c>
      <c r="I138" s="8">
        <v>0</v>
      </c>
      <c r="J138" s="8">
        <v>0</v>
      </c>
      <c r="K138" s="8">
        <v>0</v>
      </c>
      <c r="L138" s="8">
        <v>0</v>
      </c>
      <c r="M138" s="8">
        <v>0</v>
      </c>
      <c r="N138" s="8">
        <v>0</v>
      </c>
      <c r="O138" s="8">
        <v>0</v>
      </c>
      <c r="P138" s="8">
        <v>0</v>
      </c>
      <c r="Q138" s="8">
        <v>1</v>
      </c>
      <c r="R138" s="8">
        <v>0</v>
      </c>
      <c r="S138" s="16">
        <v>1</v>
      </c>
      <c r="T138" s="16"/>
      <c r="U138" s="16" t="s">
        <v>50</v>
      </c>
      <c r="V138" s="16"/>
      <c r="W138" s="16" t="s">
        <v>50</v>
      </c>
      <c r="X138" s="7" t="s">
        <v>50</v>
      </c>
      <c r="Y138" s="16" t="s">
        <v>50</v>
      </c>
      <c r="Z138" s="16" t="s">
        <v>50</v>
      </c>
    </row>
    <row r="139" spans="2:26" ht="15" customHeight="1">
      <c r="B139" s="16" t="s">
        <v>198</v>
      </c>
      <c r="C139" s="16" t="s">
        <v>184</v>
      </c>
      <c r="D139" s="16" t="s">
        <v>62</v>
      </c>
      <c r="E139" s="16" t="s">
        <v>186</v>
      </c>
      <c r="F139" s="16" t="s">
        <v>199</v>
      </c>
      <c r="G139" s="8">
        <v>1</v>
      </c>
      <c r="H139" s="8">
        <v>47</v>
      </c>
      <c r="I139" s="8">
        <v>7606</v>
      </c>
      <c r="J139" s="8">
        <v>7606</v>
      </c>
      <c r="K139" s="8">
        <v>223</v>
      </c>
      <c r="L139" s="8">
        <v>52</v>
      </c>
      <c r="M139" s="8">
        <v>20</v>
      </c>
      <c r="N139" s="8">
        <v>31</v>
      </c>
      <c r="O139" s="8">
        <v>1</v>
      </c>
      <c r="P139" s="8">
        <v>0</v>
      </c>
      <c r="Q139" s="8">
        <v>1</v>
      </c>
      <c r="R139" s="8">
        <v>0</v>
      </c>
      <c r="S139" s="16">
        <v>1</v>
      </c>
      <c r="T139" s="16" t="s">
        <v>187</v>
      </c>
      <c r="U139" s="16" t="s">
        <v>200</v>
      </c>
      <c r="V139" s="16" t="s">
        <v>201</v>
      </c>
      <c r="W139" s="16" t="s">
        <v>50</v>
      </c>
      <c r="X139" s="7" t="s">
        <v>50</v>
      </c>
      <c r="Y139" s="16" t="s">
        <v>50</v>
      </c>
      <c r="Z139" s="16" t="s">
        <v>50</v>
      </c>
    </row>
    <row r="140" spans="2:26" ht="15" customHeight="1">
      <c r="B140" s="16" t="s">
        <v>996</v>
      </c>
      <c r="C140" s="16" t="s">
        <v>184</v>
      </c>
      <c r="D140" s="16" t="s">
        <v>65</v>
      </c>
      <c r="E140" s="16" t="s">
        <v>222</v>
      </c>
      <c r="F140" s="16" t="s">
        <v>997</v>
      </c>
      <c r="G140" s="8">
        <v>1</v>
      </c>
      <c r="H140" s="8">
        <v>0</v>
      </c>
      <c r="I140" s="8">
        <v>0</v>
      </c>
      <c r="J140" s="8">
        <v>7355</v>
      </c>
      <c r="K140" s="8">
        <v>0</v>
      </c>
      <c r="L140" s="8">
        <v>0</v>
      </c>
      <c r="M140" s="8">
        <v>0</v>
      </c>
      <c r="N140" s="8">
        <v>0</v>
      </c>
      <c r="O140" s="8">
        <v>0</v>
      </c>
      <c r="P140" s="8">
        <v>0</v>
      </c>
      <c r="Q140" s="8">
        <v>1</v>
      </c>
      <c r="R140" s="8">
        <v>0</v>
      </c>
      <c r="S140" s="16">
        <v>1</v>
      </c>
      <c r="T140" s="16"/>
      <c r="U140" s="16" t="s">
        <v>50</v>
      </c>
      <c r="V140" s="16"/>
      <c r="W140" s="16" t="s">
        <v>50</v>
      </c>
      <c r="X140" s="7" t="s">
        <v>50</v>
      </c>
      <c r="Y140" s="16" t="s">
        <v>50</v>
      </c>
      <c r="Z140" s="16" t="s">
        <v>50</v>
      </c>
    </row>
    <row r="141" spans="2:26" ht="15" customHeight="1">
      <c r="B141" s="16" t="s">
        <v>525</v>
      </c>
      <c r="C141" s="16" t="s">
        <v>184</v>
      </c>
      <c r="D141" s="16" t="s">
        <v>71</v>
      </c>
      <c r="E141" s="16" t="s">
        <v>222</v>
      </c>
      <c r="F141" s="16" t="s">
        <v>526</v>
      </c>
      <c r="G141" s="8">
        <v>1</v>
      </c>
      <c r="H141" s="8">
        <v>0</v>
      </c>
      <c r="I141" s="8">
        <v>305</v>
      </c>
      <c r="J141" s="8">
        <v>596</v>
      </c>
      <c r="K141" s="8">
        <v>0</v>
      </c>
      <c r="L141" s="8">
        <v>0</v>
      </c>
      <c r="M141" s="8">
        <v>0</v>
      </c>
      <c r="N141" s="8">
        <v>0</v>
      </c>
      <c r="O141" s="8">
        <v>0</v>
      </c>
      <c r="P141" s="8">
        <v>0</v>
      </c>
      <c r="Q141" s="8">
        <v>1</v>
      </c>
      <c r="R141" s="8">
        <v>0</v>
      </c>
      <c r="S141" s="16">
        <v>1</v>
      </c>
      <c r="T141" s="16" t="s">
        <v>187</v>
      </c>
      <c r="U141" s="16" t="s">
        <v>200</v>
      </c>
      <c r="V141" s="16" t="s">
        <v>201</v>
      </c>
      <c r="W141" s="16" t="s">
        <v>855</v>
      </c>
      <c r="X141" s="7" t="s">
        <v>855</v>
      </c>
      <c r="Y141" s="16" t="s">
        <v>50</v>
      </c>
      <c r="Z141" s="16" t="s">
        <v>50</v>
      </c>
    </row>
    <row r="142" spans="2:26" ht="15" customHeight="1">
      <c r="B142" s="16" t="s">
        <v>998</v>
      </c>
      <c r="C142" s="16" t="s">
        <v>194</v>
      </c>
      <c r="D142" s="16" t="s">
        <v>76</v>
      </c>
      <c r="E142" s="16" t="s">
        <v>222</v>
      </c>
      <c r="F142" s="16" t="s">
        <v>999</v>
      </c>
      <c r="G142" s="8">
        <v>1</v>
      </c>
      <c r="H142" s="8">
        <v>1</v>
      </c>
      <c r="I142" s="8">
        <v>13</v>
      </c>
      <c r="J142" s="8">
        <v>252487</v>
      </c>
      <c r="K142" s="8">
        <v>0</v>
      </c>
      <c r="L142" s="8">
        <v>0</v>
      </c>
      <c r="M142" s="8">
        <v>0</v>
      </c>
      <c r="N142" s="8">
        <v>0</v>
      </c>
      <c r="O142" s="8">
        <v>0</v>
      </c>
      <c r="P142" s="8">
        <v>0</v>
      </c>
      <c r="Q142" s="8">
        <v>1</v>
      </c>
      <c r="R142" s="8">
        <v>0</v>
      </c>
      <c r="S142" s="16">
        <v>1</v>
      </c>
      <c r="T142" s="16" t="s">
        <v>187</v>
      </c>
      <c r="U142" s="16" t="s">
        <v>196</v>
      </c>
      <c r="V142" s="16" t="s">
        <v>197</v>
      </c>
      <c r="W142" s="16" t="s">
        <v>852</v>
      </c>
      <c r="X142" s="7" t="s">
        <v>852</v>
      </c>
      <c r="Y142" s="16" t="s">
        <v>50</v>
      </c>
      <c r="Z142" s="16" t="s">
        <v>50</v>
      </c>
    </row>
    <row r="143" spans="2:26" ht="15" customHeight="1">
      <c r="B143" s="16" t="s">
        <v>1000</v>
      </c>
      <c r="C143" s="16" t="s">
        <v>184</v>
      </c>
      <c r="D143" s="16" t="s">
        <v>81</v>
      </c>
      <c r="E143" s="16" t="s">
        <v>222</v>
      </c>
      <c r="F143" s="16" t="s">
        <v>1001</v>
      </c>
      <c r="G143" s="8">
        <v>1</v>
      </c>
      <c r="H143" s="8">
        <v>5</v>
      </c>
      <c r="I143" s="8">
        <v>192</v>
      </c>
      <c r="J143" s="8">
        <v>63463</v>
      </c>
      <c r="K143" s="8">
        <v>0</v>
      </c>
      <c r="L143" s="8">
        <v>0</v>
      </c>
      <c r="M143" s="8">
        <v>0</v>
      </c>
      <c r="N143" s="8">
        <v>0</v>
      </c>
      <c r="O143" s="8">
        <v>0</v>
      </c>
      <c r="P143" s="8">
        <v>0</v>
      </c>
      <c r="Q143" s="8">
        <v>1</v>
      </c>
      <c r="R143" s="8">
        <v>0</v>
      </c>
      <c r="S143" s="16">
        <v>1</v>
      </c>
      <c r="T143" s="16"/>
      <c r="U143" s="16" t="s">
        <v>50</v>
      </c>
      <c r="V143" s="16"/>
      <c r="W143" s="16" t="s">
        <v>50</v>
      </c>
      <c r="X143" s="7" t="s">
        <v>50</v>
      </c>
      <c r="Y143" s="16" t="s">
        <v>50</v>
      </c>
      <c r="Z143" s="16" t="s">
        <v>50</v>
      </c>
    </row>
    <row r="144" spans="2:26" ht="15" customHeight="1">
      <c r="B144" s="16" t="s">
        <v>1002</v>
      </c>
      <c r="C144" s="16" t="s">
        <v>184</v>
      </c>
      <c r="D144" s="16" t="s">
        <v>81</v>
      </c>
      <c r="E144" s="16" t="s">
        <v>222</v>
      </c>
      <c r="F144" s="16" t="s">
        <v>530</v>
      </c>
      <c r="G144" s="8">
        <v>1</v>
      </c>
      <c r="H144" s="8">
        <v>5</v>
      </c>
      <c r="I144" s="8">
        <v>52885</v>
      </c>
      <c r="J144" s="8">
        <v>52885</v>
      </c>
      <c r="K144" s="8">
        <v>0</v>
      </c>
      <c r="L144" s="8">
        <v>4</v>
      </c>
      <c r="M144" s="8">
        <v>4</v>
      </c>
      <c r="N144" s="8">
        <v>0</v>
      </c>
      <c r="O144" s="8">
        <v>0</v>
      </c>
      <c r="P144" s="8">
        <v>0</v>
      </c>
      <c r="Q144" s="8">
        <v>1</v>
      </c>
      <c r="R144" s="8">
        <v>0</v>
      </c>
      <c r="S144" s="16">
        <v>1</v>
      </c>
      <c r="T144" s="16"/>
      <c r="U144" s="16" t="s">
        <v>50</v>
      </c>
      <c r="V144" s="16"/>
      <c r="W144" s="16" t="s">
        <v>50</v>
      </c>
      <c r="X144" s="7" t="s">
        <v>50</v>
      </c>
      <c r="Y144" s="16" t="s">
        <v>50</v>
      </c>
      <c r="Z144" s="16" t="s">
        <v>50</v>
      </c>
    </row>
    <row r="145" spans="2:26" ht="15" customHeight="1">
      <c r="B145" s="16" t="s">
        <v>1003</v>
      </c>
      <c r="C145" s="16" t="s">
        <v>184</v>
      </c>
      <c r="D145" s="16" t="s">
        <v>95</v>
      </c>
      <c r="E145" s="16" t="s">
        <v>192</v>
      </c>
      <c r="F145" s="16" t="s">
        <v>1004</v>
      </c>
      <c r="G145" s="8">
        <v>1</v>
      </c>
      <c r="H145" s="8">
        <v>0</v>
      </c>
      <c r="I145" s="8">
        <v>0</v>
      </c>
      <c r="J145" s="8">
        <v>0</v>
      </c>
      <c r="K145" s="8">
        <v>0</v>
      </c>
      <c r="L145" s="8">
        <v>0</v>
      </c>
      <c r="M145" s="8">
        <v>0</v>
      </c>
      <c r="N145" s="8">
        <v>0</v>
      </c>
      <c r="O145" s="8">
        <v>0</v>
      </c>
      <c r="P145" s="8">
        <v>0</v>
      </c>
      <c r="Q145" s="8">
        <v>1</v>
      </c>
      <c r="R145" s="8">
        <v>0</v>
      </c>
      <c r="S145" s="16">
        <v>1</v>
      </c>
      <c r="T145" s="16"/>
      <c r="U145" s="16" t="s">
        <v>50</v>
      </c>
      <c r="V145" s="16"/>
      <c r="W145" s="16" t="s">
        <v>50</v>
      </c>
      <c r="X145" s="7" t="s">
        <v>50</v>
      </c>
      <c r="Y145" s="16" t="s">
        <v>50</v>
      </c>
      <c r="Z145" s="16" t="s">
        <v>50</v>
      </c>
    </row>
    <row r="146" spans="2:26" ht="15" customHeight="1">
      <c r="B146" s="16" t="s">
        <v>1005</v>
      </c>
      <c r="C146" s="16" t="s">
        <v>160</v>
      </c>
      <c r="D146" s="16" t="s">
        <v>62</v>
      </c>
      <c r="E146" s="16" t="s">
        <v>222</v>
      </c>
      <c r="F146" s="16" t="s">
        <v>1006</v>
      </c>
      <c r="G146" s="8">
        <v>1</v>
      </c>
      <c r="H146" s="8">
        <v>3</v>
      </c>
      <c r="I146" s="8">
        <v>190</v>
      </c>
      <c r="J146" s="8">
        <v>1599305</v>
      </c>
      <c r="K146" s="8">
        <v>0</v>
      </c>
      <c r="L146" s="8">
        <v>0</v>
      </c>
      <c r="M146" s="8">
        <v>0</v>
      </c>
      <c r="N146" s="8">
        <v>0</v>
      </c>
      <c r="O146" s="8">
        <v>0</v>
      </c>
      <c r="P146" s="8">
        <v>1</v>
      </c>
      <c r="Q146" s="8">
        <v>0</v>
      </c>
      <c r="R146" s="8">
        <v>0</v>
      </c>
      <c r="S146" s="16">
        <v>1</v>
      </c>
      <c r="T146" s="16" t="s">
        <v>187</v>
      </c>
      <c r="U146" s="16" t="s">
        <v>562</v>
      </c>
      <c r="V146" s="16" t="s">
        <v>563</v>
      </c>
      <c r="W146" s="16" t="s">
        <v>852</v>
      </c>
      <c r="X146" s="7" t="s">
        <v>852</v>
      </c>
      <c r="Y146" s="16" t="s">
        <v>50</v>
      </c>
      <c r="Z146" s="16" t="s">
        <v>50</v>
      </c>
    </row>
    <row r="147" spans="2:26" ht="15" customHeight="1">
      <c r="B147" s="16" t="s">
        <v>1007</v>
      </c>
      <c r="C147" s="16" t="s">
        <v>161</v>
      </c>
      <c r="D147" s="16" t="s">
        <v>62</v>
      </c>
      <c r="E147" s="16" t="s">
        <v>186</v>
      </c>
      <c r="F147" s="16" t="s">
        <v>1008</v>
      </c>
      <c r="G147" s="8">
        <v>1</v>
      </c>
      <c r="H147" s="8">
        <v>5</v>
      </c>
      <c r="I147" s="8">
        <v>32691</v>
      </c>
      <c r="J147" s="8">
        <v>422734</v>
      </c>
      <c r="K147" s="8">
        <v>0</v>
      </c>
      <c r="L147" s="8">
        <v>0</v>
      </c>
      <c r="M147" s="8">
        <v>0</v>
      </c>
      <c r="N147" s="8">
        <v>0</v>
      </c>
      <c r="O147" s="8">
        <v>0</v>
      </c>
      <c r="P147" s="8">
        <v>0</v>
      </c>
      <c r="Q147" s="8">
        <v>1</v>
      </c>
      <c r="R147" s="8">
        <v>0</v>
      </c>
      <c r="S147" s="16">
        <v>1</v>
      </c>
      <c r="T147" s="16" t="s">
        <v>187</v>
      </c>
      <c r="U147" s="16" t="s">
        <v>188</v>
      </c>
      <c r="V147" s="16" t="s">
        <v>189</v>
      </c>
      <c r="W147" s="16" t="s">
        <v>50</v>
      </c>
      <c r="X147" s="7" t="s">
        <v>50</v>
      </c>
      <c r="Y147" s="16" t="s">
        <v>50</v>
      </c>
      <c r="Z147" s="16" t="s">
        <v>50</v>
      </c>
    </row>
    <row r="148" spans="2:26" ht="15" customHeight="1">
      <c r="B148" s="16" t="s">
        <v>1009</v>
      </c>
      <c r="C148" s="16" t="s">
        <v>151</v>
      </c>
      <c r="D148" s="16" t="s">
        <v>62</v>
      </c>
      <c r="E148" s="16" t="s">
        <v>222</v>
      </c>
      <c r="F148" s="16" t="s">
        <v>1010</v>
      </c>
      <c r="G148" s="8">
        <v>1</v>
      </c>
      <c r="H148" s="8">
        <v>4</v>
      </c>
      <c r="I148" s="8">
        <v>105</v>
      </c>
      <c r="J148" s="8">
        <v>10836</v>
      </c>
      <c r="K148" s="8">
        <v>0</v>
      </c>
      <c r="L148" s="8">
        <v>0</v>
      </c>
      <c r="M148" s="8">
        <v>0</v>
      </c>
      <c r="N148" s="8">
        <v>0</v>
      </c>
      <c r="O148" s="8">
        <v>0</v>
      </c>
      <c r="P148" s="8">
        <v>1</v>
      </c>
      <c r="Q148" s="8">
        <v>0</v>
      </c>
      <c r="R148" s="8">
        <v>0</v>
      </c>
      <c r="S148" s="16">
        <v>1</v>
      </c>
      <c r="T148" s="16"/>
      <c r="U148" s="16" t="s">
        <v>50</v>
      </c>
      <c r="V148" s="16"/>
      <c r="W148" s="16" t="s">
        <v>852</v>
      </c>
      <c r="X148" s="7" t="s">
        <v>852</v>
      </c>
      <c r="Y148" s="16" t="s">
        <v>876</v>
      </c>
      <c r="Z148" s="16" t="s">
        <v>50</v>
      </c>
    </row>
    <row r="149" spans="2:26" ht="15" customHeight="1">
      <c r="B149" s="16" t="s">
        <v>1011</v>
      </c>
      <c r="C149" s="16" t="s">
        <v>154</v>
      </c>
      <c r="D149" s="16" t="s">
        <v>78</v>
      </c>
      <c r="E149" s="16" t="s">
        <v>192</v>
      </c>
      <c r="F149" s="16" t="s">
        <v>1012</v>
      </c>
      <c r="G149" s="8">
        <v>1</v>
      </c>
      <c r="H149" s="8">
        <v>4</v>
      </c>
      <c r="I149" s="8">
        <v>0</v>
      </c>
      <c r="J149" s="8">
        <v>36500</v>
      </c>
      <c r="K149" s="8">
        <v>0</v>
      </c>
      <c r="L149" s="8">
        <v>1</v>
      </c>
      <c r="M149" s="8">
        <v>0</v>
      </c>
      <c r="N149" s="8">
        <v>1</v>
      </c>
      <c r="O149" s="8">
        <v>0</v>
      </c>
      <c r="P149" s="8">
        <v>0</v>
      </c>
      <c r="Q149" s="8">
        <v>1</v>
      </c>
      <c r="R149" s="8">
        <v>0</v>
      </c>
      <c r="S149" s="16">
        <v>1</v>
      </c>
      <c r="T149" s="16"/>
      <c r="U149" s="16" t="s">
        <v>50</v>
      </c>
      <c r="V149" s="16"/>
      <c r="W149" s="16" t="s">
        <v>855</v>
      </c>
      <c r="X149" s="7" t="s">
        <v>855</v>
      </c>
      <c r="Y149" s="16" t="s">
        <v>50</v>
      </c>
      <c r="Z149" s="16" t="s">
        <v>50</v>
      </c>
    </row>
    <row r="150" spans="2:26" ht="15" customHeight="1">
      <c r="B150" s="16" t="s">
        <v>540</v>
      </c>
      <c r="C150" s="16" t="s">
        <v>184</v>
      </c>
      <c r="D150" s="16" t="s">
        <v>71</v>
      </c>
      <c r="E150" s="16" t="s">
        <v>192</v>
      </c>
      <c r="F150" s="16" t="s">
        <v>541</v>
      </c>
      <c r="G150" s="8">
        <v>1</v>
      </c>
      <c r="H150" s="8">
        <v>0</v>
      </c>
      <c r="I150" s="8">
        <v>70</v>
      </c>
      <c r="J150" s="8">
        <v>105</v>
      </c>
      <c r="K150" s="8">
        <v>0</v>
      </c>
      <c r="L150" s="8">
        <v>0</v>
      </c>
      <c r="M150" s="8">
        <v>0</v>
      </c>
      <c r="N150" s="8">
        <v>0</v>
      </c>
      <c r="O150" s="8">
        <v>0</v>
      </c>
      <c r="P150" s="8">
        <v>0</v>
      </c>
      <c r="Q150" s="8">
        <v>1</v>
      </c>
      <c r="R150" s="8">
        <v>0</v>
      </c>
      <c r="S150" s="16">
        <v>1</v>
      </c>
      <c r="T150" s="16"/>
      <c r="U150" s="16" t="s">
        <v>50</v>
      </c>
      <c r="V150" s="16"/>
      <c r="W150" s="16" t="s">
        <v>852</v>
      </c>
      <c r="X150" s="7" t="s">
        <v>852</v>
      </c>
      <c r="Y150" s="16" t="s">
        <v>50</v>
      </c>
      <c r="Z150" s="16" t="s">
        <v>50</v>
      </c>
    </row>
    <row r="151" spans="2:26" ht="15" customHeight="1">
      <c r="B151" s="16" t="s">
        <v>1013</v>
      </c>
      <c r="C151" s="16" t="s">
        <v>184</v>
      </c>
      <c r="D151" s="16" t="s">
        <v>106</v>
      </c>
      <c r="E151" s="16" t="s">
        <v>192</v>
      </c>
      <c r="F151" s="16" t="s">
        <v>1014</v>
      </c>
      <c r="G151" s="8">
        <v>1</v>
      </c>
      <c r="H151" s="8">
        <v>0</v>
      </c>
      <c r="I151" s="8">
        <v>0</v>
      </c>
      <c r="J151" s="8">
        <v>0</v>
      </c>
      <c r="K151" s="8">
        <v>0</v>
      </c>
      <c r="L151" s="8">
        <v>0</v>
      </c>
      <c r="M151" s="8">
        <v>0</v>
      </c>
      <c r="N151" s="8">
        <v>0</v>
      </c>
      <c r="O151" s="8">
        <v>0</v>
      </c>
      <c r="P151" s="8">
        <v>0</v>
      </c>
      <c r="Q151" s="8">
        <v>1</v>
      </c>
      <c r="R151" s="8">
        <v>0</v>
      </c>
      <c r="S151" s="16">
        <v>1</v>
      </c>
      <c r="T151" s="16"/>
      <c r="U151" s="16" t="s">
        <v>50</v>
      </c>
      <c r="V151" s="16"/>
      <c r="W151" s="16" t="s">
        <v>50</v>
      </c>
      <c r="X151" s="7" t="s">
        <v>50</v>
      </c>
      <c r="Y151" s="16" t="s">
        <v>50</v>
      </c>
      <c r="Z151" s="16" t="s">
        <v>50</v>
      </c>
    </row>
    <row r="152" spans="2:26" ht="15" customHeight="1">
      <c r="B152" s="16" t="s">
        <v>1015</v>
      </c>
      <c r="C152" s="16" t="s">
        <v>184</v>
      </c>
      <c r="D152" s="16" t="s">
        <v>65</v>
      </c>
      <c r="E152" s="16" t="s">
        <v>222</v>
      </c>
      <c r="F152" s="16" t="s">
        <v>1016</v>
      </c>
      <c r="G152" s="8">
        <v>1</v>
      </c>
      <c r="H152" s="8">
        <v>0</v>
      </c>
      <c r="I152" s="8">
        <v>0</v>
      </c>
      <c r="J152" s="8">
        <v>8287</v>
      </c>
      <c r="K152" s="8">
        <v>0</v>
      </c>
      <c r="L152" s="8">
        <v>0</v>
      </c>
      <c r="M152" s="8">
        <v>0</v>
      </c>
      <c r="N152" s="8">
        <v>0</v>
      </c>
      <c r="O152" s="8">
        <v>0</v>
      </c>
      <c r="P152" s="8">
        <v>0</v>
      </c>
      <c r="Q152" s="8">
        <v>1</v>
      </c>
      <c r="R152" s="8">
        <v>0</v>
      </c>
      <c r="S152" s="16">
        <v>1</v>
      </c>
      <c r="T152" s="16"/>
      <c r="U152" s="16" t="s">
        <v>50</v>
      </c>
      <c r="V152" s="16"/>
      <c r="W152" s="16" t="s">
        <v>50</v>
      </c>
      <c r="X152" s="7" t="s">
        <v>50</v>
      </c>
      <c r="Y152" s="16" t="s">
        <v>50</v>
      </c>
      <c r="Z152" s="16" t="s">
        <v>50</v>
      </c>
    </row>
    <row r="153" spans="2:26" ht="15" customHeight="1">
      <c r="B153" s="16" t="s">
        <v>1017</v>
      </c>
      <c r="C153" s="16" t="s">
        <v>184</v>
      </c>
      <c r="D153" s="16" t="s">
        <v>136</v>
      </c>
      <c r="E153" s="16" t="s">
        <v>192</v>
      </c>
      <c r="F153" s="16" t="s">
        <v>1018</v>
      </c>
      <c r="G153" s="8">
        <v>1</v>
      </c>
      <c r="H153" s="8">
        <v>0</v>
      </c>
      <c r="I153" s="8">
        <v>0</v>
      </c>
      <c r="J153" s="8">
        <v>0</v>
      </c>
      <c r="K153" s="8">
        <v>0</v>
      </c>
      <c r="L153" s="8">
        <v>0</v>
      </c>
      <c r="M153" s="8">
        <v>0</v>
      </c>
      <c r="N153" s="8">
        <v>0</v>
      </c>
      <c r="O153" s="8">
        <v>0</v>
      </c>
      <c r="P153" s="8">
        <v>1</v>
      </c>
      <c r="Q153" s="8">
        <v>0</v>
      </c>
      <c r="R153" s="8">
        <v>0</v>
      </c>
      <c r="S153" s="16">
        <v>1</v>
      </c>
      <c r="T153" s="16"/>
      <c r="U153" s="16" t="s">
        <v>50</v>
      </c>
      <c r="V153" s="16"/>
      <c r="W153" s="16" t="s">
        <v>50</v>
      </c>
      <c r="X153" s="7" t="s">
        <v>50</v>
      </c>
      <c r="Y153" s="16" t="s">
        <v>50</v>
      </c>
      <c r="Z153" s="16" t="s">
        <v>50</v>
      </c>
    </row>
    <row r="154" spans="2:26" ht="15" customHeight="1">
      <c r="B154" s="16" t="s">
        <v>1019</v>
      </c>
      <c r="C154" s="16" t="s">
        <v>184</v>
      </c>
      <c r="D154" s="16" t="s">
        <v>81</v>
      </c>
      <c r="E154" s="16" t="s">
        <v>222</v>
      </c>
      <c r="F154" s="16" t="s">
        <v>1020</v>
      </c>
      <c r="G154" s="8">
        <v>1</v>
      </c>
      <c r="H154" s="8">
        <v>5</v>
      </c>
      <c r="I154" s="8">
        <v>388</v>
      </c>
      <c r="J154" s="8">
        <v>47551</v>
      </c>
      <c r="K154" s="8">
        <v>0</v>
      </c>
      <c r="L154" s="8">
        <v>0</v>
      </c>
      <c r="M154" s="8">
        <v>0</v>
      </c>
      <c r="N154" s="8">
        <v>0</v>
      </c>
      <c r="O154" s="8">
        <v>0</v>
      </c>
      <c r="P154" s="8">
        <v>0</v>
      </c>
      <c r="Q154" s="8">
        <v>1</v>
      </c>
      <c r="R154" s="8">
        <v>0</v>
      </c>
      <c r="S154" s="16">
        <v>1</v>
      </c>
      <c r="T154" s="16"/>
      <c r="U154" s="16" t="s">
        <v>50</v>
      </c>
      <c r="V154" s="16"/>
      <c r="W154" s="16" t="s">
        <v>855</v>
      </c>
      <c r="X154" s="7" t="s">
        <v>855</v>
      </c>
      <c r="Y154" s="16" t="s">
        <v>50</v>
      </c>
      <c r="Z154" s="16" t="s">
        <v>50</v>
      </c>
    </row>
    <row r="155" spans="2:26" ht="15" customHeight="1">
      <c r="B155" s="16" t="s">
        <v>1021</v>
      </c>
      <c r="C155" s="16" t="s">
        <v>536</v>
      </c>
      <c r="D155" s="16" t="s">
        <v>62</v>
      </c>
      <c r="E155" s="16" t="s">
        <v>222</v>
      </c>
      <c r="F155" s="16" t="s">
        <v>1022</v>
      </c>
      <c r="G155" s="8">
        <v>1</v>
      </c>
      <c r="H155" s="8">
        <v>2</v>
      </c>
      <c r="I155" s="8">
        <v>43</v>
      </c>
      <c r="J155" s="8">
        <v>27983</v>
      </c>
      <c r="K155" s="8">
        <v>0</v>
      </c>
      <c r="L155" s="8">
        <v>0</v>
      </c>
      <c r="M155" s="8">
        <v>0</v>
      </c>
      <c r="N155" s="8">
        <v>0</v>
      </c>
      <c r="O155" s="8">
        <v>0</v>
      </c>
      <c r="P155" s="8">
        <v>0</v>
      </c>
      <c r="Q155" s="8">
        <v>0</v>
      </c>
      <c r="R155" s="8">
        <v>1</v>
      </c>
      <c r="S155" s="16">
        <v>1</v>
      </c>
      <c r="T155" s="16" t="s">
        <v>187</v>
      </c>
      <c r="U155" s="16" t="s">
        <v>273</v>
      </c>
      <c r="V155" s="16" t="s">
        <v>1023</v>
      </c>
      <c r="W155" s="16" t="s">
        <v>852</v>
      </c>
      <c r="X155" s="7" t="s">
        <v>852</v>
      </c>
      <c r="Y155" s="16" t="s">
        <v>876</v>
      </c>
      <c r="Z155" s="16" t="s">
        <v>50</v>
      </c>
    </row>
    <row r="156" spans="2:26" ht="15" customHeight="1">
      <c r="B156" s="16" t="s">
        <v>1024</v>
      </c>
      <c r="C156" s="16" t="s">
        <v>184</v>
      </c>
      <c r="D156" s="16" t="s">
        <v>95</v>
      </c>
      <c r="E156" s="16" t="s">
        <v>192</v>
      </c>
      <c r="F156" s="16" t="s">
        <v>1025</v>
      </c>
      <c r="G156" s="8">
        <v>1</v>
      </c>
      <c r="H156" s="8">
        <v>0</v>
      </c>
      <c r="I156" s="8">
        <v>0</v>
      </c>
      <c r="J156" s="8">
        <v>0</v>
      </c>
      <c r="K156" s="8">
        <v>0</v>
      </c>
      <c r="L156" s="8">
        <v>0</v>
      </c>
      <c r="M156" s="8">
        <v>0</v>
      </c>
      <c r="N156" s="8">
        <v>0</v>
      </c>
      <c r="O156" s="8">
        <v>0</v>
      </c>
      <c r="P156" s="8">
        <v>0</v>
      </c>
      <c r="Q156" s="8">
        <v>1</v>
      </c>
      <c r="R156" s="8">
        <v>0</v>
      </c>
      <c r="S156" s="16">
        <v>1</v>
      </c>
      <c r="T156" s="16"/>
      <c r="U156" s="16" t="s">
        <v>50</v>
      </c>
      <c r="V156" s="16"/>
      <c r="W156" s="16" t="s">
        <v>50</v>
      </c>
      <c r="X156" s="7" t="s">
        <v>50</v>
      </c>
      <c r="Y156" s="16" t="s">
        <v>50</v>
      </c>
      <c r="Z156" s="16" t="s">
        <v>50</v>
      </c>
    </row>
    <row r="157" spans="2:26" ht="15" customHeight="1">
      <c r="B157" s="16" t="s">
        <v>1026</v>
      </c>
      <c r="C157" s="16" t="s">
        <v>388</v>
      </c>
      <c r="D157" s="16" t="s">
        <v>76</v>
      </c>
      <c r="E157" s="16" t="s">
        <v>222</v>
      </c>
      <c r="F157" s="16" t="s">
        <v>1027</v>
      </c>
      <c r="G157" s="8">
        <v>1</v>
      </c>
      <c r="H157" s="8">
        <v>2</v>
      </c>
      <c r="I157" s="8">
        <v>96</v>
      </c>
      <c r="J157" s="8">
        <v>1084325</v>
      </c>
      <c r="K157" s="8">
        <v>0</v>
      </c>
      <c r="L157" s="8">
        <v>4</v>
      </c>
      <c r="M157" s="8">
        <v>4</v>
      </c>
      <c r="N157" s="8">
        <v>0</v>
      </c>
      <c r="O157" s="8">
        <v>0</v>
      </c>
      <c r="P157" s="8">
        <v>0</v>
      </c>
      <c r="Q157" s="8">
        <v>0</v>
      </c>
      <c r="R157" s="8">
        <v>1</v>
      </c>
      <c r="S157" s="16">
        <v>1</v>
      </c>
      <c r="T157" s="16" t="s">
        <v>187</v>
      </c>
      <c r="U157" s="16" t="s">
        <v>939</v>
      </c>
      <c r="V157" s="16" t="s">
        <v>1028</v>
      </c>
      <c r="W157" s="16" t="s">
        <v>852</v>
      </c>
      <c r="X157" s="7" t="s">
        <v>852</v>
      </c>
      <c r="Y157" s="16" t="s">
        <v>50</v>
      </c>
      <c r="Z157" s="16" t="s">
        <v>50</v>
      </c>
    </row>
    <row r="158" spans="2:26" ht="15" customHeight="1">
      <c r="B158" s="16" t="s">
        <v>550</v>
      </c>
      <c r="C158" s="16" t="s">
        <v>153</v>
      </c>
      <c r="D158" s="16" t="s">
        <v>76</v>
      </c>
      <c r="E158" s="16" t="s">
        <v>186</v>
      </c>
      <c r="F158" s="16" t="s">
        <v>551</v>
      </c>
      <c r="G158" s="8">
        <v>1</v>
      </c>
      <c r="H158" s="8">
        <v>48</v>
      </c>
      <c r="I158" s="8">
        <v>617921</v>
      </c>
      <c r="J158" s="8">
        <v>617921</v>
      </c>
      <c r="K158" s="8">
        <v>0</v>
      </c>
      <c r="L158" s="8">
        <v>112</v>
      </c>
      <c r="M158" s="8">
        <v>96</v>
      </c>
      <c r="N158" s="8">
        <v>1</v>
      </c>
      <c r="O158" s="8">
        <v>15</v>
      </c>
      <c r="P158" s="8">
        <v>0</v>
      </c>
      <c r="Q158" s="8">
        <v>1</v>
      </c>
      <c r="R158" s="8">
        <v>0</v>
      </c>
      <c r="S158" s="16">
        <v>1</v>
      </c>
      <c r="T158" s="16"/>
      <c r="U158" s="16" t="s">
        <v>50</v>
      </c>
      <c r="V158" s="16"/>
      <c r="W158" s="16" t="s">
        <v>50</v>
      </c>
      <c r="X158" s="7" t="s">
        <v>50</v>
      </c>
      <c r="Y158" s="16" t="s">
        <v>50</v>
      </c>
      <c r="Z158" s="16" t="s">
        <v>50</v>
      </c>
    </row>
    <row r="159" spans="2:26" ht="15" customHeight="1">
      <c r="B159" s="16" t="s">
        <v>333</v>
      </c>
      <c r="C159" s="16" t="s">
        <v>184</v>
      </c>
      <c r="D159" s="16" t="s">
        <v>76</v>
      </c>
      <c r="E159" s="16" t="s">
        <v>186</v>
      </c>
      <c r="F159" s="16" t="s">
        <v>559</v>
      </c>
      <c r="G159" s="8">
        <v>1</v>
      </c>
      <c r="H159" s="8">
        <v>5</v>
      </c>
      <c r="I159" s="8">
        <v>2679</v>
      </c>
      <c r="J159" s="8">
        <v>2679</v>
      </c>
      <c r="K159" s="8">
        <v>0</v>
      </c>
      <c r="L159" s="8">
        <v>0</v>
      </c>
      <c r="M159" s="8">
        <v>0</v>
      </c>
      <c r="N159" s="8">
        <v>0</v>
      </c>
      <c r="O159" s="8">
        <v>0</v>
      </c>
      <c r="P159" s="8">
        <v>0</v>
      </c>
      <c r="Q159" s="8">
        <v>0</v>
      </c>
      <c r="R159" s="8">
        <v>1</v>
      </c>
      <c r="S159" s="16">
        <v>1</v>
      </c>
      <c r="T159" s="16" t="s">
        <v>187</v>
      </c>
      <c r="U159" s="16" t="s">
        <v>236</v>
      </c>
      <c r="V159" s="16" t="s">
        <v>237</v>
      </c>
      <c r="W159" s="16" t="s">
        <v>50</v>
      </c>
      <c r="X159" s="7" t="s">
        <v>50</v>
      </c>
      <c r="Y159" s="16" t="s">
        <v>50</v>
      </c>
      <c r="Z159" s="16" t="s">
        <v>50</v>
      </c>
    </row>
    <row r="160" spans="2:26" ht="15" customHeight="1">
      <c r="B160" s="16" t="s">
        <v>1029</v>
      </c>
      <c r="C160" s="16" t="s">
        <v>154</v>
      </c>
      <c r="D160" s="16" t="s">
        <v>78</v>
      </c>
      <c r="E160" s="16" t="s">
        <v>192</v>
      </c>
      <c r="F160" s="16" t="s">
        <v>1030</v>
      </c>
      <c r="G160" s="8">
        <v>1</v>
      </c>
      <c r="H160" s="8">
        <v>4</v>
      </c>
      <c r="I160" s="8">
        <v>2</v>
      </c>
      <c r="J160" s="8">
        <v>36400</v>
      </c>
      <c r="K160" s="8">
        <v>0</v>
      </c>
      <c r="L160" s="8">
        <v>0</v>
      </c>
      <c r="M160" s="8">
        <v>0</v>
      </c>
      <c r="N160" s="8">
        <v>0</v>
      </c>
      <c r="O160" s="8">
        <v>0</v>
      </c>
      <c r="P160" s="8">
        <v>0</v>
      </c>
      <c r="Q160" s="8">
        <v>0</v>
      </c>
      <c r="R160" s="8">
        <v>1</v>
      </c>
      <c r="S160" s="16">
        <v>1</v>
      </c>
      <c r="T160" s="16"/>
      <c r="U160" s="16" t="s">
        <v>50</v>
      </c>
      <c r="V160" s="16"/>
      <c r="W160" s="16" t="s">
        <v>855</v>
      </c>
      <c r="X160" s="7" t="s">
        <v>855</v>
      </c>
      <c r="Y160" s="16" t="s">
        <v>50</v>
      </c>
      <c r="Z160" s="16" t="s">
        <v>50</v>
      </c>
    </row>
    <row r="161" spans="2:26" ht="15" customHeight="1">
      <c r="B161" s="16" t="s">
        <v>1031</v>
      </c>
      <c r="C161" s="16" t="s">
        <v>184</v>
      </c>
      <c r="D161" s="16" t="s">
        <v>62</v>
      </c>
      <c r="E161" s="16" t="s">
        <v>222</v>
      </c>
      <c r="F161" s="16" t="s">
        <v>1032</v>
      </c>
      <c r="G161" s="8">
        <v>1</v>
      </c>
      <c r="H161" s="8">
        <v>1</v>
      </c>
      <c r="I161" s="8">
        <v>40</v>
      </c>
      <c r="J161" s="8">
        <v>7606</v>
      </c>
      <c r="K161" s="8">
        <v>0</v>
      </c>
      <c r="L161" s="8">
        <v>0</v>
      </c>
      <c r="M161" s="8">
        <v>0</v>
      </c>
      <c r="N161" s="8">
        <v>0</v>
      </c>
      <c r="O161" s="8">
        <v>0</v>
      </c>
      <c r="P161" s="8">
        <v>0</v>
      </c>
      <c r="Q161" s="8">
        <v>1</v>
      </c>
      <c r="R161" s="8">
        <v>0</v>
      </c>
      <c r="S161" s="16">
        <v>1</v>
      </c>
      <c r="T161" s="16"/>
      <c r="U161" s="16" t="s">
        <v>50</v>
      </c>
      <c r="V161" s="16"/>
      <c r="W161" s="16" t="s">
        <v>852</v>
      </c>
      <c r="X161" s="7" t="s">
        <v>852</v>
      </c>
      <c r="Y161" s="16" t="s">
        <v>50</v>
      </c>
      <c r="Z161" s="16" t="s">
        <v>50</v>
      </c>
    </row>
    <row r="162" spans="2:26" ht="15" customHeight="1">
      <c r="B162" s="16" t="s">
        <v>1033</v>
      </c>
      <c r="C162" s="16" t="s">
        <v>184</v>
      </c>
      <c r="D162" s="16" t="s">
        <v>78</v>
      </c>
      <c r="E162" s="16" t="s">
        <v>192</v>
      </c>
      <c r="F162" s="16" t="s">
        <v>1034</v>
      </c>
      <c r="G162" s="8">
        <v>1</v>
      </c>
      <c r="H162" s="8">
        <v>5</v>
      </c>
      <c r="I162" s="8">
        <v>3</v>
      </c>
      <c r="J162" s="8">
        <v>119000</v>
      </c>
      <c r="K162" s="8">
        <v>0</v>
      </c>
      <c r="L162" s="8">
        <v>0</v>
      </c>
      <c r="M162" s="8">
        <v>0</v>
      </c>
      <c r="N162" s="8">
        <v>0</v>
      </c>
      <c r="O162" s="8">
        <v>0</v>
      </c>
      <c r="P162" s="8">
        <v>1</v>
      </c>
      <c r="Q162" s="8">
        <v>0</v>
      </c>
      <c r="R162" s="8">
        <v>0</v>
      </c>
      <c r="S162" s="16">
        <v>1</v>
      </c>
      <c r="T162" s="16"/>
      <c r="U162" s="16" t="s">
        <v>50</v>
      </c>
      <c r="V162" s="16"/>
      <c r="W162" s="16" t="s">
        <v>855</v>
      </c>
      <c r="X162" s="7" t="s">
        <v>855</v>
      </c>
      <c r="Y162" s="16" t="s">
        <v>50</v>
      </c>
      <c r="Z162" s="16" t="s">
        <v>50</v>
      </c>
    </row>
    <row r="163" spans="2:26" ht="15" customHeight="1">
      <c r="B163" s="16" t="s">
        <v>1035</v>
      </c>
      <c r="C163" s="16" t="s">
        <v>184</v>
      </c>
      <c r="D163" s="16" t="s">
        <v>62</v>
      </c>
      <c r="E163" s="16" t="s">
        <v>222</v>
      </c>
      <c r="F163" s="16" t="s">
        <v>1036</v>
      </c>
      <c r="G163" s="8">
        <v>1</v>
      </c>
      <c r="H163" s="8">
        <v>1</v>
      </c>
      <c r="I163" s="8">
        <v>10</v>
      </c>
      <c r="J163" s="8">
        <v>6611</v>
      </c>
      <c r="K163" s="8">
        <v>0</v>
      </c>
      <c r="L163" s="8">
        <v>0</v>
      </c>
      <c r="M163" s="8">
        <v>0</v>
      </c>
      <c r="N163" s="8">
        <v>0</v>
      </c>
      <c r="O163" s="8">
        <v>0</v>
      </c>
      <c r="P163" s="8">
        <v>0</v>
      </c>
      <c r="Q163" s="8">
        <v>1</v>
      </c>
      <c r="R163" s="8">
        <v>0</v>
      </c>
      <c r="S163" s="16">
        <v>1</v>
      </c>
      <c r="T163" s="16"/>
      <c r="U163" s="16" t="s">
        <v>50</v>
      </c>
      <c r="V163" s="16"/>
      <c r="W163" s="16" t="s">
        <v>855</v>
      </c>
      <c r="X163" s="7" t="s">
        <v>855</v>
      </c>
      <c r="Y163" s="16" t="s">
        <v>50</v>
      </c>
      <c r="Z163" s="16" t="s">
        <v>50</v>
      </c>
    </row>
    <row r="164" spans="2:26" ht="15" customHeight="1">
      <c r="B164" s="16" t="s">
        <v>1037</v>
      </c>
      <c r="C164" s="16" t="s">
        <v>184</v>
      </c>
      <c r="D164" s="16" t="s">
        <v>81</v>
      </c>
      <c r="E164" s="16" t="s">
        <v>222</v>
      </c>
      <c r="F164" s="16" t="s">
        <v>565</v>
      </c>
      <c r="G164" s="8">
        <v>1</v>
      </c>
      <c r="H164" s="8">
        <v>0</v>
      </c>
      <c r="I164" s="8">
        <v>379</v>
      </c>
      <c r="J164" s="8">
        <v>379</v>
      </c>
      <c r="K164" s="8">
        <v>0</v>
      </c>
      <c r="L164" s="8">
        <v>4</v>
      </c>
      <c r="M164" s="8">
        <v>4</v>
      </c>
      <c r="N164" s="8">
        <v>0</v>
      </c>
      <c r="O164" s="8">
        <v>0</v>
      </c>
      <c r="P164" s="8">
        <v>0</v>
      </c>
      <c r="Q164" s="8">
        <v>1</v>
      </c>
      <c r="R164" s="8">
        <v>0</v>
      </c>
      <c r="S164" s="16">
        <v>1</v>
      </c>
      <c r="T164" s="16"/>
      <c r="U164" s="16" t="s">
        <v>50</v>
      </c>
      <c r="V164" s="16"/>
      <c r="W164" s="16" t="s">
        <v>852</v>
      </c>
      <c r="X164" s="7" t="s">
        <v>852</v>
      </c>
      <c r="Y164" s="16" t="s">
        <v>50</v>
      </c>
      <c r="Z164" s="16" t="s">
        <v>50</v>
      </c>
    </row>
    <row r="165" spans="2:26" ht="15" customHeight="1">
      <c r="B165" s="16" t="s">
        <v>1038</v>
      </c>
      <c r="C165" s="16" t="s">
        <v>154</v>
      </c>
      <c r="D165" s="16" t="s">
        <v>78</v>
      </c>
      <c r="E165" s="16" t="s">
        <v>192</v>
      </c>
      <c r="F165" s="16" t="s">
        <v>1039</v>
      </c>
      <c r="G165" s="8">
        <v>1</v>
      </c>
      <c r="H165" s="8">
        <v>4</v>
      </c>
      <c r="I165" s="8">
        <v>0</v>
      </c>
      <c r="J165" s="8">
        <v>87800</v>
      </c>
      <c r="K165" s="8">
        <v>0</v>
      </c>
      <c r="L165" s="8">
        <v>0</v>
      </c>
      <c r="M165" s="8">
        <v>0</v>
      </c>
      <c r="N165" s="8">
        <v>0</v>
      </c>
      <c r="O165" s="8">
        <v>0</v>
      </c>
      <c r="P165" s="8">
        <v>0</v>
      </c>
      <c r="Q165" s="8">
        <v>0</v>
      </c>
      <c r="R165" s="8">
        <v>1</v>
      </c>
      <c r="S165" s="16">
        <v>1</v>
      </c>
      <c r="T165" s="16"/>
      <c r="U165" s="16" t="s">
        <v>50</v>
      </c>
      <c r="V165" s="16"/>
      <c r="W165" s="16" t="s">
        <v>50</v>
      </c>
      <c r="X165" s="7" t="s">
        <v>50</v>
      </c>
      <c r="Y165" s="16" t="s">
        <v>50</v>
      </c>
      <c r="Z165" s="16" t="s">
        <v>50</v>
      </c>
    </row>
    <row r="166" spans="2:26" ht="15" customHeight="1">
      <c r="B166" s="16" t="s">
        <v>1040</v>
      </c>
      <c r="C166" s="16" t="s">
        <v>184</v>
      </c>
      <c r="D166" s="16" t="s">
        <v>65</v>
      </c>
      <c r="E166" s="16" t="s">
        <v>222</v>
      </c>
      <c r="F166" s="16" t="s">
        <v>1041</v>
      </c>
      <c r="G166" s="8">
        <v>1</v>
      </c>
      <c r="H166" s="8">
        <v>0</v>
      </c>
      <c r="I166" s="8">
        <v>0</v>
      </c>
      <c r="J166" s="8">
        <v>2073</v>
      </c>
      <c r="K166" s="8">
        <v>0</v>
      </c>
      <c r="L166" s="8">
        <v>0</v>
      </c>
      <c r="M166" s="8">
        <v>0</v>
      </c>
      <c r="N166" s="8">
        <v>0</v>
      </c>
      <c r="O166" s="8">
        <v>0</v>
      </c>
      <c r="P166" s="8">
        <v>1</v>
      </c>
      <c r="Q166" s="8">
        <v>0</v>
      </c>
      <c r="R166" s="8">
        <v>0</v>
      </c>
      <c r="S166" s="16">
        <v>1</v>
      </c>
      <c r="T166" s="16"/>
      <c r="U166" s="16" t="s">
        <v>50</v>
      </c>
      <c r="V166" s="16"/>
      <c r="W166" s="16" t="s">
        <v>50</v>
      </c>
      <c r="X166" s="7" t="s">
        <v>50</v>
      </c>
      <c r="Y166" s="16" t="s">
        <v>50</v>
      </c>
      <c r="Z166" s="16" t="s">
        <v>50</v>
      </c>
    </row>
    <row r="167" spans="2:26" ht="15" customHeight="1">
      <c r="B167" s="16" t="s">
        <v>1042</v>
      </c>
      <c r="C167" s="16" t="s">
        <v>184</v>
      </c>
      <c r="D167" s="16" t="s">
        <v>81</v>
      </c>
      <c r="E167" s="16" t="s">
        <v>222</v>
      </c>
      <c r="F167" s="16" t="s">
        <v>1043</v>
      </c>
      <c r="G167" s="8">
        <v>1</v>
      </c>
      <c r="H167" s="8">
        <v>5</v>
      </c>
      <c r="I167" s="8">
        <v>104</v>
      </c>
      <c r="J167" s="8">
        <v>46218</v>
      </c>
      <c r="K167" s="8">
        <v>0</v>
      </c>
      <c r="L167" s="8">
        <v>0</v>
      </c>
      <c r="M167" s="8">
        <v>0</v>
      </c>
      <c r="N167" s="8">
        <v>0</v>
      </c>
      <c r="O167" s="8">
        <v>0</v>
      </c>
      <c r="P167" s="8">
        <v>0</v>
      </c>
      <c r="Q167" s="8">
        <v>1</v>
      </c>
      <c r="R167" s="8">
        <v>0</v>
      </c>
      <c r="S167" s="16">
        <v>1</v>
      </c>
      <c r="T167" s="16"/>
      <c r="U167" s="16" t="s">
        <v>50</v>
      </c>
      <c r="V167" s="16"/>
      <c r="W167" s="16" t="s">
        <v>50</v>
      </c>
      <c r="X167" s="7" t="s">
        <v>50</v>
      </c>
      <c r="Y167" s="16" t="s">
        <v>50</v>
      </c>
      <c r="Z167" s="16" t="s">
        <v>50</v>
      </c>
    </row>
    <row r="168" spans="2:26" ht="15" customHeight="1">
      <c r="B168" s="16" t="s">
        <v>576</v>
      </c>
      <c r="C168" s="16" t="s">
        <v>153</v>
      </c>
      <c r="D168" s="16" t="s">
        <v>76</v>
      </c>
      <c r="E168" s="16" t="s">
        <v>186</v>
      </c>
      <c r="F168" s="16" t="s">
        <v>577</v>
      </c>
      <c r="G168" s="8">
        <v>1</v>
      </c>
      <c r="H168" s="8">
        <v>40</v>
      </c>
      <c r="I168" s="8">
        <v>258743</v>
      </c>
      <c r="J168" s="8">
        <v>258743</v>
      </c>
      <c r="K168" s="8">
        <v>0</v>
      </c>
      <c r="L168" s="8">
        <v>15</v>
      </c>
      <c r="M168" s="8">
        <v>15</v>
      </c>
      <c r="N168" s="8">
        <v>0</v>
      </c>
      <c r="O168" s="8">
        <v>0</v>
      </c>
      <c r="P168" s="8">
        <v>0</v>
      </c>
      <c r="Q168" s="8">
        <v>1</v>
      </c>
      <c r="R168" s="8">
        <v>0</v>
      </c>
      <c r="S168" s="16">
        <v>1</v>
      </c>
      <c r="T168" s="16" t="s">
        <v>187</v>
      </c>
      <c r="U168" s="16" t="s">
        <v>200</v>
      </c>
      <c r="V168" s="16" t="s">
        <v>201</v>
      </c>
      <c r="W168" s="16" t="s">
        <v>50</v>
      </c>
      <c r="X168" s="7" t="s">
        <v>50</v>
      </c>
      <c r="Y168" s="16" t="s">
        <v>50</v>
      </c>
      <c r="Z168" s="16" t="s">
        <v>50</v>
      </c>
    </row>
    <row r="169" spans="2:26" ht="15" customHeight="1">
      <c r="B169" s="16" t="s">
        <v>1044</v>
      </c>
      <c r="C169" s="16" t="s">
        <v>184</v>
      </c>
      <c r="D169" s="16" t="s">
        <v>65</v>
      </c>
      <c r="E169" s="16" t="s">
        <v>222</v>
      </c>
      <c r="F169" s="16" t="s">
        <v>1045</v>
      </c>
      <c r="G169" s="8">
        <v>1</v>
      </c>
      <c r="H169" s="8">
        <v>0</v>
      </c>
      <c r="I169" s="8">
        <v>0</v>
      </c>
      <c r="J169" s="8">
        <v>3858</v>
      </c>
      <c r="K169" s="8">
        <v>0</v>
      </c>
      <c r="L169" s="8">
        <v>0</v>
      </c>
      <c r="M169" s="8">
        <v>0</v>
      </c>
      <c r="N169" s="8">
        <v>0</v>
      </c>
      <c r="O169" s="8">
        <v>0</v>
      </c>
      <c r="P169" s="8">
        <v>0</v>
      </c>
      <c r="Q169" s="8">
        <v>1</v>
      </c>
      <c r="R169" s="8">
        <v>0</v>
      </c>
      <c r="S169" s="16">
        <v>1</v>
      </c>
      <c r="T169" s="16"/>
      <c r="U169" s="16" t="s">
        <v>50</v>
      </c>
      <c r="V169" s="16"/>
      <c r="W169" s="16" t="s">
        <v>855</v>
      </c>
      <c r="X169" s="7" t="s">
        <v>855</v>
      </c>
      <c r="Y169" s="16" t="s">
        <v>50</v>
      </c>
      <c r="Z169" s="16" t="s">
        <v>50</v>
      </c>
    </row>
    <row r="170" spans="2:26" ht="15" customHeight="1">
      <c r="B170" s="16" t="s">
        <v>578</v>
      </c>
      <c r="C170" s="16" t="s">
        <v>153</v>
      </c>
      <c r="D170" s="16" t="s">
        <v>76</v>
      </c>
      <c r="E170" s="16" t="s">
        <v>186</v>
      </c>
      <c r="F170" s="16" t="s">
        <v>579</v>
      </c>
      <c r="G170" s="8">
        <v>1</v>
      </c>
      <c r="H170" s="8">
        <v>34</v>
      </c>
      <c r="I170" s="8">
        <v>123166</v>
      </c>
      <c r="J170" s="8">
        <v>123166</v>
      </c>
      <c r="K170" s="8">
        <v>0</v>
      </c>
      <c r="L170" s="8">
        <v>10</v>
      </c>
      <c r="M170" s="8">
        <v>10</v>
      </c>
      <c r="N170" s="8">
        <v>0</v>
      </c>
      <c r="O170" s="8">
        <v>0</v>
      </c>
      <c r="P170" s="8">
        <v>0</v>
      </c>
      <c r="Q170" s="8">
        <v>1</v>
      </c>
      <c r="R170" s="8">
        <v>0</v>
      </c>
      <c r="S170" s="16">
        <v>1</v>
      </c>
      <c r="T170" s="16"/>
      <c r="U170" s="16" t="s">
        <v>50</v>
      </c>
      <c r="V170" s="16"/>
      <c r="W170" s="16" t="s">
        <v>50</v>
      </c>
      <c r="X170" s="7" t="s">
        <v>50</v>
      </c>
      <c r="Y170" s="16" t="s">
        <v>50</v>
      </c>
      <c r="Z170" s="16" t="s">
        <v>50</v>
      </c>
    </row>
    <row r="171" spans="2:26" ht="15" customHeight="1">
      <c r="B171" s="16" t="s">
        <v>580</v>
      </c>
      <c r="C171" s="16" t="s">
        <v>184</v>
      </c>
      <c r="D171" s="16" t="s">
        <v>76</v>
      </c>
      <c r="E171" s="16" t="s">
        <v>186</v>
      </c>
      <c r="F171" s="16" t="s">
        <v>581</v>
      </c>
      <c r="G171" s="8">
        <v>1</v>
      </c>
      <c r="H171" s="8">
        <v>0</v>
      </c>
      <c r="I171" s="8">
        <v>318</v>
      </c>
      <c r="J171" s="8">
        <v>318</v>
      </c>
      <c r="K171" s="8">
        <v>0</v>
      </c>
      <c r="L171" s="8">
        <v>0</v>
      </c>
      <c r="M171" s="8">
        <v>0</v>
      </c>
      <c r="N171" s="8">
        <v>0</v>
      </c>
      <c r="O171" s="8">
        <v>0</v>
      </c>
      <c r="P171" s="8">
        <v>0</v>
      </c>
      <c r="Q171" s="8">
        <v>1</v>
      </c>
      <c r="R171" s="8">
        <v>0</v>
      </c>
      <c r="S171" s="16">
        <v>1</v>
      </c>
      <c r="T171" s="16" t="s">
        <v>187</v>
      </c>
      <c r="U171" s="16" t="s">
        <v>200</v>
      </c>
      <c r="V171" s="16" t="s">
        <v>201</v>
      </c>
      <c r="W171" s="16" t="s">
        <v>50</v>
      </c>
      <c r="X171" s="7" t="s">
        <v>50</v>
      </c>
      <c r="Y171" s="16" t="s">
        <v>50</v>
      </c>
      <c r="Z171" s="16" t="s">
        <v>50</v>
      </c>
    </row>
    <row r="172" spans="2:26" ht="15" customHeight="1">
      <c r="B172" s="16" t="s">
        <v>1046</v>
      </c>
      <c r="C172" s="16" t="s">
        <v>153</v>
      </c>
      <c r="D172" s="16" t="s">
        <v>76</v>
      </c>
      <c r="E172" s="16" t="s">
        <v>186</v>
      </c>
      <c r="F172" s="16" t="s">
        <v>583</v>
      </c>
      <c r="G172" s="8">
        <v>1</v>
      </c>
      <c r="H172" s="8">
        <v>37</v>
      </c>
      <c r="I172" s="8">
        <v>153106</v>
      </c>
      <c r="J172" s="8">
        <v>153106</v>
      </c>
      <c r="K172" s="8">
        <v>0</v>
      </c>
      <c r="L172" s="8">
        <v>10</v>
      </c>
      <c r="M172" s="8">
        <v>10</v>
      </c>
      <c r="N172" s="8">
        <v>0</v>
      </c>
      <c r="O172" s="8">
        <v>0</v>
      </c>
      <c r="P172" s="8">
        <v>0</v>
      </c>
      <c r="Q172" s="8">
        <v>1</v>
      </c>
      <c r="R172" s="8">
        <v>0</v>
      </c>
      <c r="S172" s="16">
        <v>1</v>
      </c>
      <c r="T172" s="16"/>
      <c r="U172" s="16" t="s">
        <v>50</v>
      </c>
      <c r="V172" s="16"/>
      <c r="W172" s="16" t="s">
        <v>50</v>
      </c>
      <c r="X172" s="7" t="s">
        <v>50</v>
      </c>
      <c r="Y172" s="16" t="s">
        <v>50</v>
      </c>
      <c r="Z172" s="16" t="s">
        <v>50</v>
      </c>
    </row>
    <row r="173" spans="2:26" ht="15" customHeight="1">
      <c r="B173" s="16" t="s">
        <v>1047</v>
      </c>
      <c r="C173" s="16" t="s">
        <v>184</v>
      </c>
      <c r="D173" s="16" t="s">
        <v>81</v>
      </c>
      <c r="E173" s="16" t="s">
        <v>222</v>
      </c>
      <c r="F173" s="16" t="s">
        <v>1048</v>
      </c>
      <c r="G173" s="8">
        <v>1</v>
      </c>
      <c r="H173" s="8">
        <v>10</v>
      </c>
      <c r="I173" s="8">
        <v>118</v>
      </c>
      <c r="J173" s="8">
        <v>1167416</v>
      </c>
      <c r="K173" s="8">
        <v>0</v>
      </c>
      <c r="L173" s="8">
        <v>2</v>
      </c>
      <c r="M173" s="8">
        <v>2</v>
      </c>
      <c r="N173" s="8">
        <v>0</v>
      </c>
      <c r="O173" s="8">
        <v>0</v>
      </c>
      <c r="P173" s="8">
        <v>0</v>
      </c>
      <c r="Q173" s="8">
        <v>1</v>
      </c>
      <c r="R173" s="8">
        <v>0</v>
      </c>
      <c r="S173" s="16">
        <v>1</v>
      </c>
      <c r="T173" s="16"/>
      <c r="U173" s="16" t="s">
        <v>50</v>
      </c>
      <c r="V173" s="16"/>
      <c r="W173" s="16" t="s">
        <v>50</v>
      </c>
      <c r="X173" s="7" t="s">
        <v>50</v>
      </c>
      <c r="Y173" s="16" t="s">
        <v>50</v>
      </c>
      <c r="Z173" s="16" t="s">
        <v>50</v>
      </c>
    </row>
    <row r="174" spans="2:26" ht="15" customHeight="1">
      <c r="B174" s="16" t="s">
        <v>584</v>
      </c>
      <c r="C174" s="16" t="s">
        <v>153</v>
      </c>
      <c r="D174" s="16" t="s">
        <v>76</v>
      </c>
      <c r="E174" s="16" t="s">
        <v>186</v>
      </c>
      <c r="F174" s="16" t="s">
        <v>585</v>
      </c>
      <c r="G174" s="8">
        <v>1</v>
      </c>
      <c r="H174" s="8">
        <v>34</v>
      </c>
      <c r="I174" s="8">
        <v>146249</v>
      </c>
      <c r="J174" s="8">
        <v>146249</v>
      </c>
      <c r="K174" s="8">
        <v>0</v>
      </c>
      <c r="L174" s="8">
        <v>10</v>
      </c>
      <c r="M174" s="8">
        <v>10</v>
      </c>
      <c r="N174" s="8">
        <v>0</v>
      </c>
      <c r="O174" s="8">
        <v>0</v>
      </c>
      <c r="P174" s="8">
        <v>0</v>
      </c>
      <c r="Q174" s="8">
        <v>1</v>
      </c>
      <c r="R174" s="8">
        <v>0</v>
      </c>
      <c r="S174" s="16">
        <v>1</v>
      </c>
      <c r="T174" s="16"/>
      <c r="U174" s="16" t="s">
        <v>50</v>
      </c>
      <c r="V174" s="16"/>
      <c r="W174" s="16" t="s">
        <v>50</v>
      </c>
      <c r="X174" s="7" t="s">
        <v>50</v>
      </c>
      <c r="Y174" s="16" t="s">
        <v>50</v>
      </c>
      <c r="Z174" s="16" t="s">
        <v>50</v>
      </c>
    </row>
    <row r="175" spans="2:26" ht="15" customHeight="1">
      <c r="B175" s="16" t="s">
        <v>586</v>
      </c>
      <c r="C175" s="16" t="s">
        <v>153</v>
      </c>
      <c r="D175" s="16" t="s">
        <v>76</v>
      </c>
      <c r="E175" s="16" t="s">
        <v>186</v>
      </c>
      <c r="F175" s="16" t="s">
        <v>587</v>
      </c>
      <c r="G175" s="8">
        <v>1</v>
      </c>
      <c r="H175" s="8">
        <v>35</v>
      </c>
      <c r="I175" s="8">
        <v>139466</v>
      </c>
      <c r="J175" s="8">
        <v>139466</v>
      </c>
      <c r="K175" s="8">
        <v>0</v>
      </c>
      <c r="L175" s="8">
        <v>14</v>
      </c>
      <c r="M175" s="8">
        <v>13</v>
      </c>
      <c r="N175" s="8">
        <v>0</v>
      </c>
      <c r="O175" s="8">
        <v>1</v>
      </c>
      <c r="P175" s="8">
        <v>0</v>
      </c>
      <c r="Q175" s="8">
        <v>1</v>
      </c>
      <c r="R175" s="8">
        <v>0</v>
      </c>
      <c r="S175" s="16">
        <v>1</v>
      </c>
      <c r="T175" s="16"/>
      <c r="U175" s="16" t="s">
        <v>50</v>
      </c>
      <c r="V175" s="16"/>
      <c r="W175" s="16" t="s">
        <v>50</v>
      </c>
      <c r="X175" s="7" t="s">
        <v>50</v>
      </c>
      <c r="Y175" s="16" t="s">
        <v>50</v>
      </c>
      <c r="Z175" s="16" t="s">
        <v>50</v>
      </c>
    </row>
    <row r="176" spans="2:26" ht="15" customHeight="1">
      <c r="B176" s="16" t="s">
        <v>1049</v>
      </c>
      <c r="C176" s="16" t="s">
        <v>184</v>
      </c>
      <c r="D176" s="16" t="s">
        <v>65</v>
      </c>
      <c r="E176" s="16" t="s">
        <v>222</v>
      </c>
      <c r="F176" s="16" t="s">
        <v>1050</v>
      </c>
      <c r="G176" s="8">
        <v>1</v>
      </c>
      <c r="H176" s="8">
        <v>0</v>
      </c>
      <c r="I176" s="8">
        <v>0</v>
      </c>
      <c r="J176" s="8">
        <v>825</v>
      </c>
      <c r="K176" s="8">
        <v>0</v>
      </c>
      <c r="L176" s="8">
        <v>0</v>
      </c>
      <c r="M176" s="8">
        <v>0</v>
      </c>
      <c r="N176" s="8">
        <v>0</v>
      </c>
      <c r="O176" s="8">
        <v>0</v>
      </c>
      <c r="P176" s="8">
        <v>0</v>
      </c>
      <c r="Q176" s="8">
        <v>1</v>
      </c>
      <c r="R176" s="8">
        <v>0</v>
      </c>
      <c r="S176" s="16">
        <v>1</v>
      </c>
      <c r="T176" s="16"/>
      <c r="U176" s="16" t="s">
        <v>50</v>
      </c>
      <c r="V176" s="16"/>
      <c r="W176" s="16" t="s">
        <v>50</v>
      </c>
      <c r="X176" s="7" t="s">
        <v>50</v>
      </c>
      <c r="Y176" s="16" t="s">
        <v>50</v>
      </c>
      <c r="Z176" s="16" t="s">
        <v>50</v>
      </c>
    </row>
    <row r="177" spans="2:26" ht="15" customHeight="1">
      <c r="B177" s="16" t="s">
        <v>1051</v>
      </c>
      <c r="C177" s="16" t="s">
        <v>154</v>
      </c>
      <c r="D177" s="16" t="s">
        <v>78</v>
      </c>
      <c r="E177" s="16" t="s">
        <v>192</v>
      </c>
      <c r="F177" s="16" t="s">
        <v>1052</v>
      </c>
      <c r="G177" s="8">
        <v>1</v>
      </c>
      <c r="H177" s="8">
        <v>6</v>
      </c>
      <c r="I177" s="8">
        <v>21</v>
      </c>
      <c r="J177" s="8">
        <v>482000</v>
      </c>
      <c r="K177" s="8">
        <v>0</v>
      </c>
      <c r="L177" s="8">
        <v>0</v>
      </c>
      <c r="M177" s="8">
        <v>0</v>
      </c>
      <c r="N177" s="8">
        <v>0</v>
      </c>
      <c r="O177" s="8">
        <v>0</v>
      </c>
      <c r="P177" s="8">
        <v>0</v>
      </c>
      <c r="Q177" s="8">
        <v>1</v>
      </c>
      <c r="R177" s="8">
        <v>0</v>
      </c>
      <c r="S177" s="16">
        <v>1</v>
      </c>
      <c r="T177" s="16"/>
      <c r="U177" s="16" t="s">
        <v>50</v>
      </c>
      <c r="V177" s="16"/>
      <c r="W177" s="16" t="s">
        <v>50</v>
      </c>
      <c r="X177" s="7" t="s">
        <v>50</v>
      </c>
      <c r="Y177" s="16" t="s">
        <v>50</v>
      </c>
      <c r="Z177" s="16" t="s">
        <v>50</v>
      </c>
    </row>
    <row r="178" spans="2:26" ht="15" customHeight="1">
      <c r="B178" s="16" t="s">
        <v>592</v>
      </c>
      <c r="C178" s="16" t="s">
        <v>184</v>
      </c>
      <c r="D178" s="16" t="s">
        <v>128</v>
      </c>
      <c r="E178" s="16" t="s">
        <v>192</v>
      </c>
      <c r="F178" s="16" t="s">
        <v>129</v>
      </c>
      <c r="G178" s="8">
        <v>1</v>
      </c>
      <c r="H178" s="8">
        <v>0</v>
      </c>
      <c r="I178" s="8">
        <v>2520</v>
      </c>
      <c r="J178" s="8">
        <v>2520</v>
      </c>
      <c r="K178" s="8">
        <v>0</v>
      </c>
      <c r="L178" s="8">
        <v>0</v>
      </c>
      <c r="M178" s="8">
        <v>0</v>
      </c>
      <c r="N178" s="8">
        <v>0</v>
      </c>
      <c r="O178" s="8">
        <v>0</v>
      </c>
      <c r="P178" s="8">
        <v>0</v>
      </c>
      <c r="Q178" s="8">
        <v>1</v>
      </c>
      <c r="R178" s="8">
        <v>0</v>
      </c>
      <c r="S178" s="16">
        <v>1</v>
      </c>
      <c r="T178" s="16"/>
      <c r="U178" s="16" t="s">
        <v>50</v>
      </c>
      <c r="V178" s="16"/>
      <c r="W178" s="16" t="s">
        <v>855</v>
      </c>
      <c r="X178" s="7" t="s">
        <v>855</v>
      </c>
      <c r="Y178" s="16" t="s">
        <v>50</v>
      </c>
      <c r="Z178" s="16" t="s">
        <v>50</v>
      </c>
    </row>
    <row r="179" spans="2:26" ht="15" customHeight="1">
      <c r="B179" s="16" t="s">
        <v>227</v>
      </c>
      <c r="C179" s="16" t="s">
        <v>154</v>
      </c>
      <c r="D179" s="16" t="s">
        <v>78</v>
      </c>
      <c r="E179" s="16" t="s">
        <v>192</v>
      </c>
      <c r="F179" s="16" t="s">
        <v>228</v>
      </c>
      <c r="G179" s="8">
        <v>1</v>
      </c>
      <c r="H179" s="8">
        <v>277</v>
      </c>
      <c r="I179" s="8">
        <v>89400</v>
      </c>
      <c r="J179" s="8">
        <v>89400</v>
      </c>
      <c r="K179" s="8">
        <v>23332</v>
      </c>
      <c r="L179" s="8">
        <v>1280</v>
      </c>
      <c r="M179" s="8">
        <v>1073</v>
      </c>
      <c r="N179" s="8">
        <v>207</v>
      </c>
      <c r="O179" s="8">
        <v>0</v>
      </c>
      <c r="P179" s="8">
        <v>0</v>
      </c>
      <c r="Q179" s="8">
        <v>1</v>
      </c>
      <c r="R179" s="8">
        <v>0</v>
      </c>
      <c r="S179" s="16">
        <v>1</v>
      </c>
      <c r="T179" s="16" t="s">
        <v>991</v>
      </c>
      <c r="U179" s="16" t="s">
        <v>50</v>
      </c>
      <c r="V179" s="16"/>
      <c r="W179" s="16" t="s">
        <v>855</v>
      </c>
      <c r="X179" s="7" t="s">
        <v>855</v>
      </c>
      <c r="Y179" s="16" t="s">
        <v>50</v>
      </c>
      <c r="Z179" s="16" t="s">
        <v>50</v>
      </c>
    </row>
    <row r="180" spans="2:26" ht="15" customHeight="1">
      <c r="B180" s="16" t="s">
        <v>190</v>
      </c>
      <c r="C180" s="16" t="s">
        <v>184</v>
      </c>
      <c r="D180" s="16" t="s">
        <v>68</v>
      </c>
      <c r="E180" s="16" t="s">
        <v>192</v>
      </c>
      <c r="F180" s="16" t="s">
        <v>191</v>
      </c>
      <c r="G180" s="8">
        <v>1</v>
      </c>
      <c r="H180" s="8">
        <v>0</v>
      </c>
      <c r="I180" s="8">
        <v>43179</v>
      </c>
      <c r="J180" s="8">
        <v>43179</v>
      </c>
      <c r="K180" s="8">
        <v>27541</v>
      </c>
      <c r="L180" s="8">
        <v>303</v>
      </c>
      <c r="M180" s="8">
        <v>254</v>
      </c>
      <c r="N180" s="8">
        <v>49</v>
      </c>
      <c r="O180" s="8">
        <v>0</v>
      </c>
      <c r="P180" s="8">
        <v>1</v>
      </c>
      <c r="Q180" s="8">
        <v>0</v>
      </c>
      <c r="R180" s="8">
        <v>0</v>
      </c>
      <c r="S180" s="16">
        <v>1</v>
      </c>
      <c r="T180" s="16"/>
      <c r="U180" s="16" t="s">
        <v>50</v>
      </c>
      <c r="V180" s="16"/>
      <c r="W180" s="16" t="s">
        <v>50</v>
      </c>
      <c r="X180" s="7" t="s">
        <v>50</v>
      </c>
      <c r="Y180" s="16" t="s">
        <v>50</v>
      </c>
      <c r="Z180" s="16" t="s">
        <v>50</v>
      </c>
    </row>
    <row r="181" spans="2:26" ht="15" customHeight="1">
      <c r="B181" s="16" t="s">
        <v>595</v>
      </c>
      <c r="C181" s="16" t="s">
        <v>184</v>
      </c>
      <c r="D181" s="16" t="s">
        <v>78</v>
      </c>
      <c r="E181" s="16" t="s">
        <v>192</v>
      </c>
      <c r="F181" s="16" t="s">
        <v>596</v>
      </c>
      <c r="G181" s="8">
        <v>1</v>
      </c>
      <c r="H181" s="8">
        <v>23</v>
      </c>
      <c r="I181" s="8">
        <v>9420</v>
      </c>
      <c r="J181" s="8">
        <v>9420</v>
      </c>
      <c r="K181" s="8">
        <v>59</v>
      </c>
      <c r="L181" s="8">
        <v>1</v>
      </c>
      <c r="M181" s="8">
        <v>1</v>
      </c>
      <c r="N181" s="8">
        <v>0</v>
      </c>
      <c r="O181" s="8">
        <v>0</v>
      </c>
      <c r="P181" s="8">
        <v>0</v>
      </c>
      <c r="Q181" s="8">
        <v>1</v>
      </c>
      <c r="R181" s="8">
        <v>0</v>
      </c>
      <c r="S181" s="16">
        <v>1</v>
      </c>
      <c r="T181" s="16"/>
      <c r="U181" s="16" t="s">
        <v>50</v>
      </c>
      <c r="V181" s="16"/>
      <c r="W181" s="16" t="s">
        <v>50</v>
      </c>
      <c r="X181" s="7" t="s">
        <v>50</v>
      </c>
      <c r="Y181" s="16" t="s">
        <v>50</v>
      </c>
      <c r="Z181" s="16" t="s">
        <v>50</v>
      </c>
    </row>
    <row r="182" spans="2:26" ht="15" customHeight="1">
      <c r="B182" s="16" t="s">
        <v>1053</v>
      </c>
      <c r="C182" s="16" t="s">
        <v>184</v>
      </c>
      <c r="D182" s="16" t="s">
        <v>62</v>
      </c>
      <c r="E182" s="16" t="s">
        <v>222</v>
      </c>
      <c r="F182" s="16" t="s">
        <v>1054</v>
      </c>
      <c r="G182" s="8">
        <v>1</v>
      </c>
      <c r="H182" s="8">
        <v>2</v>
      </c>
      <c r="I182" s="8">
        <v>26</v>
      </c>
      <c r="J182" s="8">
        <v>3129</v>
      </c>
      <c r="K182" s="8">
        <v>0</v>
      </c>
      <c r="L182" s="8">
        <v>0</v>
      </c>
      <c r="M182" s="8">
        <v>0</v>
      </c>
      <c r="N182" s="8">
        <v>0</v>
      </c>
      <c r="O182" s="8">
        <v>0</v>
      </c>
      <c r="P182" s="8">
        <v>0</v>
      </c>
      <c r="Q182" s="8">
        <v>1</v>
      </c>
      <c r="R182" s="8">
        <v>0</v>
      </c>
      <c r="S182" s="16">
        <v>1</v>
      </c>
      <c r="T182" s="16"/>
      <c r="U182" s="16" t="s">
        <v>50</v>
      </c>
      <c r="V182" s="16"/>
      <c r="W182" s="16" t="s">
        <v>852</v>
      </c>
      <c r="X182" s="7" t="s">
        <v>852</v>
      </c>
      <c r="Y182" s="16" t="s">
        <v>864</v>
      </c>
      <c r="Z182" s="16" t="s">
        <v>50</v>
      </c>
    </row>
    <row r="183" spans="2:26" ht="15" customHeight="1">
      <c r="B183" s="16" t="s">
        <v>601</v>
      </c>
      <c r="C183" s="16" t="s">
        <v>153</v>
      </c>
      <c r="D183" s="16" t="s">
        <v>76</v>
      </c>
      <c r="E183" s="16" t="s">
        <v>186</v>
      </c>
      <c r="F183" s="16" t="s">
        <v>602</v>
      </c>
      <c r="G183" s="8">
        <v>1</v>
      </c>
      <c r="H183" s="8">
        <v>28</v>
      </c>
      <c r="I183" s="8">
        <v>60281</v>
      </c>
      <c r="J183" s="8">
        <v>60281</v>
      </c>
      <c r="K183" s="8">
        <v>0</v>
      </c>
      <c r="L183" s="8">
        <v>15</v>
      </c>
      <c r="M183" s="8">
        <v>15</v>
      </c>
      <c r="N183" s="8">
        <v>0</v>
      </c>
      <c r="O183" s="8">
        <v>0</v>
      </c>
      <c r="P183" s="8">
        <v>0</v>
      </c>
      <c r="Q183" s="8">
        <v>1</v>
      </c>
      <c r="R183" s="8">
        <v>0</v>
      </c>
      <c r="S183" s="16">
        <v>1</v>
      </c>
      <c r="T183" s="16"/>
      <c r="U183" s="16" t="s">
        <v>50</v>
      </c>
      <c r="V183" s="16"/>
      <c r="W183" s="16" t="s">
        <v>50</v>
      </c>
      <c r="X183" s="7" t="s">
        <v>50</v>
      </c>
      <c r="Y183" s="16" t="s">
        <v>50</v>
      </c>
      <c r="Z183" s="16" t="s">
        <v>50</v>
      </c>
    </row>
    <row r="184" spans="2:26" ht="15" customHeight="1">
      <c r="B184" s="16" t="s">
        <v>607</v>
      </c>
      <c r="C184" s="16" t="s">
        <v>184</v>
      </c>
      <c r="D184" s="16" t="s">
        <v>65</v>
      </c>
      <c r="E184" s="16" t="s">
        <v>186</v>
      </c>
      <c r="F184" s="16" t="s">
        <v>608</v>
      </c>
      <c r="G184" s="8">
        <v>1</v>
      </c>
      <c r="H184" s="8">
        <v>211</v>
      </c>
      <c r="I184" s="8">
        <v>6536</v>
      </c>
      <c r="J184" s="8">
        <v>6536</v>
      </c>
      <c r="K184" s="8">
        <v>729</v>
      </c>
      <c r="L184" s="8">
        <v>11</v>
      </c>
      <c r="M184" s="8">
        <v>6</v>
      </c>
      <c r="N184" s="8">
        <v>1</v>
      </c>
      <c r="O184" s="8">
        <v>4</v>
      </c>
      <c r="P184" s="8">
        <v>0</v>
      </c>
      <c r="Q184" s="8">
        <v>1</v>
      </c>
      <c r="R184" s="8">
        <v>0</v>
      </c>
      <c r="S184" s="16">
        <v>1</v>
      </c>
      <c r="T184" s="16"/>
      <c r="U184" s="16" t="s">
        <v>50</v>
      </c>
      <c r="V184" s="16"/>
      <c r="W184" s="16" t="s">
        <v>50</v>
      </c>
      <c r="X184" s="7" t="s">
        <v>50</v>
      </c>
      <c r="Y184" s="16" t="s">
        <v>50</v>
      </c>
      <c r="Z184" s="16" t="s">
        <v>50</v>
      </c>
    </row>
    <row r="185" spans="2:26" ht="15" customHeight="1">
      <c r="B185" s="16" t="s">
        <v>1055</v>
      </c>
      <c r="C185" s="16" t="s">
        <v>184</v>
      </c>
      <c r="D185" s="16" t="s">
        <v>65</v>
      </c>
      <c r="E185" s="16" t="s">
        <v>222</v>
      </c>
      <c r="F185" s="16" t="s">
        <v>1056</v>
      </c>
      <c r="G185" s="8">
        <v>1</v>
      </c>
      <c r="H185" s="8">
        <v>0</v>
      </c>
      <c r="I185" s="8">
        <v>0</v>
      </c>
      <c r="J185" s="8">
        <v>132830</v>
      </c>
      <c r="K185" s="8">
        <v>0</v>
      </c>
      <c r="L185" s="8">
        <v>0</v>
      </c>
      <c r="M185" s="8">
        <v>0</v>
      </c>
      <c r="N185" s="8">
        <v>0</v>
      </c>
      <c r="O185" s="8">
        <v>0</v>
      </c>
      <c r="P185" s="8">
        <v>0</v>
      </c>
      <c r="Q185" s="8">
        <v>1</v>
      </c>
      <c r="R185" s="8">
        <v>0</v>
      </c>
      <c r="S185" s="16">
        <v>1</v>
      </c>
      <c r="T185" s="16"/>
      <c r="U185" s="16" t="s">
        <v>50</v>
      </c>
      <c r="V185" s="16"/>
      <c r="W185" s="16" t="s">
        <v>50</v>
      </c>
      <c r="X185" s="7" t="s">
        <v>50</v>
      </c>
      <c r="Y185" s="16" t="s">
        <v>50</v>
      </c>
      <c r="Z185" s="16" t="s">
        <v>50</v>
      </c>
    </row>
    <row r="186" spans="2:26" ht="15" customHeight="1">
      <c r="B186" s="16" t="s">
        <v>609</v>
      </c>
      <c r="C186" s="16" t="s">
        <v>184</v>
      </c>
      <c r="D186" s="16" t="s">
        <v>62</v>
      </c>
      <c r="E186" s="16" t="s">
        <v>222</v>
      </c>
      <c r="F186" s="16" t="s">
        <v>610</v>
      </c>
      <c r="G186" s="8">
        <v>1</v>
      </c>
      <c r="H186" s="8">
        <v>0</v>
      </c>
      <c r="I186" s="8">
        <v>86</v>
      </c>
      <c r="J186" s="8">
        <v>86</v>
      </c>
      <c r="K186" s="8">
        <v>57</v>
      </c>
      <c r="L186" s="8">
        <v>1</v>
      </c>
      <c r="M186" s="8">
        <v>1</v>
      </c>
      <c r="N186" s="8">
        <v>0</v>
      </c>
      <c r="O186" s="8">
        <v>0</v>
      </c>
      <c r="P186" s="8">
        <v>0</v>
      </c>
      <c r="Q186" s="8">
        <v>1</v>
      </c>
      <c r="R186" s="8">
        <v>0</v>
      </c>
      <c r="S186" s="16">
        <v>1</v>
      </c>
      <c r="T186" s="16" t="s">
        <v>187</v>
      </c>
      <c r="U186" s="16" t="s">
        <v>188</v>
      </c>
      <c r="V186" s="16" t="s">
        <v>189</v>
      </c>
      <c r="W186" s="16" t="s">
        <v>855</v>
      </c>
      <c r="X186" s="7" t="s">
        <v>855</v>
      </c>
      <c r="Y186" s="16" t="s">
        <v>50</v>
      </c>
      <c r="Z186" s="16" t="s">
        <v>50</v>
      </c>
    </row>
    <row r="187" spans="2:26" ht="15" customHeight="1">
      <c r="B187" s="16" t="s">
        <v>1057</v>
      </c>
      <c r="C187" s="16" t="s">
        <v>184</v>
      </c>
      <c r="D187" s="16" t="s">
        <v>106</v>
      </c>
      <c r="E187" s="16" t="s">
        <v>192</v>
      </c>
      <c r="F187" s="16" t="s">
        <v>1058</v>
      </c>
      <c r="G187" s="8">
        <v>1</v>
      </c>
      <c r="H187" s="8">
        <v>0</v>
      </c>
      <c r="I187" s="8">
        <v>0</v>
      </c>
      <c r="J187" s="8">
        <v>0</v>
      </c>
      <c r="K187" s="8">
        <v>0</v>
      </c>
      <c r="L187" s="8">
        <v>0</v>
      </c>
      <c r="M187" s="8">
        <v>0</v>
      </c>
      <c r="N187" s="8">
        <v>0</v>
      </c>
      <c r="O187" s="8">
        <v>0</v>
      </c>
      <c r="P187" s="8">
        <v>1</v>
      </c>
      <c r="Q187" s="8">
        <v>0</v>
      </c>
      <c r="R187" s="8">
        <v>0</v>
      </c>
      <c r="S187" s="16">
        <v>1</v>
      </c>
      <c r="T187" s="16"/>
      <c r="U187" s="16" t="s">
        <v>50</v>
      </c>
      <c r="V187" s="16"/>
      <c r="W187" s="16" t="s">
        <v>50</v>
      </c>
      <c r="X187" s="7" t="s">
        <v>50</v>
      </c>
      <c r="Y187" s="16" t="s">
        <v>50</v>
      </c>
      <c r="Z187" s="16" t="s">
        <v>50</v>
      </c>
    </row>
    <row r="188" spans="2:26" ht="15" customHeight="1">
      <c r="B188" s="16" t="s">
        <v>1059</v>
      </c>
      <c r="C188" s="16" t="s">
        <v>151</v>
      </c>
      <c r="D188" s="16" t="s">
        <v>62</v>
      </c>
      <c r="E188" s="16" t="s">
        <v>222</v>
      </c>
      <c r="F188" s="16" t="s">
        <v>1060</v>
      </c>
      <c r="G188" s="8">
        <v>1</v>
      </c>
      <c r="H188" s="8">
        <v>6</v>
      </c>
      <c r="I188" s="8">
        <v>58</v>
      </c>
      <c r="J188" s="8">
        <v>102407</v>
      </c>
      <c r="K188" s="8">
        <v>0</v>
      </c>
      <c r="L188" s="8">
        <v>5</v>
      </c>
      <c r="M188" s="8">
        <v>5</v>
      </c>
      <c r="N188" s="8">
        <v>0</v>
      </c>
      <c r="O188" s="8">
        <v>0</v>
      </c>
      <c r="P188" s="8">
        <v>0</v>
      </c>
      <c r="Q188" s="8">
        <v>1</v>
      </c>
      <c r="R188" s="8">
        <v>0</v>
      </c>
      <c r="S188" s="16">
        <v>1</v>
      </c>
      <c r="T188" s="16" t="s">
        <v>187</v>
      </c>
      <c r="U188" s="16" t="s">
        <v>1061</v>
      </c>
      <c r="V188" s="16" t="s">
        <v>1062</v>
      </c>
      <c r="W188" s="16" t="s">
        <v>852</v>
      </c>
      <c r="X188" s="7" t="s">
        <v>852</v>
      </c>
      <c r="Y188" s="16" t="s">
        <v>50</v>
      </c>
      <c r="Z188" s="16" t="s">
        <v>50</v>
      </c>
    </row>
    <row r="189" spans="2:26" ht="15" customHeight="1">
      <c r="B189" s="16" t="s">
        <v>1063</v>
      </c>
      <c r="C189" s="16" t="s">
        <v>184</v>
      </c>
      <c r="D189" s="16" t="s">
        <v>62</v>
      </c>
      <c r="E189" s="16" t="s">
        <v>222</v>
      </c>
      <c r="F189" s="16" t="s">
        <v>1064</v>
      </c>
      <c r="G189" s="8">
        <v>1</v>
      </c>
      <c r="H189" s="8">
        <v>4</v>
      </c>
      <c r="I189" s="8">
        <v>35</v>
      </c>
      <c r="J189" s="8">
        <v>35853</v>
      </c>
      <c r="K189" s="8">
        <v>0</v>
      </c>
      <c r="L189" s="8">
        <v>0</v>
      </c>
      <c r="M189" s="8">
        <v>0</v>
      </c>
      <c r="N189" s="8">
        <v>0</v>
      </c>
      <c r="O189" s="8">
        <v>0</v>
      </c>
      <c r="P189" s="8">
        <v>0</v>
      </c>
      <c r="Q189" s="8">
        <v>1</v>
      </c>
      <c r="R189" s="8">
        <v>0</v>
      </c>
      <c r="S189" s="16">
        <v>1</v>
      </c>
      <c r="T189" s="16"/>
      <c r="U189" s="16" t="s">
        <v>50</v>
      </c>
      <c r="V189" s="16"/>
      <c r="W189" s="16" t="s">
        <v>852</v>
      </c>
      <c r="X189" s="7" t="s">
        <v>852</v>
      </c>
      <c r="Y189" s="16" t="s">
        <v>50</v>
      </c>
      <c r="Z189" s="16" t="s">
        <v>50</v>
      </c>
    </row>
    <row r="190" spans="2:26" ht="15" customHeight="1">
      <c r="B190" s="16" t="s">
        <v>1065</v>
      </c>
      <c r="C190" s="16" t="s">
        <v>269</v>
      </c>
      <c r="D190" s="16" t="s">
        <v>65</v>
      </c>
      <c r="E190" s="16" t="s">
        <v>222</v>
      </c>
      <c r="F190" s="16" t="s">
        <v>1066</v>
      </c>
      <c r="G190" s="8">
        <v>1</v>
      </c>
      <c r="H190" s="8">
        <v>8</v>
      </c>
      <c r="I190" s="8">
        <v>0</v>
      </c>
      <c r="J190" s="8">
        <v>48555</v>
      </c>
      <c r="K190" s="8">
        <v>0</v>
      </c>
      <c r="L190" s="8">
        <v>0</v>
      </c>
      <c r="M190" s="8">
        <v>0</v>
      </c>
      <c r="N190" s="8">
        <v>0</v>
      </c>
      <c r="O190" s="8">
        <v>0</v>
      </c>
      <c r="P190" s="8">
        <v>0</v>
      </c>
      <c r="Q190" s="8">
        <v>1</v>
      </c>
      <c r="R190" s="8">
        <v>0</v>
      </c>
      <c r="S190" s="16">
        <v>1</v>
      </c>
      <c r="T190" s="16"/>
      <c r="U190" s="16" t="s">
        <v>50</v>
      </c>
      <c r="V190" s="16"/>
      <c r="W190" s="16" t="s">
        <v>855</v>
      </c>
      <c r="X190" s="7" t="s">
        <v>855</v>
      </c>
      <c r="Y190" s="16" t="s">
        <v>50</v>
      </c>
      <c r="Z190" s="16" t="s">
        <v>50</v>
      </c>
    </row>
    <row r="191" spans="2:26" ht="15" customHeight="1">
      <c r="B191" s="16" t="s">
        <v>1067</v>
      </c>
      <c r="C191" s="16" t="s">
        <v>184</v>
      </c>
      <c r="D191" s="16" t="s">
        <v>78</v>
      </c>
      <c r="E191" s="16" t="s">
        <v>192</v>
      </c>
      <c r="F191" s="16" t="s">
        <v>1068</v>
      </c>
      <c r="G191" s="8">
        <v>1</v>
      </c>
      <c r="H191" s="8">
        <v>3</v>
      </c>
      <c r="I191" s="8">
        <v>45</v>
      </c>
      <c r="J191" s="8">
        <v>8210</v>
      </c>
      <c r="K191" s="8">
        <v>0</v>
      </c>
      <c r="L191" s="8">
        <v>2</v>
      </c>
      <c r="M191" s="8">
        <v>2</v>
      </c>
      <c r="N191" s="8">
        <v>0</v>
      </c>
      <c r="O191" s="8">
        <v>0</v>
      </c>
      <c r="P191" s="8">
        <v>0</v>
      </c>
      <c r="Q191" s="8">
        <v>1</v>
      </c>
      <c r="R191" s="8">
        <v>0</v>
      </c>
      <c r="S191" s="16">
        <v>1</v>
      </c>
      <c r="T191" s="16"/>
      <c r="U191" s="16" t="s">
        <v>50</v>
      </c>
      <c r="V191" s="16"/>
      <c r="W191" s="16" t="s">
        <v>50</v>
      </c>
      <c r="X191" s="7" t="s">
        <v>50</v>
      </c>
      <c r="Y191" s="16" t="s">
        <v>50</v>
      </c>
      <c r="Z191" s="16" t="s">
        <v>50</v>
      </c>
    </row>
    <row r="192" spans="2:26" ht="15" customHeight="1">
      <c r="B192" s="16" t="s">
        <v>1069</v>
      </c>
      <c r="C192" s="16" t="s">
        <v>184</v>
      </c>
      <c r="D192" s="16" t="s">
        <v>65</v>
      </c>
      <c r="E192" s="16" t="s">
        <v>222</v>
      </c>
      <c r="F192" s="16" t="s">
        <v>1070</v>
      </c>
      <c r="G192" s="8">
        <v>1</v>
      </c>
      <c r="H192" s="8">
        <v>0</v>
      </c>
      <c r="I192" s="8">
        <v>0</v>
      </c>
      <c r="J192" s="8">
        <v>5842</v>
      </c>
      <c r="K192" s="8">
        <v>0</v>
      </c>
      <c r="L192" s="8">
        <v>0</v>
      </c>
      <c r="M192" s="8">
        <v>0</v>
      </c>
      <c r="N192" s="8">
        <v>0</v>
      </c>
      <c r="O192" s="8">
        <v>0</v>
      </c>
      <c r="P192" s="8">
        <v>0</v>
      </c>
      <c r="Q192" s="8">
        <v>1</v>
      </c>
      <c r="R192" s="8">
        <v>0</v>
      </c>
      <c r="S192" s="16">
        <v>1</v>
      </c>
      <c r="T192" s="16"/>
      <c r="U192" s="16" t="s">
        <v>50</v>
      </c>
      <c r="V192" s="16"/>
      <c r="W192" s="16" t="s">
        <v>50</v>
      </c>
      <c r="X192" s="7" t="s">
        <v>50</v>
      </c>
      <c r="Y192" s="16" t="s">
        <v>50</v>
      </c>
      <c r="Z192" s="16" t="s">
        <v>50</v>
      </c>
    </row>
    <row r="193" spans="2:26" ht="15" customHeight="1">
      <c r="B193" s="16" t="s">
        <v>624</v>
      </c>
      <c r="C193" s="16" t="s">
        <v>184</v>
      </c>
      <c r="D193" s="16" t="s">
        <v>65</v>
      </c>
      <c r="E193" s="16" t="s">
        <v>186</v>
      </c>
      <c r="F193" s="16" t="s">
        <v>625</v>
      </c>
      <c r="G193" s="8">
        <v>1</v>
      </c>
      <c r="H193" s="8">
        <v>0</v>
      </c>
      <c r="I193" s="8">
        <v>50</v>
      </c>
      <c r="J193" s="8">
        <v>50</v>
      </c>
      <c r="K193" s="8">
        <v>12</v>
      </c>
      <c r="L193" s="8">
        <v>0</v>
      </c>
      <c r="M193" s="8">
        <v>0</v>
      </c>
      <c r="N193" s="8">
        <v>0</v>
      </c>
      <c r="O193" s="8">
        <v>0</v>
      </c>
      <c r="P193" s="8">
        <v>0</v>
      </c>
      <c r="Q193" s="8">
        <v>1</v>
      </c>
      <c r="R193" s="8">
        <v>0</v>
      </c>
      <c r="S193" s="16">
        <v>1</v>
      </c>
      <c r="T193" s="16"/>
      <c r="U193" s="16" t="s">
        <v>50</v>
      </c>
      <c r="V193" s="16"/>
      <c r="W193" s="16" t="s">
        <v>50</v>
      </c>
      <c r="X193" s="7" t="s">
        <v>50</v>
      </c>
      <c r="Y193" s="16" t="s">
        <v>50</v>
      </c>
      <c r="Z193" s="16" t="s">
        <v>50</v>
      </c>
    </row>
    <row r="194" spans="2:26" ht="15" customHeight="1">
      <c r="B194" s="16" t="s">
        <v>1071</v>
      </c>
      <c r="C194" s="16" t="s">
        <v>269</v>
      </c>
      <c r="D194" s="16" t="s">
        <v>78</v>
      </c>
      <c r="E194" s="16" t="s">
        <v>192</v>
      </c>
      <c r="F194" s="16" t="s">
        <v>1072</v>
      </c>
      <c r="G194" s="8">
        <v>1</v>
      </c>
      <c r="H194" s="8">
        <v>5</v>
      </c>
      <c r="I194" s="8">
        <v>1</v>
      </c>
      <c r="J194" s="8">
        <v>176000</v>
      </c>
      <c r="K194" s="8">
        <v>0</v>
      </c>
      <c r="L194" s="8">
        <v>0</v>
      </c>
      <c r="M194" s="8">
        <v>0</v>
      </c>
      <c r="N194" s="8">
        <v>0</v>
      </c>
      <c r="O194" s="8">
        <v>0</v>
      </c>
      <c r="P194" s="8">
        <v>0</v>
      </c>
      <c r="Q194" s="8">
        <v>0</v>
      </c>
      <c r="R194" s="8">
        <v>1</v>
      </c>
      <c r="S194" s="16">
        <v>1</v>
      </c>
      <c r="T194" s="16"/>
      <c r="U194" s="16" t="s">
        <v>50</v>
      </c>
      <c r="V194" s="16"/>
      <c r="W194" s="16" t="s">
        <v>852</v>
      </c>
      <c r="X194" s="7" t="s">
        <v>852</v>
      </c>
      <c r="Y194" s="16" t="s">
        <v>50</v>
      </c>
      <c r="Z194" s="16" t="s">
        <v>50</v>
      </c>
    </row>
    <row r="195" spans="2:26" ht="15" customHeight="1">
      <c r="B195" s="16" t="s">
        <v>531</v>
      </c>
      <c r="C195" s="16" t="s">
        <v>626</v>
      </c>
      <c r="D195" s="16" t="s">
        <v>65</v>
      </c>
      <c r="E195" s="16" t="s">
        <v>186</v>
      </c>
      <c r="F195" s="16" t="s">
        <v>627</v>
      </c>
      <c r="G195" s="8">
        <v>1</v>
      </c>
      <c r="H195" s="8">
        <v>356</v>
      </c>
      <c r="I195" s="8">
        <v>15009</v>
      </c>
      <c r="J195" s="8">
        <v>15009</v>
      </c>
      <c r="K195" s="8">
        <v>2680</v>
      </c>
      <c r="L195" s="8">
        <v>75</v>
      </c>
      <c r="M195" s="8">
        <v>25</v>
      </c>
      <c r="N195" s="8">
        <v>1</v>
      </c>
      <c r="O195" s="8">
        <v>49</v>
      </c>
      <c r="P195" s="8">
        <v>0</v>
      </c>
      <c r="Q195" s="8">
        <v>1</v>
      </c>
      <c r="R195" s="8">
        <v>0</v>
      </c>
      <c r="S195" s="16">
        <v>1</v>
      </c>
      <c r="T195" s="16"/>
      <c r="U195" s="16" t="s">
        <v>50</v>
      </c>
      <c r="V195" s="16"/>
      <c r="W195" s="16" t="s">
        <v>50</v>
      </c>
      <c r="X195" s="7" t="s">
        <v>50</v>
      </c>
      <c r="Y195" s="16" t="s">
        <v>50</v>
      </c>
      <c r="Z195" s="16" t="s">
        <v>50</v>
      </c>
    </row>
    <row r="196" spans="2:26" ht="15" customHeight="1">
      <c r="B196" s="16" t="s">
        <v>1073</v>
      </c>
      <c r="C196" s="16" t="s">
        <v>184</v>
      </c>
      <c r="D196" s="16" t="s">
        <v>62</v>
      </c>
      <c r="E196" s="16" t="s">
        <v>222</v>
      </c>
      <c r="F196" s="16" t="s">
        <v>1074</v>
      </c>
      <c r="G196" s="8">
        <v>1</v>
      </c>
      <c r="H196" s="8">
        <v>0</v>
      </c>
      <c r="I196" s="8">
        <v>207</v>
      </c>
      <c r="J196" s="8">
        <v>884</v>
      </c>
      <c r="K196" s="8">
        <v>0</v>
      </c>
      <c r="L196" s="8">
        <v>0</v>
      </c>
      <c r="M196" s="8">
        <v>0</v>
      </c>
      <c r="N196" s="8">
        <v>0</v>
      </c>
      <c r="O196" s="8">
        <v>0</v>
      </c>
      <c r="P196" s="8">
        <v>0</v>
      </c>
      <c r="Q196" s="8">
        <v>1</v>
      </c>
      <c r="R196" s="8">
        <v>0</v>
      </c>
      <c r="S196" s="16">
        <v>1</v>
      </c>
      <c r="T196" s="16"/>
      <c r="U196" s="16" t="s">
        <v>50</v>
      </c>
      <c r="V196" s="16"/>
      <c r="W196" s="16" t="s">
        <v>852</v>
      </c>
      <c r="X196" s="7" t="s">
        <v>852</v>
      </c>
      <c r="Y196" s="16" t="s">
        <v>864</v>
      </c>
      <c r="Z196" s="16" t="s">
        <v>50</v>
      </c>
    </row>
    <row r="197" spans="2:26" ht="15" customHeight="1">
      <c r="B197" s="16" t="s">
        <v>628</v>
      </c>
      <c r="C197" s="16" t="s">
        <v>184</v>
      </c>
      <c r="D197" s="16" t="s">
        <v>71</v>
      </c>
      <c r="E197" s="16" t="s">
        <v>192</v>
      </c>
      <c r="F197" s="16" t="s">
        <v>629</v>
      </c>
      <c r="G197" s="8">
        <v>1</v>
      </c>
      <c r="H197" s="8">
        <v>0</v>
      </c>
      <c r="I197" s="8">
        <v>64</v>
      </c>
      <c r="J197" s="8">
        <v>64</v>
      </c>
      <c r="K197" s="8">
        <v>0</v>
      </c>
      <c r="L197" s="8">
        <v>0</v>
      </c>
      <c r="M197" s="8">
        <v>0</v>
      </c>
      <c r="N197" s="8">
        <v>0</v>
      </c>
      <c r="O197" s="8">
        <v>0</v>
      </c>
      <c r="P197" s="8">
        <v>0</v>
      </c>
      <c r="Q197" s="8">
        <v>1</v>
      </c>
      <c r="R197" s="8">
        <v>0</v>
      </c>
      <c r="S197" s="16">
        <v>1</v>
      </c>
      <c r="T197" s="16"/>
      <c r="U197" s="16" t="s">
        <v>50</v>
      </c>
      <c r="V197" s="16"/>
      <c r="W197" s="16" t="s">
        <v>852</v>
      </c>
      <c r="X197" s="7" t="s">
        <v>852</v>
      </c>
      <c r="Y197" s="16" t="s">
        <v>50</v>
      </c>
      <c r="Z197" s="16" t="s">
        <v>50</v>
      </c>
    </row>
    <row r="198" spans="2:26" ht="15" customHeight="1">
      <c r="B198" s="16" t="s">
        <v>1075</v>
      </c>
      <c r="C198" s="16" t="s">
        <v>675</v>
      </c>
      <c r="D198" s="16" t="s">
        <v>65</v>
      </c>
      <c r="E198" s="16" t="s">
        <v>222</v>
      </c>
      <c r="F198" s="16" t="s">
        <v>1076</v>
      </c>
      <c r="G198" s="8">
        <v>1</v>
      </c>
      <c r="H198" s="8">
        <v>14</v>
      </c>
      <c r="I198" s="8">
        <v>0</v>
      </c>
      <c r="J198" s="8">
        <v>1855990</v>
      </c>
      <c r="K198" s="8">
        <v>0</v>
      </c>
      <c r="L198" s="8">
        <v>0</v>
      </c>
      <c r="M198" s="8">
        <v>0</v>
      </c>
      <c r="N198" s="8">
        <v>0</v>
      </c>
      <c r="O198" s="8">
        <v>0</v>
      </c>
      <c r="P198" s="8">
        <v>0</v>
      </c>
      <c r="Q198" s="8">
        <v>1</v>
      </c>
      <c r="R198" s="8">
        <v>0</v>
      </c>
      <c r="S198" s="16">
        <v>1</v>
      </c>
      <c r="T198" s="16"/>
      <c r="U198" s="16" t="s">
        <v>50</v>
      </c>
      <c r="V198" s="16"/>
      <c r="W198" s="16" t="s">
        <v>50</v>
      </c>
      <c r="X198" s="7" t="s">
        <v>50</v>
      </c>
      <c r="Y198" s="16" t="s">
        <v>50</v>
      </c>
      <c r="Z198" s="16" t="s">
        <v>50</v>
      </c>
    </row>
    <row r="199" spans="2:26" ht="15" customHeight="1">
      <c r="B199" s="16" t="s">
        <v>769</v>
      </c>
      <c r="C199" s="16" t="s">
        <v>184</v>
      </c>
      <c r="D199" s="16" t="s">
        <v>68</v>
      </c>
      <c r="E199" s="16" t="s">
        <v>192</v>
      </c>
      <c r="F199" s="16" t="s">
        <v>1077</v>
      </c>
      <c r="G199" s="8">
        <v>1</v>
      </c>
      <c r="H199" s="8">
        <v>0</v>
      </c>
      <c r="I199" s="8">
        <v>6</v>
      </c>
      <c r="J199" s="8">
        <v>76893</v>
      </c>
      <c r="K199" s="8">
        <v>0</v>
      </c>
      <c r="L199" s="8">
        <v>0</v>
      </c>
      <c r="M199" s="8">
        <v>0</v>
      </c>
      <c r="N199" s="8">
        <v>0</v>
      </c>
      <c r="O199" s="8">
        <v>0</v>
      </c>
      <c r="P199" s="8">
        <v>1</v>
      </c>
      <c r="Q199" s="8">
        <v>0</v>
      </c>
      <c r="R199" s="8">
        <v>0</v>
      </c>
      <c r="S199" s="16">
        <v>1</v>
      </c>
      <c r="T199" s="16"/>
      <c r="U199" s="16" t="s">
        <v>50</v>
      </c>
      <c r="V199" s="16"/>
      <c r="W199" s="16" t="s">
        <v>855</v>
      </c>
      <c r="X199" s="7" t="s">
        <v>855</v>
      </c>
      <c r="Y199" s="16" t="s">
        <v>50</v>
      </c>
      <c r="Z199" s="16" t="s">
        <v>50</v>
      </c>
    </row>
    <row r="200" spans="2:26" ht="15" customHeight="1">
      <c r="B200" s="16" t="s">
        <v>1078</v>
      </c>
      <c r="C200" s="16" t="s">
        <v>184</v>
      </c>
      <c r="D200" s="16" t="s">
        <v>68</v>
      </c>
      <c r="E200" s="16" t="s">
        <v>192</v>
      </c>
      <c r="F200" s="16" t="s">
        <v>1079</v>
      </c>
      <c r="G200" s="8">
        <v>1</v>
      </c>
      <c r="H200" s="8">
        <v>0</v>
      </c>
      <c r="I200" s="8">
        <v>2</v>
      </c>
      <c r="J200" s="8">
        <v>754823</v>
      </c>
      <c r="K200" s="8">
        <v>0</v>
      </c>
      <c r="L200" s="8">
        <v>0</v>
      </c>
      <c r="M200" s="8">
        <v>0</v>
      </c>
      <c r="N200" s="8">
        <v>0</v>
      </c>
      <c r="O200" s="8">
        <v>0</v>
      </c>
      <c r="P200" s="8">
        <v>1</v>
      </c>
      <c r="Q200" s="8">
        <v>0</v>
      </c>
      <c r="R200" s="8">
        <v>0</v>
      </c>
      <c r="S200" s="16">
        <v>1</v>
      </c>
      <c r="T200" s="16"/>
      <c r="U200" s="16" t="s">
        <v>50</v>
      </c>
      <c r="V200" s="16"/>
      <c r="W200" s="16" t="s">
        <v>50</v>
      </c>
      <c r="X200" s="7" t="s">
        <v>50</v>
      </c>
      <c r="Y200" s="16" t="s">
        <v>50</v>
      </c>
      <c r="Z200" s="16" t="s">
        <v>50</v>
      </c>
    </row>
    <row r="201" spans="2:26" ht="15" customHeight="1">
      <c r="B201" s="16" t="s">
        <v>634</v>
      </c>
      <c r="C201" s="16" t="s">
        <v>184</v>
      </c>
      <c r="D201" s="16" t="s">
        <v>68</v>
      </c>
      <c r="E201" s="16" t="s">
        <v>192</v>
      </c>
      <c r="F201" s="16" t="s">
        <v>635</v>
      </c>
      <c r="G201" s="8">
        <v>1</v>
      </c>
      <c r="H201" s="8">
        <v>0</v>
      </c>
      <c r="I201" s="8">
        <v>19747</v>
      </c>
      <c r="J201" s="8">
        <v>19747</v>
      </c>
      <c r="K201" s="8">
        <v>0</v>
      </c>
      <c r="L201" s="8">
        <v>0</v>
      </c>
      <c r="M201" s="8">
        <v>0</v>
      </c>
      <c r="N201" s="8">
        <v>0</v>
      </c>
      <c r="O201" s="8">
        <v>0</v>
      </c>
      <c r="P201" s="8">
        <v>1</v>
      </c>
      <c r="Q201" s="8">
        <v>0</v>
      </c>
      <c r="R201" s="8">
        <v>0</v>
      </c>
      <c r="S201" s="16">
        <v>1</v>
      </c>
      <c r="T201" s="16"/>
      <c r="U201" s="16" t="s">
        <v>50</v>
      </c>
      <c r="V201" s="16"/>
      <c r="W201" s="16" t="s">
        <v>50</v>
      </c>
      <c r="X201" s="7" t="s">
        <v>50</v>
      </c>
      <c r="Y201" s="16" t="s">
        <v>50</v>
      </c>
      <c r="Z201" s="16" t="s">
        <v>50</v>
      </c>
    </row>
    <row r="202" spans="2:26" ht="15" customHeight="1">
      <c r="B202" s="16" t="s">
        <v>1080</v>
      </c>
      <c r="C202" s="16" t="s">
        <v>184</v>
      </c>
      <c r="D202" s="16" t="s">
        <v>65</v>
      </c>
      <c r="E202" s="16" t="s">
        <v>222</v>
      </c>
      <c r="F202" s="16" t="s">
        <v>1081</v>
      </c>
      <c r="G202" s="8">
        <v>1</v>
      </c>
      <c r="H202" s="8">
        <v>0</v>
      </c>
      <c r="I202" s="8">
        <v>0</v>
      </c>
      <c r="J202" s="8">
        <v>2904</v>
      </c>
      <c r="K202" s="8">
        <v>0</v>
      </c>
      <c r="L202" s="8">
        <v>0</v>
      </c>
      <c r="M202" s="8">
        <v>0</v>
      </c>
      <c r="N202" s="8">
        <v>0</v>
      </c>
      <c r="O202" s="8">
        <v>0</v>
      </c>
      <c r="P202" s="8">
        <v>1</v>
      </c>
      <c r="Q202" s="8">
        <v>0</v>
      </c>
      <c r="R202" s="8">
        <v>0</v>
      </c>
      <c r="S202" s="16">
        <v>1</v>
      </c>
      <c r="T202" s="16"/>
      <c r="U202" s="16" t="s">
        <v>50</v>
      </c>
      <c r="V202" s="16"/>
      <c r="W202" s="16" t="s">
        <v>50</v>
      </c>
      <c r="X202" s="7" t="s">
        <v>50</v>
      </c>
      <c r="Y202" s="16" t="s">
        <v>50</v>
      </c>
      <c r="Z202" s="16" t="s">
        <v>50</v>
      </c>
    </row>
    <row r="203" spans="2:26" ht="15" customHeight="1">
      <c r="B203" s="16" t="s">
        <v>636</v>
      </c>
      <c r="C203" s="16" t="s">
        <v>184</v>
      </c>
      <c r="D203" s="16" t="s">
        <v>62</v>
      </c>
      <c r="E203" s="16" t="s">
        <v>186</v>
      </c>
      <c r="F203" s="16" t="s">
        <v>637</v>
      </c>
      <c r="G203" s="8">
        <v>1</v>
      </c>
      <c r="H203" s="8">
        <v>0</v>
      </c>
      <c r="I203" s="8">
        <v>303</v>
      </c>
      <c r="J203" s="8">
        <v>303</v>
      </c>
      <c r="K203" s="8">
        <v>34</v>
      </c>
      <c r="L203" s="8">
        <v>1</v>
      </c>
      <c r="M203" s="8">
        <v>1</v>
      </c>
      <c r="N203" s="8">
        <v>0</v>
      </c>
      <c r="O203" s="8">
        <v>0</v>
      </c>
      <c r="P203" s="8">
        <v>0</v>
      </c>
      <c r="Q203" s="8">
        <v>1</v>
      </c>
      <c r="R203" s="8">
        <v>0</v>
      </c>
      <c r="S203" s="16">
        <v>1</v>
      </c>
      <c r="T203" s="16"/>
      <c r="U203" s="16" t="s">
        <v>50</v>
      </c>
      <c r="V203" s="16"/>
      <c r="W203" s="16" t="s">
        <v>50</v>
      </c>
      <c r="X203" s="7" t="s">
        <v>50</v>
      </c>
      <c r="Y203" s="16" t="s">
        <v>50</v>
      </c>
      <c r="Z203" s="16" t="s">
        <v>50</v>
      </c>
    </row>
    <row r="204" spans="2:26" ht="15" customHeight="1">
      <c r="B204" s="16" t="s">
        <v>1082</v>
      </c>
      <c r="C204" s="16" t="s">
        <v>184</v>
      </c>
      <c r="D204" s="16" t="s">
        <v>68</v>
      </c>
      <c r="E204" s="16" t="s">
        <v>192</v>
      </c>
      <c r="F204" s="16" t="s">
        <v>1083</v>
      </c>
      <c r="G204" s="8">
        <v>1</v>
      </c>
      <c r="H204" s="8">
        <v>0</v>
      </c>
      <c r="I204" s="8">
        <v>2</v>
      </c>
      <c r="J204" s="8">
        <v>258004</v>
      </c>
      <c r="K204" s="8">
        <v>0</v>
      </c>
      <c r="L204" s="8">
        <v>0</v>
      </c>
      <c r="M204" s="8">
        <v>0</v>
      </c>
      <c r="N204" s="8">
        <v>0</v>
      </c>
      <c r="O204" s="8">
        <v>0</v>
      </c>
      <c r="P204" s="8">
        <v>0</v>
      </c>
      <c r="Q204" s="8">
        <v>0</v>
      </c>
      <c r="R204" s="8">
        <v>1</v>
      </c>
      <c r="S204" s="16">
        <v>1</v>
      </c>
      <c r="T204" s="16"/>
      <c r="U204" s="16" t="s">
        <v>50</v>
      </c>
      <c r="V204" s="16"/>
      <c r="W204" s="16" t="s">
        <v>50</v>
      </c>
      <c r="X204" s="7" t="s">
        <v>50</v>
      </c>
      <c r="Y204" s="16" t="s">
        <v>50</v>
      </c>
      <c r="Z204" s="16" t="s">
        <v>50</v>
      </c>
    </row>
    <row r="205" spans="2:26" ht="15" customHeight="1">
      <c r="B205" s="16" t="s">
        <v>1084</v>
      </c>
      <c r="C205" s="16" t="s">
        <v>165</v>
      </c>
      <c r="D205" s="16" t="s">
        <v>65</v>
      </c>
      <c r="E205" s="16" t="s">
        <v>222</v>
      </c>
      <c r="F205" s="16" t="s">
        <v>1085</v>
      </c>
      <c r="G205" s="8">
        <v>1</v>
      </c>
      <c r="H205" s="8">
        <v>9</v>
      </c>
      <c r="I205" s="8">
        <v>0</v>
      </c>
      <c r="J205" s="8">
        <v>101707</v>
      </c>
      <c r="K205" s="8">
        <v>0</v>
      </c>
      <c r="L205" s="8">
        <v>0</v>
      </c>
      <c r="M205" s="8">
        <v>0</v>
      </c>
      <c r="N205" s="8">
        <v>0</v>
      </c>
      <c r="O205" s="8">
        <v>0</v>
      </c>
      <c r="P205" s="8">
        <v>0</v>
      </c>
      <c r="Q205" s="8">
        <v>1</v>
      </c>
      <c r="R205" s="8">
        <v>0</v>
      </c>
      <c r="S205" s="16">
        <v>1</v>
      </c>
      <c r="T205" s="16"/>
      <c r="U205" s="16" t="s">
        <v>50</v>
      </c>
      <c r="V205" s="16"/>
      <c r="W205" s="16" t="s">
        <v>50</v>
      </c>
      <c r="X205" s="7" t="s">
        <v>50</v>
      </c>
      <c r="Y205" s="16" t="s">
        <v>50</v>
      </c>
      <c r="Z205" s="16" t="s">
        <v>50</v>
      </c>
    </row>
    <row r="206" spans="2:26" ht="15" customHeight="1">
      <c r="B206" s="16" t="s">
        <v>1086</v>
      </c>
      <c r="C206" s="16" t="s">
        <v>184</v>
      </c>
      <c r="D206" s="16" t="s">
        <v>97</v>
      </c>
      <c r="E206" s="16" t="s">
        <v>192</v>
      </c>
      <c r="F206" s="16" t="s">
        <v>1087</v>
      </c>
      <c r="G206" s="8">
        <v>1</v>
      </c>
      <c r="H206" s="8">
        <v>0</v>
      </c>
      <c r="I206" s="8">
        <v>0</v>
      </c>
      <c r="J206" s="8">
        <v>0</v>
      </c>
      <c r="K206" s="8">
        <v>0</v>
      </c>
      <c r="L206" s="8">
        <v>0</v>
      </c>
      <c r="M206" s="8">
        <v>0</v>
      </c>
      <c r="N206" s="8">
        <v>0</v>
      </c>
      <c r="O206" s="8">
        <v>0</v>
      </c>
      <c r="P206" s="8">
        <v>0</v>
      </c>
      <c r="Q206" s="8">
        <v>1</v>
      </c>
      <c r="R206" s="8">
        <v>0</v>
      </c>
      <c r="S206" s="16">
        <v>1</v>
      </c>
      <c r="T206" s="16"/>
      <c r="U206" s="16" t="s">
        <v>50</v>
      </c>
      <c r="V206" s="16"/>
      <c r="W206" s="16" t="s">
        <v>852</v>
      </c>
      <c r="X206" s="7" t="s">
        <v>852</v>
      </c>
      <c r="Y206" s="16" t="s">
        <v>50</v>
      </c>
      <c r="Z206" s="16" t="s">
        <v>50</v>
      </c>
    </row>
    <row r="207" spans="2:26" ht="15" customHeight="1">
      <c r="B207" s="16" t="s">
        <v>642</v>
      </c>
      <c r="C207" s="16" t="s">
        <v>184</v>
      </c>
      <c r="D207" s="16" t="s">
        <v>62</v>
      </c>
      <c r="E207" s="16" t="s">
        <v>222</v>
      </c>
      <c r="F207" s="16" t="s">
        <v>643</v>
      </c>
      <c r="G207" s="8">
        <v>1</v>
      </c>
      <c r="H207" s="8">
        <v>0</v>
      </c>
      <c r="I207" s="8">
        <v>43</v>
      </c>
      <c r="J207" s="8">
        <v>43</v>
      </c>
      <c r="K207" s="8">
        <v>2</v>
      </c>
      <c r="L207" s="8">
        <v>0</v>
      </c>
      <c r="M207" s="8">
        <v>0</v>
      </c>
      <c r="N207" s="8">
        <v>0</v>
      </c>
      <c r="O207" s="8">
        <v>0</v>
      </c>
      <c r="P207" s="8">
        <v>0</v>
      </c>
      <c r="Q207" s="8">
        <v>1</v>
      </c>
      <c r="R207" s="8">
        <v>0</v>
      </c>
      <c r="S207" s="16">
        <v>1</v>
      </c>
      <c r="T207" s="16"/>
      <c r="U207" s="16" t="s">
        <v>50</v>
      </c>
      <c r="V207" s="16"/>
      <c r="W207" s="16" t="s">
        <v>852</v>
      </c>
      <c r="X207" s="7" t="s">
        <v>852</v>
      </c>
      <c r="Y207" s="16" t="s">
        <v>864</v>
      </c>
      <c r="Z207" s="16" t="s">
        <v>50</v>
      </c>
    </row>
    <row r="208" spans="2:26" ht="15" customHeight="1">
      <c r="B208" s="16" t="s">
        <v>1088</v>
      </c>
      <c r="C208" s="16" t="s">
        <v>151</v>
      </c>
      <c r="D208" s="16" t="s">
        <v>62</v>
      </c>
      <c r="E208" s="16" t="s">
        <v>222</v>
      </c>
      <c r="F208" s="16" t="s">
        <v>1089</v>
      </c>
      <c r="G208" s="8">
        <v>1</v>
      </c>
      <c r="H208" s="8">
        <v>2</v>
      </c>
      <c r="I208" s="8">
        <v>83</v>
      </c>
      <c r="J208" s="8">
        <v>145545</v>
      </c>
      <c r="K208" s="8">
        <v>0</v>
      </c>
      <c r="L208" s="8">
        <v>0</v>
      </c>
      <c r="M208" s="8">
        <v>0</v>
      </c>
      <c r="N208" s="8">
        <v>0</v>
      </c>
      <c r="O208" s="8">
        <v>0</v>
      </c>
      <c r="P208" s="8">
        <v>1</v>
      </c>
      <c r="Q208" s="8">
        <v>0</v>
      </c>
      <c r="R208" s="8">
        <v>0</v>
      </c>
      <c r="S208" s="16">
        <v>1</v>
      </c>
      <c r="T208" s="16"/>
      <c r="U208" s="16" t="s">
        <v>50</v>
      </c>
      <c r="V208" s="16"/>
      <c r="W208" s="16" t="s">
        <v>852</v>
      </c>
      <c r="X208" s="7" t="s">
        <v>852</v>
      </c>
      <c r="Y208" s="16" t="s">
        <v>50</v>
      </c>
      <c r="Z208" s="16" t="s">
        <v>50</v>
      </c>
    </row>
    <row r="209" spans="2:26" ht="15" customHeight="1">
      <c r="B209" s="16" t="s">
        <v>1090</v>
      </c>
      <c r="C209" s="16" t="s">
        <v>713</v>
      </c>
      <c r="D209" s="16" t="s">
        <v>104</v>
      </c>
      <c r="E209" s="16" t="s">
        <v>222</v>
      </c>
      <c r="F209" s="16" t="s">
        <v>1091</v>
      </c>
      <c r="G209" s="8">
        <v>1</v>
      </c>
      <c r="H209" s="8">
        <v>5</v>
      </c>
      <c r="I209" s="8">
        <v>446</v>
      </c>
      <c r="J209" s="8">
        <v>60700</v>
      </c>
      <c r="K209" s="8">
        <v>0</v>
      </c>
      <c r="L209" s="8">
        <v>0</v>
      </c>
      <c r="M209" s="8">
        <v>0</v>
      </c>
      <c r="N209" s="8">
        <v>0</v>
      </c>
      <c r="O209" s="8">
        <v>0</v>
      </c>
      <c r="P209" s="8">
        <v>0</v>
      </c>
      <c r="Q209" s="8">
        <v>1</v>
      </c>
      <c r="R209" s="8">
        <v>0</v>
      </c>
      <c r="S209" s="16">
        <v>1</v>
      </c>
      <c r="T209" s="16"/>
      <c r="U209" s="16" t="s">
        <v>50</v>
      </c>
      <c r="V209" s="16"/>
      <c r="W209" s="16" t="s">
        <v>50</v>
      </c>
      <c r="X209" s="7" t="s">
        <v>50</v>
      </c>
      <c r="Y209" s="16" t="s">
        <v>50</v>
      </c>
      <c r="Z209" s="16" t="s">
        <v>50</v>
      </c>
    </row>
    <row r="210" spans="2:26" ht="15" customHeight="1">
      <c r="B210" s="16" t="s">
        <v>1092</v>
      </c>
      <c r="C210" s="16" t="s">
        <v>184</v>
      </c>
      <c r="D210" s="16" t="s">
        <v>73</v>
      </c>
      <c r="E210" s="16" t="s">
        <v>192</v>
      </c>
      <c r="F210" s="16" t="s">
        <v>1093</v>
      </c>
      <c r="G210" s="8">
        <v>1</v>
      </c>
      <c r="H210" s="8">
        <v>0</v>
      </c>
      <c r="I210" s="8">
        <v>0</v>
      </c>
      <c r="J210" s="8">
        <v>0</v>
      </c>
      <c r="K210" s="8">
        <v>0</v>
      </c>
      <c r="L210" s="8">
        <v>0</v>
      </c>
      <c r="M210" s="8">
        <v>0</v>
      </c>
      <c r="N210" s="8">
        <v>0</v>
      </c>
      <c r="O210" s="8">
        <v>0</v>
      </c>
      <c r="P210" s="8">
        <v>0</v>
      </c>
      <c r="Q210" s="8">
        <v>1</v>
      </c>
      <c r="R210" s="8">
        <v>0</v>
      </c>
      <c r="S210" s="16">
        <v>1</v>
      </c>
      <c r="T210" s="16"/>
      <c r="U210" s="16" t="s">
        <v>50</v>
      </c>
      <c r="V210" s="16"/>
      <c r="W210" s="16" t="s">
        <v>852</v>
      </c>
      <c r="X210" s="7" t="s">
        <v>852</v>
      </c>
      <c r="Y210" s="16" t="s">
        <v>50</v>
      </c>
      <c r="Z210" s="16" t="s">
        <v>50</v>
      </c>
    </row>
    <row r="211" spans="2:26" ht="15" customHeight="1">
      <c r="B211" s="16" t="s">
        <v>1094</v>
      </c>
      <c r="C211" s="16" t="s">
        <v>184</v>
      </c>
      <c r="D211" s="16" t="s">
        <v>73</v>
      </c>
      <c r="E211" s="16" t="s">
        <v>192</v>
      </c>
      <c r="F211" s="16" t="s">
        <v>1095</v>
      </c>
      <c r="G211" s="8">
        <v>1</v>
      </c>
      <c r="H211" s="8">
        <v>0</v>
      </c>
      <c r="I211" s="8">
        <v>0</v>
      </c>
      <c r="J211" s="8">
        <v>0</v>
      </c>
      <c r="K211" s="8">
        <v>0</v>
      </c>
      <c r="L211" s="8">
        <v>0</v>
      </c>
      <c r="M211" s="8">
        <v>0</v>
      </c>
      <c r="N211" s="8">
        <v>0</v>
      </c>
      <c r="O211" s="8">
        <v>0</v>
      </c>
      <c r="P211" s="8">
        <v>1</v>
      </c>
      <c r="Q211" s="8">
        <v>0</v>
      </c>
      <c r="R211" s="8">
        <v>0</v>
      </c>
      <c r="S211" s="16">
        <v>1</v>
      </c>
      <c r="T211" s="16"/>
      <c r="U211" s="16" t="s">
        <v>50</v>
      </c>
      <c r="V211" s="16"/>
      <c r="W211" s="16" t="s">
        <v>852</v>
      </c>
      <c r="X211" s="7" t="s">
        <v>852</v>
      </c>
      <c r="Y211" s="16" t="s">
        <v>50</v>
      </c>
      <c r="Z211" s="16" t="s">
        <v>50</v>
      </c>
    </row>
    <row r="212" spans="2:26" ht="15" customHeight="1">
      <c r="B212" s="16" t="s">
        <v>1096</v>
      </c>
      <c r="C212" s="16" t="s">
        <v>184</v>
      </c>
      <c r="D212" s="16" t="s">
        <v>73</v>
      </c>
      <c r="E212" s="16" t="s">
        <v>192</v>
      </c>
      <c r="F212" s="16" t="s">
        <v>1097</v>
      </c>
      <c r="G212" s="8">
        <v>1</v>
      </c>
      <c r="H212" s="8">
        <v>0</v>
      </c>
      <c r="I212" s="8">
        <v>0</v>
      </c>
      <c r="J212" s="8">
        <v>0</v>
      </c>
      <c r="K212" s="8">
        <v>0</v>
      </c>
      <c r="L212" s="8">
        <v>0</v>
      </c>
      <c r="M212" s="8">
        <v>0</v>
      </c>
      <c r="N212" s="8">
        <v>0</v>
      </c>
      <c r="O212" s="8">
        <v>0</v>
      </c>
      <c r="P212" s="8">
        <v>0</v>
      </c>
      <c r="Q212" s="8">
        <v>1</v>
      </c>
      <c r="R212" s="8">
        <v>0</v>
      </c>
      <c r="S212" s="16">
        <v>1</v>
      </c>
      <c r="T212" s="16"/>
      <c r="U212" s="16" t="s">
        <v>50</v>
      </c>
      <c r="V212" s="16"/>
      <c r="W212" s="16" t="s">
        <v>855</v>
      </c>
      <c r="X212" s="7" t="s">
        <v>855</v>
      </c>
      <c r="Y212" s="16" t="s">
        <v>50</v>
      </c>
      <c r="Z212" s="16" t="s">
        <v>50</v>
      </c>
    </row>
    <row r="213" spans="2:26" ht="15" customHeight="1">
      <c r="B213" s="16" t="s">
        <v>1098</v>
      </c>
      <c r="C213" s="16" t="s">
        <v>184</v>
      </c>
      <c r="D213" s="16" t="s">
        <v>73</v>
      </c>
      <c r="E213" s="16" t="s">
        <v>192</v>
      </c>
      <c r="F213" s="16" t="s">
        <v>1099</v>
      </c>
      <c r="G213" s="8">
        <v>1</v>
      </c>
      <c r="H213" s="8">
        <v>0</v>
      </c>
      <c r="I213" s="8">
        <v>0</v>
      </c>
      <c r="J213" s="8">
        <v>0</v>
      </c>
      <c r="K213" s="8">
        <v>0</v>
      </c>
      <c r="L213" s="8">
        <v>0</v>
      </c>
      <c r="M213" s="8">
        <v>0</v>
      </c>
      <c r="N213" s="8">
        <v>0</v>
      </c>
      <c r="O213" s="8">
        <v>0</v>
      </c>
      <c r="P213" s="8">
        <v>0</v>
      </c>
      <c r="Q213" s="8">
        <v>1</v>
      </c>
      <c r="R213" s="8">
        <v>0</v>
      </c>
      <c r="S213" s="16">
        <v>1</v>
      </c>
      <c r="T213" s="16"/>
      <c r="U213" s="16" t="s">
        <v>50</v>
      </c>
      <c r="V213" s="16"/>
      <c r="W213" s="16" t="s">
        <v>852</v>
      </c>
      <c r="X213" s="7" t="s">
        <v>852</v>
      </c>
      <c r="Y213" s="16" t="s">
        <v>50</v>
      </c>
      <c r="Z213" s="16" t="s">
        <v>50</v>
      </c>
    </row>
    <row r="214" spans="2:26" ht="15" customHeight="1">
      <c r="B214" s="16" t="s">
        <v>1100</v>
      </c>
      <c r="C214" s="16" t="s">
        <v>184</v>
      </c>
      <c r="D214" s="16" t="s">
        <v>73</v>
      </c>
      <c r="E214" s="16" t="s">
        <v>192</v>
      </c>
      <c r="F214" s="16" t="s">
        <v>1101</v>
      </c>
      <c r="G214" s="8">
        <v>1</v>
      </c>
      <c r="H214" s="8">
        <v>0</v>
      </c>
      <c r="I214" s="8">
        <v>0</v>
      </c>
      <c r="J214" s="8">
        <v>0</v>
      </c>
      <c r="K214" s="8">
        <v>0</v>
      </c>
      <c r="L214" s="8">
        <v>0</v>
      </c>
      <c r="M214" s="8">
        <v>0</v>
      </c>
      <c r="N214" s="8">
        <v>0</v>
      </c>
      <c r="O214" s="8">
        <v>0</v>
      </c>
      <c r="P214" s="8">
        <v>0</v>
      </c>
      <c r="Q214" s="8">
        <v>1</v>
      </c>
      <c r="R214" s="8">
        <v>0</v>
      </c>
      <c r="S214" s="16">
        <v>1</v>
      </c>
      <c r="T214" s="16"/>
      <c r="U214" s="16" t="s">
        <v>50</v>
      </c>
      <c r="V214" s="16"/>
      <c r="W214" s="16" t="s">
        <v>852</v>
      </c>
      <c r="X214" s="7" t="s">
        <v>852</v>
      </c>
      <c r="Y214" s="16" t="s">
        <v>50</v>
      </c>
      <c r="Z214" s="16" t="s">
        <v>50</v>
      </c>
    </row>
    <row r="215" spans="2:26" ht="15" customHeight="1">
      <c r="B215" s="16" t="s">
        <v>1102</v>
      </c>
      <c r="C215" s="16" t="s">
        <v>184</v>
      </c>
      <c r="D215" s="16" t="s">
        <v>73</v>
      </c>
      <c r="E215" s="16" t="s">
        <v>192</v>
      </c>
      <c r="F215" s="16" t="s">
        <v>1103</v>
      </c>
      <c r="G215" s="8">
        <v>1</v>
      </c>
      <c r="H215" s="8">
        <v>0</v>
      </c>
      <c r="I215" s="8">
        <v>0</v>
      </c>
      <c r="J215" s="8">
        <v>0</v>
      </c>
      <c r="K215" s="8">
        <v>0</v>
      </c>
      <c r="L215" s="8">
        <v>0</v>
      </c>
      <c r="M215" s="8">
        <v>0</v>
      </c>
      <c r="N215" s="8">
        <v>0</v>
      </c>
      <c r="O215" s="8">
        <v>0</v>
      </c>
      <c r="P215" s="8">
        <v>0</v>
      </c>
      <c r="Q215" s="8">
        <v>0</v>
      </c>
      <c r="R215" s="8">
        <v>1</v>
      </c>
      <c r="S215" s="16">
        <v>1</v>
      </c>
      <c r="T215" s="16"/>
      <c r="U215" s="16" t="s">
        <v>50</v>
      </c>
      <c r="V215" s="16"/>
      <c r="W215" s="16" t="s">
        <v>852</v>
      </c>
      <c r="X215" s="7" t="s">
        <v>852</v>
      </c>
      <c r="Y215" s="16" t="s">
        <v>50</v>
      </c>
      <c r="Z215" s="16" t="s">
        <v>50</v>
      </c>
    </row>
    <row r="216" spans="2:26" ht="15" customHeight="1">
      <c r="B216" s="16" t="s">
        <v>1104</v>
      </c>
      <c r="C216" s="16" t="s">
        <v>184</v>
      </c>
      <c r="D216" s="16" t="s">
        <v>73</v>
      </c>
      <c r="E216" s="16" t="s">
        <v>192</v>
      </c>
      <c r="F216" s="16" t="s">
        <v>1105</v>
      </c>
      <c r="G216" s="8">
        <v>1</v>
      </c>
      <c r="H216" s="8">
        <v>0</v>
      </c>
      <c r="I216" s="8">
        <v>0</v>
      </c>
      <c r="J216" s="8">
        <v>0</v>
      </c>
      <c r="K216" s="8">
        <v>0</v>
      </c>
      <c r="L216" s="8">
        <v>0</v>
      </c>
      <c r="M216" s="8">
        <v>0</v>
      </c>
      <c r="N216" s="8">
        <v>0</v>
      </c>
      <c r="O216" s="8">
        <v>0</v>
      </c>
      <c r="P216" s="8">
        <v>0</v>
      </c>
      <c r="Q216" s="8">
        <v>1</v>
      </c>
      <c r="R216" s="8">
        <v>0</v>
      </c>
      <c r="S216" s="16">
        <v>1</v>
      </c>
      <c r="T216" s="16"/>
      <c r="U216" s="16" t="s">
        <v>50</v>
      </c>
      <c r="V216" s="16"/>
      <c r="W216" s="16" t="s">
        <v>852</v>
      </c>
      <c r="X216" s="7" t="s">
        <v>852</v>
      </c>
      <c r="Y216" s="16" t="s">
        <v>50</v>
      </c>
      <c r="Z216" s="16" t="s">
        <v>50</v>
      </c>
    </row>
    <row r="217" spans="2:26" ht="15" customHeight="1">
      <c r="B217" s="16" t="s">
        <v>1106</v>
      </c>
      <c r="C217" s="16" t="s">
        <v>184</v>
      </c>
      <c r="D217" s="16" t="s">
        <v>73</v>
      </c>
      <c r="E217" s="16" t="s">
        <v>192</v>
      </c>
      <c r="F217" s="16" t="s">
        <v>1107</v>
      </c>
      <c r="G217" s="8">
        <v>1</v>
      </c>
      <c r="H217" s="8">
        <v>0</v>
      </c>
      <c r="I217" s="8">
        <v>0</v>
      </c>
      <c r="J217" s="8">
        <v>0</v>
      </c>
      <c r="K217" s="8">
        <v>0</v>
      </c>
      <c r="L217" s="8">
        <v>0</v>
      </c>
      <c r="M217" s="8">
        <v>0</v>
      </c>
      <c r="N217" s="8">
        <v>0</v>
      </c>
      <c r="O217" s="8">
        <v>0</v>
      </c>
      <c r="P217" s="8">
        <v>0</v>
      </c>
      <c r="Q217" s="8">
        <v>1</v>
      </c>
      <c r="R217" s="8">
        <v>0</v>
      </c>
      <c r="S217" s="16">
        <v>1</v>
      </c>
      <c r="T217" s="16"/>
      <c r="U217" s="16" t="s">
        <v>50</v>
      </c>
      <c r="V217" s="16"/>
      <c r="W217" s="16" t="s">
        <v>852</v>
      </c>
      <c r="X217" s="7" t="s">
        <v>852</v>
      </c>
      <c r="Y217" s="16" t="s">
        <v>50</v>
      </c>
      <c r="Z217" s="16" t="s">
        <v>50</v>
      </c>
    </row>
    <row r="218" spans="2:26" ht="15" customHeight="1">
      <c r="B218" s="16" t="s">
        <v>1108</v>
      </c>
      <c r="C218" s="16" t="s">
        <v>184</v>
      </c>
      <c r="D218" s="16" t="s">
        <v>62</v>
      </c>
      <c r="E218" s="16" t="s">
        <v>222</v>
      </c>
      <c r="F218" s="16" t="s">
        <v>1109</v>
      </c>
      <c r="G218" s="8">
        <v>1</v>
      </c>
      <c r="H218" s="8">
        <v>5</v>
      </c>
      <c r="I218" s="8">
        <v>34</v>
      </c>
      <c r="J218" s="8">
        <v>9057</v>
      </c>
      <c r="K218" s="8">
        <v>0</v>
      </c>
      <c r="L218" s="8">
        <v>0</v>
      </c>
      <c r="M218" s="8">
        <v>0</v>
      </c>
      <c r="N218" s="8">
        <v>0</v>
      </c>
      <c r="O218" s="8">
        <v>0</v>
      </c>
      <c r="P218" s="8">
        <v>0</v>
      </c>
      <c r="Q218" s="8">
        <v>1</v>
      </c>
      <c r="R218" s="8">
        <v>0</v>
      </c>
      <c r="S218" s="16">
        <v>1</v>
      </c>
      <c r="T218" s="16"/>
      <c r="U218" s="16" t="s">
        <v>50</v>
      </c>
      <c r="V218" s="16"/>
      <c r="W218" s="16" t="s">
        <v>855</v>
      </c>
      <c r="X218" s="7" t="s">
        <v>855</v>
      </c>
      <c r="Y218" s="16" t="s">
        <v>50</v>
      </c>
      <c r="Z218" s="16" t="s">
        <v>50</v>
      </c>
    </row>
    <row r="219" spans="2:26" ht="15" customHeight="1">
      <c r="B219" s="16" t="s">
        <v>1110</v>
      </c>
      <c r="C219" s="16" t="s">
        <v>184</v>
      </c>
      <c r="D219" s="16" t="s">
        <v>68</v>
      </c>
      <c r="E219" s="16" t="s">
        <v>192</v>
      </c>
      <c r="F219" s="16" t="s">
        <v>1111</v>
      </c>
      <c r="G219" s="8">
        <v>1</v>
      </c>
      <c r="H219" s="8">
        <v>0</v>
      </c>
      <c r="I219" s="8">
        <v>427</v>
      </c>
      <c r="J219" s="8">
        <v>108132</v>
      </c>
      <c r="K219" s="8">
        <v>0</v>
      </c>
      <c r="L219" s="8">
        <v>3</v>
      </c>
      <c r="M219" s="8">
        <v>3</v>
      </c>
      <c r="N219" s="8">
        <v>0</v>
      </c>
      <c r="O219" s="8">
        <v>0</v>
      </c>
      <c r="P219" s="8">
        <v>0</v>
      </c>
      <c r="Q219" s="8">
        <v>1</v>
      </c>
      <c r="R219" s="8">
        <v>0</v>
      </c>
      <c r="S219" s="16">
        <v>1</v>
      </c>
      <c r="T219" s="16"/>
      <c r="U219" s="16" t="s">
        <v>50</v>
      </c>
      <c r="V219" s="16"/>
      <c r="W219" s="16" t="s">
        <v>50</v>
      </c>
      <c r="X219" s="7" t="s">
        <v>50</v>
      </c>
      <c r="Y219" s="16" t="s">
        <v>50</v>
      </c>
      <c r="Z219" s="16" t="s">
        <v>50</v>
      </c>
    </row>
    <row r="220" spans="2:26" ht="15" customHeight="1">
      <c r="B220" s="16" t="s">
        <v>1112</v>
      </c>
      <c r="C220" s="16" t="s">
        <v>184</v>
      </c>
      <c r="D220" s="16" t="s">
        <v>62</v>
      </c>
      <c r="E220" s="16" t="s">
        <v>222</v>
      </c>
      <c r="F220" s="16" t="s">
        <v>1113</v>
      </c>
      <c r="G220" s="8">
        <v>1</v>
      </c>
      <c r="H220" s="8">
        <v>4</v>
      </c>
      <c r="I220" s="8">
        <v>0</v>
      </c>
      <c r="J220" s="8">
        <v>188185</v>
      </c>
      <c r="K220" s="8">
        <v>0</v>
      </c>
      <c r="L220" s="8">
        <v>0</v>
      </c>
      <c r="M220" s="8">
        <v>0</v>
      </c>
      <c r="N220" s="8">
        <v>0</v>
      </c>
      <c r="O220" s="8">
        <v>0</v>
      </c>
      <c r="P220" s="8">
        <v>0</v>
      </c>
      <c r="Q220" s="8">
        <v>1</v>
      </c>
      <c r="R220" s="8">
        <v>0</v>
      </c>
      <c r="S220" s="16">
        <v>1</v>
      </c>
      <c r="T220" s="16"/>
      <c r="U220" s="16" t="s">
        <v>50</v>
      </c>
      <c r="V220" s="16"/>
      <c r="W220" s="16" t="s">
        <v>855</v>
      </c>
      <c r="X220" s="7" t="s">
        <v>855</v>
      </c>
      <c r="Y220" s="16" t="s">
        <v>50</v>
      </c>
      <c r="Z220" s="16" t="s">
        <v>50</v>
      </c>
    </row>
    <row r="221" spans="2:26" ht="15" customHeight="1">
      <c r="B221" s="16" t="s">
        <v>1114</v>
      </c>
      <c r="C221" s="16" t="s">
        <v>184</v>
      </c>
      <c r="D221" s="16" t="s">
        <v>65</v>
      </c>
      <c r="E221" s="16" t="s">
        <v>222</v>
      </c>
      <c r="F221" s="16" t="s">
        <v>1115</v>
      </c>
      <c r="G221" s="8">
        <v>1</v>
      </c>
      <c r="H221" s="8">
        <v>0</v>
      </c>
      <c r="I221" s="8">
        <v>0</v>
      </c>
      <c r="J221" s="8">
        <v>77731</v>
      </c>
      <c r="K221" s="8">
        <v>0</v>
      </c>
      <c r="L221" s="8">
        <v>0</v>
      </c>
      <c r="M221" s="8">
        <v>0</v>
      </c>
      <c r="N221" s="8">
        <v>0</v>
      </c>
      <c r="O221" s="8">
        <v>0</v>
      </c>
      <c r="P221" s="8">
        <v>0</v>
      </c>
      <c r="Q221" s="8">
        <v>1</v>
      </c>
      <c r="R221" s="8">
        <v>0</v>
      </c>
      <c r="S221" s="16">
        <v>1</v>
      </c>
      <c r="T221" s="16"/>
      <c r="U221" s="16" t="s">
        <v>50</v>
      </c>
      <c r="V221" s="16"/>
      <c r="W221" s="16" t="s">
        <v>852</v>
      </c>
      <c r="X221" s="7" t="s">
        <v>852</v>
      </c>
      <c r="Y221" s="16" t="s">
        <v>50</v>
      </c>
      <c r="Z221" s="16" t="s">
        <v>50</v>
      </c>
    </row>
    <row r="222" spans="2:26" ht="15" customHeight="1">
      <c r="B222" s="16" t="s">
        <v>646</v>
      </c>
      <c r="C222" s="16" t="s">
        <v>184</v>
      </c>
      <c r="D222" s="16" t="s">
        <v>62</v>
      </c>
      <c r="E222" s="16" t="s">
        <v>186</v>
      </c>
      <c r="F222" s="16" t="s">
        <v>647</v>
      </c>
      <c r="G222" s="8">
        <v>1</v>
      </c>
      <c r="H222" s="8">
        <v>0</v>
      </c>
      <c r="I222" s="8">
        <v>213</v>
      </c>
      <c r="J222" s="8">
        <v>213</v>
      </c>
      <c r="K222" s="8">
        <v>81</v>
      </c>
      <c r="L222" s="8">
        <v>8</v>
      </c>
      <c r="M222" s="8">
        <v>8</v>
      </c>
      <c r="N222" s="8">
        <v>0</v>
      </c>
      <c r="O222" s="8">
        <v>0</v>
      </c>
      <c r="P222" s="8">
        <v>1</v>
      </c>
      <c r="Q222" s="8">
        <v>0</v>
      </c>
      <c r="R222" s="8">
        <v>0</v>
      </c>
      <c r="S222" s="16">
        <v>1</v>
      </c>
      <c r="T222" s="16" t="s">
        <v>187</v>
      </c>
      <c r="U222" s="16" t="s">
        <v>200</v>
      </c>
      <c r="V222" s="16" t="s">
        <v>201</v>
      </c>
      <c r="W222" s="16" t="s">
        <v>50</v>
      </c>
      <c r="X222" s="7" t="s">
        <v>50</v>
      </c>
      <c r="Y222" s="16" t="s">
        <v>50</v>
      </c>
      <c r="Z222" s="16" t="s">
        <v>50</v>
      </c>
    </row>
    <row r="223" spans="2:26" ht="15" customHeight="1">
      <c r="B223" s="16" t="s">
        <v>648</v>
      </c>
      <c r="C223" s="16" t="s">
        <v>184</v>
      </c>
      <c r="D223" s="16" t="s">
        <v>68</v>
      </c>
      <c r="E223" s="16" t="s">
        <v>192</v>
      </c>
      <c r="F223" s="16" t="s">
        <v>649</v>
      </c>
      <c r="G223" s="8">
        <v>1</v>
      </c>
      <c r="H223" s="8">
        <v>0</v>
      </c>
      <c r="I223" s="8">
        <v>43</v>
      </c>
      <c r="J223" s="8">
        <v>43</v>
      </c>
      <c r="K223" s="8">
        <v>0</v>
      </c>
      <c r="L223" s="8">
        <v>0</v>
      </c>
      <c r="M223" s="8">
        <v>0</v>
      </c>
      <c r="N223" s="8">
        <v>0</v>
      </c>
      <c r="O223" s="8">
        <v>0</v>
      </c>
      <c r="P223" s="8">
        <v>1</v>
      </c>
      <c r="Q223" s="8">
        <v>0</v>
      </c>
      <c r="R223" s="8">
        <v>0</v>
      </c>
      <c r="S223" s="16">
        <v>1</v>
      </c>
      <c r="T223" s="16"/>
      <c r="U223" s="16" t="s">
        <v>50</v>
      </c>
      <c r="V223" s="16"/>
      <c r="W223" s="16" t="s">
        <v>50</v>
      </c>
      <c r="X223" s="7" t="s">
        <v>50</v>
      </c>
      <c r="Y223" s="16" t="s">
        <v>50</v>
      </c>
      <c r="Z223" s="16" t="s">
        <v>50</v>
      </c>
    </row>
    <row r="224" spans="2:26" ht="15" customHeight="1">
      <c r="B224" s="16" t="s">
        <v>969</v>
      </c>
      <c r="C224" s="16" t="s">
        <v>184</v>
      </c>
      <c r="D224" s="16" t="s">
        <v>65</v>
      </c>
      <c r="E224" s="16" t="s">
        <v>222</v>
      </c>
      <c r="F224" s="16" t="s">
        <v>1116</v>
      </c>
      <c r="G224" s="8">
        <v>1</v>
      </c>
      <c r="H224" s="8">
        <v>0</v>
      </c>
      <c r="I224" s="8">
        <v>0</v>
      </c>
      <c r="J224" s="8">
        <v>6282</v>
      </c>
      <c r="K224" s="8">
        <v>0</v>
      </c>
      <c r="L224" s="8">
        <v>0</v>
      </c>
      <c r="M224" s="8">
        <v>0</v>
      </c>
      <c r="N224" s="8">
        <v>0</v>
      </c>
      <c r="O224" s="8">
        <v>0</v>
      </c>
      <c r="P224" s="8">
        <v>0</v>
      </c>
      <c r="Q224" s="8">
        <v>1</v>
      </c>
      <c r="R224" s="8">
        <v>0</v>
      </c>
      <c r="S224" s="16">
        <v>1</v>
      </c>
      <c r="T224" s="16"/>
      <c r="U224" s="16" t="s">
        <v>50</v>
      </c>
      <c r="V224" s="16"/>
      <c r="W224" s="16" t="s">
        <v>50</v>
      </c>
      <c r="X224" s="7" t="s">
        <v>50</v>
      </c>
      <c r="Y224" s="16" t="s">
        <v>50</v>
      </c>
      <c r="Z224" s="16" t="s">
        <v>50</v>
      </c>
    </row>
    <row r="225" spans="2:26" ht="15" customHeight="1">
      <c r="B225" s="16" t="s">
        <v>1117</v>
      </c>
      <c r="C225" s="16" t="s">
        <v>184</v>
      </c>
      <c r="D225" s="16" t="s">
        <v>65</v>
      </c>
      <c r="E225" s="16" t="s">
        <v>222</v>
      </c>
      <c r="F225" s="16" t="s">
        <v>1118</v>
      </c>
      <c r="G225" s="8">
        <v>1</v>
      </c>
      <c r="H225" s="8">
        <v>5</v>
      </c>
      <c r="I225" s="8">
        <v>0</v>
      </c>
      <c r="J225" s="8">
        <v>9370</v>
      </c>
      <c r="K225" s="8">
        <v>0</v>
      </c>
      <c r="L225" s="8">
        <v>0</v>
      </c>
      <c r="M225" s="8">
        <v>0</v>
      </c>
      <c r="N225" s="8">
        <v>0</v>
      </c>
      <c r="O225" s="8">
        <v>0</v>
      </c>
      <c r="P225" s="8">
        <v>0</v>
      </c>
      <c r="Q225" s="8">
        <v>1</v>
      </c>
      <c r="R225" s="8">
        <v>0</v>
      </c>
      <c r="S225" s="16">
        <v>1</v>
      </c>
      <c r="T225" s="16"/>
      <c r="U225" s="16" t="s">
        <v>50</v>
      </c>
      <c r="V225" s="16"/>
      <c r="W225" s="16" t="s">
        <v>852</v>
      </c>
      <c r="X225" s="7" t="s">
        <v>852</v>
      </c>
      <c r="Y225" s="16" t="s">
        <v>50</v>
      </c>
      <c r="Z225" s="16" t="s">
        <v>50</v>
      </c>
    </row>
    <row r="226" spans="2:26" ht="15" customHeight="1">
      <c r="B226" s="16" t="s">
        <v>1119</v>
      </c>
      <c r="C226" s="16" t="s">
        <v>269</v>
      </c>
      <c r="D226" s="16" t="s">
        <v>65</v>
      </c>
      <c r="E226" s="16" t="s">
        <v>222</v>
      </c>
      <c r="F226" s="16" t="s">
        <v>1120</v>
      </c>
      <c r="G226" s="8">
        <v>1</v>
      </c>
      <c r="H226" s="8">
        <v>8</v>
      </c>
      <c r="I226" s="8">
        <v>0</v>
      </c>
      <c r="J226" s="8">
        <v>48548</v>
      </c>
      <c r="K226" s="8">
        <v>0</v>
      </c>
      <c r="L226" s="8">
        <v>0</v>
      </c>
      <c r="M226" s="8">
        <v>0</v>
      </c>
      <c r="N226" s="8">
        <v>0</v>
      </c>
      <c r="O226" s="8">
        <v>0</v>
      </c>
      <c r="P226" s="8">
        <v>0</v>
      </c>
      <c r="Q226" s="8">
        <v>1</v>
      </c>
      <c r="R226" s="8">
        <v>0</v>
      </c>
      <c r="S226" s="16">
        <v>1</v>
      </c>
      <c r="T226" s="16"/>
      <c r="U226" s="16" t="s">
        <v>50</v>
      </c>
      <c r="V226" s="16"/>
      <c r="W226" s="16" t="s">
        <v>852</v>
      </c>
      <c r="X226" s="7" t="s">
        <v>852</v>
      </c>
      <c r="Y226" s="16" t="s">
        <v>50</v>
      </c>
      <c r="Z226" s="16" t="s">
        <v>50</v>
      </c>
    </row>
    <row r="227" spans="2:26" ht="15" customHeight="1">
      <c r="B227" s="16" t="s">
        <v>660</v>
      </c>
      <c r="C227" s="16" t="s">
        <v>661</v>
      </c>
      <c r="D227" s="16" t="s">
        <v>76</v>
      </c>
      <c r="E227" s="16" t="s">
        <v>186</v>
      </c>
      <c r="F227" s="16" t="s">
        <v>662</v>
      </c>
      <c r="G227" s="8">
        <v>1</v>
      </c>
      <c r="H227" s="8">
        <v>25</v>
      </c>
      <c r="I227" s="8">
        <v>42179</v>
      </c>
      <c r="J227" s="8">
        <v>42179</v>
      </c>
      <c r="K227" s="8">
        <v>0</v>
      </c>
      <c r="L227" s="8">
        <v>15</v>
      </c>
      <c r="M227" s="8">
        <v>14</v>
      </c>
      <c r="N227" s="8">
        <v>0</v>
      </c>
      <c r="O227" s="8">
        <v>1</v>
      </c>
      <c r="P227" s="8">
        <v>0</v>
      </c>
      <c r="Q227" s="8">
        <v>1</v>
      </c>
      <c r="R227" s="8">
        <v>0</v>
      </c>
      <c r="S227" s="16">
        <v>1</v>
      </c>
      <c r="T227" s="16"/>
      <c r="U227" s="16" t="s">
        <v>50</v>
      </c>
      <c r="V227" s="16"/>
      <c r="W227" s="16" t="s">
        <v>50</v>
      </c>
      <c r="X227" s="7" t="s">
        <v>50</v>
      </c>
      <c r="Y227" s="16" t="s">
        <v>50</v>
      </c>
      <c r="Z227" s="16" t="s">
        <v>50</v>
      </c>
    </row>
    <row r="228" spans="2:26" ht="15" customHeight="1">
      <c r="B228" s="16" t="s">
        <v>1121</v>
      </c>
      <c r="C228" s="16" t="s">
        <v>151</v>
      </c>
      <c r="D228" s="16" t="s">
        <v>78</v>
      </c>
      <c r="E228" s="16" t="s">
        <v>192</v>
      </c>
      <c r="F228" s="16" t="s">
        <v>1122</v>
      </c>
      <c r="G228" s="8">
        <v>1</v>
      </c>
      <c r="H228" s="8">
        <v>9</v>
      </c>
      <c r="I228" s="8">
        <v>12</v>
      </c>
      <c r="J228" s="8">
        <v>2590000</v>
      </c>
      <c r="K228" s="8">
        <v>0</v>
      </c>
      <c r="L228" s="8">
        <v>1</v>
      </c>
      <c r="M228" s="8">
        <v>1</v>
      </c>
      <c r="N228" s="8">
        <v>0</v>
      </c>
      <c r="O228" s="8">
        <v>0</v>
      </c>
      <c r="P228" s="8">
        <v>0</v>
      </c>
      <c r="Q228" s="8">
        <v>1</v>
      </c>
      <c r="R228" s="8">
        <v>0</v>
      </c>
      <c r="S228" s="16">
        <v>1</v>
      </c>
      <c r="T228" s="16"/>
      <c r="U228" s="16" t="s">
        <v>50</v>
      </c>
      <c r="V228" s="16"/>
      <c r="W228" s="16" t="s">
        <v>852</v>
      </c>
      <c r="X228" s="7" t="s">
        <v>852</v>
      </c>
      <c r="Y228" s="16" t="s">
        <v>50</v>
      </c>
      <c r="Z228" s="16" t="s">
        <v>50</v>
      </c>
    </row>
    <row r="229" spans="2:26" ht="15" customHeight="1">
      <c r="B229" s="16" t="s">
        <v>1123</v>
      </c>
      <c r="C229" s="16" t="s">
        <v>184</v>
      </c>
      <c r="D229" s="16" t="s">
        <v>68</v>
      </c>
      <c r="E229" s="16" t="s">
        <v>192</v>
      </c>
      <c r="F229" s="16" t="s">
        <v>1124</v>
      </c>
      <c r="G229" s="8">
        <v>1</v>
      </c>
      <c r="H229" s="8">
        <v>0</v>
      </c>
      <c r="I229" s="8">
        <v>1</v>
      </c>
      <c r="J229" s="8">
        <v>108132</v>
      </c>
      <c r="K229" s="8">
        <v>0</v>
      </c>
      <c r="L229" s="8">
        <v>1</v>
      </c>
      <c r="M229" s="8">
        <v>1</v>
      </c>
      <c r="N229" s="8">
        <v>0</v>
      </c>
      <c r="O229" s="8">
        <v>0</v>
      </c>
      <c r="P229" s="8">
        <v>0</v>
      </c>
      <c r="Q229" s="8">
        <v>1</v>
      </c>
      <c r="R229" s="8">
        <v>0</v>
      </c>
      <c r="S229" s="16">
        <v>1</v>
      </c>
      <c r="T229" s="16"/>
      <c r="U229" s="16" t="s">
        <v>50</v>
      </c>
      <c r="V229" s="16"/>
      <c r="W229" s="16" t="s">
        <v>852</v>
      </c>
      <c r="X229" s="7" t="s">
        <v>852</v>
      </c>
      <c r="Y229" s="16" t="s">
        <v>50</v>
      </c>
      <c r="Z229" s="16" t="s">
        <v>50</v>
      </c>
    </row>
    <row r="230" spans="2:26" ht="15" customHeight="1">
      <c r="B230" s="16" t="s">
        <v>1125</v>
      </c>
      <c r="C230" s="16" t="s">
        <v>184</v>
      </c>
      <c r="D230" s="16" t="s">
        <v>68</v>
      </c>
      <c r="E230" s="16" t="s">
        <v>192</v>
      </c>
      <c r="F230" s="16" t="s">
        <v>1126</v>
      </c>
      <c r="G230" s="8">
        <v>1</v>
      </c>
      <c r="H230" s="8">
        <v>0</v>
      </c>
      <c r="I230" s="8">
        <v>1</v>
      </c>
      <c r="J230" s="8">
        <v>45693</v>
      </c>
      <c r="K230" s="8">
        <v>0</v>
      </c>
      <c r="L230" s="8">
        <v>0</v>
      </c>
      <c r="M230" s="8">
        <v>0</v>
      </c>
      <c r="N230" s="8">
        <v>0</v>
      </c>
      <c r="O230" s="8">
        <v>0</v>
      </c>
      <c r="P230" s="8">
        <v>0</v>
      </c>
      <c r="Q230" s="8">
        <v>1</v>
      </c>
      <c r="R230" s="8">
        <v>0</v>
      </c>
      <c r="S230" s="16">
        <v>1</v>
      </c>
      <c r="T230" s="16"/>
      <c r="U230" s="16" t="s">
        <v>50</v>
      </c>
      <c r="V230" s="16"/>
      <c r="W230" s="16" t="s">
        <v>852</v>
      </c>
      <c r="X230" s="7" t="s">
        <v>852</v>
      </c>
      <c r="Y230" s="16" t="s">
        <v>50</v>
      </c>
      <c r="Z230" s="16" t="s">
        <v>50</v>
      </c>
    </row>
    <row r="231" spans="2:26" ht="15" customHeight="1">
      <c r="B231" s="16" t="s">
        <v>1127</v>
      </c>
      <c r="C231" s="16" t="s">
        <v>184</v>
      </c>
      <c r="D231" s="16" t="s">
        <v>93</v>
      </c>
      <c r="E231" s="16" t="s">
        <v>222</v>
      </c>
      <c r="F231" s="16" t="s">
        <v>1128</v>
      </c>
      <c r="G231" s="8">
        <v>1</v>
      </c>
      <c r="H231" s="8">
        <v>0</v>
      </c>
      <c r="I231" s="8">
        <v>5</v>
      </c>
      <c r="J231" s="8">
        <v>116110</v>
      </c>
      <c r="K231" s="8">
        <v>0</v>
      </c>
      <c r="L231" s="8">
        <v>2</v>
      </c>
      <c r="M231" s="8">
        <v>2</v>
      </c>
      <c r="N231" s="8">
        <v>0</v>
      </c>
      <c r="O231" s="8">
        <v>0</v>
      </c>
      <c r="P231" s="8">
        <v>1</v>
      </c>
      <c r="Q231" s="8">
        <v>0</v>
      </c>
      <c r="R231" s="8">
        <v>0</v>
      </c>
      <c r="S231" s="16">
        <v>1</v>
      </c>
      <c r="T231" s="16" t="s">
        <v>187</v>
      </c>
      <c r="U231" s="16" t="s">
        <v>200</v>
      </c>
      <c r="V231" s="16" t="s">
        <v>201</v>
      </c>
      <c r="W231" s="16" t="s">
        <v>852</v>
      </c>
      <c r="X231" s="7" t="s">
        <v>852</v>
      </c>
      <c r="Y231" s="16" t="s">
        <v>50</v>
      </c>
      <c r="Z231" s="16" t="s">
        <v>50</v>
      </c>
    </row>
    <row r="232" spans="2:26" ht="15" customHeight="1">
      <c r="B232" s="16" t="s">
        <v>672</v>
      </c>
      <c r="C232" s="16" t="s">
        <v>184</v>
      </c>
      <c r="D232" s="16" t="s">
        <v>65</v>
      </c>
      <c r="E232" s="16" t="s">
        <v>186</v>
      </c>
      <c r="F232" s="16" t="s">
        <v>673</v>
      </c>
      <c r="G232" s="8">
        <v>1</v>
      </c>
      <c r="H232" s="8">
        <v>0</v>
      </c>
      <c r="I232" s="8">
        <v>191</v>
      </c>
      <c r="J232" s="8">
        <v>191</v>
      </c>
      <c r="K232" s="8">
        <v>97</v>
      </c>
      <c r="L232" s="8">
        <v>0</v>
      </c>
      <c r="M232" s="8">
        <v>0</v>
      </c>
      <c r="N232" s="8">
        <v>0</v>
      </c>
      <c r="O232" s="8">
        <v>0</v>
      </c>
      <c r="P232" s="8">
        <v>0</v>
      </c>
      <c r="Q232" s="8">
        <v>1</v>
      </c>
      <c r="R232" s="8">
        <v>0</v>
      </c>
      <c r="S232" s="16">
        <v>1</v>
      </c>
      <c r="T232" s="16"/>
      <c r="U232" s="16" t="s">
        <v>50</v>
      </c>
      <c r="V232" s="16"/>
      <c r="W232" s="16" t="s">
        <v>50</v>
      </c>
      <c r="X232" s="7" t="s">
        <v>50</v>
      </c>
      <c r="Y232" s="16" t="s">
        <v>50</v>
      </c>
      <c r="Z232" s="16" t="s">
        <v>50</v>
      </c>
    </row>
    <row r="233" spans="2:26" ht="15" customHeight="1">
      <c r="B233" s="16" t="s">
        <v>1129</v>
      </c>
      <c r="C233" s="16" t="s">
        <v>184</v>
      </c>
      <c r="D233" s="16" t="s">
        <v>1130</v>
      </c>
      <c r="E233" s="16" t="s">
        <v>192</v>
      </c>
      <c r="F233" s="16" t="s">
        <v>1131</v>
      </c>
      <c r="G233" s="8">
        <v>1</v>
      </c>
      <c r="H233" s="8">
        <v>0</v>
      </c>
      <c r="I233" s="8">
        <v>0</v>
      </c>
      <c r="J233" s="8">
        <v>0</v>
      </c>
      <c r="K233" s="8">
        <v>0</v>
      </c>
      <c r="L233" s="8">
        <v>0</v>
      </c>
      <c r="M233" s="8">
        <v>0</v>
      </c>
      <c r="N233" s="8">
        <v>0</v>
      </c>
      <c r="O233" s="8">
        <v>0</v>
      </c>
      <c r="P233" s="8">
        <v>0</v>
      </c>
      <c r="Q233" s="8">
        <v>1</v>
      </c>
      <c r="R233" s="8">
        <v>0</v>
      </c>
      <c r="S233" s="16">
        <v>1</v>
      </c>
      <c r="T233" s="16"/>
      <c r="U233" s="16" t="s">
        <v>50</v>
      </c>
      <c r="V233" s="16"/>
      <c r="W233" s="16" t="s">
        <v>50</v>
      </c>
      <c r="X233" s="7" t="s">
        <v>50</v>
      </c>
      <c r="Y233" s="16" t="s">
        <v>50</v>
      </c>
      <c r="Z233" s="16" t="s">
        <v>50</v>
      </c>
    </row>
    <row r="234" spans="2:26" ht="15" customHeight="1">
      <c r="B234" s="16" t="s">
        <v>1132</v>
      </c>
      <c r="C234" s="16" t="s">
        <v>184</v>
      </c>
      <c r="D234" s="16" t="s">
        <v>93</v>
      </c>
      <c r="E234" s="16" t="s">
        <v>222</v>
      </c>
      <c r="F234" s="16" t="s">
        <v>1133</v>
      </c>
      <c r="G234" s="8">
        <v>1</v>
      </c>
      <c r="H234" s="8">
        <v>0</v>
      </c>
      <c r="I234" s="8">
        <v>53</v>
      </c>
      <c r="J234" s="8">
        <v>116110</v>
      </c>
      <c r="K234" s="8">
        <v>0</v>
      </c>
      <c r="L234" s="8">
        <v>0</v>
      </c>
      <c r="M234" s="8">
        <v>0</v>
      </c>
      <c r="N234" s="8">
        <v>0</v>
      </c>
      <c r="O234" s="8">
        <v>0</v>
      </c>
      <c r="P234" s="8">
        <v>0</v>
      </c>
      <c r="Q234" s="8">
        <v>1</v>
      </c>
      <c r="R234" s="8">
        <v>0</v>
      </c>
      <c r="S234" s="16">
        <v>1</v>
      </c>
      <c r="T234" s="16" t="s">
        <v>187</v>
      </c>
      <c r="U234" s="16" t="s">
        <v>200</v>
      </c>
      <c r="V234" s="16" t="s">
        <v>201</v>
      </c>
      <c r="W234" s="16" t="s">
        <v>852</v>
      </c>
      <c r="X234" s="7" t="s">
        <v>852</v>
      </c>
      <c r="Y234" s="16" t="s">
        <v>50</v>
      </c>
      <c r="Z234" s="16" t="s">
        <v>50</v>
      </c>
    </row>
    <row r="235" spans="2:26" ht="15" customHeight="1">
      <c r="B235" s="16" t="s">
        <v>1134</v>
      </c>
      <c r="C235" s="16" t="s">
        <v>184</v>
      </c>
      <c r="D235" s="16" t="s">
        <v>93</v>
      </c>
      <c r="E235" s="16" t="s">
        <v>222</v>
      </c>
      <c r="F235" s="16" t="s">
        <v>1135</v>
      </c>
      <c r="G235" s="8">
        <v>1</v>
      </c>
      <c r="H235" s="8">
        <v>0</v>
      </c>
      <c r="I235" s="8">
        <v>23</v>
      </c>
      <c r="J235" s="8">
        <v>116186</v>
      </c>
      <c r="K235" s="8">
        <v>0</v>
      </c>
      <c r="L235" s="8">
        <v>0</v>
      </c>
      <c r="M235" s="8">
        <v>0</v>
      </c>
      <c r="N235" s="8">
        <v>0</v>
      </c>
      <c r="O235" s="8">
        <v>0</v>
      </c>
      <c r="P235" s="8">
        <v>0</v>
      </c>
      <c r="Q235" s="8">
        <v>1</v>
      </c>
      <c r="R235" s="8">
        <v>0</v>
      </c>
      <c r="S235" s="16">
        <v>1</v>
      </c>
      <c r="T235" s="16" t="s">
        <v>187</v>
      </c>
      <c r="U235" s="16" t="s">
        <v>1136</v>
      </c>
      <c r="V235" s="16" t="s">
        <v>1137</v>
      </c>
      <c r="W235" s="16" t="s">
        <v>50</v>
      </c>
      <c r="X235" s="7" t="s">
        <v>50</v>
      </c>
      <c r="Y235" s="16" t="s">
        <v>50</v>
      </c>
      <c r="Z235" s="16" t="s">
        <v>50</v>
      </c>
    </row>
    <row r="236" spans="2:26" ht="15" customHeight="1">
      <c r="B236" s="16" t="s">
        <v>695</v>
      </c>
      <c r="C236" s="16" t="s">
        <v>184</v>
      </c>
      <c r="D236" s="16" t="s">
        <v>68</v>
      </c>
      <c r="E236" s="16" t="s">
        <v>222</v>
      </c>
      <c r="F236" s="16" t="s">
        <v>1138</v>
      </c>
      <c r="G236" s="8">
        <v>1</v>
      </c>
      <c r="H236" s="8">
        <v>0</v>
      </c>
      <c r="I236" s="8">
        <v>1</v>
      </c>
      <c r="J236" s="8">
        <v>107935</v>
      </c>
      <c r="K236" s="8">
        <v>0</v>
      </c>
      <c r="L236" s="8">
        <v>0</v>
      </c>
      <c r="M236" s="8">
        <v>0</v>
      </c>
      <c r="N236" s="8">
        <v>0</v>
      </c>
      <c r="O236" s="8">
        <v>0</v>
      </c>
      <c r="P236" s="8">
        <v>1</v>
      </c>
      <c r="Q236" s="8">
        <v>0</v>
      </c>
      <c r="R236" s="8">
        <v>0</v>
      </c>
      <c r="S236" s="16">
        <v>1</v>
      </c>
      <c r="T236" s="16"/>
      <c r="U236" s="16" t="s">
        <v>50</v>
      </c>
      <c r="V236" s="16"/>
      <c r="W236" s="16" t="s">
        <v>852</v>
      </c>
      <c r="X236" s="7" t="s">
        <v>852</v>
      </c>
      <c r="Y236" s="16" t="s">
        <v>50</v>
      </c>
      <c r="Z236" s="16" t="s">
        <v>50</v>
      </c>
    </row>
    <row r="237" spans="2:26" ht="15" customHeight="1">
      <c r="B237" s="16" t="s">
        <v>1139</v>
      </c>
      <c r="C237" s="16" t="s">
        <v>194</v>
      </c>
      <c r="D237" s="16" t="s">
        <v>76</v>
      </c>
      <c r="E237" s="16" t="s">
        <v>222</v>
      </c>
      <c r="F237" s="16" t="s">
        <v>1140</v>
      </c>
      <c r="G237" s="8">
        <v>1</v>
      </c>
      <c r="H237" s="8">
        <v>1</v>
      </c>
      <c r="I237" s="8">
        <v>127</v>
      </c>
      <c r="J237" s="8">
        <v>252496</v>
      </c>
      <c r="K237" s="8">
        <v>0</v>
      </c>
      <c r="L237" s="8">
        <v>0</v>
      </c>
      <c r="M237" s="8">
        <v>0</v>
      </c>
      <c r="N237" s="8">
        <v>0</v>
      </c>
      <c r="O237" s="8">
        <v>0</v>
      </c>
      <c r="P237" s="8">
        <v>0</v>
      </c>
      <c r="Q237" s="8">
        <v>1</v>
      </c>
      <c r="R237" s="8">
        <v>0</v>
      </c>
      <c r="S237" s="16">
        <v>1</v>
      </c>
      <c r="T237" s="16" t="s">
        <v>187</v>
      </c>
      <c r="U237" s="16" t="s">
        <v>812</v>
      </c>
      <c r="V237" s="16" t="s">
        <v>813</v>
      </c>
      <c r="W237" s="16" t="s">
        <v>852</v>
      </c>
      <c r="X237" s="7" t="s">
        <v>852</v>
      </c>
      <c r="Y237" s="16" t="s">
        <v>50</v>
      </c>
      <c r="Z237" s="16" t="s">
        <v>50</v>
      </c>
    </row>
    <row r="238" spans="2:26" ht="15" customHeight="1">
      <c r="B238" s="16" t="s">
        <v>1141</v>
      </c>
      <c r="C238" s="16" t="s">
        <v>184</v>
      </c>
      <c r="D238" s="16" t="s">
        <v>62</v>
      </c>
      <c r="E238" s="16" t="s">
        <v>222</v>
      </c>
      <c r="F238" s="16" t="s">
        <v>1142</v>
      </c>
      <c r="G238" s="8">
        <v>1</v>
      </c>
      <c r="H238" s="8">
        <v>0</v>
      </c>
      <c r="I238" s="8">
        <v>37</v>
      </c>
      <c r="J238" s="8">
        <v>2109</v>
      </c>
      <c r="K238" s="8">
        <v>0</v>
      </c>
      <c r="L238" s="8">
        <v>1</v>
      </c>
      <c r="M238" s="8">
        <v>1</v>
      </c>
      <c r="N238" s="8">
        <v>0</v>
      </c>
      <c r="O238" s="8">
        <v>0</v>
      </c>
      <c r="P238" s="8">
        <v>0</v>
      </c>
      <c r="Q238" s="8">
        <v>1</v>
      </c>
      <c r="R238" s="8">
        <v>0</v>
      </c>
      <c r="S238" s="16">
        <v>1</v>
      </c>
      <c r="T238" s="16"/>
      <c r="U238" s="16" t="s">
        <v>50</v>
      </c>
      <c r="V238" s="16"/>
      <c r="W238" s="16" t="s">
        <v>852</v>
      </c>
      <c r="X238" s="7" t="s">
        <v>852</v>
      </c>
      <c r="Y238" s="16" t="s">
        <v>864</v>
      </c>
      <c r="Z238" s="16" t="s">
        <v>50</v>
      </c>
    </row>
    <row r="239" spans="2:26" ht="15" customHeight="1">
      <c r="B239" s="16" t="s">
        <v>1143</v>
      </c>
      <c r="C239" s="16" t="s">
        <v>184</v>
      </c>
      <c r="D239" s="16" t="s">
        <v>78</v>
      </c>
      <c r="E239" s="16" t="s">
        <v>192</v>
      </c>
      <c r="F239" s="16" t="s">
        <v>1144</v>
      </c>
      <c r="G239" s="8">
        <v>1</v>
      </c>
      <c r="H239" s="8">
        <v>0</v>
      </c>
      <c r="I239" s="8">
        <v>0</v>
      </c>
      <c r="J239" s="8">
        <v>215</v>
      </c>
      <c r="K239" s="8">
        <v>0</v>
      </c>
      <c r="L239" s="8">
        <v>1</v>
      </c>
      <c r="M239" s="8">
        <v>1</v>
      </c>
      <c r="N239" s="8">
        <v>0</v>
      </c>
      <c r="O239" s="8">
        <v>0</v>
      </c>
      <c r="P239" s="8">
        <v>0</v>
      </c>
      <c r="Q239" s="8">
        <v>1</v>
      </c>
      <c r="R239" s="8">
        <v>0</v>
      </c>
      <c r="S239" s="16">
        <v>1</v>
      </c>
      <c r="T239" s="16"/>
      <c r="U239" s="16" t="s">
        <v>50</v>
      </c>
      <c r="V239" s="16"/>
      <c r="W239" s="16" t="s">
        <v>852</v>
      </c>
      <c r="X239" s="7" t="s">
        <v>852</v>
      </c>
      <c r="Y239" s="16" t="s">
        <v>50</v>
      </c>
      <c r="Z239" s="16" t="s">
        <v>50</v>
      </c>
    </row>
    <row r="240" spans="2:26" ht="15" customHeight="1">
      <c r="B240" s="16" t="s">
        <v>1145</v>
      </c>
      <c r="C240" s="16" t="s">
        <v>184</v>
      </c>
      <c r="D240" s="16" t="s">
        <v>65</v>
      </c>
      <c r="E240" s="16" t="s">
        <v>222</v>
      </c>
      <c r="F240" s="16" t="s">
        <v>1146</v>
      </c>
      <c r="G240" s="8">
        <v>1</v>
      </c>
      <c r="H240" s="8">
        <v>0</v>
      </c>
      <c r="I240" s="8">
        <v>0</v>
      </c>
      <c r="J240" s="8">
        <v>2900</v>
      </c>
      <c r="K240" s="8">
        <v>0</v>
      </c>
      <c r="L240" s="8">
        <v>0</v>
      </c>
      <c r="M240" s="8">
        <v>0</v>
      </c>
      <c r="N240" s="8">
        <v>0</v>
      </c>
      <c r="O240" s="8">
        <v>0</v>
      </c>
      <c r="P240" s="8">
        <v>0</v>
      </c>
      <c r="Q240" s="8">
        <v>1</v>
      </c>
      <c r="R240" s="8">
        <v>0</v>
      </c>
      <c r="S240" s="16">
        <v>1</v>
      </c>
      <c r="T240" s="16"/>
      <c r="U240" s="16" t="s">
        <v>50</v>
      </c>
      <c r="V240" s="16"/>
      <c r="W240" s="16" t="s">
        <v>50</v>
      </c>
      <c r="X240" s="7" t="s">
        <v>50</v>
      </c>
      <c r="Y240" s="16" t="s">
        <v>50</v>
      </c>
      <c r="Z240" s="16" t="s">
        <v>50</v>
      </c>
    </row>
    <row r="241" spans="2:26" ht="15" customHeight="1">
      <c r="B241" s="16" t="s">
        <v>1147</v>
      </c>
      <c r="C241" s="16" t="s">
        <v>184</v>
      </c>
      <c r="D241" s="16" t="s">
        <v>62</v>
      </c>
      <c r="E241" s="16" t="s">
        <v>222</v>
      </c>
      <c r="F241" s="16" t="s">
        <v>1148</v>
      </c>
      <c r="G241" s="8">
        <v>1</v>
      </c>
      <c r="H241" s="8">
        <v>1</v>
      </c>
      <c r="I241" s="8">
        <v>2</v>
      </c>
      <c r="J241" s="8">
        <v>153783</v>
      </c>
      <c r="K241" s="8">
        <v>0</v>
      </c>
      <c r="L241" s="8">
        <v>0</v>
      </c>
      <c r="M241" s="8">
        <v>0</v>
      </c>
      <c r="N241" s="8">
        <v>0</v>
      </c>
      <c r="O241" s="8">
        <v>0</v>
      </c>
      <c r="P241" s="8">
        <v>0</v>
      </c>
      <c r="Q241" s="8">
        <v>1</v>
      </c>
      <c r="R241" s="8">
        <v>0</v>
      </c>
      <c r="S241" s="16">
        <v>1</v>
      </c>
      <c r="T241" s="16"/>
      <c r="U241" s="16" t="s">
        <v>50</v>
      </c>
      <c r="V241" s="16"/>
      <c r="W241" s="16" t="s">
        <v>852</v>
      </c>
      <c r="X241" s="7" t="s">
        <v>852</v>
      </c>
      <c r="Y241" s="16" t="s">
        <v>50</v>
      </c>
      <c r="Z241" s="16" t="s">
        <v>50</v>
      </c>
    </row>
    <row r="242" spans="2:26" ht="15" customHeight="1">
      <c r="B242" s="16" t="s">
        <v>1149</v>
      </c>
      <c r="C242" s="16" t="s">
        <v>184</v>
      </c>
      <c r="D242" s="16" t="s">
        <v>108</v>
      </c>
      <c r="E242" s="16" t="s">
        <v>192</v>
      </c>
      <c r="F242" s="16" t="s">
        <v>1150</v>
      </c>
      <c r="G242" s="8">
        <v>1</v>
      </c>
      <c r="H242" s="8">
        <v>0</v>
      </c>
      <c r="I242" s="8">
        <v>0</v>
      </c>
      <c r="J242" s="8">
        <v>0</v>
      </c>
      <c r="K242" s="8">
        <v>0</v>
      </c>
      <c r="L242" s="8">
        <v>0</v>
      </c>
      <c r="M242" s="8">
        <v>0</v>
      </c>
      <c r="N242" s="8">
        <v>0</v>
      </c>
      <c r="O242" s="8">
        <v>0</v>
      </c>
      <c r="P242" s="8">
        <v>0</v>
      </c>
      <c r="Q242" s="8">
        <v>1</v>
      </c>
      <c r="R242" s="8">
        <v>0</v>
      </c>
      <c r="S242" s="16">
        <v>1</v>
      </c>
      <c r="T242" s="16"/>
      <c r="U242" s="16" t="s">
        <v>50</v>
      </c>
      <c r="V242" s="16"/>
      <c r="W242" s="16" t="s">
        <v>50</v>
      </c>
      <c r="X242" s="7" t="s">
        <v>50</v>
      </c>
      <c r="Y242" s="16" t="s">
        <v>50</v>
      </c>
      <c r="Z242" s="16" t="s">
        <v>50</v>
      </c>
    </row>
    <row r="243" spans="2:26" ht="15" customHeight="1">
      <c r="B243" s="16" t="s">
        <v>691</v>
      </c>
      <c r="C243" s="16" t="s">
        <v>184</v>
      </c>
      <c r="D243" s="16" t="s">
        <v>62</v>
      </c>
      <c r="E243" s="16" t="s">
        <v>186</v>
      </c>
      <c r="F243" s="16" t="s">
        <v>692</v>
      </c>
      <c r="G243" s="8">
        <v>1</v>
      </c>
      <c r="H243" s="8">
        <v>0</v>
      </c>
      <c r="I243" s="8">
        <v>28</v>
      </c>
      <c r="J243" s="8">
        <v>28</v>
      </c>
      <c r="K243" s="8">
        <v>1</v>
      </c>
      <c r="L243" s="8">
        <v>0</v>
      </c>
      <c r="M243" s="8">
        <v>0</v>
      </c>
      <c r="N243" s="8">
        <v>0</v>
      </c>
      <c r="O243" s="8">
        <v>0</v>
      </c>
      <c r="P243" s="8">
        <v>1</v>
      </c>
      <c r="Q243" s="8">
        <v>0</v>
      </c>
      <c r="R243" s="8">
        <v>0</v>
      </c>
      <c r="S243" s="16">
        <v>1</v>
      </c>
      <c r="T243" s="16" t="s">
        <v>187</v>
      </c>
      <c r="U243" s="16" t="s">
        <v>236</v>
      </c>
      <c r="V243" s="16" t="s">
        <v>237</v>
      </c>
      <c r="W243" s="16" t="s">
        <v>50</v>
      </c>
      <c r="X243" s="7" t="s">
        <v>50</v>
      </c>
      <c r="Y243" s="16" t="s">
        <v>50</v>
      </c>
      <c r="Z243" s="16" t="s">
        <v>50</v>
      </c>
    </row>
    <row r="244" spans="2:26" ht="15" customHeight="1">
      <c r="B244" s="16" t="s">
        <v>693</v>
      </c>
      <c r="C244" s="16" t="s">
        <v>184</v>
      </c>
      <c r="D244" s="16" t="s">
        <v>62</v>
      </c>
      <c r="E244" s="16" t="s">
        <v>186</v>
      </c>
      <c r="F244" s="16" t="s">
        <v>694</v>
      </c>
      <c r="G244" s="8">
        <v>1</v>
      </c>
      <c r="H244" s="8">
        <v>0</v>
      </c>
      <c r="I244" s="8">
        <v>112</v>
      </c>
      <c r="J244" s="8">
        <v>112</v>
      </c>
      <c r="K244" s="8">
        <v>23</v>
      </c>
      <c r="L244" s="8">
        <v>0</v>
      </c>
      <c r="M244" s="8">
        <v>0</v>
      </c>
      <c r="N244" s="8">
        <v>0</v>
      </c>
      <c r="O244" s="8">
        <v>0</v>
      </c>
      <c r="P244" s="8">
        <v>0</v>
      </c>
      <c r="Q244" s="8">
        <v>1</v>
      </c>
      <c r="R244" s="8">
        <v>0</v>
      </c>
      <c r="S244" s="16">
        <v>1</v>
      </c>
      <c r="T244" s="16"/>
      <c r="U244" s="16" t="s">
        <v>50</v>
      </c>
      <c r="V244" s="16"/>
      <c r="W244" s="16" t="s">
        <v>50</v>
      </c>
      <c r="X244" s="7" t="s">
        <v>50</v>
      </c>
      <c r="Y244" s="16" t="s">
        <v>50</v>
      </c>
      <c r="Z244" s="16" t="s">
        <v>50</v>
      </c>
    </row>
    <row r="245" spans="2:26" ht="15" customHeight="1">
      <c r="B245" s="16" t="s">
        <v>1151</v>
      </c>
      <c r="C245" s="16" t="s">
        <v>184</v>
      </c>
      <c r="D245" s="16" t="s">
        <v>62</v>
      </c>
      <c r="E245" s="16" t="s">
        <v>222</v>
      </c>
      <c r="F245" s="16" t="s">
        <v>1152</v>
      </c>
      <c r="G245" s="8">
        <v>1</v>
      </c>
      <c r="H245" s="8">
        <v>2</v>
      </c>
      <c r="I245" s="8">
        <v>15</v>
      </c>
      <c r="J245" s="8">
        <v>3145</v>
      </c>
      <c r="K245" s="8">
        <v>0</v>
      </c>
      <c r="L245" s="8">
        <v>0</v>
      </c>
      <c r="M245" s="8">
        <v>0</v>
      </c>
      <c r="N245" s="8">
        <v>0</v>
      </c>
      <c r="O245" s="8">
        <v>0</v>
      </c>
      <c r="P245" s="8">
        <v>0</v>
      </c>
      <c r="Q245" s="8">
        <v>1</v>
      </c>
      <c r="R245" s="8">
        <v>0</v>
      </c>
      <c r="S245" s="16">
        <v>1</v>
      </c>
      <c r="T245" s="16"/>
      <c r="U245" s="16" t="s">
        <v>50</v>
      </c>
      <c r="V245" s="16"/>
      <c r="W245" s="16" t="s">
        <v>852</v>
      </c>
      <c r="X245" s="7" t="s">
        <v>852</v>
      </c>
      <c r="Y245" s="16" t="s">
        <v>50</v>
      </c>
      <c r="Z245" s="16" t="s">
        <v>50</v>
      </c>
    </row>
    <row r="246" spans="2:26" ht="15" customHeight="1">
      <c r="B246" s="16" t="s">
        <v>697</v>
      </c>
      <c r="C246" s="16" t="s">
        <v>184</v>
      </c>
      <c r="D246" s="16" t="s">
        <v>62</v>
      </c>
      <c r="E246" s="16" t="s">
        <v>186</v>
      </c>
      <c r="F246" s="16" t="s">
        <v>698</v>
      </c>
      <c r="G246" s="8">
        <v>1</v>
      </c>
      <c r="H246" s="8">
        <v>0</v>
      </c>
      <c r="I246" s="8">
        <v>50</v>
      </c>
      <c r="J246" s="8">
        <v>50</v>
      </c>
      <c r="K246" s="8">
        <v>7</v>
      </c>
      <c r="L246" s="8">
        <v>0</v>
      </c>
      <c r="M246" s="8">
        <v>0</v>
      </c>
      <c r="N246" s="8">
        <v>0</v>
      </c>
      <c r="O246" s="8">
        <v>0</v>
      </c>
      <c r="P246" s="8">
        <v>0</v>
      </c>
      <c r="Q246" s="8">
        <v>1</v>
      </c>
      <c r="R246" s="8">
        <v>0</v>
      </c>
      <c r="S246" s="16">
        <v>1</v>
      </c>
      <c r="T246" s="16" t="s">
        <v>187</v>
      </c>
      <c r="U246" s="16" t="s">
        <v>200</v>
      </c>
      <c r="V246" s="16" t="s">
        <v>201</v>
      </c>
      <c r="W246" s="16" t="s">
        <v>50</v>
      </c>
      <c r="X246" s="7" t="s">
        <v>50</v>
      </c>
      <c r="Y246" s="16" t="s">
        <v>50</v>
      </c>
      <c r="Z246" s="16" t="s">
        <v>50</v>
      </c>
    </row>
    <row r="247" spans="2:26" ht="15" customHeight="1">
      <c r="B247" s="16" t="s">
        <v>1153</v>
      </c>
      <c r="C247" s="16" t="s">
        <v>153</v>
      </c>
      <c r="D247" s="16" t="s">
        <v>78</v>
      </c>
      <c r="E247" s="16" t="s">
        <v>192</v>
      </c>
      <c r="F247" s="16" t="s">
        <v>1154</v>
      </c>
      <c r="G247" s="8">
        <v>1</v>
      </c>
      <c r="H247" s="8">
        <v>9</v>
      </c>
      <c r="I247" s="8">
        <v>4</v>
      </c>
      <c r="J247" s="8">
        <v>1220000</v>
      </c>
      <c r="K247" s="8">
        <v>0</v>
      </c>
      <c r="L247" s="8">
        <v>7</v>
      </c>
      <c r="M247" s="8">
        <v>6</v>
      </c>
      <c r="N247" s="8">
        <v>1</v>
      </c>
      <c r="O247" s="8">
        <v>0</v>
      </c>
      <c r="P247" s="8">
        <v>0</v>
      </c>
      <c r="Q247" s="8">
        <v>1</v>
      </c>
      <c r="R247" s="8">
        <v>0</v>
      </c>
      <c r="S247" s="16">
        <v>1</v>
      </c>
      <c r="T247" s="16"/>
      <c r="U247" s="16" t="s">
        <v>50</v>
      </c>
      <c r="V247" s="16"/>
      <c r="W247" s="16" t="s">
        <v>852</v>
      </c>
      <c r="X247" s="7" t="s">
        <v>852</v>
      </c>
      <c r="Y247" s="16" t="s">
        <v>50</v>
      </c>
      <c r="Z247" s="16" t="s">
        <v>50</v>
      </c>
    </row>
    <row r="248" spans="2:26" ht="15" customHeight="1">
      <c r="B248" s="16" t="s">
        <v>1155</v>
      </c>
      <c r="C248" s="16" t="s">
        <v>184</v>
      </c>
      <c r="D248" s="16" t="s">
        <v>85</v>
      </c>
      <c r="E248" s="16" t="s">
        <v>222</v>
      </c>
      <c r="F248" s="16" t="s">
        <v>1156</v>
      </c>
      <c r="G248" s="8">
        <v>1</v>
      </c>
      <c r="H248" s="8">
        <v>0</v>
      </c>
      <c r="I248" s="8">
        <v>14</v>
      </c>
      <c r="J248" s="8">
        <v>0</v>
      </c>
      <c r="K248" s="8">
        <v>0</v>
      </c>
      <c r="L248" s="8">
        <v>1</v>
      </c>
      <c r="M248" s="8">
        <v>1</v>
      </c>
      <c r="N248" s="8">
        <v>0</v>
      </c>
      <c r="O248" s="8">
        <v>0</v>
      </c>
      <c r="P248" s="8">
        <v>0</v>
      </c>
      <c r="Q248" s="8">
        <v>1</v>
      </c>
      <c r="R248" s="8">
        <v>0</v>
      </c>
      <c r="S248" s="16">
        <v>1</v>
      </c>
      <c r="T248" s="16"/>
      <c r="U248" s="16" t="s">
        <v>50</v>
      </c>
      <c r="V248" s="16"/>
      <c r="W248" s="16" t="s">
        <v>50</v>
      </c>
      <c r="X248" s="7" t="s">
        <v>50</v>
      </c>
      <c r="Y248" s="16" t="s">
        <v>50</v>
      </c>
      <c r="Z248" s="16" t="s">
        <v>50</v>
      </c>
    </row>
    <row r="249" spans="2:26" ht="15" customHeight="1">
      <c r="B249" s="16" t="s">
        <v>701</v>
      </c>
      <c r="C249" s="16" t="s">
        <v>184</v>
      </c>
      <c r="D249" s="16" t="s">
        <v>65</v>
      </c>
      <c r="E249" s="16" t="s">
        <v>186</v>
      </c>
      <c r="F249" s="16" t="s">
        <v>702</v>
      </c>
      <c r="G249" s="8">
        <v>1</v>
      </c>
      <c r="H249" s="8">
        <v>0</v>
      </c>
      <c r="I249" s="8">
        <v>326</v>
      </c>
      <c r="J249" s="8">
        <v>326</v>
      </c>
      <c r="K249" s="8">
        <v>25</v>
      </c>
      <c r="L249" s="8">
        <v>1</v>
      </c>
      <c r="M249" s="8">
        <v>1</v>
      </c>
      <c r="N249" s="8">
        <v>0</v>
      </c>
      <c r="O249" s="8">
        <v>0</v>
      </c>
      <c r="P249" s="8">
        <v>1</v>
      </c>
      <c r="Q249" s="8">
        <v>0</v>
      </c>
      <c r="R249" s="8">
        <v>0</v>
      </c>
      <c r="S249" s="16">
        <v>1</v>
      </c>
      <c r="T249" s="16"/>
      <c r="U249" s="16" t="s">
        <v>50</v>
      </c>
      <c r="V249" s="16"/>
      <c r="W249" s="16" t="s">
        <v>50</v>
      </c>
      <c r="X249" s="7" t="s">
        <v>50</v>
      </c>
      <c r="Y249" s="16" t="s">
        <v>50</v>
      </c>
      <c r="Z249" s="16" t="s">
        <v>50</v>
      </c>
    </row>
    <row r="250" spans="2:26" ht="15" customHeight="1">
      <c r="B250" s="16" t="s">
        <v>580</v>
      </c>
      <c r="C250" s="16" t="s">
        <v>184</v>
      </c>
      <c r="D250" s="16" t="s">
        <v>65</v>
      </c>
      <c r="E250" s="16" t="s">
        <v>186</v>
      </c>
      <c r="F250" s="16" t="s">
        <v>703</v>
      </c>
      <c r="G250" s="8">
        <v>1</v>
      </c>
      <c r="H250" s="8">
        <v>0</v>
      </c>
      <c r="I250" s="8">
        <v>240</v>
      </c>
      <c r="J250" s="8">
        <v>240</v>
      </c>
      <c r="K250" s="8">
        <v>17</v>
      </c>
      <c r="L250" s="8">
        <v>0</v>
      </c>
      <c r="M250" s="8">
        <v>0</v>
      </c>
      <c r="N250" s="8">
        <v>0</v>
      </c>
      <c r="O250" s="8">
        <v>0</v>
      </c>
      <c r="P250" s="8">
        <v>0</v>
      </c>
      <c r="Q250" s="8">
        <v>1</v>
      </c>
      <c r="R250" s="8">
        <v>0</v>
      </c>
      <c r="S250" s="16">
        <v>1</v>
      </c>
      <c r="T250" s="16"/>
      <c r="U250" s="16" t="s">
        <v>50</v>
      </c>
      <c r="V250" s="16"/>
      <c r="W250" s="16" t="s">
        <v>50</v>
      </c>
      <c r="X250" s="7" t="s">
        <v>50</v>
      </c>
      <c r="Y250" s="16" t="s">
        <v>50</v>
      </c>
      <c r="Z250" s="16" t="s">
        <v>50</v>
      </c>
    </row>
    <row r="251" spans="2:26" ht="15" customHeight="1">
      <c r="B251" s="16" t="s">
        <v>1157</v>
      </c>
      <c r="C251" s="16" t="s">
        <v>184</v>
      </c>
      <c r="D251" s="16" t="s">
        <v>65</v>
      </c>
      <c r="E251" s="16" t="s">
        <v>192</v>
      </c>
      <c r="F251" s="16" t="s">
        <v>1158</v>
      </c>
      <c r="G251" s="8">
        <v>1</v>
      </c>
      <c r="H251" s="8">
        <v>0</v>
      </c>
      <c r="I251" s="8">
        <v>0</v>
      </c>
      <c r="J251" s="8">
        <v>1098</v>
      </c>
      <c r="K251" s="8">
        <v>0</v>
      </c>
      <c r="L251" s="8">
        <v>0</v>
      </c>
      <c r="M251" s="8">
        <v>0</v>
      </c>
      <c r="N251" s="8">
        <v>0</v>
      </c>
      <c r="O251" s="8">
        <v>0</v>
      </c>
      <c r="P251" s="8">
        <v>1</v>
      </c>
      <c r="Q251" s="8">
        <v>0</v>
      </c>
      <c r="R251" s="8">
        <v>0</v>
      </c>
      <c r="S251" s="16">
        <v>1</v>
      </c>
      <c r="T251" s="16"/>
      <c r="U251" s="16" t="s">
        <v>50</v>
      </c>
      <c r="V251" s="16"/>
      <c r="W251" s="16" t="s">
        <v>852</v>
      </c>
      <c r="X251" s="7" t="s">
        <v>852</v>
      </c>
      <c r="Y251" s="16" t="s">
        <v>50</v>
      </c>
      <c r="Z251" s="16" t="s">
        <v>50</v>
      </c>
    </row>
    <row r="252" spans="2:26" ht="15" customHeight="1">
      <c r="B252" s="16" t="s">
        <v>1159</v>
      </c>
      <c r="C252" s="16" t="s">
        <v>184</v>
      </c>
      <c r="D252" s="16" t="s">
        <v>87</v>
      </c>
      <c r="E252" s="16" t="s">
        <v>192</v>
      </c>
      <c r="F252" s="16" t="s">
        <v>1160</v>
      </c>
      <c r="G252" s="8">
        <v>1</v>
      </c>
      <c r="H252" s="8">
        <v>0</v>
      </c>
      <c r="I252" s="8">
        <v>0</v>
      </c>
      <c r="J252" s="8">
        <v>3271</v>
      </c>
      <c r="K252" s="8">
        <v>0</v>
      </c>
      <c r="L252" s="8">
        <v>1</v>
      </c>
      <c r="M252" s="8">
        <v>1</v>
      </c>
      <c r="N252" s="8">
        <v>0</v>
      </c>
      <c r="O252" s="8">
        <v>0</v>
      </c>
      <c r="P252" s="8">
        <v>0</v>
      </c>
      <c r="Q252" s="8">
        <v>1</v>
      </c>
      <c r="R252" s="8">
        <v>0</v>
      </c>
      <c r="S252" s="16">
        <v>1</v>
      </c>
      <c r="T252" s="16"/>
      <c r="U252" s="16" t="s">
        <v>50</v>
      </c>
      <c r="V252" s="16"/>
      <c r="W252" s="16" t="s">
        <v>50</v>
      </c>
      <c r="X252" s="7" t="s">
        <v>50</v>
      </c>
      <c r="Y252" s="16" t="s">
        <v>50</v>
      </c>
      <c r="Z252" s="16" t="s">
        <v>50</v>
      </c>
    </row>
    <row r="253" spans="2:26" ht="15" customHeight="1">
      <c r="B253" s="16" t="s">
        <v>1161</v>
      </c>
      <c r="C253" s="16" t="s">
        <v>184</v>
      </c>
      <c r="D253" s="16" t="s">
        <v>138</v>
      </c>
      <c r="E253" s="16" t="s">
        <v>192</v>
      </c>
      <c r="F253" s="16" t="s">
        <v>1162</v>
      </c>
      <c r="G253" s="8">
        <v>1</v>
      </c>
      <c r="H253" s="8">
        <v>0</v>
      </c>
      <c r="I253" s="8" t="s">
        <v>101</v>
      </c>
      <c r="J253" s="8" t="s">
        <v>101</v>
      </c>
      <c r="K253" s="8">
        <v>0</v>
      </c>
      <c r="L253" s="8" t="s">
        <v>101</v>
      </c>
      <c r="M253" s="8">
        <v>0</v>
      </c>
      <c r="N253" s="8">
        <v>0</v>
      </c>
      <c r="O253" s="8">
        <v>0</v>
      </c>
      <c r="P253" s="8">
        <v>1</v>
      </c>
      <c r="Q253" s="8">
        <v>0</v>
      </c>
      <c r="R253" s="8">
        <v>0</v>
      </c>
      <c r="S253" s="16">
        <v>1</v>
      </c>
      <c r="T253" s="16"/>
      <c r="U253" s="16" t="s">
        <v>50</v>
      </c>
      <c r="V253" s="16"/>
      <c r="W253" s="16" t="s">
        <v>50</v>
      </c>
      <c r="X253" s="7" t="s">
        <v>50</v>
      </c>
      <c r="Y253" s="16" t="s">
        <v>50</v>
      </c>
      <c r="Z253" s="16" t="s">
        <v>50</v>
      </c>
    </row>
    <row r="254" spans="2:26" ht="15" customHeight="1">
      <c r="B254" s="16" t="s">
        <v>1163</v>
      </c>
      <c r="C254" s="16" t="s">
        <v>184</v>
      </c>
      <c r="D254" s="16" t="s">
        <v>68</v>
      </c>
      <c r="E254" s="16" t="s">
        <v>192</v>
      </c>
      <c r="F254" s="16" t="s">
        <v>1164</v>
      </c>
      <c r="G254" s="8">
        <v>1</v>
      </c>
      <c r="H254" s="8">
        <v>0</v>
      </c>
      <c r="I254" s="8">
        <v>1</v>
      </c>
      <c r="J254" s="8">
        <v>17394</v>
      </c>
      <c r="K254" s="8">
        <v>0</v>
      </c>
      <c r="L254" s="8">
        <v>4</v>
      </c>
      <c r="M254" s="8">
        <v>4</v>
      </c>
      <c r="N254" s="8">
        <v>0</v>
      </c>
      <c r="O254" s="8">
        <v>0</v>
      </c>
      <c r="P254" s="8">
        <v>0</v>
      </c>
      <c r="Q254" s="8">
        <v>1</v>
      </c>
      <c r="R254" s="8">
        <v>0</v>
      </c>
      <c r="S254" s="16">
        <v>1</v>
      </c>
      <c r="T254" s="16"/>
      <c r="U254" s="16" t="s">
        <v>50</v>
      </c>
      <c r="V254" s="16"/>
      <c r="W254" s="16" t="s">
        <v>852</v>
      </c>
      <c r="X254" s="7" t="s">
        <v>852</v>
      </c>
      <c r="Y254" s="16" t="s">
        <v>50</v>
      </c>
      <c r="Z254" s="16" t="s">
        <v>50</v>
      </c>
    </row>
    <row r="255" spans="2:26" ht="15" customHeight="1">
      <c r="B255" s="16" t="s">
        <v>1165</v>
      </c>
      <c r="C255" s="16" t="s">
        <v>184</v>
      </c>
      <c r="D255" s="16" t="s">
        <v>65</v>
      </c>
      <c r="E255" s="16" t="s">
        <v>222</v>
      </c>
      <c r="F255" s="16" t="s">
        <v>1166</v>
      </c>
      <c r="G255" s="8">
        <v>1</v>
      </c>
      <c r="H255" s="8">
        <v>0</v>
      </c>
      <c r="I255" s="8">
        <v>0</v>
      </c>
      <c r="J255" s="8">
        <v>2891</v>
      </c>
      <c r="K255" s="8">
        <v>0</v>
      </c>
      <c r="L255" s="8">
        <v>0</v>
      </c>
      <c r="M255" s="8">
        <v>0</v>
      </c>
      <c r="N255" s="8">
        <v>0</v>
      </c>
      <c r="O255" s="8">
        <v>0</v>
      </c>
      <c r="P255" s="8">
        <v>0</v>
      </c>
      <c r="Q255" s="8">
        <v>1</v>
      </c>
      <c r="R255" s="8">
        <v>0</v>
      </c>
      <c r="S255" s="16">
        <v>1</v>
      </c>
      <c r="T255" s="16"/>
      <c r="U255" s="16" t="s">
        <v>50</v>
      </c>
      <c r="V255" s="16"/>
      <c r="W255" s="16" t="s">
        <v>50</v>
      </c>
      <c r="X255" s="7" t="s">
        <v>50</v>
      </c>
      <c r="Y255" s="16" t="s">
        <v>50</v>
      </c>
      <c r="Z255" s="16" t="s">
        <v>50</v>
      </c>
    </row>
    <row r="256" spans="2:26" ht="15" customHeight="1">
      <c r="B256" s="16" t="s">
        <v>710</v>
      </c>
      <c r="C256" s="16" t="s">
        <v>184</v>
      </c>
      <c r="D256" s="16" t="s">
        <v>65</v>
      </c>
      <c r="E256" s="16" t="s">
        <v>186</v>
      </c>
      <c r="F256" s="16" t="s">
        <v>711</v>
      </c>
      <c r="G256" s="8">
        <v>1</v>
      </c>
      <c r="H256" s="8">
        <v>162</v>
      </c>
      <c r="I256" s="8">
        <v>1853</v>
      </c>
      <c r="J256" s="8">
        <v>1853</v>
      </c>
      <c r="K256" s="8">
        <v>520</v>
      </c>
      <c r="L256" s="8">
        <v>44</v>
      </c>
      <c r="M256" s="8">
        <v>19</v>
      </c>
      <c r="N256" s="8">
        <v>25</v>
      </c>
      <c r="O256" s="8">
        <v>0</v>
      </c>
      <c r="P256" s="8">
        <v>0</v>
      </c>
      <c r="Q256" s="8">
        <v>1</v>
      </c>
      <c r="R256" s="8">
        <v>0</v>
      </c>
      <c r="S256" s="16">
        <v>1</v>
      </c>
      <c r="T256" s="16"/>
      <c r="U256" s="16" t="s">
        <v>50</v>
      </c>
      <c r="V256" s="16"/>
      <c r="W256" s="16" t="s">
        <v>50</v>
      </c>
      <c r="X256" s="7" t="s">
        <v>50</v>
      </c>
      <c r="Y256" s="16" t="s">
        <v>50</v>
      </c>
      <c r="Z256" s="16" t="s">
        <v>50</v>
      </c>
    </row>
    <row r="257" spans="2:26" ht="15" customHeight="1">
      <c r="B257" s="16" t="s">
        <v>1167</v>
      </c>
      <c r="C257" s="16" t="s">
        <v>184</v>
      </c>
      <c r="D257" s="16" t="s">
        <v>81</v>
      </c>
      <c r="E257" s="16" t="s">
        <v>222</v>
      </c>
      <c r="F257" s="16" t="s">
        <v>1168</v>
      </c>
      <c r="G257" s="8">
        <v>1</v>
      </c>
      <c r="H257" s="8">
        <v>5</v>
      </c>
      <c r="I257" s="8">
        <v>1277</v>
      </c>
      <c r="J257" s="8">
        <v>85540</v>
      </c>
      <c r="K257" s="8">
        <v>0</v>
      </c>
      <c r="L257" s="8">
        <v>0</v>
      </c>
      <c r="M257" s="8">
        <v>0</v>
      </c>
      <c r="N257" s="8">
        <v>0</v>
      </c>
      <c r="O257" s="8">
        <v>0</v>
      </c>
      <c r="P257" s="8">
        <v>1</v>
      </c>
      <c r="Q257" s="8">
        <v>0</v>
      </c>
      <c r="R257" s="8">
        <v>0</v>
      </c>
      <c r="S257" s="16">
        <v>1</v>
      </c>
      <c r="T257" s="16"/>
      <c r="U257" s="16" t="s">
        <v>50</v>
      </c>
      <c r="V257" s="16"/>
      <c r="W257" s="16" t="s">
        <v>50</v>
      </c>
      <c r="X257" s="7" t="s">
        <v>50</v>
      </c>
      <c r="Y257" s="16" t="s">
        <v>50</v>
      </c>
      <c r="Z257" s="16" t="s">
        <v>50</v>
      </c>
    </row>
    <row r="258" spans="2:26" ht="15" customHeight="1">
      <c r="B258" s="16" t="s">
        <v>1169</v>
      </c>
      <c r="C258" s="16" t="s">
        <v>184</v>
      </c>
      <c r="D258" s="16" t="s">
        <v>62</v>
      </c>
      <c r="E258" s="16" t="s">
        <v>222</v>
      </c>
      <c r="F258" s="16" t="s">
        <v>1170</v>
      </c>
      <c r="G258" s="8">
        <v>1</v>
      </c>
      <c r="H258" s="8">
        <v>5</v>
      </c>
      <c r="I258" s="8">
        <v>3</v>
      </c>
      <c r="J258" s="8">
        <v>8923</v>
      </c>
      <c r="K258" s="8">
        <v>0</v>
      </c>
      <c r="L258" s="8">
        <v>0</v>
      </c>
      <c r="M258" s="8">
        <v>0</v>
      </c>
      <c r="N258" s="8">
        <v>0</v>
      </c>
      <c r="O258" s="8">
        <v>0</v>
      </c>
      <c r="P258" s="8">
        <v>0</v>
      </c>
      <c r="Q258" s="8">
        <v>1</v>
      </c>
      <c r="R258" s="8">
        <v>0</v>
      </c>
      <c r="S258" s="16">
        <v>1</v>
      </c>
      <c r="T258" s="16" t="s">
        <v>187</v>
      </c>
      <c r="U258" s="16" t="s">
        <v>200</v>
      </c>
      <c r="V258" s="16" t="s">
        <v>201</v>
      </c>
      <c r="W258" s="16" t="s">
        <v>855</v>
      </c>
      <c r="X258" s="7" t="s">
        <v>855</v>
      </c>
      <c r="Y258" s="16" t="s">
        <v>50</v>
      </c>
      <c r="Z258" s="16" t="s">
        <v>50</v>
      </c>
    </row>
    <row r="259" spans="2:26" ht="15" customHeight="1">
      <c r="B259" s="16" t="s">
        <v>1171</v>
      </c>
      <c r="C259" s="16" t="s">
        <v>184</v>
      </c>
      <c r="D259" s="16" t="s">
        <v>87</v>
      </c>
      <c r="E259" s="16" t="s">
        <v>192</v>
      </c>
      <c r="F259" s="16" t="s">
        <v>1172</v>
      </c>
      <c r="G259" s="8">
        <v>1</v>
      </c>
      <c r="H259" s="8">
        <v>0</v>
      </c>
      <c r="I259" s="8">
        <v>3</v>
      </c>
      <c r="J259" s="8">
        <v>3267</v>
      </c>
      <c r="K259" s="8">
        <v>0</v>
      </c>
      <c r="L259" s="8">
        <v>8</v>
      </c>
      <c r="M259" s="8">
        <v>4</v>
      </c>
      <c r="N259" s="8">
        <v>4</v>
      </c>
      <c r="O259" s="8">
        <v>0</v>
      </c>
      <c r="P259" s="8">
        <v>1</v>
      </c>
      <c r="Q259" s="8">
        <v>0</v>
      </c>
      <c r="R259" s="8">
        <v>0</v>
      </c>
      <c r="S259" s="16">
        <v>1</v>
      </c>
      <c r="T259" s="16"/>
      <c r="U259" s="16" t="s">
        <v>50</v>
      </c>
      <c r="V259" s="16"/>
      <c r="W259" s="16" t="s">
        <v>50</v>
      </c>
      <c r="X259" s="7" t="s">
        <v>50</v>
      </c>
      <c r="Y259" s="16" t="s">
        <v>50</v>
      </c>
      <c r="Z259" s="16" t="s">
        <v>50</v>
      </c>
    </row>
    <row r="260" spans="2:26" ht="15" customHeight="1">
      <c r="B260" s="16" t="s">
        <v>1173</v>
      </c>
      <c r="C260" s="16" t="s">
        <v>184</v>
      </c>
      <c r="D260" s="16" t="s">
        <v>65</v>
      </c>
      <c r="E260" s="16" t="s">
        <v>222</v>
      </c>
      <c r="F260" s="16" t="s">
        <v>1174</v>
      </c>
      <c r="G260" s="8">
        <v>1</v>
      </c>
      <c r="H260" s="8">
        <v>0</v>
      </c>
      <c r="I260" s="8">
        <v>0</v>
      </c>
      <c r="J260" s="8">
        <v>135196</v>
      </c>
      <c r="K260" s="8">
        <v>0</v>
      </c>
      <c r="L260" s="8">
        <v>0</v>
      </c>
      <c r="M260" s="8">
        <v>0</v>
      </c>
      <c r="N260" s="8">
        <v>0</v>
      </c>
      <c r="O260" s="8">
        <v>0</v>
      </c>
      <c r="P260" s="8">
        <v>0</v>
      </c>
      <c r="Q260" s="8">
        <v>1</v>
      </c>
      <c r="R260" s="8">
        <v>0</v>
      </c>
      <c r="S260" s="16">
        <v>1</v>
      </c>
      <c r="T260" s="16"/>
      <c r="U260" s="16" t="s">
        <v>50</v>
      </c>
      <c r="V260" s="16"/>
      <c r="W260" s="16" t="s">
        <v>852</v>
      </c>
      <c r="X260" s="7" t="s">
        <v>852</v>
      </c>
      <c r="Y260" s="16" t="s">
        <v>50</v>
      </c>
      <c r="Z260" s="16" t="s">
        <v>50</v>
      </c>
    </row>
    <row r="261" spans="2:26" ht="15" customHeight="1">
      <c r="B261" s="16" t="s">
        <v>287</v>
      </c>
      <c r="C261" s="16" t="s">
        <v>184</v>
      </c>
      <c r="D261" s="16" t="s">
        <v>65</v>
      </c>
      <c r="E261" s="16" t="s">
        <v>186</v>
      </c>
      <c r="F261" s="16" t="s">
        <v>288</v>
      </c>
      <c r="G261" s="8">
        <v>1</v>
      </c>
      <c r="H261" s="8">
        <v>0</v>
      </c>
      <c r="I261" s="8">
        <v>5889</v>
      </c>
      <c r="J261" s="8">
        <v>5889</v>
      </c>
      <c r="K261" s="8">
        <v>0</v>
      </c>
      <c r="L261" s="8">
        <v>0</v>
      </c>
      <c r="M261" s="8">
        <v>0</v>
      </c>
      <c r="N261" s="8">
        <v>0</v>
      </c>
      <c r="O261" s="8">
        <v>0</v>
      </c>
      <c r="P261" s="8">
        <v>0</v>
      </c>
      <c r="Q261" s="8">
        <v>1</v>
      </c>
      <c r="R261" s="8">
        <v>0</v>
      </c>
      <c r="S261" s="16">
        <v>1</v>
      </c>
      <c r="T261" s="16"/>
      <c r="U261" s="16" t="s">
        <v>50</v>
      </c>
      <c r="V261" s="16"/>
      <c r="W261" s="16" t="s">
        <v>50</v>
      </c>
      <c r="X261" s="7" t="s">
        <v>50</v>
      </c>
      <c r="Y261" s="16" t="s">
        <v>50</v>
      </c>
      <c r="Z261" s="16" t="s">
        <v>50</v>
      </c>
    </row>
    <row r="262" spans="2:26" ht="15" customHeight="1">
      <c r="B262" s="16" t="s">
        <v>715</v>
      </c>
      <c r="C262" s="16" t="s">
        <v>184</v>
      </c>
      <c r="D262" s="16" t="s">
        <v>62</v>
      </c>
      <c r="E262" s="16" t="s">
        <v>186</v>
      </c>
      <c r="F262" s="16" t="s">
        <v>716</v>
      </c>
      <c r="G262" s="8">
        <v>1</v>
      </c>
      <c r="H262" s="8">
        <v>134</v>
      </c>
      <c r="I262" s="8">
        <v>7340</v>
      </c>
      <c r="J262" s="8">
        <v>7340</v>
      </c>
      <c r="K262" s="8">
        <v>1457</v>
      </c>
      <c r="L262" s="8">
        <v>27</v>
      </c>
      <c r="M262" s="8">
        <v>23</v>
      </c>
      <c r="N262" s="8">
        <v>1</v>
      </c>
      <c r="O262" s="8">
        <v>3</v>
      </c>
      <c r="P262" s="8">
        <v>0</v>
      </c>
      <c r="Q262" s="8">
        <v>1</v>
      </c>
      <c r="R262" s="8">
        <v>0</v>
      </c>
      <c r="S262" s="16">
        <v>1</v>
      </c>
      <c r="T262" s="16"/>
      <c r="U262" s="16" t="s">
        <v>50</v>
      </c>
      <c r="V262" s="16"/>
      <c r="W262" s="16" t="s">
        <v>50</v>
      </c>
      <c r="X262" s="7" t="s">
        <v>50</v>
      </c>
      <c r="Y262" s="16" t="s">
        <v>50</v>
      </c>
      <c r="Z262" s="16" t="s">
        <v>50</v>
      </c>
    </row>
    <row r="263" spans="2:26" ht="15" customHeight="1">
      <c r="B263" s="16" t="s">
        <v>1175</v>
      </c>
      <c r="C263" s="16" t="s">
        <v>184</v>
      </c>
      <c r="D263" s="16" t="s">
        <v>91</v>
      </c>
      <c r="E263" s="16" t="s">
        <v>192</v>
      </c>
      <c r="F263" s="16" t="s">
        <v>1176</v>
      </c>
      <c r="G263" s="8">
        <v>1</v>
      </c>
      <c r="H263" s="8">
        <v>0</v>
      </c>
      <c r="I263" s="8">
        <v>0</v>
      </c>
      <c r="J263" s="8">
        <v>0</v>
      </c>
      <c r="K263" s="8">
        <v>0</v>
      </c>
      <c r="L263" s="8">
        <v>0</v>
      </c>
      <c r="M263" s="8">
        <v>0</v>
      </c>
      <c r="N263" s="8">
        <v>0</v>
      </c>
      <c r="O263" s="8">
        <v>0</v>
      </c>
      <c r="P263" s="8">
        <v>0</v>
      </c>
      <c r="Q263" s="8">
        <v>1</v>
      </c>
      <c r="R263" s="8">
        <v>0</v>
      </c>
      <c r="S263" s="16">
        <v>1</v>
      </c>
      <c r="T263" s="16"/>
      <c r="U263" s="16" t="s">
        <v>50</v>
      </c>
      <c r="V263" s="16"/>
      <c r="W263" s="16" t="s">
        <v>50</v>
      </c>
      <c r="X263" s="7" t="s">
        <v>50</v>
      </c>
      <c r="Y263" s="16" t="s">
        <v>50</v>
      </c>
      <c r="Z263" s="16" t="s">
        <v>50</v>
      </c>
    </row>
    <row r="264" spans="2:26" ht="15" customHeight="1">
      <c r="B264" s="16" t="s">
        <v>1177</v>
      </c>
      <c r="C264" s="16" t="s">
        <v>184</v>
      </c>
      <c r="D264" s="16" t="s">
        <v>89</v>
      </c>
      <c r="E264" s="16" t="s">
        <v>192</v>
      </c>
      <c r="F264" s="16" t="s">
        <v>1178</v>
      </c>
      <c r="G264" s="8">
        <v>1</v>
      </c>
      <c r="H264" s="8">
        <v>0</v>
      </c>
      <c r="I264" s="8">
        <v>0</v>
      </c>
      <c r="J264" s="8">
        <v>0</v>
      </c>
      <c r="K264" s="8">
        <v>0</v>
      </c>
      <c r="L264" s="8">
        <v>0</v>
      </c>
      <c r="M264" s="8">
        <v>0</v>
      </c>
      <c r="N264" s="8">
        <v>0</v>
      </c>
      <c r="O264" s="8">
        <v>0</v>
      </c>
      <c r="P264" s="8">
        <v>0</v>
      </c>
      <c r="Q264" s="8">
        <v>1</v>
      </c>
      <c r="R264" s="8">
        <v>0</v>
      </c>
      <c r="S264" s="16">
        <v>1</v>
      </c>
      <c r="T264" s="16"/>
      <c r="U264" s="16" t="s">
        <v>50</v>
      </c>
      <c r="V264" s="16"/>
      <c r="W264" s="16" t="s">
        <v>50</v>
      </c>
      <c r="X264" s="7" t="s">
        <v>50</v>
      </c>
      <c r="Y264" s="16" t="s">
        <v>50</v>
      </c>
      <c r="Z264" s="16" t="s">
        <v>50</v>
      </c>
    </row>
    <row r="265" spans="2:26" ht="15" customHeight="1">
      <c r="B265" s="16" t="s">
        <v>1179</v>
      </c>
      <c r="C265" s="16" t="s">
        <v>350</v>
      </c>
      <c r="D265" s="16" t="s">
        <v>62</v>
      </c>
      <c r="E265" s="16" t="s">
        <v>222</v>
      </c>
      <c r="F265" s="16" t="s">
        <v>1180</v>
      </c>
      <c r="G265" s="8">
        <v>1</v>
      </c>
      <c r="H265" s="8">
        <v>6</v>
      </c>
      <c r="I265" s="8">
        <v>0</v>
      </c>
      <c r="J265" s="8">
        <v>116467</v>
      </c>
      <c r="K265" s="8">
        <v>0</v>
      </c>
      <c r="L265" s="8">
        <v>0</v>
      </c>
      <c r="M265" s="8">
        <v>0</v>
      </c>
      <c r="N265" s="8">
        <v>0</v>
      </c>
      <c r="O265" s="8">
        <v>0</v>
      </c>
      <c r="P265" s="8">
        <v>0</v>
      </c>
      <c r="Q265" s="8">
        <v>1</v>
      </c>
      <c r="R265" s="8">
        <v>0</v>
      </c>
      <c r="S265" s="16">
        <v>1</v>
      </c>
      <c r="T265" s="16"/>
      <c r="U265" s="16" t="s">
        <v>50</v>
      </c>
      <c r="V265" s="16"/>
      <c r="W265" s="16" t="s">
        <v>855</v>
      </c>
      <c r="X265" s="7" t="s">
        <v>855</v>
      </c>
      <c r="Y265" s="16" t="s">
        <v>864</v>
      </c>
      <c r="Z265" s="16" t="s">
        <v>50</v>
      </c>
    </row>
    <row r="266" spans="2:26" ht="15" customHeight="1">
      <c r="B266" s="16" t="s">
        <v>1181</v>
      </c>
      <c r="C266" s="16" t="s">
        <v>184</v>
      </c>
      <c r="D266" s="16" t="s">
        <v>65</v>
      </c>
      <c r="E266" s="16" t="s">
        <v>222</v>
      </c>
      <c r="F266" s="16" t="s">
        <v>1182</v>
      </c>
      <c r="G266" s="8">
        <v>1</v>
      </c>
      <c r="H266" s="8">
        <v>0</v>
      </c>
      <c r="I266" s="8">
        <v>0</v>
      </c>
      <c r="J266" s="8">
        <v>2531</v>
      </c>
      <c r="K266" s="8">
        <v>0</v>
      </c>
      <c r="L266" s="8">
        <v>0</v>
      </c>
      <c r="M266" s="8">
        <v>0</v>
      </c>
      <c r="N266" s="8">
        <v>0</v>
      </c>
      <c r="O266" s="8">
        <v>0</v>
      </c>
      <c r="P266" s="8">
        <v>1</v>
      </c>
      <c r="Q266" s="8">
        <v>0</v>
      </c>
      <c r="R266" s="8">
        <v>0</v>
      </c>
      <c r="S266" s="16">
        <v>1</v>
      </c>
      <c r="T266" s="16"/>
      <c r="U266" s="16" t="s">
        <v>50</v>
      </c>
      <c r="V266" s="16"/>
      <c r="W266" s="16" t="s">
        <v>852</v>
      </c>
      <c r="X266" s="7" t="s">
        <v>852</v>
      </c>
      <c r="Y266" s="16" t="s">
        <v>50</v>
      </c>
      <c r="Z266" s="16" t="s">
        <v>50</v>
      </c>
    </row>
    <row r="267" spans="2:26" ht="15" customHeight="1">
      <c r="B267" s="16" t="s">
        <v>1183</v>
      </c>
      <c r="C267" s="16" t="s">
        <v>184</v>
      </c>
      <c r="D267" s="16" t="s">
        <v>65</v>
      </c>
      <c r="E267" s="16" t="s">
        <v>192</v>
      </c>
      <c r="F267" s="16" t="s">
        <v>1184</v>
      </c>
      <c r="G267" s="8">
        <v>1</v>
      </c>
      <c r="H267" s="8">
        <v>0</v>
      </c>
      <c r="I267" s="8">
        <v>0</v>
      </c>
      <c r="J267" s="8">
        <v>580</v>
      </c>
      <c r="K267" s="8">
        <v>0</v>
      </c>
      <c r="L267" s="8">
        <v>0</v>
      </c>
      <c r="M267" s="8">
        <v>0</v>
      </c>
      <c r="N267" s="8">
        <v>0</v>
      </c>
      <c r="O267" s="8">
        <v>0</v>
      </c>
      <c r="P267" s="8">
        <v>0</v>
      </c>
      <c r="Q267" s="8">
        <v>1</v>
      </c>
      <c r="R267" s="8">
        <v>0</v>
      </c>
      <c r="S267" s="16">
        <v>1</v>
      </c>
      <c r="T267" s="16"/>
      <c r="U267" s="16" t="s">
        <v>50</v>
      </c>
      <c r="V267" s="16"/>
      <c r="W267" s="16" t="s">
        <v>852</v>
      </c>
      <c r="X267" s="7" t="s">
        <v>852</v>
      </c>
      <c r="Y267" s="16" t="s">
        <v>50</v>
      </c>
      <c r="Z267" s="16" t="s">
        <v>50</v>
      </c>
    </row>
    <row r="268" spans="2:26" ht="15" customHeight="1">
      <c r="B268" s="16" t="s">
        <v>1185</v>
      </c>
      <c r="C268" s="16" t="s">
        <v>184</v>
      </c>
      <c r="D268" s="16" t="s">
        <v>91</v>
      </c>
      <c r="E268" s="16" t="s">
        <v>192</v>
      </c>
      <c r="F268" s="16" t="s">
        <v>1186</v>
      </c>
      <c r="G268" s="8">
        <v>1</v>
      </c>
      <c r="H268" s="8">
        <v>0</v>
      </c>
      <c r="I268" s="8">
        <v>0</v>
      </c>
      <c r="J268" s="8">
        <v>0</v>
      </c>
      <c r="K268" s="8">
        <v>0</v>
      </c>
      <c r="L268" s="8">
        <v>0</v>
      </c>
      <c r="M268" s="8">
        <v>0</v>
      </c>
      <c r="N268" s="8">
        <v>0</v>
      </c>
      <c r="O268" s="8">
        <v>0</v>
      </c>
      <c r="P268" s="8">
        <v>0</v>
      </c>
      <c r="Q268" s="8">
        <v>1</v>
      </c>
      <c r="R268" s="8">
        <v>0</v>
      </c>
      <c r="S268" s="16">
        <v>1</v>
      </c>
      <c r="T268" s="16"/>
      <c r="U268" s="16" t="s">
        <v>50</v>
      </c>
      <c r="V268" s="16"/>
      <c r="W268" s="16" t="s">
        <v>50</v>
      </c>
      <c r="X268" s="7" t="s">
        <v>50</v>
      </c>
      <c r="Y268" s="16" t="s">
        <v>50</v>
      </c>
      <c r="Z268" s="16" t="s">
        <v>50</v>
      </c>
    </row>
    <row r="269" spans="2:26" ht="15" customHeight="1">
      <c r="B269" s="16" t="s">
        <v>1187</v>
      </c>
      <c r="C269" s="16" t="s">
        <v>184</v>
      </c>
      <c r="D269" s="16" t="s">
        <v>68</v>
      </c>
      <c r="E269" s="16" t="s">
        <v>192</v>
      </c>
      <c r="F269" s="16" t="s">
        <v>1188</v>
      </c>
      <c r="G269" s="8">
        <v>1</v>
      </c>
      <c r="H269" s="8">
        <v>0</v>
      </c>
      <c r="I269" s="8">
        <v>1</v>
      </c>
      <c r="J269" s="8">
        <v>638914</v>
      </c>
      <c r="K269" s="8">
        <v>0</v>
      </c>
      <c r="L269" s="8">
        <v>0</v>
      </c>
      <c r="M269" s="8">
        <v>0</v>
      </c>
      <c r="N269" s="8">
        <v>0</v>
      </c>
      <c r="O269" s="8">
        <v>0</v>
      </c>
      <c r="P269" s="8">
        <v>1</v>
      </c>
      <c r="Q269" s="8">
        <v>0</v>
      </c>
      <c r="R269" s="8">
        <v>0</v>
      </c>
      <c r="S269" s="16">
        <v>1</v>
      </c>
      <c r="T269" s="16"/>
      <c r="U269" s="16" t="s">
        <v>50</v>
      </c>
      <c r="V269" s="16"/>
      <c r="W269" s="16" t="s">
        <v>852</v>
      </c>
      <c r="X269" s="7" t="s">
        <v>852</v>
      </c>
      <c r="Y269" s="16" t="s">
        <v>50</v>
      </c>
      <c r="Z269" s="16" t="s">
        <v>50</v>
      </c>
    </row>
    <row r="270" spans="2:26" ht="15" customHeight="1">
      <c r="B270" s="16" t="s">
        <v>1189</v>
      </c>
      <c r="C270" s="16" t="s">
        <v>184</v>
      </c>
      <c r="D270" s="16" t="s">
        <v>110</v>
      </c>
      <c r="E270" s="16" t="s">
        <v>192</v>
      </c>
      <c r="F270" s="16" t="s">
        <v>1190</v>
      </c>
      <c r="G270" s="8">
        <v>1</v>
      </c>
      <c r="H270" s="8">
        <v>0</v>
      </c>
      <c r="I270" s="8" t="s">
        <v>101</v>
      </c>
      <c r="J270" s="8" t="s">
        <v>101</v>
      </c>
      <c r="K270" s="8">
        <v>0</v>
      </c>
      <c r="L270" s="8" t="s">
        <v>101</v>
      </c>
      <c r="M270" s="8">
        <v>0</v>
      </c>
      <c r="N270" s="8">
        <v>0</v>
      </c>
      <c r="O270" s="8">
        <v>0</v>
      </c>
      <c r="P270" s="8">
        <v>0</v>
      </c>
      <c r="Q270" s="8">
        <v>0</v>
      </c>
      <c r="R270" s="8">
        <v>1</v>
      </c>
      <c r="S270" s="16">
        <v>1</v>
      </c>
      <c r="T270" s="16"/>
      <c r="U270" s="16" t="s">
        <v>50</v>
      </c>
      <c r="V270" s="16"/>
      <c r="W270" s="16" t="s">
        <v>50</v>
      </c>
      <c r="X270" s="7" t="s">
        <v>50</v>
      </c>
      <c r="Y270" s="16" t="s">
        <v>50</v>
      </c>
      <c r="Z270" s="16" t="s">
        <v>50</v>
      </c>
    </row>
    <row r="271" spans="2:26" ht="15" customHeight="1">
      <c r="B271" s="16" t="s">
        <v>721</v>
      </c>
      <c r="C271" s="16" t="s">
        <v>184</v>
      </c>
      <c r="D271" s="16" t="s">
        <v>62</v>
      </c>
      <c r="E271" s="16" t="s">
        <v>186</v>
      </c>
      <c r="F271" s="16" t="s">
        <v>722</v>
      </c>
      <c r="G271" s="8">
        <v>1</v>
      </c>
      <c r="H271" s="8">
        <v>0</v>
      </c>
      <c r="I271" s="8">
        <v>9</v>
      </c>
      <c r="J271" s="8">
        <v>9</v>
      </c>
      <c r="K271" s="8">
        <v>2</v>
      </c>
      <c r="L271" s="8">
        <v>0</v>
      </c>
      <c r="M271" s="8">
        <v>0</v>
      </c>
      <c r="N271" s="8">
        <v>0</v>
      </c>
      <c r="O271" s="8">
        <v>0</v>
      </c>
      <c r="P271" s="8">
        <v>1</v>
      </c>
      <c r="Q271" s="8">
        <v>0</v>
      </c>
      <c r="R271" s="8">
        <v>0</v>
      </c>
      <c r="S271" s="16">
        <v>1</v>
      </c>
      <c r="T271" s="16" t="s">
        <v>187</v>
      </c>
      <c r="U271" s="16" t="s">
        <v>400</v>
      </c>
      <c r="V271" s="16" t="s">
        <v>401</v>
      </c>
      <c r="W271" s="16" t="s">
        <v>50</v>
      </c>
      <c r="X271" s="7" t="s">
        <v>50</v>
      </c>
      <c r="Y271" s="16" t="s">
        <v>50</v>
      </c>
      <c r="Z271" s="16" t="s">
        <v>50</v>
      </c>
    </row>
    <row r="272" spans="2:26" ht="15" customHeight="1">
      <c r="B272" s="16" t="s">
        <v>1191</v>
      </c>
      <c r="C272" s="16" t="s">
        <v>184</v>
      </c>
      <c r="D272" s="16" t="s">
        <v>91</v>
      </c>
      <c r="E272" s="16" t="s">
        <v>192</v>
      </c>
      <c r="F272" s="16" t="s">
        <v>1192</v>
      </c>
      <c r="G272" s="8">
        <v>1</v>
      </c>
      <c r="H272" s="8">
        <v>0</v>
      </c>
      <c r="I272" s="8">
        <v>0</v>
      </c>
      <c r="J272" s="8">
        <v>0</v>
      </c>
      <c r="K272" s="8">
        <v>0</v>
      </c>
      <c r="L272" s="8">
        <v>0</v>
      </c>
      <c r="M272" s="8">
        <v>0</v>
      </c>
      <c r="N272" s="8">
        <v>0</v>
      </c>
      <c r="O272" s="8">
        <v>0</v>
      </c>
      <c r="P272" s="8">
        <v>0</v>
      </c>
      <c r="Q272" s="8">
        <v>1</v>
      </c>
      <c r="R272" s="8">
        <v>0</v>
      </c>
      <c r="S272" s="16">
        <v>1</v>
      </c>
      <c r="T272" s="16"/>
      <c r="U272" s="16" t="s">
        <v>50</v>
      </c>
      <c r="V272" s="16"/>
      <c r="W272" s="16" t="s">
        <v>50</v>
      </c>
      <c r="X272" s="7" t="s">
        <v>50</v>
      </c>
      <c r="Y272" s="16" t="s">
        <v>50</v>
      </c>
      <c r="Z272" s="16" t="s">
        <v>50</v>
      </c>
    </row>
    <row r="273" spans="2:26" ht="15" customHeight="1">
      <c r="B273" s="16" t="s">
        <v>1193</v>
      </c>
      <c r="C273" s="16" t="s">
        <v>184</v>
      </c>
      <c r="D273" s="16" t="s">
        <v>104</v>
      </c>
      <c r="E273" s="16" t="s">
        <v>222</v>
      </c>
      <c r="F273" s="16" t="s">
        <v>1194</v>
      </c>
      <c r="G273" s="8">
        <v>1</v>
      </c>
      <c r="H273" s="8">
        <v>6</v>
      </c>
      <c r="I273" s="8">
        <v>15</v>
      </c>
      <c r="J273" s="8">
        <v>113700</v>
      </c>
      <c r="K273" s="8">
        <v>0</v>
      </c>
      <c r="L273" s="8">
        <v>0</v>
      </c>
      <c r="M273" s="8">
        <v>0</v>
      </c>
      <c r="N273" s="8">
        <v>0</v>
      </c>
      <c r="O273" s="8">
        <v>0</v>
      </c>
      <c r="P273" s="8">
        <v>0</v>
      </c>
      <c r="Q273" s="8">
        <v>1</v>
      </c>
      <c r="R273" s="8">
        <v>0</v>
      </c>
      <c r="S273" s="16">
        <v>1</v>
      </c>
      <c r="T273" s="16"/>
      <c r="U273" s="16" t="s">
        <v>50</v>
      </c>
      <c r="V273" s="16"/>
      <c r="W273" s="16" t="s">
        <v>50</v>
      </c>
      <c r="X273" s="7" t="s">
        <v>50</v>
      </c>
      <c r="Y273" s="16" t="s">
        <v>50</v>
      </c>
      <c r="Z273" s="16" t="s">
        <v>50</v>
      </c>
    </row>
    <row r="274" spans="2:26" ht="15" customHeight="1">
      <c r="B274" s="16" t="s">
        <v>289</v>
      </c>
      <c r="C274" s="16" t="s">
        <v>184</v>
      </c>
      <c r="D274" s="16" t="s">
        <v>65</v>
      </c>
      <c r="E274" s="16" t="s">
        <v>186</v>
      </c>
      <c r="F274" s="16" t="s">
        <v>290</v>
      </c>
      <c r="G274" s="8">
        <v>1</v>
      </c>
      <c r="H274" s="8">
        <v>0</v>
      </c>
      <c r="I274" s="8">
        <v>2902</v>
      </c>
      <c r="J274" s="8">
        <v>2902</v>
      </c>
      <c r="K274" s="8">
        <v>0</v>
      </c>
      <c r="L274" s="8">
        <v>0</v>
      </c>
      <c r="M274" s="8">
        <v>0</v>
      </c>
      <c r="N274" s="8">
        <v>0</v>
      </c>
      <c r="O274" s="8">
        <v>0</v>
      </c>
      <c r="P274" s="8">
        <v>1</v>
      </c>
      <c r="Q274" s="8">
        <v>0</v>
      </c>
      <c r="R274" s="8">
        <v>0</v>
      </c>
      <c r="S274" s="16">
        <v>1</v>
      </c>
      <c r="T274" s="16"/>
      <c r="U274" s="16" t="s">
        <v>50</v>
      </c>
      <c r="V274" s="16"/>
      <c r="W274" s="16" t="s">
        <v>50</v>
      </c>
      <c r="X274" s="7" t="s">
        <v>50</v>
      </c>
      <c r="Y274" s="16" t="s">
        <v>50</v>
      </c>
      <c r="Z274" s="16" t="s">
        <v>50</v>
      </c>
    </row>
    <row r="275" spans="2:26" ht="15" customHeight="1">
      <c r="B275" s="16" t="s">
        <v>1195</v>
      </c>
      <c r="C275" s="16" t="s">
        <v>184</v>
      </c>
      <c r="D275" s="16" t="s">
        <v>102</v>
      </c>
      <c r="E275" s="16" t="s">
        <v>192</v>
      </c>
      <c r="F275" s="16" t="s">
        <v>1196</v>
      </c>
      <c r="G275" s="8">
        <v>1</v>
      </c>
      <c r="H275" s="8">
        <v>0</v>
      </c>
      <c r="I275" s="8" t="s">
        <v>101</v>
      </c>
      <c r="J275" s="8" t="s">
        <v>101</v>
      </c>
      <c r="K275" s="8">
        <v>0</v>
      </c>
      <c r="L275" s="8" t="s">
        <v>101</v>
      </c>
      <c r="M275" s="8">
        <v>0</v>
      </c>
      <c r="N275" s="8">
        <v>0</v>
      </c>
      <c r="O275" s="8">
        <v>0</v>
      </c>
      <c r="P275" s="8">
        <v>1</v>
      </c>
      <c r="Q275" s="8">
        <v>0</v>
      </c>
      <c r="R275" s="8">
        <v>0</v>
      </c>
      <c r="S275" s="16">
        <v>1</v>
      </c>
      <c r="T275" s="16"/>
      <c r="U275" s="16" t="s">
        <v>50</v>
      </c>
      <c r="V275" s="16"/>
      <c r="W275" s="16" t="s">
        <v>855</v>
      </c>
      <c r="X275" s="7" t="s">
        <v>855</v>
      </c>
      <c r="Y275" s="16" t="s">
        <v>50</v>
      </c>
      <c r="Z275" s="16" t="s">
        <v>50</v>
      </c>
    </row>
    <row r="276" spans="2:26" ht="15" customHeight="1">
      <c r="B276" s="16" t="s">
        <v>1197</v>
      </c>
      <c r="C276" s="16" t="s">
        <v>184</v>
      </c>
      <c r="D276" s="16" t="s">
        <v>102</v>
      </c>
      <c r="E276" s="16" t="s">
        <v>192</v>
      </c>
      <c r="F276" s="16" t="s">
        <v>1198</v>
      </c>
      <c r="G276" s="8">
        <v>1</v>
      </c>
      <c r="H276" s="8">
        <v>0</v>
      </c>
      <c r="I276" s="8" t="s">
        <v>101</v>
      </c>
      <c r="J276" s="8" t="s">
        <v>101</v>
      </c>
      <c r="K276" s="8">
        <v>0</v>
      </c>
      <c r="L276" s="8" t="s">
        <v>101</v>
      </c>
      <c r="M276" s="8">
        <v>0</v>
      </c>
      <c r="N276" s="8">
        <v>0</v>
      </c>
      <c r="O276" s="8">
        <v>0</v>
      </c>
      <c r="P276" s="8">
        <v>1</v>
      </c>
      <c r="Q276" s="8">
        <v>0</v>
      </c>
      <c r="R276" s="8">
        <v>0</v>
      </c>
      <c r="S276" s="16">
        <v>1</v>
      </c>
      <c r="T276" s="16"/>
      <c r="U276" s="16" t="s">
        <v>50</v>
      </c>
      <c r="V276" s="16"/>
      <c r="W276" s="16" t="s">
        <v>855</v>
      </c>
      <c r="X276" s="7" t="s">
        <v>855</v>
      </c>
      <c r="Y276" s="16" t="s">
        <v>50</v>
      </c>
      <c r="Z276" s="16" t="s">
        <v>50</v>
      </c>
    </row>
    <row r="277" spans="2:26" ht="15" customHeight="1">
      <c r="B277" s="16" t="s">
        <v>1199</v>
      </c>
      <c r="C277" s="16" t="s">
        <v>184</v>
      </c>
      <c r="D277" s="16" t="s">
        <v>102</v>
      </c>
      <c r="E277" s="16" t="s">
        <v>192</v>
      </c>
      <c r="F277" s="16" t="s">
        <v>1200</v>
      </c>
      <c r="G277" s="8">
        <v>1</v>
      </c>
      <c r="H277" s="8">
        <v>0</v>
      </c>
      <c r="I277" s="8" t="s">
        <v>101</v>
      </c>
      <c r="J277" s="8" t="s">
        <v>101</v>
      </c>
      <c r="K277" s="8">
        <v>0</v>
      </c>
      <c r="L277" s="8" t="s">
        <v>101</v>
      </c>
      <c r="M277" s="8">
        <v>0</v>
      </c>
      <c r="N277" s="8">
        <v>0</v>
      </c>
      <c r="O277" s="8">
        <v>0</v>
      </c>
      <c r="P277" s="8">
        <v>1</v>
      </c>
      <c r="Q277" s="8">
        <v>0</v>
      </c>
      <c r="R277" s="8">
        <v>0</v>
      </c>
      <c r="S277" s="16">
        <v>1</v>
      </c>
      <c r="T277" s="16"/>
      <c r="U277" s="16" t="s">
        <v>50</v>
      </c>
      <c r="V277" s="16"/>
      <c r="W277" s="16" t="s">
        <v>852</v>
      </c>
      <c r="X277" s="7" t="s">
        <v>852</v>
      </c>
      <c r="Y277" s="16" t="s">
        <v>50</v>
      </c>
      <c r="Z277" s="16" t="s">
        <v>50</v>
      </c>
    </row>
    <row r="278" spans="2:26" ht="15" customHeight="1">
      <c r="B278" s="16" t="s">
        <v>1201</v>
      </c>
      <c r="C278" s="16" t="s">
        <v>184</v>
      </c>
      <c r="D278" s="16" t="s">
        <v>81</v>
      </c>
      <c r="E278" s="16" t="s">
        <v>222</v>
      </c>
      <c r="F278" s="16" t="s">
        <v>292</v>
      </c>
      <c r="G278" s="8">
        <v>1</v>
      </c>
      <c r="H278" s="8">
        <v>5</v>
      </c>
      <c r="I278" s="8">
        <v>63463</v>
      </c>
      <c r="J278" s="8">
        <v>63463</v>
      </c>
      <c r="K278" s="8">
        <v>0</v>
      </c>
      <c r="L278" s="8">
        <v>0</v>
      </c>
      <c r="M278" s="8">
        <v>0</v>
      </c>
      <c r="N278" s="8">
        <v>0</v>
      </c>
      <c r="O278" s="8">
        <v>0</v>
      </c>
      <c r="P278" s="8">
        <v>0</v>
      </c>
      <c r="Q278" s="8">
        <v>1</v>
      </c>
      <c r="R278" s="8">
        <v>0</v>
      </c>
      <c r="S278" s="16">
        <v>1</v>
      </c>
      <c r="T278" s="16"/>
      <c r="U278" s="16" t="s">
        <v>50</v>
      </c>
      <c r="V278" s="16"/>
      <c r="W278" s="16" t="s">
        <v>50</v>
      </c>
      <c r="X278" s="7" t="s">
        <v>50</v>
      </c>
      <c r="Y278" s="16" t="s">
        <v>50</v>
      </c>
      <c r="Z278" s="16" t="s">
        <v>50</v>
      </c>
    </row>
    <row r="279" spans="2:26" ht="15" customHeight="1">
      <c r="B279" s="16" t="s">
        <v>1202</v>
      </c>
      <c r="C279" s="16" t="s">
        <v>184</v>
      </c>
      <c r="D279" s="16" t="s">
        <v>68</v>
      </c>
      <c r="E279" s="16" t="s">
        <v>192</v>
      </c>
      <c r="F279" s="16" t="s">
        <v>1203</v>
      </c>
      <c r="G279" s="8">
        <v>1</v>
      </c>
      <c r="H279" s="8">
        <v>0</v>
      </c>
      <c r="I279" s="8">
        <v>1</v>
      </c>
      <c r="J279" s="8">
        <v>258004</v>
      </c>
      <c r="K279" s="8">
        <v>0</v>
      </c>
      <c r="L279" s="8">
        <v>0</v>
      </c>
      <c r="M279" s="8">
        <v>0</v>
      </c>
      <c r="N279" s="8">
        <v>0</v>
      </c>
      <c r="O279" s="8">
        <v>0</v>
      </c>
      <c r="P279" s="8">
        <v>1</v>
      </c>
      <c r="Q279" s="8">
        <v>0</v>
      </c>
      <c r="R279" s="8">
        <v>0</v>
      </c>
      <c r="S279" s="16">
        <v>1</v>
      </c>
      <c r="T279" s="16"/>
      <c r="U279" s="16" t="s">
        <v>50</v>
      </c>
      <c r="V279" s="16"/>
      <c r="W279" s="16" t="s">
        <v>50</v>
      </c>
      <c r="X279" s="7" t="s">
        <v>50</v>
      </c>
      <c r="Y279" s="16" t="s">
        <v>50</v>
      </c>
      <c r="Z279" s="16" t="s">
        <v>50</v>
      </c>
    </row>
    <row r="280" spans="2:26" ht="15" customHeight="1">
      <c r="B280" s="16" t="s">
        <v>1204</v>
      </c>
      <c r="C280" s="16" t="s">
        <v>184</v>
      </c>
      <c r="D280" s="16" t="s">
        <v>68</v>
      </c>
      <c r="E280" s="16" t="s">
        <v>192</v>
      </c>
      <c r="F280" s="16" t="s">
        <v>1205</v>
      </c>
      <c r="G280" s="8">
        <v>1</v>
      </c>
      <c r="H280" s="8">
        <v>0</v>
      </c>
      <c r="I280" s="8">
        <v>1</v>
      </c>
      <c r="J280" s="8">
        <v>709705</v>
      </c>
      <c r="K280" s="8">
        <v>0</v>
      </c>
      <c r="L280" s="8">
        <v>8</v>
      </c>
      <c r="M280" s="8">
        <v>8</v>
      </c>
      <c r="N280" s="8">
        <v>0</v>
      </c>
      <c r="O280" s="8">
        <v>0</v>
      </c>
      <c r="P280" s="8">
        <v>0</v>
      </c>
      <c r="Q280" s="8">
        <v>1</v>
      </c>
      <c r="R280" s="8">
        <v>0</v>
      </c>
      <c r="S280" s="16">
        <v>1</v>
      </c>
      <c r="T280" s="16"/>
      <c r="U280" s="16" t="s">
        <v>50</v>
      </c>
      <c r="V280" s="16"/>
      <c r="W280" s="16" t="s">
        <v>50</v>
      </c>
      <c r="X280" s="7" t="s">
        <v>50</v>
      </c>
      <c r="Y280" s="16" t="s">
        <v>50</v>
      </c>
      <c r="Z280" s="16" t="s">
        <v>50</v>
      </c>
    </row>
    <row r="281" spans="2:26" ht="15" customHeight="1">
      <c r="B281" s="16" t="s">
        <v>1206</v>
      </c>
      <c r="C281" s="16" t="s">
        <v>184</v>
      </c>
      <c r="D281" s="16" t="s">
        <v>68</v>
      </c>
      <c r="E281" s="16" t="s">
        <v>192</v>
      </c>
      <c r="F281" s="16" t="s">
        <v>1207</v>
      </c>
      <c r="G281" s="8">
        <v>1</v>
      </c>
      <c r="H281" s="8">
        <v>0</v>
      </c>
      <c r="I281" s="8">
        <v>2</v>
      </c>
      <c r="J281" s="8">
        <v>81616</v>
      </c>
      <c r="K281" s="8">
        <v>0</v>
      </c>
      <c r="L281" s="8">
        <v>0</v>
      </c>
      <c r="M281" s="8">
        <v>0</v>
      </c>
      <c r="N281" s="8">
        <v>0</v>
      </c>
      <c r="O281" s="8">
        <v>0</v>
      </c>
      <c r="P281" s="8">
        <v>1</v>
      </c>
      <c r="Q281" s="8">
        <v>0</v>
      </c>
      <c r="R281" s="8">
        <v>0</v>
      </c>
      <c r="S281" s="16">
        <v>1</v>
      </c>
      <c r="T281" s="16"/>
      <c r="U281" s="16" t="s">
        <v>50</v>
      </c>
      <c r="V281" s="16"/>
      <c r="W281" s="16" t="s">
        <v>50</v>
      </c>
      <c r="X281" s="7" t="s">
        <v>50</v>
      </c>
      <c r="Y281" s="16" t="s">
        <v>50</v>
      </c>
      <c r="Z281" s="16" t="s">
        <v>50</v>
      </c>
    </row>
    <row r="282" spans="2:26" ht="15" customHeight="1">
      <c r="B282" s="16" t="s">
        <v>1208</v>
      </c>
      <c r="C282" s="16" t="s">
        <v>184</v>
      </c>
      <c r="D282" s="16" t="s">
        <v>65</v>
      </c>
      <c r="E282" s="16" t="s">
        <v>222</v>
      </c>
      <c r="F282" s="16" t="s">
        <v>1209</v>
      </c>
      <c r="G282" s="8">
        <v>1</v>
      </c>
      <c r="H282" s="8">
        <v>0</v>
      </c>
      <c r="I282" s="8">
        <v>0</v>
      </c>
      <c r="J282" s="8">
        <v>24982</v>
      </c>
      <c r="K282" s="8">
        <v>0</v>
      </c>
      <c r="L282" s="8">
        <v>0</v>
      </c>
      <c r="M282" s="8">
        <v>0</v>
      </c>
      <c r="N282" s="8">
        <v>0</v>
      </c>
      <c r="O282" s="8">
        <v>0</v>
      </c>
      <c r="P282" s="8">
        <v>0</v>
      </c>
      <c r="Q282" s="8">
        <v>1</v>
      </c>
      <c r="R282" s="8">
        <v>0</v>
      </c>
      <c r="S282" s="16">
        <v>1</v>
      </c>
      <c r="T282" s="16"/>
      <c r="U282" s="16" t="s">
        <v>50</v>
      </c>
      <c r="V282" s="16"/>
      <c r="W282" s="16" t="s">
        <v>50</v>
      </c>
      <c r="X282" s="7" t="s">
        <v>50</v>
      </c>
      <c r="Y282" s="16" t="s">
        <v>50</v>
      </c>
      <c r="Z282" s="16" t="s">
        <v>50</v>
      </c>
    </row>
    <row r="283" spans="2:26" ht="15" customHeight="1">
      <c r="B283" s="16" t="s">
        <v>733</v>
      </c>
      <c r="C283" s="16" t="s">
        <v>184</v>
      </c>
      <c r="D283" s="16" t="s">
        <v>118</v>
      </c>
      <c r="E283" s="16" t="s">
        <v>222</v>
      </c>
      <c r="F283" s="16" t="s">
        <v>734</v>
      </c>
      <c r="G283" s="8">
        <v>1</v>
      </c>
      <c r="H283" s="8">
        <v>0</v>
      </c>
      <c r="I283" s="8">
        <v>115</v>
      </c>
      <c r="J283" s="8">
        <v>115</v>
      </c>
      <c r="K283" s="8">
        <v>136</v>
      </c>
      <c r="L283" s="8">
        <v>0</v>
      </c>
      <c r="M283" s="8">
        <v>0</v>
      </c>
      <c r="N283" s="8">
        <v>0</v>
      </c>
      <c r="O283" s="8">
        <v>0</v>
      </c>
      <c r="P283" s="8">
        <v>0</v>
      </c>
      <c r="Q283" s="8">
        <v>1</v>
      </c>
      <c r="R283" s="8">
        <v>0</v>
      </c>
      <c r="S283" s="16">
        <v>1</v>
      </c>
      <c r="T283" s="16"/>
      <c r="U283" s="16" t="s">
        <v>50</v>
      </c>
      <c r="V283" s="16"/>
      <c r="W283" s="16" t="s">
        <v>50</v>
      </c>
      <c r="X283" s="7" t="s">
        <v>50</v>
      </c>
      <c r="Y283" s="16" t="s">
        <v>50</v>
      </c>
      <c r="Z283" s="16" t="s">
        <v>50</v>
      </c>
    </row>
    <row r="284" spans="2:26" ht="15" customHeight="1">
      <c r="B284" s="16" t="s">
        <v>1210</v>
      </c>
      <c r="C284" s="16" t="s">
        <v>184</v>
      </c>
      <c r="D284" s="16" t="s">
        <v>68</v>
      </c>
      <c r="E284" s="16" t="s">
        <v>192</v>
      </c>
      <c r="F284" s="16" t="s">
        <v>1211</v>
      </c>
      <c r="G284" s="8">
        <v>1</v>
      </c>
      <c r="H284" s="8">
        <v>0</v>
      </c>
      <c r="I284" s="8">
        <v>1</v>
      </c>
      <c r="J284" s="8">
        <v>722014</v>
      </c>
      <c r="K284" s="8">
        <v>0</v>
      </c>
      <c r="L284" s="8">
        <v>0</v>
      </c>
      <c r="M284" s="8">
        <v>0</v>
      </c>
      <c r="N284" s="8">
        <v>0</v>
      </c>
      <c r="O284" s="8">
        <v>0</v>
      </c>
      <c r="P284" s="8">
        <v>0</v>
      </c>
      <c r="Q284" s="8">
        <v>0</v>
      </c>
      <c r="R284" s="8">
        <v>1</v>
      </c>
      <c r="S284" s="16">
        <v>1</v>
      </c>
      <c r="T284" s="16"/>
      <c r="U284" s="16" t="s">
        <v>50</v>
      </c>
      <c r="V284" s="16"/>
      <c r="W284" s="16" t="s">
        <v>852</v>
      </c>
      <c r="X284" s="7" t="s">
        <v>852</v>
      </c>
      <c r="Y284" s="16" t="s">
        <v>50</v>
      </c>
      <c r="Z284" s="16" t="s">
        <v>50</v>
      </c>
    </row>
    <row r="285" spans="2:26" ht="15" customHeight="1">
      <c r="B285" s="16" t="s">
        <v>1212</v>
      </c>
      <c r="C285" s="16" t="s">
        <v>184</v>
      </c>
      <c r="D285" s="16" t="s">
        <v>65</v>
      </c>
      <c r="E285" s="16" t="s">
        <v>222</v>
      </c>
      <c r="F285" s="16" t="s">
        <v>1213</v>
      </c>
      <c r="G285" s="8">
        <v>1</v>
      </c>
      <c r="H285" s="8">
        <v>0</v>
      </c>
      <c r="I285" s="8">
        <v>0</v>
      </c>
      <c r="J285" s="8">
        <v>3831</v>
      </c>
      <c r="K285" s="8">
        <v>0</v>
      </c>
      <c r="L285" s="8">
        <v>0</v>
      </c>
      <c r="M285" s="8">
        <v>0</v>
      </c>
      <c r="N285" s="8">
        <v>0</v>
      </c>
      <c r="O285" s="8">
        <v>0</v>
      </c>
      <c r="P285" s="8">
        <v>0</v>
      </c>
      <c r="Q285" s="8">
        <v>1</v>
      </c>
      <c r="R285" s="8">
        <v>0</v>
      </c>
      <c r="S285" s="16">
        <v>1</v>
      </c>
      <c r="T285" s="16"/>
      <c r="U285" s="16" t="s">
        <v>50</v>
      </c>
      <c r="V285" s="16"/>
      <c r="W285" s="16" t="s">
        <v>50</v>
      </c>
      <c r="X285" s="7" t="s">
        <v>50</v>
      </c>
      <c r="Y285" s="16" t="s">
        <v>50</v>
      </c>
      <c r="Z285" s="16" t="s">
        <v>50</v>
      </c>
    </row>
    <row r="286" spans="2:26" ht="15" customHeight="1">
      <c r="B286" s="16" t="s">
        <v>1214</v>
      </c>
      <c r="C286" s="16" t="s">
        <v>184</v>
      </c>
      <c r="D286" s="16" t="s">
        <v>89</v>
      </c>
      <c r="E286" s="16" t="s">
        <v>192</v>
      </c>
      <c r="F286" s="16" t="s">
        <v>1215</v>
      </c>
      <c r="G286" s="8">
        <v>1</v>
      </c>
      <c r="H286" s="8">
        <v>0</v>
      </c>
      <c r="I286" s="8">
        <v>0</v>
      </c>
      <c r="J286" s="8">
        <v>0</v>
      </c>
      <c r="K286" s="8">
        <v>0</v>
      </c>
      <c r="L286" s="8">
        <v>0</v>
      </c>
      <c r="M286" s="8">
        <v>0</v>
      </c>
      <c r="N286" s="8">
        <v>0</v>
      </c>
      <c r="O286" s="8">
        <v>0</v>
      </c>
      <c r="P286" s="8">
        <v>1</v>
      </c>
      <c r="Q286" s="8">
        <v>0</v>
      </c>
      <c r="R286" s="8">
        <v>0</v>
      </c>
      <c r="S286" s="16">
        <v>1</v>
      </c>
      <c r="T286" s="16"/>
      <c r="U286" s="16" t="s">
        <v>50</v>
      </c>
      <c r="V286" s="16"/>
      <c r="W286" s="16" t="s">
        <v>50</v>
      </c>
      <c r="X286" s="7" t="s">
        <v>50</v>
      </c>
      <c r="Y286" s="16" t="s">
        <v>50</v>
      </c>
      <c r="Z286" s="16" t="s">
        <v>50</v>
      </c>
    </row>
    <row r="287" spans="2:26" ht="15" customHeight="1">
      <c r="B287" s="16" t="s">
        <v>412</v>
      </c>
      <c r="C287" s="16" t="s">
        <v>184</v>
      </c>
      <c r="D287" s="16" t="s">
        <v>65</v>
      </c>
      <c r="E287" s="16" t="s">
        <v>186</v>
      </c>
      <c r="F287" s="16" t="s">
        <v>739</v>
      </c>
      <c r="G287" s="8">
        <v>1</v>
      </c>
      <c r="H287" s="8">
        <v>218</v>
      </c>
      <c r="I287" s="8">
        <v>6620</v>
      </c>
      <c r="J287" s="8">
        <v>6620</v>
      </c>
      <c r="K287" s="8">
        <v>455</v>
      </c>
      <c r="L287" s="8">
        <v>8</v>
      </c>
      <c r="M287" s="8">
        <v>0</v>
      </c>
      <c r="N287" s="8">
        <v>6</v>
      </c>
      <c r="O287" s="8">
        <v>2</v>
      </c>
      <c r="P287" s="8">
        <v>0</v>
      </c>
      <c r="Q287" s="8">
        <v>1</v>
      </c>
      <c r="R287" s="8">
        <v>0</v>
      </c>
      <c r="S287" s="16">
        <v>1</v>
      </c>
      <c r="T287" s="16"/>
      <c r="U287" s="16" t="s">
        <v>50</v>
      </c>
      <c r="V287" s="16"/>
      <c r="W287" s="16" t="s">
        <v>50</v>
      </c>
      <c r="X287" s="7" t="s">
        <v>50</v>
      </c>
      <c r="Y287" s="16" t="s">
        <v>50</v>
      </c>
      <c r="Z287" s="16" t="s">
        <v>50</v>
      </c>
    </row>
    <row r="288" spans="2:26" ht="15" customHeight="1">
      <c r="B288" s="16" t="s">
        <v>1216</v>
      </c>
      <c r="C288" s="16" t="s">
        <v>184</v>
      </c>
      <c r="D288" s="16" t="s">
        <v>97</v>
      </c>
      <c r="E288" s="16" t="s">
        <v>192</v>
      </c>
      <c r="F288" s="16" t="s">
        <v>1217</v>
      </c>
      <c r="G288" s="8">
        <v>1</v>
      </c>
      <c r="H288" s="8">
        <v>0</v>
      </c>
      <c r="I288" s="8">
        <v>0</v>
      </c>
      <c r="J288" s="8">
        <v>0</v>
      </c>
      <c r="K288" s="8">
        <v>0</v>
      </c>
      <c r="L288" s="8">
        <v>0</v>
      </c>
      <c r="M288" s="8">
        <v>0</v>
      </c>
      <c r="N288" s="8">
        <v>0</v>
      </c>
      <c r="O288" s="8">
        <v>0</v>
      </c>
      <c r="P288" s="8">
        <v>0</v>
      </c>
      <c r="Q288" s="8">
        <v>1</v>
      </c>
      <c r="R288" s="8">
        <v>0</v>
      </c>
      <c r="S288" s="16">
        <v>1</v>
      </c>
      <c r="T288" s="16"/>
      <c r="U288" s="16" t="s">
        <v>50</v>
      </c>
      <c r="V288" s="16"/>
      <c r="W288" s="16" t="s">
        <v>50</v>
      </c>
      <c r="X288" s="7" t="s">
        <v>50</v>
      </c>
      <c r="Y288" s="16" t="s">
        <v>50</v>
      </c>
      <c r="Z288" s="16" t="s">
        <v>50</v>
      </c>
    </row>
    <row r="289" spans="2:26" ht="15" customHeight="1">
      <c r="B289" s="16" t="s">
        <v>740</v>
      </c>
      <c r="C289" s="16" t="s">
        <v>184</v>
      </c>
      <c r="D289" s="16" t="s">
        <v>83</v>
      </c>
      <c r="E289" s="16" t="s">
        <v>222</v>
      </c>
      <c r="F289" s="16" t="s">
        <v>741</v>
      </c>
      <c r="G289" s="8">
        <v>1</v>
      </c>
      <c r="H289" s="8">
        <v>0</v>
      </c>
      <c r="I289" s="8">
        <v>32</v>
      </c>
      <c r="J289" s="8">
        <v>32</v>
      </c>
      <c r="K289" s="8">
        <v>0</v>
      </c>
      <c r="L289" s="8">
        <v>0</v>
      </c>
      <c r="M289" s="8">
        <v>0</v>
      </c>
      <c r="N289" s="8">
        <v>0</v>
      </c>
      <c r="O289" s="8">
        <v>0</v>
      </c>
      <c r="P289" s="8">
        <v>0</v>
      </c>
      <c r="Q289" s="8">
        <v>1</v>
      </c>
      <c r="R289" s="8">
        <v>0</v>
      </c>
      <c r="S289" s="16">
        <v>1</v>
      </c>
      <c r="T289" s="16"/>
      <c r="U289" s="16" t="s">
        <v>50</v>
      </c>
      <c r="V289" s="16"/>
      <c r="W289" s="16" t="s">
        <v>855</v>
      </c>
      <c r="X289" s="7" t="s">
        <v>855</v>
      </c>
      <c r="Y289" s="16" t="s">
        <v>50</v>
      </c>
      <c r="Z289" s="16" t="s">
        <v>50</v>
      </c>
    </row>
    <row r="290" spans="2:26" ht="15" customHeight="1">
      <c r="B290" s="16" t="s">
        <v>742</v>
      </c>
      <c r="C290" s="16" t="s">
        <v>184</v>
      </c>
      <c r="D290" s="16" t="s">
        <v>83</v>
      </c>
      <c r="E290" s="16" t="s">
        <v>222</v>
      </c>
      <c r="F290" s="16" t="s">
        <v>743</v>
      </c>
      <c r="G290" s="8">
        <v>1</v>
      </c>
      <c r="H290" s="8">
        <v>0</v>
      </c>
      <c r="I290" s="8">
        <v>89</v>
      </c>
      <c r="J290" s="8">
        <v>89</v>
      </c>
      <c r="K290" s="8">
        <v>0</v>
      </c>
      <c r="L290" s="8">
        <v>1</v>
      </c>
      <c r="M290" s="8">
        <v>0</v>
      </c>
      <c r="N290" s="8">
        <v>1</v>
      </c>
      <c r="O290" s="8">
        <v>0</v>
      </c>
      <c r="P290" s="8">
        <v>0</v>
      </c>
      <c r="Q290" s="8">
        <v>1</v>
      </c>
      <c r="R290" s="8">
        <v>0</v>
      </c>
      <c r="S290" s="16">
        <v>1</v>
      </c>
      <c r="T290" s="16"/>
      <c r="U290" s="16" t="s">
        <v>50</v>
      </c>
      <c r="V290" s="16"/>
      <c r="W290" s="16" t="s">
        <v>852</v>
      </c>
      <c r="X290" s="7" t="s">
        <v>852</v>
      </c>
      <c r="Y290" s="16" t="s">
        <v>50</v>
      </c>
      <c r="Z290" s="16" t="s">
        <v>50</v>
      </c>
    </row>
    <row r="291" spans="2:26" ht="15" customHeight="1">
      <c r="B291" s="16" t="s">
        <v>1218</v>
      </c>
      <c r="C291" s="16" t="s">
        <v>184</v>
      </c>
      <c r="D291" s="16" t="s">
        <v>65</v>
      </c>
      <c r="E291" s="16" t="s">
        <v>222</v>
      </c>
      <c r="F291" s="16" t="s">
        <v>1219</v>
      </c>
      <c r="G291" s="8">
        <v>1</v>
      </c>
      <c r="H291" s="8">
        <v>0</v>
      </c>
      <c r="I291" s="8">
        <v>0</v>
      </c>
      <c r="J291" s="8">
        <v>4972</v>
      </c>
      <c r="K291" s="8">
        <v>0</v>
      </c>
      <c r="L291" s="8">
        <v>0</v>
      </c>
      <c r="M291" s="8">
        <v>0</v>
      </c>
      <c r="N291" s="8">
        <v>0</v>
      </c>
      <c r="O291" s="8">
        <v>0</v>
      </c>
      <c r="P291" s="8">
        <v>0</v>
      </c>
      <c r="Q291" s="8">
        <v>1</v>
      </c>
      <c r="R291" s="8">
        <v>0</v>
      </c>
      <c r="S291" s="16">
        <v>1</v>
      </c>
      <c r="T291" s="16"/>
      <c r="U291" s="16" t="s">
        <v>50</v>
      </c>
      <c r="V291" s="16"/>
      <c r="W291" s="16" t="s">
        <v>50</v>
      </c>
      <c r="X291" s="7" t="s">
        <v>50</v>
      </c>
      <c r="Y291" s="16" t="s">
        <v>50</v>
      </c>
      <c r="Z291" s="16" t="s">
        <v>50</v>
      </c>
    </row>
    <row r="292" spans="2:26" ht="15" customHeight="1">
      <c r="B292" s="16" t="s">
        <v>1220</v>
      </c>
      <c r="C292" s="16" t="s">
        <v>151</v>
      </c>
      <c r="D292" s="16" t="s">
        <v>62</v>
      </c>
      <c r="E292" s="16" t="s">
        <v>222</v>
      </c>
      <c r="F292" s="16" t="s">
        <v>1221</v>
      </c>
      <c r="G292" s="8">
        <v>1</v>
      </c>
      <c r="H292" s="8">
        <v>1</v>
      </c>
      <c r="I292" s="8">
        <v>22</v>
      </c>
      <c r="J292" s="8">
        <v>68708</v>
      </c>
      <c r="K292" s="8">
        <v>0</v>
      </c>
      <c r="L292" s="8">
        <v>1</v>
      </c>
      <c r="M292" s="8">
        <v>1</v>
      </c>
      <c r="N292" s="8">
        <v>0</v>
      </c>
      <c r="O292" s="8">
        <v>0</v>
      </c>
      <c r="P292" s="8">
        <v>0</v>
      </c>
      <c r="Q292" s="8">
        <v>0</v>
      </c>
      <c r="R292" s="8">
        <v>1</v>
      </c>
      <c r="S292" s="16">
        <v>1</v>
      </c>
      <c r="T292" s="16"/>
      <c r="U292" s="16" t="s">
        <v>50</v>
      </c>
      <c r="V292" s="16"/>
      <c r="W292" s="16" t="s">
        <v>855</v>
      </c>
      <c r="X292" s="7" t="s">
        <v>855</v>
      </c>
      <c r="Y292" s="16" t="s">
        <v>864</v>
      </c>
      <c r="Z292" s="16" t="s">
        <v>50</v>
      </c>
    </row>
    <row r="293" spans="2:26" ht="15" customHeight="1">
      <c r="B293" s="16" t="s">
        <v>748</v>
      </c>
      <c r="C293" s="16" t="s">
        <v>184</v>
      </c>
      <c r="D293" s="16" t="s">
        <v>83</v>
      </c>
      <c r="E293" s="16" t="s">
        <v>222</v>
      </c>
      <c r="F293" s="16" t="s">
        <v>749</v>
      </c>
      <c r="G293" s="8">
        <v>1</v>
      </c>
      <c r="H293" s="8">
        <v>0</v>
      </c>
      <c r="I293" s="8">
        <v>1705</v>
      </c>
      <c r="J293" s="8">
        <v>1705</v>
      </c>
      <c r="K293" s="8">
        <v>0</v>
      </c>
      <c r="L293" s="8">
        <v>0</v>
      </c>
      <c r="M293" s="8">
        <v>0</v>
      </c>
      <c r="N293" s="8">
        <v>0</v>
      </c>
      <c r="O293" s="8">
        <v>0</v>
      </c>
      <c r="P293" s="8">
        <v>1</v>
      </c>
      <c r="Q293" s="8">
        <v>0</v>
      </c>
      <c r="R293" s="8">
        <v>0</v>
      </c>
      <c r="S293" s="16">
        <v>1</v>
      </c>
      <c r="T293" s="16"/>
      <c r="U293" s="16" t="s">
        <v>50</v>
      </c>
      <c r="V293" s="16"/>
      <c r="W293" s="16" t="s">
        <v>855</v>
      </c>
      <c r="X293" s="7" t="s">
        <v>855</v>
      </c>
      <c r="Y293" s="16" t="s">
        <v>50</v>
      </c>
      <c r="Z293" s="16" t="s">
        <v>50</v>
      </c>
    </row>
    <row r="294" spans="2:26" ht="15" customHeight="1">
      <c r="B294" s="16" t="s">
        <v>750</v>
      </c>
      <c r="C294" s="16" t="s">
        <v>184</v>
      </c>
      <c r="D294" s="16" t="s">
        <v>83</v>
      </c>
      <c r="E294" s="16" t="s">
        <v>222</v>
      </c>
      <c r="F294" s="16" t="s">
        <v>751</v>
      </c>
      <c r="G294" s="8">
        <v>1</v>
      </c>
      <c r="H294" s="8">
        <v>0</v>
      </c>
      <c r="I294" s="8">
        <v>90</v>
      </c>
      <c r="J294" s="8">
        <v>90</v>
      </c>
      <c r="K294" s="8">
        <v>0</v>
      </c>
      <c r="L294" s="8">
        <v>2</v>
      </c>
      <c r="M294" s="8">
        <v>1</v>
      </c>
      <c r="N294" s="8">
        <v>1</v>
      </c>
      <c r="O294" s="8">
        <v>0</v>
      </c>
      <c r="P294" s="8">
        <v>0</v>
      </c>
      <c r="Q294" s="8">
        <v>1</v>
      </c>
      <c r="R294" s="8">
        <v>0</v>
      </c>
      <c r="S294" s="16">
        <v>1</v>
      </c>
      <c r="T294" s="16"/>
      <c r="U294" s="16" t="s">
        <v>50</v>
      </c>
      <c r="V294" s="16"/>
      <c r="W294" s="16" t="s">
        <v>852</v>
      </c>
      <c r="X294" s="7" t="s">
        <v>852</v>
      </c>
      <c r="Y294" s="16" t="s">
        <v>50</v>
      </c>
      <c r="Z294" s="16" t="s">
        <v>50</v>
      </c>
    </row>
    <row r="295" spans="2:26" ht="15" customHeight="1">
      <c r="B295" s="16" t="s">
        <v>752</v>
      </c>
      <c r="C295" s="16" t="s">
        <v>184</v>
      </c>
      <c r="D295" s="16" t="s">
        <v>62</v>
      </c>
      <c r="E295" s="16" t="s">
        <v>186</v>
      </c>
      <c r="F295" s="16" t="s">
        <v>753</v>
      </c>
      <c r="G295" s="8">
        <v>1</v>
      </c>
      <c r="H295" s="8">
        <v>0</v>
      </c>
      <c r="I295" s="8">
        <v>6</v>
      </c>
      <c r="J295" s="8">
        <v>6</v>
      </c>
      <c r="K295" s="8">
        <v>3</v>
      </c>
      <c r="L295" s="8">
        <v>0</v>
      </c>
      <c r="M295" s="8">
        <v>0</v>
      </c>
      <c r="N295" s="8">
        <v>0</v>
      </c>
      <c r="O295" s="8">
        <v>0</v>
      </c>
      <c r="P295" s="8">
        <v>0</v>
      </c>
      <c r="Q295" s="8">
        <v>1</v>
      </c>
      <c r="R295" s="8">
        <v>0</v>
      </c>
      <c r="S295" s="16">
        <v>1</v>
      </c>
      <c r="T295" s="16" t="s">
        <v>187</v>
      </c>
      <c r="U295" s="16" t="s">
        <v>200</v>
      </c>
      <c r="V295" s="16" t="s">
        <v>201</v>
      </c>
      <c r="W295" s="16" t="s">
        <v>50</v>
      </c>
      <c r="X295" s="7" t="s">
        <v>50</v>
      </c>
      <c r="Y295" s="16" t="s">
        <v>50</v>
      </c>
      <c r="Z295" s="16" t="s">
        <v>50</v>
      </c>
    </row>
    <row r="296" spans="2:26" ht="15" customHeight="1">
      <c r="B296" s="16" t="s">
        <v>754</v>
      </c>
      <c r="C296" s="16" t="s">
        <v>184</v>
      </c>
      <c r="D296" s="16" t="s">
        <v>83</v>
      </c>
      <c r="E296" s="16" t="s">
        <v>222</v>
      </c>
      <c r="F296" s="16" t="s">
        <v>755</v>
      </c>
      <c r="G296" s="8">
        <v>1</v>
      </c>
      <c r="H296" s="8">
        <v>0</v>
      </c>
      <c r="I296" s="8">
        <v>95</v>
      </c>
      <c r="J296" s="8">
        <v>95</v>
      </c>
      <c r="K296" s="8">
        <v>0</v>
      </c>
      <c r="L296" s="8">
        <v>5</v>
      </c>
      <c r="M296" s="8">
        <v>3</v>
      </c>
      <c r="N296" s="8">
        <v>2</v>
      </c>
      <c r="O296" s="8">
        <v>0</v>
      </c>
      <c r="P296" s="8">
        <v>0</v>
      </c>
      <c r="Q296" s="8">
        <v>1</v>
      </c>
      <c r="R296" s="8">
        <v>0</v>
      </c>
      <c r="S296" s="16">
        <v>1</v>
      </c>
      <c r="T296" s="16"/>
      <c r="U296" s="16" t="s">
        <v>50</v>
      </c>
      <c r="V296" s="16"/>
      <c r="W296" s="16" t="s">
        <v>852</v>
      </c>
      <c r="X296" s="7" t="s">
        <v>852</v>
      </c>
      <c r="Y296" s="16" t="s">
        <v>50</v>
      </c>
      <c r="Z296" s="16" t="s">
        <v>50</v>
      </c>
    </row>
    <row r="297" spans="2:26" ht="15" customHeight="1">
      <c r="B297" s="16" t="s">
        <v>1222</v>
      </c>
      <c r="C297" s="16" t="s">
        <v>154</v>
      </c>
      <c r="D297" s="16" t="s">
        <v>78</v>
      </c>
      <c r="E297" s="16" t="s">
        <v>192</v>
      </c>
      <c r="F297" s="16" t="s">
        <v>1223</v>
      </c>
      <c r="G297" s="8">
        <v>1</v>
      </c>
      <c r="H297" s="8">
        <v>4</v>
      </c>
      <c r="I297" s="8">
        <v>0</v>
      </c>
      <c r="J297" s="8">
        <v>36500</v>
      </c>
      <c r="K297" s="8">
        <v>0</v>
      </c>
      <c r="L297" s="8">
        <v>0</v>
      </c>
      <c r="M297" s="8">
        <v>0</v>
      </c>
      <c r="N297" s="8">
        <v>0</v>
      </c>
      <c r="O297" s="8">
        <v>0</v>
      </c>
      <c r="P297" s="8">
        <v>1</v>
      </c>
      <c r="Q297" s="8">
        <v>0</v>
      </c>
      <c r="R297" s="8">
        <v>0</v>
      </c>
      <c r="S297" s="16">
        <v>1</v>
      </c>
      <c r="T297" s="16"/>
      <c r="U297" s="16" t="s">
        <v>50</v>
      </c>
      <c r="V297" s="16"/>
      <c r="W297" s="16" t="s">
        <v>855</v>
      </c>
      <c r="X297" s="7" t="s">
        <v>855</v>
      </c>
      <c r="Y297" s="16" t="s">
        <v>50</v>
      </c>
      <c r="Z297" s="16" t="s">
        <v>50</v>
      </c>
    </row>
    <row r="298" spans="2:26" ht="15" customHeight="1">
      <c r="B298" s="16" t="s">
        <v>1224</v>
      </c>
      <c r="C298" s="16" t="s">
        <v>184</v>
      </c>
      <c r="D298" s="16" t="s">
        <v>73</v>
      </c>
      <c r="E298" s="16" t="s">
        <v>192</v>
      </c>
      <c r="F298" s="16" t="s">
        <v>1225</v>
      </c>
      <c r="G298" s="8">
        <v>1</v>
      </c>
      <c r="H298" s="8">
        <v>0</v>
      </c>
      <c r="I298" s="8">
        <v>0</v>
      </c>
      <c r="J298" s="8">
        <v>0</v>
      </c>
      <c r="K298" s="8">
        <v>0</v>
      </c>
      <c r="L298" s="8">
        <v>0</v>
      </c>
      <c r="M298" s="8">
        <v>0</v>
      </c>
      <c r="N298" s="8">
        <v>0</v>
      </c>
      <c r="O298" s="8">
        <v>0</v>
      </c>
      <c r="P298" s="8">
        <v>0</v>
      </c>
      <c r="Q298" s="8">
        <v>0</v>
      </c>
      <c r="R298" s="8">
        <v>1</v>
      </c>
      <c r="S298" s="16">
        <v>1</v>
      </c>
      <c r="T298" s="16"/>
      <c r="U298" s="16" t="s">
        <v>50</v>
      </c>
      <c r="V298" s="16"/>
      <c r="W298" s="16" t="s">
        <v>852</v>
      </c>
      <c r="X298" s="7" t="s">
        <v>852</v>
      </c>
      <c r="Y298" s="16" t="s">
        <v>50</v>
      </c>
      <c r="Z298" s="16" t="s">
        <v>50</v>
      </c>
    </row>
    <row r="299" spans="2:26" ht="15" customHeight="1">
      <c r="B299" s="16" t="s">
        <v>1226</v>
      </c>
      <c r="C299" s="16" t="s">
        <v>184</v>
      </c>
      <c r="D299" s="16" t="s">
        <v>73</v>
      </c>
      <c r="E299" s="16" t="s">
        <v>192</v>
      </c>
      <c r="F299" s="16" t="s">
        <v>1227</v>
      </c>
      <c r="G299" s="8">
        <v>1</v>
      </c>
      <c r="H299" s="8">
        <v>0</v>
      </c>
      <c r="I299" s="8">
        <v>0</v>
      </c>
      <c r="J299" s="8">
        <v>0</v>
      </c>
      <c r="K299" s="8">
        <v>0</v>
      </c>
      <c r="L299" s="8">
        <v>0</v>
      </c>
      <c r="M299" s="8">
        <v>0</v>
      </c>
      <c r="N299" s="8">
        <v>0</v>
      </c>
      <c r="O299" s="8">
        <v>0</v>
      </c>
      <c r="P299" s="8">
        <v>0</v>
      </c>
      <c r="Q299" s="8">
        <v>1</v>
      </c>
      <c r="R299" s="8">
        <v>0</v>
      </c>
      <c r="S299" s="16">
        <v>1</v>
      </c>
      <c r="T299" s="16"/>
      <c r="U299" s="16" t="s">
        <v>50</v>
      </c>
      <c r="V299" s="16"/>
      <c r="W299" s="16" t="s">
        <v>855</v>
      </c>
      <c r="X299" s="7" t="s">
        <v>855</v>
      </c>
      <c r="Y299" s="16" t="s">
        <v>50</v>
      </c>
      <c r="Z299" s="16" t="s">
        <v>50</v>
      </c>
    </row>
    <row r="300" spans="2:26" ht="15" customHeight="1">
      <c r="B300" s="16" t="s">
        <v>1228</v>
      </c>
      <c r="C300" s="16" t="s">
        <v>184</v>
      </c>
      <c r="D300" s="16" t="s">
        <v>73</v>
      </c>
      <c r="E300" s="16" t="s">
        <v>192</v>
      </c>
      <c r="F300" s="16" t="s">
        <v>1229</v>
      </c>
      <c r="G300" s="8">
        <v>1</v>
      </c>
      <c r="H300" s="8">
        <v>0</v>
      </c>
      <c r="I300" s="8">
        <v>0</v>
      </c>
      <c r="J300" s="8">
        <v>0</v>
      </c>
      <c r="K300" s="8">
        <v>0</v>
      </c>
      <c r="L300" s="8">
        <v>0</v>
      </c>
      <c r="M300" s="8">
        <v>0</v>
      </c>
      <c r="N300" s="8">
        <v>0</v>
      </c>
      <c r="O300" s="8">
        <v>0</v>
      </c>
      <c r="P300" s="8">
        <v>0</v>
      </c>
      <c r="Q300" s="8">
        <v>1</v>
      </c>
      <c r="R300" s="8">
        <v>0</v>
      </c>
      <c r="S300" s="16">
        <v>1</v>
      </c>
      <c r="T300" s="16"/>
      <c r="U300" s="16" t="s">
        <v>50</v>
      </c>
      <c r="V300" s="16"/>
      <c r="W300" s="16" t="s">
        <v>852</v>
      </c>
      <c r="X300" s="7" t="s">
        <v>852</v>
      </c>
      <c r="Y300" s="16" t="s">
        <v>50</v>
      </c>
      <c r="Z300" s="16" t="s">
        <v>50</v>
      </c>
    </row>
    <row r="301" spans="2:26" ht="15" customHeight="1">
      <c r="B301" s="16" t="s">
        <v>1230</v>
      </c>
      <c r="C301" s="16" t="s">
        <v>184</v>
      </c>
      <c r="D301" s="16" t="s">
        <v>73</v>
      </c>
      <c r="E301" s="16" t="s">
        <v>192</v>
      </c>
      <c r="F301" s="16" t="s">
        <v>1231</v>
      </c>
      <c r="G301" s="8">
        <v>1</v>
      </c>
      <c r="H301" s="8">
        <v>0</v>
      </c>
      <c r="I301" s="8">
        <v>0</v>
      </c>
      <c r="J301" s="8">
        <v>0</v>
      </c>
      <c r="K301" s="8">
        <v>0</v>
      </c>
      <c r="L301" s="8">
        <v>0</v>
      </c>
      <c r="M301" s="8">
        <v>0</v>
      </c>
      <c r="N301" s="8">
        <v>0</v>
      </c>
      <c r="O301" s="8">
        <v>0</v>
      </c>
      <c r="P301" s="8">
        <v>0</v>
      </c>
      <c r="Q301" s="8">
        <v>1</v>
      </c>
      <c r="R301" s="8">
        <v>0</v>
      </c>
      <c r="S301" s="16">
        <v>1</v>
      </c>
      <c r="T301" s="16"/>
      <c r="U301" s="16" t="s">
        <v>50</v>
      </c>
      <c r="V301" s="16"/>
      <c r="W301" s="16" t="s">
        <v>852</v>
      </c>
      <c r="X301" s="7" t="s">
        <v>852</v>
      </c>
      <c r="Y301" s="16" t="s">
        <v>50</v>
      </c>
      <c r="Z301" s="16" t="s">
        <v>50</v>
      </c>
    </row>
    <row r="302" spans="2:26" ht="15" customHeight="1">
      <c r="B302" s="16" t="s">
        <v>1232</v>
      </c>
      <c r="C302" s="16" t="s">
        <v>184</v>
      </c>
      <c r="D302" s="16" t="s">
        <v>73</v>
      </c>
      <c r="E302" s="16" t="s">
        <v>192</v>
      </c>
      <c r="F302" s="16" t="s">
        <v>1233</v>
      </c>
      <c r="G302" s="8">
        <v>1</v>
      </c>
      <c r="H302" s="8">
        <v>0</v>
      </c>
      <c r="I302" s="8">
        <v>0</v>
      </c>
      <c r="J302" s="8">
        <v>0</v>
      </c>
      <c r="K302" s="8">
        <v>0</v>
      </c>
      <c r="L302" s="8">
        <v>0</v>
      </c>
      <c r="M302" s="8">
        <v>0</v>
      </c>
      <c r="N302" s="8">
        <v>0</v>
      </c>
      <c r="O302" s="8">
        <v>0</v>
      </c>
      <c r="P302" s="8">
        <v>0</v>
      </c>
      <c r="Q302" s="8">
        <v>1</v>
      </c>
      <c r="R302" s="8">
        <v>0</v>
      </c>
      <c r="S302" s="16">
        <v>1</v>
      </c>
      <c r="T302" s="16"/>
      <c r="U302" s="16" t="s">
        <v>50</v>
      </c>
      <c r="V302" s="16"/>
      <c r="W302" s="16" t="s">
        <v>852</v>
      </c>
      <c r="X302" s="7" t="s">
        <v>852</v>
      </c>
      <c r="Y302" s="16" t="s">
        <v>50</v>
      </c>
      <c r="Z302" s="16" t="s">
        <v>50</v>
      </c>
    </row>
    <row r="303" spans="2:26" ht="15" customHeight="1">
      <c r="B303" s="16" t="s">
        <v>1234</v>
      </c>
      <c r="C303" s="16" t="s">
        <v>184</v>
      </c>
      <c r="D303" s="16" t="s">
        <v>73</v>
      </c>
      <c r="E303" s="16" t="s">
        <v>192</v>
      </c>
      <c r="F303" s="16" t="s">
        <v>1235</v>
      </c>
      <c r="G303" s="8">
        <v>1</v>
      </c>
      <c r="H303" s="8">
        <v>0</v>
      </c>
      <c r="I303" s="8">
        <v>0</v>
      </c>
      <c r="J303" s="8">
        <v>0</v>
      </c>
      <c r="K303" s="8">
        <v>0</v>
      </c>
      <c r="L303" s="8">
        <v>0</v>
      </c>
      <c r="M303" s="8">
        <v>0</v>
      </c>
      <c r="N303" s="8">
        <v>0</v>
      </c>
      <c r="O303" s="8">
        <v>0</v>
      </c>
      <c r="P303" s="8">
        <v>1</v>
      </c>
      <c r="Q303" s="8">
        <v>0</v>
      </c>
      <c r="R303" s="8">
        <v>0</v>
      </c>
      <c r="S303" s="16">
        <v>1</v>
      </c>
      <c r="T303" s="16"/>
      <c r="U303" s="16" t="s">
        <v>50</v>
      </c>
      <c r="V303" s="16"/>
      <c r="W303" s="16" t="s">
        <v>852</v>
      </c>
      <c r="X303" s="7" t="s">
        <v>852</v>
      </c>
      <c r="Y303" s="16" t="s">
        <v>50</v>
      </c>
      <c r="Z303" s="16" t="s">
        <v>50</v>
      </c>
    </row>
    <row r="304" spans="2:26" ht="15" customHeight="1">
      <c r="B304" s="16" t="s">
        <v>1236</v>
      </c>
      <c r="C304" s="16" t="s">
        <v>154</v>
      </c>
      <c r="D304" s="16" t="s">
        <v>78</v>
      </c>
      <c r="E304" s="16" t="s">
        <v>192</v>
      </c>
      <c r="F304" s="16" t="s">
        <v>1237</v>
      </c>
      <c r="G304" s="8">
        <v>1</v>
      </c>
      <c r="H304" s="8">
        <v>4</v>
      </c>
      <c r="I304" s="8">
        <v>0</v>
      </c>
      <c r="J304" s="8">
        <v>36400</v>
      </c>
      <c r="K304" s="8">
        <v>0</v>
      </c>
      <c r="L304" s="8">
        <v>0</v>
      </c>
      <c r="M304" s="8">
        <v>0</v>
      </c>
      <c r="N304" s="8">
        <v>0</v>
      </c>
      <c r="O304" s="8">
        <v>0</v>
      </c>
      <c r="P304" s="8">
        <v>0</v>
      </c>
      <c r="Q304" s="8">
        <v>1</v>
      </c>
      <c r="R304" s="8">
        <v>0</v>
      </c>
      <c r="S304" s="16">
        <v>1</v>
      </c>
      <c r="T304" s="16"/>
      <c r="U304" s="16" t="s">
        <v>50</v>
      </c>
      <c r="V304" s="16"/>
      <c r="W304" s="16" t="s">
        <v>855</v>
      </c>
      <c r="X304" s="7" t="s">
        <v>855</v>
      </c>
      <c r="Y304" s="16" t="s">
        <v>50</v>
      </c>
      <c r="Z304" s="16" t="s">
        <v>50</v>
      </c>
    </row>
    <row r="305" spans="2:26" ht="15" customHeight="1">
      <c r="B305" s="16" t="s">
        <v>1238</v>
      </c>
      <c r="C305" s="16" t="s">
        <v>151</v>
      </c>
      <c r="D305" s="16" t="s">
        <v>62</v>
      </c>
      <c r="E305" s="16" t="s">
        <v>222</v>
      </c>
      <c r="F305" s="16" t="s">
        <v>1239</v>
      </c>
      <c r="G305" s="8">
        <v>1</v>
      </c>
      <c r="H305" s="8">
        <v>3</v>
      </c>
      <c r="I305" s="8">
        <v>0</v>
      </c>
      <c r="J305" s="8">
        <v>13564</v>
      </c>
      <c r="K305" s="8">
        <v>0</v>
      </c>
      <c r="L305" s="8">
        <v>0</v>
      </c>
      <c r="M305" s="8">
        <v>0</v>
      </c>
      <c r="N305" s="8">
        <v>0</v>
      </c>
      <c r="O305" s="8">
        <v>0</v>
      </c>
      <c r="P305" s="8">
        <v>0</v>
      </c>
      <c r="Q305" s="8">
        <v>1</v>
      </c>
      <c r="R305" s="8">
        <v>0</v>
      </c>
      <c r="S305" s="16">
        <v>1</v>
      </c>
      <c r="T305" s="16"/>
      <c r="U305" s="16" t="s">
        <v>50</v>
      </c>
      <c r="V305" s="16"/>
      <c r="W305" s="16" t="s">
        <v>855</v>
      </c>
      <c r="X305" s="7" t="s">
        <v>855</v>
      </c>
      <c r="Y305" s="16" t="s">
        <v>864</v>
      </c>
      <c r="Z305" s="16" t="s">
        <v>50</v>
      </c>
    </row>
    <row r="306" spans="2:26" ht="15" customHeight="1">
      <c r="B306" s="16" t="s">
        <v>760</v>
      </c>
      <c r="C306" s="16" t="s">
        <v>184</v>
      </c>
      <c r="D306" s="16" t="s">
        <v>65</v>
      </c>
      <c r="E306" s="16" t="s">
        <v>186</v>
      </c>
      <c r="F306" s="16" t="s">
        <v>761</v>
      </c>
      <c r="G306" s="8">
        <v>1</v>
      </c>
      <c r="H306" s="8">
        <v>0</v>
      </c>
      <c r="I306" s="8">
        <v>7381</v>
      </c>
      <c r="J306" s="8">
        <v>7381</v>
      </c>
      <c r="K306" s="8">
        <v>0</v>
      </c>
      <c r="L306" s="8">
        <v>0</v>
      </c>
      <c r="M306" s="8">
        <v>0</v>
      </c>
      <c r="N306" s="8">
        <v>0</v>
      </c>
      <c r="O306" s="8">
        <v>0</v>
      </c>
      <c r="P306" s="8">
        <v>0</v>
      </c>
      <c r="Q306" s="8">
        <v>1</v>
      </c>
      <c r="R306" s="8">
        <v>0</v>
      </c>
      <c r="S306" s="16">
        <v>1</v>
      </c>
      <c r="T306" s="16"/>
      <c r="U306" s="16" t="s">
        <v>50</v>
      </c>
      <c r="V306" s="16"/>
      <c r="W306" s="16" t="s">
        <v>50</v>
      </c>
      <c r="X306" s="7" t="s">
        <v>50</v>
      </c>
      <c r="Y306" s="16" t="s">
        <v>50</v>
      </c>
      <c r="Z306" s="16" t="s">
        <v>50</v>
      </c>
    </row>
    <row r="307" spans="2:26" ht="15" customHeight="1">
      <c r="B307" s="16" t="s">
        <v>1240</v>
      </c>
      <c r="C307" s="16" t="s">
        <v>184</v>
      </c>
      <c r="D307" s="16" t="s">
        <v>68</v>
      </c>
      <c r="E307" s="16" t="s">
        <v>192</v>
      </c>
      <c r="F307" s="16" t="s">
        <v>1241</v>
      </c>
      <c r="G307" s="8">
        <v>1</v>
      </c>
      <c r="H307" s="8">
        <v>0</v>
      </c>
      <c r="I307" s="8">
        <v>0</v>
      </c>
      <c r="J307" s="8">
        <v>74932</v>
      </c>
      <c r="K307" s="8">
        <v>0</v>
      </c>
      <c r="L307" s="8">
        <v>0</v>
      </c>
      <c r="M307" s="8">
        <v>0</v>
      </c>
      <c r="N307" s="8">
        <v>0</v>
      </c>
      <c r="O307" s="8">
        <v>0</v>
      </c>
      <c r="P307" s="8">
        <v>0</v>
      </c>
      <c r="Q307" s="8">
        <v>1</v>
      </c>
      <c r="R307" s="8">
        <v>0</v>
      </c>
      <c r="S307" s="16">
        <v>1</v>
      </c>
      <c r="T307" s="16"/>
      <c r="U307" s="16" t="s">
        <v>50</v>
      </c>
      <c r="V307" s="16"/>
      <c r="W307" s="16" t="s">
        <v>852</v>
      </c>
      <c r="X307" s="7" t="s">
        <v>852</v>
      </c>
      <c r="Y307" s="16" t="s">
        <v>50</v>
      </c>
      <c r="Z307" s="16" t="s">
        <v>50</v>
      </c>
    </row>
    <row r="308" spans="2:26" ht="15" customHeight="1">
      <c r="B308" s="16" t="s">
        <v>765</v>
      </c>
      <c r="C308" s="16" t="s">
        <v>184</v>
      </c>
      <c r="D308" s="16" t="s">
        <v>87</v>
      </c>
      <c r="E308" s="16" t="s">
        <v>192</v>
      </c>
      <c r="F308" s="16" t="s">
        <v>766</v>
      </c>
      <c r="G308" s="8">
        <v>1</v>
      </c>
      <c r="H308" s="8">
        <v>0</v>
      </c>
      <c r="I308" s="8">
        <v>1</v>
      </c>
      <c r="J308" s="8">
        <v>1</v>
      </c>
      <c r="K308" s="8">
        <v>1</v>
      </c>
      <c r="L308" s="8">
        <v>0</v>
      </c>
      <c r="M308" s="8">
        <v>0</v>
      </c>
      <c r="N308" s="8">
        <v>0</v>
      </c>
      <c r="O308" s="8">
        <v>0</v>
      </c>
      <c r="P308" s="8">
        <v>0</v>
      </c>
      <c r="Q308" s="8">
        <v>1</v>
      </c>
      <c r="R308" s="8">
        <v>0</v>
      </c>
      <c r="S308" s="16">
        <v>1</v>
      </c>
      <c r="T308" s="16"/>
      <c r="U308" s="16" t="s">
        <v>50</v>
      </c>
      <c r="V308" s="16"/>
      <c r="W308" s="16" t="s">
        <v>50</v>
      </c>
      <c r="X308" s="7" t="s">
        <v>50</v>
      </c>
      <c r="Y308" s="16" t="s">
        <v>50</v>
      </c>
      <c r="Z308" s="16" t="s">
        <v>50</v>
      </c>
    </row>
    <row r="309" spans="2:26" ht="15" customHeight="1">
      <c r="B309" s="16" t="s">
        <v>767</v>
      </c>
      <c r="C309" s="16" t="s">
        <v>184</v>
      </c>
      <c r="D309" s="16" t="s">
        <v>83</v>
      </c>
      <c r="E309" s="16" t="s">
        <v>222</v>
      </c>
      <c r="F309" s="16" t="s">
        <v>768</v>
      </c>
      <c r="G309" s="8">
        <v>1</v>
      </c>
      <c r="H309" s="8">
        <v>0</v>
      </c>
      <c r="I309" s="8">
        <v>0</v>
      </c>
      <c r="J309" s="8">
        <v>0</v>
      </c>
      <c r="K309" s="8">
        <v>0</v>
      </c>
      <c r="L309" s="8">
        <v>2</v>
      </c>
      <c r="M309" s="8">
        <v>2</v>
      </c>
      <c r="N309" s="8">
        <v>0</v>
      </c>
      <c r="O309" s="8">
        <v>0</v>
      </c>
      <c r="P309" s="8">
        <v>0</v>
      </c>
      <c r="Q309" s="8">
        <v>1</v>
      </c>
      <c r="R309" s="8">
        <v>0</v>
      </c>
      <c r="S309" s="16">
        <v>1</v>
      </c>
      <c r="T309" s="16"/>
      <c r="U309" s="16" t="s">
        <v>50</v>
      </c>
      <c r="V309" s="16"/>
      <c r="W309" s="16" t="s">
        <v>50</v>
      </c>
      <c r="X309" s="7" t="s">
        <v>50</v>
      </c>
      <c r="Y309" s="16" t="s">
        <v>50</v>
      </c>
      <c r="Z309" s="16" t="s">
        <v>50</v>
      </c>
    </row>
    <row r="310" spans="2:26" ht="15" customHeight="1">
      <c r="B310" s="16" t="s">
        <v>1242</v>
      </c>
      <c r="C310" s="16" t="s">
        <v>184</v>
      </c>
      <c r="D310" s="16" t="s">
        <v>85</v>
      </c>
      <c r="E310" s="16" t="s">
        <v>222</v>
      </c>
      <c r="F310" s="16" t="s">
        <v>1243</v>
      </c>
      <c r="G310" s="8">
        <v>1</v>
      </c>
      <c r="H310" s="8">
        <v>0</v>
      </c>
      <c r="I310" s="8">
        <v>9</v>
      </c>
      <c r="J310" s="8">
        <v>0</v>
      </c>
      <c r="K310" s="8">
        <v>0</v>
      </c>
      <c r="L310" s="8">
        <v>2</v>
      </c>
      <c r="M310" s="8">
        <v>2</v>
      </c>
      <c r="N310" s="8">
        <v>0</v>
      </c>
      <c r="O310" s="8">
        <v>0</v>
      </c>
      <c r="P310" s="8">
        <v>0</v>
      </c>
      <c r="Q310" s="8">
        <v>1</v>
      </c>
      <c r="R310" s="8">
        <v>0</v>
      </c>
      <c r="S310" s="16">
        <v>1</v>
      </c>
      <c r="T310" s="16"/>
      <c r="U310" s="16" t="s">
        <v>50</v>
      </c>
      <c r="V310" s="16"/>
      <c r="W310" s="16" t="s">
        <v>852</v>
      </c>
      <c r="X310" s="7" t="s">
        <v>852</v>
      </c>
      <c r="Y310" s="16" t="s">
        <v>50</v>
      </c>
      <c r="Z310" s="16" t="s">
        <v>50</v>
      </c>
    </row>
    <row r="311" spans="2:26" ht="15" customHeight="1">
      <c r="B311" s="16" t="s">
        <v>1244</v>
      </c>
      <c r="C311" s="16" t="s">
        <v>184</v>
      </c>
      <c r="D311" s="16" t="s">
        <v>68</v>
      </c>
      <c r="E311" s="16" t="s">
        <v>192</v>
      </c>
      <c r="F311" s="16" t="s">
        <v>1245</v>
      </c>
      <c r="G311" s="8">
        <v>1</v>
      </c>
      <c r="H311" s="8">
        <v>0</v>
      </c>
      <c r="I311" s="8">
        <v>8</v>
      </c>
      <c r="J311" s="8">
        <v>756733</v>
      </c>
      <c r="K311" s="8">
        <v>0</v>
      </c>
      <c r="L311" s="8">
        <v>0</v>
      </c>
      <c r="M311" s="8">
        <v>0</v>
      </c>
      <c r="N311" s="8">
        <v>0</v>
      </c>
      <c r="O311" s="8">
        <v>0</v>
      </c>
      <c r="P311" s="8">
        <v>1</v>
      </c>
      <c r="Q311" s="8">
        <v>0</v>
      </c>
      <c r="R311" s="8">
        <v>0</v>
      </c>
      <c r="S311" s="16">
        <v>1</v>
      </c>
      <c r="T311" s="16"/>
      <c r="U311" s="16" t="s">
        <v>50</v>
      </c>
      <c r="V311" s="16"/>
      <c r="W311" s="16" t="s">
        <v>852</v>
      </c>
      <c r="X311" s="7" t="s">
        <v>852</v>
      </c>
      <c r="Y311" s="16" t="s">
        <v>50</v>
      </c>
      <c r="Z311" s="16" t="s">
        <v>50</v>
      </c>
    </row>
    <row r="312" spans="2:26" ht="15" customHeight="1">
      <c r="B312" s="16" t="s">
        <v>769</v>
      </c>
      <c r="C312" s="16" t="s">
        <v>184</v>
      </c>
      <c r="D312" s="16" t="s">
        <v>83</v>
      </c>
      <c r="E312" s="16" t="s">
        <v>222</v>
      </c>
      <c r="F312" s="16" t="s">
        <v>770</v>
      </c>
      <c r="G312" s="8">
        <v>1</v>
      </c>
      <c r="H312" s="8">
        <v>0</v>
      </c>
      <c r="I312" s="8">
        <v>41</v>
      </c>
      <c r="J312" s="8">
        <v>41</v>
      </c>
      <c r="K312" s="8">
        <v>0</v>
      </c>
      <c r="L312" s="8">
        <v>0</v>
      </c>
      <c r="M312" s="8">
        <v>0</v>
      </c>
      <c r="N312" s="8">
        <v>0</v>
      </c>
      <c r="O312" s="8">
        <v>0</v>
      </c>
      <c r="P312" s="8">
        <v>0</v>
      </c>
      <c r="Q312" s="8">
        <v>1</v>
      </c>
      <c r="R312" s="8">
        <v>0</v>
      </c>
      <c r="S312" s="16">
        <v>1</v>
      </c>
      <c r="T312" s="16"/>
      <c r="U312" s="16" t="s">
        <v>50</v>
      </c>
      <c r="V312" s="16"/>
      <c r="W312" s="16" t="s">
        <v>855</v>
      </c>
      <c r="X312" s="7" t="s">
        <v>855</v>
      </c>
      <c r="Y312" s="16" t="s">
        <v>50</v>
      </c>
      <c r="Z312" s="16" t="s">
        <v>50</v>
      </c>
    </row>
    <row r="313" spans="2:26" ht="15" customHeight="1">
      <c r="B313" s="16" t="s">
        <v>1246</v>
      </c>
      <c r="C313" s="16" t="s">
        <v>184</v>
      </c>
      <c r="D313" s="16" t="s">
        <v>65</v>
      </c>
      <c r="E313" s="16" t="s">
        <v>192</v>
      </c>
      <c r="F313" s="16" t="s">
        <v>1247</v>
      </c>
      <c r="G313" s="8">
        <v>1</v>
      </c>
      <c r="H313" s="8">
        <v>0</v>
      </c>
      <c r="I313" s="8">
        <v>0</v>
      </c>
      <c r="J313" s="8">
        <v>167</v>
      </c>
      <c r="K313" s="8">
        <v>0</v>
      </c>
      <c r="L313" s="8">
        <v>0</v>
      </c>
      <c r="M313" s="8">
        <v>0</v>
      </c>
      <c r="N313" s="8">
        <v>0</v>
      </c>
      <c r="O313" s="8">
        <v>0</v>
      </c>
      <c r="P313" s="8">
        <v>0</v>
      </c>
      <c r="Q313" s="8">
        <v>1</v>
      </c>
      <c r="R313" s="8">
        <v>0</v>
      </c>
      <c r="S313" s="16">
        <v>1</v>
      </c>
      <c r="T313" s="16"/>
      <c r="U313" s="16" t="s">
        <v>50</v>
      </c>
      <c r="V313" s="16"/>
      <c r="W313" s="16" t="s">
        <v>50</v>
      </c>
      <c r="X313" s="7" t="s">
        <v>50</v>
      </c>
      <c r="Y313" s="16" t="s">
        <v>50</v>
      </c>
      <c r="Z313" s="16" t="s">
        <v>50</v>
      </c>
    </row>
    <row r="314" spans="2:26" ht="15" customHeight="1">
      <c r="B314" s="16" t="s">
        <v>771</v>
      </c>
      <c r="C314" s="16" t="s">
        <v>184</v>
      </c>
      <c r="D314" s="16" t="s">
        <v>62</v>
      </c>
      <c r="E314" s="16" t="s">
        <v>186</v>
      </c>
      <c r="F314" s="16" t="s">
        <v>772</v>
      </c>
      <c r="G314" s="8">
        <v>1</v>
      </c>
      <c r="H314" s="8">
        <v>0</v>
      </c>
      <c r="I314" s="8">
        <v>1</v>
      </c>
      <c r="J314" s="8">
        <v>1</v>
      </c>
      <c r="K314" s="8">
        <v>116</v>
      </c>
      <c r="L314" s="8">
        <v>0</v>
      </c>
      <c r="M314" s="8">
        <v>0</v>
      </c>
      <c r="N314" s="8">
        <v>0</v>
      </c>
      <c r="O314" s="8">
        <v>0</v>
      </c>
      <c r="P314" s="8">
        <v>0</v>
      </c>
      <c r="Q314" s="8">
        <v>1</v>
      </c>
      <c r="R314" s="8">
        <v>0</v>
      </c>
      <c r="S314" s="16">
        <v>1</v>
      </c>
      <c r="T314" s="16" t="s">
        <v>187</v>
      </c>
      <c r="U314" s="16" t="s">
        <v>188</v>
      </c>
      <c r="V314" s="16" t="s">
        <v>189</v>
      </c>
      <c r="W314" s="16" t="s">
        <v>50</v>
      </c>
      <c r="X314" s="7" t="s">
        <v>50</v>
      </c>
      <c r="Y314" s="16" t="s">
        <v>50</v>
      </c>
      <c r="Z314" s="16" t="s">
        <v>50</v>
      </c>
    </row>
    <row r="315" spans="2:26" ht="15" customHeight="1">
      <c r="B315" s="16" t="s">
        <v>773</v>
      </c>
      <c r="C315" s="16" t="s">
        <v>184</v>
      </c>
      <c r="D315" s="16" t="s">
        <v>62</v>
      </c>
      <c r="E315" s="16" t="s">
        <v>186</v>
      </c>
      <c r="F315" s="16" t="s">
        <v>774</v>
      </c>
      <c r="G315" s="8">
        <v>1</v>
      </c>
      <c r="H315" s="8">
        <v>0</v>
      </c>
      <c r="I315" s="8">
        <v>21</v>
      </c>
      <c r="J315" s="8">
        <v>21</v>
      </c>
      <c r="K315" s="8">
        <v>67</v>
      </c>
      <c r="L315" s="8">
        <v>2</v>
      </c>
      <c r="M315" s="8">
        <v>1</v>
      </c>
      <c r="N315" s="8">
        <v>0</v>
      </c>
      <c r="O315" s="8">
        <v>1</v>
      </c>
      <c r="P315" s="8">
        <v>0</v>
      </c>
      <c r="Q315" s="8">
        <v>1</v>
      </c>
      <c r="R315" s="8">
        <v>0</v>
      </c>
      <c r="S315" s="16">
        <v>1</v>
      </c>
      <c r="T315" s="16" t="s">
        <v>187</v>
      </c>
      <c r="U315" s="16" t="s">
        <v>439</v>
      </c>
      <c r="V315" s="16" t="s">
        <v>775</v>
      </c>
      <c r="W315" s="16" t="s">
        <v>50</v>
      </c>
      <c r="X315" s="7" t="s">
        <v>50</v>
      </c>
      <c r="Y315" s="16" t="s">
        <v>50</v>
      </c>
      <c r="Z315" s="16" t="s">
        <v>50</v>
      </c>
    </row>
    <row r="316" spans="2:26" ht="15" customHeight="1">
      <c r="B316" s="16" t="s">
        <v>776</v>
      </c>
      <c r="C316" s="16" t="s">
        <v>184</v>
      </c>
      <c r="D316" s="16" t="s">
        <v>68</v>
      </c>
      <c r="E316" s="16" t="s">
        <v>192</v>
      </c>
      <c r="F316" s="16" t="s">
        <v>777</v>
      </c>
      <c r="G316" s="8">
        <v>1</v>
      </c>
      <c r="H316" s="8">
        <v>0</v>
      </c>
      <c r="I316" s="8">
        <v>147</v>
      </c>
      <c r="J316" s="8">
        <v>147</v>
      </c>
      <c r="K316" s="8">
        <v>28084</v>
      </c>
      <c r="L316" s="8">
        <v>414</v>
      </c>
      <c r="M316" s="8">
        <v>393</v>
      </c>
      <c r="N316" s="8">
        <v>21</v>
      </c>
      <c r="O316" s="8">
        <v>0</v>
      </c>
      <c r="P316" s="8">
        <v>0</v>
      </c>
      <c r="Q316" s="8">
        <v>1</v>
      </c>
      <c r="R316" s="8">
        <v>0</v>
      </c>
      <c r="S316" s="16">
        <v>1</v>
      </c>
      <c r="T316" s="16"/>
      <c r="U316" s="16" t="s">
        <v>50</v>
      </c>
      <c r="V316" s="16"/>
      <c r="W316" s="16" t="s">
        <v>50</v>
      </c>
      <c r="X316" s="7" t="s">
        <v>50</v>
      </c>
      <c r="Y316" s="16" t="s">
        <v>50</v>
      </c>
      <c r="Z316" s="16" t="s">
        <v>50</v>
      </c>
    </row>
    <row r="317" spans="2:26" ht="15" customHeight="1">
      <c r="B317" s="16" t="s">
        <v>580</v>
      </c>
      <c r="C317" s="16" t="s">
        <v>184</v>
      </c>
      <c r="D317" s="16" t="s">
        <v>62</v>
      </c>
      <c r="E317" s="16" t="s">
        <v>186</v>
      </c>
      <c r="F317" s="16" t="s">
        <v>778</v>
      </c>
      <c r="G317" s="8">
        <v>1</v>
      </c>
      <c r="H317" s="8">
        <v>0</v>
      </c>
      <c r="I317" s="8">
        <v>10</v>
      </c>
      <c r="J317" s="8">
        <v>10</v>
      </c>
      <c r="K317" s="8">
        <v>6</v>
      </c>
      <c r="L317" s="8">
        <v>0</v>
      </c>
      <c r="M317" s="8">
        <v>0</v>
      </c>
      <c r="N317" s="8">
        <v>0</v>
      </c>
      <c r="O317" s="8">
        <v>0</v>
      </c>
      <c r="P317" s="8">
        <v>0</v>
      </c>
      <c r="Q317" s="8">
        <v>1</v>
      </c>
      <c r="R317" s="8">
        <v>0</v>
      </c>
      <c r="S317" s="16">
        <v>1</v>
      </c>
      <c r="T317" s="16"/>
      <c r="U317" s="16" t="s">
        <v>50</v>
      </c>
      <c r="V317" s="16"/>
      <c r="W317" s="16" t="s">
        <v>50</v>
      </c>
      <c r="X317" s="7" t="s">
        <v>50</v>
      </c>
      <c r="Y317" s="16" t="s">
        <v>50</v>
      </c>
      <c r="Z317" s="16" t="s">
        <v>50</v>
      </c>
    </row>
    <row r="318" spans="2:26" ht="15" customHeight="1">
      <c r="B318" s="16" t="s">
        <v>1248</v>
      </c>
      <c r="C318" s="16" t="s">
        <v>184</v>
      </c>
      <c r="D318" s="16" t="s">
        <v>65</v>
      </c>
      <c r="E318" s="16" t="s">
        <v>222</v>
      </c>
      <c r="F318" s="16" t="s">
        <v>1249</v>
      </c>
      <c r="G318" s="8">
        <v>1</v>
      </c>
      <c r="H318" s="8">
        <v>0</v>
      </c>
      <c r="I318" s="8">
        <v>0</v>
      </c>
      <c r="J318" s="8">
        <v>3826</v>
      </c>
      <c r="K318" s="8">
        <v>0</v>
      </c>
      <c r="L318" s="8">
        <v>0</v>
      </c>
      <c r="M318" s="8">
        <v>0</v>
      </c>
      <c r="N318" s="8">
        <v>0</v>
      </c>
      <c r="O318" s="8">
        <v>0</v>
      </c>
      <c r="P318" s="8">
        <v>0</v>
      </c>
      <c r="Q318" s="8">
        <v>1</v>
      </c>
      <c r="R318" s="8">
        <v>0</v>
      </c>
      <c r="S318" s="16">
        <v>1</v>
      </c>
      <c r="T318" s="16"/>
      <c r="U318" s="16" t="s">
        <v>50</v>
      </c>
      <c r="V318" s="16"/>
      <c r="W318" s="16" t="s">
        <v>855</v>
      </c>
      <c r="X318" s="7" t="s">
        <v>855</v>
      </c>
      <c r="Y318" s="16" t="s">
        <v>50</v>
      </c>
      <c r="Z318" s="16" t="s">
        <v>50</v>
      </c>
    </row>
    <row r="319" spans="2:26" ht="15" customHeight="1">
      <c r="B319" s="16" t="s">
        <v>779</v>
      </c>
      <c r="C319" s="16" t="s">
        <v>184</v>
      </c>
      <c r="D319" s="16" t="s">
        <v>116</v>
      </c>
      <c r="E319" s="16" t="s">
        <v>186</v>
      </c>
      <c r="F319" s="16" t="s">
        <v>780</v>
      </c>
      <c r="G319" s="8">
        <v>1</v>
      </c>
      <c r="H319" s="8">
        <v>0</v>
      </c>
      <c r="I319" s="8">
        <v>5373</v>
      </c>
      <c r="J319" s="8">
        <v>5373</v>
      </c>
      <c r="K319" s="8">
        <v>1056</v>
      </c>
      <c r="L319" s="8">
        <v>12</v>
      </c>
      <c r="M319" s="8">
        <v>12</v>
      </c>
      <c r="N319" s="8">
        <v>0</v>
      </c>
      <c r="O319" s="8">
        <v>0</v>
      </c>
      <c r="P319" s="8">
        <v>1</v>
      </c>
      <c r="Q319" s="8">
        <v>0</v>
      </c>
      <c r="R319" s="8">
        <v>0</v>
      </c>
      <c r="S319" s="16">
        <v>1</v>
      </c>
      <c r="T319" s="16"/>
      <c r="U319" s="16" t="s">
        <v>50</v>
      </c>
      <c r="V319" s="16"/>
      <c r="W319" s="16" t="s">
        <v>50</v>
      </c>
      <c r="X319" s="7" t="s">
        <v>50</v>
      </c>
      <c r="Y319" s="16" t="s">
        <v>50</v>
      </c>
      <c r="Z319" s="16" t="s">
        <v>50</v>
      </c>
    </row>
    <row r="320" spans="2:26" ht="15" customHeight="1">
      <c r="B320" s="16" t="s">
        <v>783</v>
      </c>
      <c r="C320" s="16" t="s">
        <v>184</v>
      </c>
      <c r="D320" s="16" t="s">
        <v>116</v>
      </c>
      <c r="E320" s="16" t="s">
        <v>186</v>
      </c>
      <c r="F320" s="16" t="s">
        <v>784</v>
      </c>
      <c r="G320" s="8">
        <v>1</v>
      </c>
      <c r="H320" s="8">
        <v>0</v>
      </c>
      <c r="I320" s="8">
        <v>280</v>
      </c>
      <c r="J320" s="8">
        <v>280</v>
      </c>
      <c r="K320" s="8">
        <v>694</v>
      </c>
      <c r="L320" s="8">
        <v>4</v>
      </c>
      <c r="M320" s="8">
        <v>4</v>
      </c>
      <c r="N320" s="8">
        <v>0</v>
      </c>
      <c r="O320" s="8">
        <v>0</v>
      </c>
      <c r="P320" s="8">
        <v>0</v>
      </c>
      <c r="Q320" s="8">
        <v>1</v>
      </c>
      <c r="R320" s="8">
        <v>0</v>
      </c>
      <c r="S320" s="16">
        <v>1</v>
      </c>
      <c r="T320" s="16"/>
      <c r="U320" s="16" t="s">
        <v>50</v>
      </c>
      <c r="V320" s="16"/>
      <c r="W320" s="16" t="s">
        <v>50</v>
      </c>
      <c r="X320" s="7" t="s">
        <v>50</v>
      </c>
      <c r="Y320" s="16" t="s">
        <v>50</v>
      </c>
      <c r="Z320" s="16" t="s">
        <v>50</v>
      </c>
    </row>
    <row r="321" spans="2:26" ht="15" customHeight="1">
      <c r="B321" s="16" t="s">
        <v>1250</v>
      </c>
      <c r="C321" s="16" t="s">
        <v>184</v>
      </c>
      <c r="D321" s="16" t="s">
        <v>73</v>
      </c>
      <c r="E321" s="16" t="s">
        <v>192</v>
      </c>
      <c r="F321" s="16" t="s">
        <v>1251</v>
      </c>
      <c r="G321" s="8">
        <v>1</v>
      </c>
      <c r="H321" s="8">
        <v>0</v>
      </c>
      <c r="I321" s="8">
        <v>0</v>
      </c>
      <c r="J321" s="8">
        <v>0</v>
      </c>
      <c r="K321" s="8">
        <v>0</v>
      </c>
      <c r="L321" s="8">
        <v>0</v>
      </c>
      <c r="M321" s="8">
        <v>0</v>
      </c>
      <c r="N321" s="8">
        <v>0</v>
      </c>
      <c r="O321" s="8">
        <v>0</v>
      </c>
      <c r="P321" s="8">
        <v>1</v>
      </c>
      <c r="Q321" s="8">
        <v>0</v>
      </c>
      <c r="R321" s="8">
        <v>0</v>
      </c>
      <c r="S321" s="16">
        <v>1</v>
      </c>
      <c r="T321" s="16"/>
      <c r="U321" s="16" t="s">
        <v>50</v>
      </c>
      <c r="V321" s="16"/>
      <c r="W321" s="16" t="s">
        <v>855</v>
      </c>
      <c r="X321" s="7" t="s">
        <v>855</v>
      </c>
      <c r="Y321" s="16" t="s">
        <v>50</v>
      </c>
      <c r="Z321" s="16" t="s">
        <v>50</v>
      </c>
    </row>
    <row r="322" spans="2:26" ht="15" customHeight="1">
      <c r="B322" s="16" t="s">
        <v>1252</v>
      </c>
      <c r="C322" s="16" t="s">
        <v>184</v>
      </c>
      <c r="D322" s="16" t="s">
        <v>78</v>
      </c>
      <c r="E322" s="16" t="s">
        <v>192</v>
      </c>
      <c r="F322" s="16" t="s">
        <v>1253</v>
      </c>
      <c r="G322" s="8">
        <v>1</v>
      </c>
      <c r="H322" s="8">
        <v>0</v>
      </c>
      <c r="I322" s="8">
        <v>0</v>
      </c>
      <c r="J322" s="8">
        <v>8130</v>
      </c>
      <c r="K322" s="8">
        <v>0</v>
      </c>
      <c r="L322" s="8">
        <v>0</v>
      </c>
      <c r="M322" s="8">
        <v>0</v>
      </c>
      <c r="N322" s="8">
        <v>0</v>
      </c>
      <c r="O322" s="8">
        <v>0</v>
      </c>
      <c r="P322" s="8">
        <v>0</v>
      </c>
      <c r="Q322" s="8">
        <v>1</v>
      </c>
      <c r="R322" s="8">
        <v>0</v>
      </c>
      <c r="S322" s="16">
        <v>1</v>
      </c>
      <c r="T322" s="16"/>
      <c r="U322" s="16" t="s">
        <v>50</v>
      </c>
      <c r="V322" s="16"/>
      <c r="W322" s="16" t="s">
        <v>852</v>
      </c>
      <c r="X322" s="7" t="s">
        <v>852</v>
      </c>
      <c r="Y322" s="16" t="s">
        <v>50</v>
      </c>
      <c r="Z322" s="16" t="s">
        <v>50</v>
      </c>
    </row>
    <row r="323" spans="2:26" ht="15" customHeight="1">
      <c r="B323" s="16" t="s">
        <v>787</v>
      </c>
      <c r="C323" s="16" t="s">
        <v>184</v>
      </c>
      <c r="D323" s="16" t="s">
        <v>62</v>
      </c>
      <c r="E323" s="16" t="s">
        <v>186</v>
      </c>
      <c r="F323" s="16" t="s">
        <v>788</v>
      </c>
      <c r="G323" s="8">
        <v>1</v>
      </c>
      <c r="H323" s="8">
        <v>0</v>
      </c>
      <c r="I323" s="8">
        <v>0</v>
      </c>
      <c r="J323" s="8">
        <v>0</v>
      </c>
      <c r="K323" s="8">
        <v>119</v>
      </c>
      <c r="L323" s="8">
        <v>5</v>
      </c>
      <c r="M323" s="8">
        <v>2</v>
      </c>
      <c r="N323" s="8">
        <v>0</v>
      </c>
      <c r="O323" s="8">
        <v>3</v>
      </c>
      <c r="P323" s="8">
        <v>1</v>
      </c>
      <c r="Q323" s="8">
        <v>0</v>
      </c>
      <c r="R323" s="8">
        <v>0</v>
      </c>
      <c r="S323" s="16">
        <v>1</v>
      </c>
      <c r="T323" s="16"/>
      <c r="U323" s="16" t="s">
        <v>50</v>
      </c>
      <c r="V323" s="16"/>
      <c r="W323" s="16" t="s">
        <v>50</v>
      </c>
      <c r="X323" s="7" t="s">
        <v>50</v>
      </c>
      <c r="Y323" s="16" t="s">
        <v>50</v>
      </c>
      <c r="Z323" s="16" t="s">
        <v>50</v>
      </c>
    </row>
    <row r="324" spans="2:26" ht="15" customHeight="1">
      <c r="B324" s="16" t="s">
        <v>1254</v>
      </c>
      <c r="C324" s="16" t="s">
        <v>184</v>
      </c>
      <c r="D324" s="16" t="s">
        <v>65</v>
      </c>
      <c r="E324" s="16" t="s">
        <v>222</v>
      </c>
      <c r="F324" s="16" t="s">
        <v>1255</v>
      </c>
      <c r="G324" s="8">
        <v>1</v>
      </c>
      <c r="H324" s="8">
        <v>0</v>
      </c>
      <c r="I324" s="8">
        <v>0</v>
      </c>
      <c r="J324" s="8">
        <v>5873</v>
      </c>
      <c r="K324" s="8">
        <v>0</v>
      </c>
      <c r="L324" s="8">
        <v>0</v>
      </c>
      <c r="M324" s="8">
        <v>0</v>
      </c>
      <c r="N324" s="8">
        <v>0</v>
      </c>
      <c r="O324" s="8">
        <v>0</v>
      </c>
      <c r="P324" s="8">
        <v>0</v>
      </c>
      <c r="Q324" s="8">
        <v>1</v>
      </c>
      <c r="R324" s="8">
        <v>0</v>
      </c>
      <c r="S324" s="16">
        <v>1</v>
      </c>
      <c r="T324" s="16"/>
      <c r="U324" s="16" t="s">
        <v>50</v>
      </c>
      <c r="V324" s="16"/>
      <c r="W324" s="16" t="s">
        <v>855</v>
      </c>
      <c r="X324" s="7" t="s">
        <v>855</v>
      </c>
      <c r="Y324" s="16" t="s">
        <v>50</v>
      </c>
      <c r="Z324" s="16" t="s">
        <v>50</v>
      </c>
    </row>
    <row r="325" spans="2:26" ht="15" customHeight="1">
      <c r="B325" s="16" t="s">
        <v>1256</v>
      </c>
      <c r="C325" s="16" t="s">
        <v>184</v>
      </c>
      <c r="D325" s="16" t="s">
        <v>134</v>
      </c>
      <c r="E325" s="16" t="s">
        <v>192</v>
      </c>
      <c r="F325" s="16" t="s">
        <v>1257</v>
      </c>
      <c r="G325" s="8">
        <v>1</v>
      </c>
      <c r="H325" s="8">
        <v>0</v>
      </c>
      <c r="I325" s="8" t="s">
        <v>101</v>
      </c>
      <c r="J325" s="8" t="s">
        <v>101</v>
      </c>
      <c r="K325" s="8">
        <v>0</v>
      </c>
      <c r="L325" s="8" t="s">
        <v>101</v>
      </c>
      <c r="M325" s="8">
        <v>0</v>
      </c>
      <c r="N325" s="8">
        <v>0</v>
      </c>
      <c r="O325" s="8">
        <v>0</v>
      </c>
      <c r="P325" s="8">
        <v>1</v>
      </c>
      <c r="Q325" s="8">
        <v>0</v>
      </c>
      <c r="R325" s="8">
        <v>0</v>
      </c>
      <c r="S325" s="16">
        <v>1</v>
      </c>
      <c r="T325" s="16"/>
      <c r="U325" s="16" t="s">
        <v>50</v>
      </c>
      <c r="V325" s="16"/>
      <c r="W325" s="16" t="s">
        <v>50</v>
      </c>
      <c r="X325" s="7" t="s">
        <v>50</v>
      </c>
      <c r="Y325" s="16" t="s">
        <v>50</v>
      </c>
      <c r="Z325" s="16" t="s">
        <v>50</v>
      </c>
    </row>
    <row r="326" spans="2:26" ht="15" customHeight="1">
      <c r="B326" s="16" t="s">
        <v>789</v>
      </c>
      <c r="C326" s="16" t="s">
        <v>184</v>
      </c>
      <c r="D326" s="16" t="s">
        <v>62</v>
      </c>
      <c r="E326" s="16" t="s">
        <v>186</v>
      </c>
      <c r="F326" s="16" t="s">
        <v>790</v>
      </c>
      <c r="G326" s="8">
        <v>1</v>
      </c>
      <c r="H326" s="8">
        <v>0</v>
      </c>
      <c r="I326" s="8">
        <v>47</v>
      </c>
      <c r="J326" s="8">
        <v>47</v>
      </c>
      <c r="K326" s="8">
        <v>1</v>
      </c>
      <c r="L326" s="8">
        <v>0</v>
      </c>
      <c r="M326" s="8">
        <v>0</v>
      </c>
      <c r="N326" s="8">
        <v>0</v>
      </c>
      <c r="O326" s="8">
        <v>0</v>
      </c>
      <c r="P326" s="8">
        <v>0</v>
      </c>
      <c r="Q326" s="8">
        <v>1</v>
      </c>
      <c r="R326" s="8">
        <v>0</v>
      </c>
      <c r="S326" s="16">
        <v>1</v>
      </c>
      <c r="T326" s="16" t="s">
        <v>187</v>
      </c>
      <c r="U326" s="16" t="s">
        <v>435</v>
      </c>
      <c r="V326" s="16" t="s">
        <v>436</v>
      </c>
      <c r="W326" s="16" t="s">
        <v>50</v>
      </c>
      <c r="X326" s="7" t="s">
        <v>50</v>
      </c>
      <c r="Y326" s="16" t="s">
        <v>50</v>
      </c>
      <c r="Z326" s="16" t="s">
        <v>50</v>
      </c>
    </row>
    <row r="327" spans="2:26" ht="15" customHeight="1">
      <c r="B327" s="16" t="s">
        <v>1258</v>
      </c>
      <c r="C327" s="16" t="s">
        <v>184</v>
      </c>
      <c r="D327" s="16" t="s">
        <v>85</v>
      </c>
      <c r="E327" s="16" t="s">
        <v>222</v>
      </c>
      <c r="F327" s="16" t="s">
        <v>1259</v>
      </c>
      <c r="G327" s="8">
        <v>1</v>
      </c>
      <c r="H327" s="8">
        <v>0</v>
      </c>
      <c r="I327" s="8">
        <v>0</v>
      </c>
      <c r="J327" s="8">
        <v>613</v>
      </c>
      <c r="K327" s="8">
        <v>0</v>
      </c>
      <c r="L327" s="8">
        <v>0</v>
      </c>
      <c r="M327" s="8">
        <v>0</v>
      </c>
      <c r="N327" s="8">
        <v>0</v>
      </c>
      <c r="O327" s="8">
        <v>0</v>
      </c>
      <c r="P327" s="8">
        <v>1</v>
      </c>
      <c r="Q327" s="8">
        <v>0</v>
      </c>
      <c r="R327" s="8">
        <v>0</v>
      </c>
      <c r="S327" s="16">
        <v>1</v>
      </c>
      <c r="T327" s="16"/>
      <c r="U327" s="16" t="s">
        <v>50</v>
      </c>
      <c r="V327" s="16"/>
      <c r="W327" s="16" t="s">
        <v>852</v>
      </c>
      <c r="X327" s="7" t="s">
        <v>852</v>
      </c>
      <c r="Y327" s="16" t="s">
        <v>50</v>
      </c>
      <c r="Z327" s="16" t="s">
        <v>50</v>
      </c>
    </row>
    <row r="328" spans="2:26" ht="15" customHeight="1">
      <c r="B328" s="16" t="s">
        <v>1260</v>
      </c>
      <c r="C328" s="16" t="s">
        <v>184</v>
      </c>
      <c r="D328" s="16" t="s">
        <v>99</v>
      </c>
      <c r="E328" s="16" t="s">
        <v>192</v>
      </c>
      <c r="F328" s="16" t="s">
        <v>1261</v>
      </c>
      <c r="G328" s="8">
        <v>1</v>
      </c>
      <c r="H328" s="8">
        <v>0</v>
      </c>
      <c r="I328" s="8" t="s">
        <v>101</v>
      </c>
      <c r="J328" s="8" t="s">
        <v>101</v>
      </c>
      <c r="K328" s="8">
        <v>0</v>
      </c>
      <c r="L328" s="8" t="s">
        <v>101</v>
      </c>
      <c r="M328" s="8">
        <v>3</v>
      </c>
      <c r="N328" s="8">
        <v>0</v>
      </c>
      <c r="O328" s="8">
        <v>0</v>
      </c>
      <c r="P328" s="8">
        <v>1</v>
      </c>
      <c r="Q328" s="8">
        <v>0</v>
      </c>
      <c r="R328" s="8">
        <v>0</v>
      </c>
      <c r="S328" s="16">
        <v>1</v>
      </c>
      <c r="T328" s="16"/>
      <c r="U328" s="16" t="s">
        <v>50</v>
      </c>
      <c r="V328" s="16"/>
      <c r="W328" s="16" t="s">
        <v>852</v>
      </c>
      <c r="X328" s="7" t="s">
        <v>852</v>
      </c>
      <c r="Y328" s="16" t="s">
        <v>50</v>
      </c>
      <c r="Z328" s="16" t="s">
        <v>50</v>
      </c>
    </row>
    <row r="329" spans="2:26" ht="15" customHeight="1">
      <c r="B329" s="16" t="s">
        <v>1262</v>
      </c>
      <c r="C329" s="16" t="s">
        <v>184</v>
      </c>
      <c r="D329" s="16" t="s">
        <v>65</v>
      </c>
      <c r="E329" s="16" t="s">
        <v>222</v>
      </c>
      <c r="F329" s="16" t="s">
        <v>1263</v>
      </c>
      <c r="G329" s="8">
        <v>1</v>
      </c>
      <c r="H329" s="8">
        <v>0</v>
      </c>
      <c r="I329" s="8">
        <v>0</v>
      </c>
      <c r="J329" s="8">
        <v>5025</v>
      </c>
      <c r="K329" s="8">
        <v>0</v>
      </c>
      <c r="L329" s="8">
        <v>0</v>
      </c>
      <c r="M329" s="8">
        <v>0</v>
      </c>
      <c r="N329" s="8">
        <v>0</v>
      </c>
      <c r="O329" s="8">
        <v>0</v>
      </c>
      <c r="P329" s="8">
        <v>0</v>
      </c>
      <c r="Q329" s="8">
        <v>1</v>
      </c>
      <c r="R329" s="8">
        <v>0</v>
      </c>
      <c r="S329" s="16">
        <v>1</v>
      </c>
      <c r="T329" s="16"/>
      <c r="U329" s="16" t="s">
        <v>50</v>
      </c>
      <c r="V329" s="16"/>
      <c r="W329" s="16" t="s">
        <v>855</v>
      </c>
      <c r="X329" s="7" t="s">
        <v>855</v>
      </c>
      <c r="Y329" s="16" t="s">
        <v>50</v>
      </c>
      <c r="Z329" s="16" t="s">
        <v>50</v>
      </c>
    </row>
    <row r="330" spans="2:26" ht="15" customHeight="1">
      <c r="B330" s="16" t="s">
        <v>1264</v>
      </c>
      <c r="C330" s="16" t="s">
        <v>184</v>
      </c>
      <c r="D330" s="16" t="s">
        <v>91</v>
      </c>
      <c r="E330" s="16" t="s">
        <v>192</v>
      </c>
      <c r="F330" s="16" t="s">
        <v>1265</v>
      </c>
      <c r="G330" s="8">
        <v>1</v>
      </c>
      <c r="H330" s="8">
        <v>0</v>
      </c>
      <c r="I330" s="8">
        <v>0</v>
      </c>
      <c r="J330" s="8">
        <v>0</v>
      </c>
      <c r="K330" s="8">
        <v>0</v>
      </c>
      <c r="L330" s="8">
        <v>0</v>
      </c>
      <c r="M330" s="8">
        <v>0</v>
      </c>
      <c r="N330" s="8">
        <v>0</v>
      </c>
      <c r="O330" s="8">
        <v>0</v>
      </c>
      <c r="P330" s="8">
        <v>0</v>
      </c>
      <c r="Q330" s="8">
        <v>1</v>
      </c>
      <c r="R330" s="8">
        <v>0</v>
      </c>
      <c r="S330" s="16">
        <v>1</v>
      </c>
      <c r="T330" s="16"/>
      <c r="U330" s="16" t="s">
        <v>50</v>
      </c>
      <c r="V330" s="16"/>
      <c r="W330" s="16" t="s">
        <v>50</v>
      </c>
      <c r="X330" s="7" t="s">
        <v>50</v>
      </c>
      <c r="Y330" s="16" t="s">
        <v>50</v>
      </c>
      <c r="Z330" s="16" t="s">
        <v>50</v>
      </c>
    </row>
    <row r="331" spans="2:26" ht="15" customHeight="1">
      <c r="B331" s="16" t="s">
        <v>798</v>
      </c>
      <c r="C331" s="16" t="s">
        <v>184</v>
      </c>
      <c r="D331" s="16" t="s">
        <v>83</v>
      </c>
      <c r="E331" s="16" t="s">
        <v>222</v>
      </c>
      <c r="F331" s="16" t="s">
        <v>799</v>
      </c>
      <c r="G331" s="8">
        <v>1</v>
      </c>
      <c r="H331" s="8">
        <v>0</v>
      </c>
      <c r="I331" s="8">
        <v>1</v>
      </c>
      <c r="J331" s="8">
        <v>1</v>
      </c>
      <c r="K331" s="8">
        <v>0</v>
      </c>
      <c r="L331" s="8">
        <v>2</v>
      </c>
      <c r="M331" s="8">
        <v>1</v>
      </c>
      <c r="N331" s="8">
        <v>1</v>
      </c>
      <c r="O331" s="8">
        <v>0</v>
      </c>
      <c r="P331" s="8">
        <v>0</v>
      </c>
      <c r="Q331" s="8">
        <v>1</v>
      </c>
      <c r="R331" s="8">
        <v>0</v>
      </c>
      <c r="S331" s="16">
        <v>1</v>
      </c>
      <c r="T331" s="16"/>
      <c r="U331" s="16" t="s">
        <v>50</v>
      </c>
      <c r="V331" s="16"/>
      <c r="W331" s="16" t="s">
        <v>50</v>
      </c>
      <c r="X331" s="7" t="s">
        <v>50</v>
      </c>
      <c r="Y331" s="16" t="s">
        <v>50</v>
      </c>
      <c r="Z331" s="16" t="s">
        <v>50</v>
      </c>
    </row>
    <row r="332" spans="2:26" ht="15" customHeight="1">
      <c r="B332" s="16" t="s">
        <v>923</v>
      </c>
      <c r="C332" s="16" t="s">
        <v>184</v>
      </c>
      <c r="D332" s="16" t="s">
        <v>68</v>
      </c>
      <c r="E332" s="16" t="s">
        <v>222</v>
      </c>
      <c r="F332" s="16" t="s">
        <v>1266</v>
      </c>
      <c r="G332" s="8">
        <v>1</v>
      </c>
      <c r="H332" s="8">
        <v>0</v>
      </c>
      <c r="I332" s="8">
        <v>0</v>
      </c>
      <c r="J332" s="8">
        <v>6698</v>
      </c>
      <c r="K332" s="8">
        <v>0</v>
      </c>
      <c r="L332" s="8">
        <v>2</v>
      </c>
      <c r="M332" s="8">
        <v>2</v>
      </c>
      <c r="N332" s="8">
        <v>0</v>
      </c>
      <c r="O332" s="8">
        <v>0</v>
      </c>
      <c r="P332" s="8">
        <v>1</v>
      </c>
      <c r="Q332" s="8">
        <v>0</v>
      </c>
      <c r="R332" s="8">
        <v>0</v>
      </c>
      <c r="S332" s="16">
        <v>1</v>
      </c>
      <c r="T332" s="16"/>
      <c r="U332" s="16" t="s">
        <v>50</v>
      </c>
      <c r="V332" s="16"/>
      <c r="W332" s="16" t="s">
        <v>852</v>
      </c>
      <c r="X332" s="7" t="s">
        <v>852</v>
      </c>
      <c r="Y332" s="16" t="s">
        <v>50</v>
      </c>
      <c r="Z332" s="16" t="s">
        <v>50</v>
      </c>
    </row>
    <row r="333" spans="2:26" ht="15" customHeight="1">
      <c r="B333" s="16" t="s">
        <v>1267</v>
      </c>
      <c r="C333" s="16" t="s">
        <v>184</v>
      </c>
      <c r="D333" s="16" t="s">
        <v>108</v>
      </c>
      <c r="E333" s="16" t="s">
        <v>192</v>
      </c>
      <c r="F333" s="16" t="s">
        <v>1268</v>
      </c>
      <c r="G333" s="8">
        <v>1</v>
      </c>
      <c r="H333" s="8">
        <v>0</v>
      </c>
      <c r="I333" s="8">
        <v>0</v>
      </c>
      <c r="J333" s="8">
        <v>0</v>
      </c>
      <c r="K333" s="8">
        <v>0</v>
      </c>
      <c r="L333" s="8">
        <v>0</v>
      </c>
      <c r="M333" s="8">
        <v>0</v>
      </c>
      <c r="N333" s="8">
        <v>0</v>
      </c>
      <c r="O333" s="8">
        <v>0</v>
      </c>
      <c r="P333" s="8">
        <v>0</v>
      </c>
      <c r="Q333" s="8">
        <v>1</v>
      </c>
      <c r="R333" s="8">
        <v>0</v>
      </c>
      <c r="S333" s="16">
        <v>1</v>
      </c>
      <c r="T333" s="16"/>
      <c r="U333" s="16" t="s">
        <v>50</v>
      </c>
      <c r="V333" s="16"/>
      <c r="W333" s="16" t="s">
        <v>50</v>
      </c>
      <c r="X333" s="7" t="s">
        <v>50</v>
      </c>
      <c r="Y333" s="16" t="s">
        <v>50</v>
      </c>
      <c r="Z333" s="16" t="s">
        <v>50</v>
      </c>
    </row>
    <row r="334" spans="2:26" ht="15" customHeight="1">
      <c r="B334" s="16" t="s">
        <v>806</v>
      </c>
      <c r="C334" s="16" t="s">
        <v>184</v>
      </c>
      <c r="D334" s="16" t="s">
        <v>87</v>
      </c>
      <c r="E334" s="16" t="s">
        <v>192</v>
      </c>
      <c r="F334" s="16" t="s">
        <v>807</v>
      </c>
      <c r="G334" s="8">
        <v>1</v>
      </c>
      <c r="H334" s="8">
        <v>0</v>
      </c>
      <c r="I334" s="8">
        <v>2</v>
      </c>
      <c r="J334" s="8">
        <v>2</v>
      </c>
      <c r="K334" s="8">
        <v>6</v>
      </c>
      <c r="L334" s="8">
        <v>1</v>
      </c>
      <c r="M334" s="8">
        <v>0</v>
      </c>
      <c r="N334" s="8">
        <v>1</v>
      </c>
      <c r="O334" s="8">
        <v>0</v>
      </c>
      <c r="P334" s="8">
        <v>0</v>
      </c>
      <c r="Q334" s="8">
        <v>1</v>
      </c>
      <c r="R334" s="8">
        <v>0</v>
      </c>
      <c r="S334" s="16">
        <v>1</v>
      </c>
      <c r="T334" s="16"/>
      <c r="U334" s="16" t="s">
        <v>50</v>
      </c>
      <c r="V334" s="16"/>
      <c r="W334" s="16" t="s">
        <v>855</v>
      </c>
      <c r="X334" s="7" t="s">
        <v>855</v>
      </c>
      <c r="Y334" s="16" t="s">
        <v>50</v>
      </c>
      <c r="Z334" s="16" t="s">
        <v>50</v>
      </c>
    </row>
    <row r="335" spans="2:26" ht="15" customHeight="1">
      <c r="B335" s="16" t="s">
        <v>1269</v>
      </c>
      <c r="C335" s="16" t="s">
        <v>184</v>
      </c>
      <c r="D335" s="16" t="s">
        <v>97</v>
      </c>
      <c r="E335" s="16" t="s">
        <v>192</v>
      </c>
      <c r="F335" s="16" t="s">
        <v>1270</v>
      </c>
      <c r="G335" s="8">
        <v>1</v>
      </c>
      <c r="H335" s="8">
        <v>0</v>
      </c>
      <c r="I335" s="8">
        <v>0</v>
      </c>
      <c r="J335" s="8">
        <v>0</v>
      </c>
      <c r="K335" s="8">
        <v>0</v>
      </c>
      <c r="L335" s="8">
        <v>0</v>
      </c>
      <c r="M335" s="8">
        <v>0</v>
      </c>
      <c r="N335" s="8">
        <v>0</v>
      </c>
      <c r="O335" s="8">
        <v>0</v>
      </c>
      <c r="P335" s="8">
        <v>1</v>
      </c>
      <c r="Q335" s="8">
        <v>0</v>
      </c>
      <c r="R335" s="8">
        <v>0</v>
      </c>
      <c r="S335" s="16">
        <v>1</v>
      </c>
      <c r="T335" s="16"/>
      <c r="U335" s="16" t="s">
        <v>50</v>
      </c>
      <c r="V335" s="16"/>
      <c r="W335" s="16" t="s">
        <v>855</v>
      </c>
      <c r="X335" s="7" t="s">
        <v>855</v>
      </c>
      <c r="Y335" s="16" t="s">
        <v>50</v>
      </c>
      <c r="Z335" s="16" t="s">
        <v>50</v>
      </c>
    </row>
    <row r="336" spans="2:26" ht="15" customHeight="1">
      <c r="B336" s="16" t="s">
        <v>1271</v>
      </c>
      <c r="C336" s="16" t="s">
        <v>184</v>
      </c>
      <c r="D336" s="16" t="s">
        <v>124</v>
      </c>
      <c r="E336" s="16" t="s">
        <v>222</v>
      </c>
      <c r="F336" s="16" t="s">
        <v>1272</v>
      </c>
      <c r="G336" s="8">
        <v>1</v>
      </c>
      <c r="H336" s="8">
        <v>0</v>
      </c>
      <c r="I336" s="8">
        <v>0</v>
      </c>
      <c r="J336" s="8">
        <v>138</v>
      </c>
      <c r="K336" s="8">
        <v>0</v>
      </c>
      <c r="L336" s="8">
        <v>0</v>
      </c>
      <c r="M336" s="8">
        <v>0</v>
      </c>
      <c r="N336" s="8">
        <v>0</v>
      </c>
      <c r="O336" s="8">
        <v>0</v>
      </c>
      <c r="P336" s="8">
        <v>1</v>
      </c>
      <c r="Q336" s="8">
        <v>0</v>
      </c>
      <c r="R336" s="8">
        <v>0</v>
      </c>
      <c r="S336" s="16">
        <v>1</v>
      </c>
      <c r="T336" s="16"/>
      <c r="U336" s="16" t="s">
        <v>50</v>
      </c>
      <c r="V336" s="16"/>
      <c r="W336" s="16" t="s">
        <v>852</v>
      </c>
      <c r="X336" s="7" t="s">
        <v>852</v>
      </c>
      <c r="Y336" s="16" t="s">
        <v>50</v>
      </c>
      <c r="Z336" s="16" t="s">
        <v>50</v>
      </c>
    </row>
    <row r="337" spans="2:26" ht="15" customHeight="1">
      <c r="B337" s="16" t="s">
        <v>1273</v>
      </c>
      <c r="C337" s="16" t="s">
        <v>184</v>
      </c>
      <c r="D337" s="16" t="s">
        <v>122</v>
      </c>
      <c r="E337" s="16" t="s">
        <v>192</v>
      </c>
      <c r="F337" s="16" t="s">
        <v>1274</v>
      </c>
      <c r="G337" s="8">
        <v>1</v>
      </c>
      <c r="H337" s="8">
        <v>0</v>
      </c>
      <c r="I337" s="8">
        <v>0</v>
      </c>
      <c r="J337" s="8">
        <v>0</v>
      </c>
      <c r="K337" s="8">
        <v>0</v>
      </c>
      <c r="L337" s="8">
        <v>0</v>
      </c>
      <c r="M337" s="8">
        <v>0</v>
      </c>
      <c r="N337" s="8">
        <v>0</v>
      </c>
      <c r="O337" s="8">
        <v>0</v>
      </c>
      <c r="P337" s="8">
        <v>0</v>
      </c>
      <c r="Q337" s="8">
        <v>1</v>
      </c>
      <c r="R337" s="8">
        <v>0</v>
      </c>
      <c r="S337" s="16">
        <v>1</v>
      </c>
      <c r="T337" s="16"/>
      <c r="U337" s="16" t="s">
        <v>50</v>
      </c>
      <c r="V337" s="16"/>
      <c r="W337" s="16" t="s">
        <v>50</v>
      </c>
      <c r="X337" s="7" t="s">
        <v>50</v>
      </c>
      <c r="Y337" s="16" t="s">
        <v>50</v>
      </c>
      <c r="Z337" s="16" t="s">
        <v>50</v>
      </c>
    </row>
    <row r="338" spans="2:26" ht="15" customHeight="1">
      <c r="B338" s="16" t="s">
        <v>1275</v>
      </c>
      <c r="C338" s="16" t="s">
        <v>184</v>
      </c>
      <c r="D338" s="16" t="s">
        <v>85</v>
      </c>
      <c r="E338" s="16" t="s">
        <v>222</v>
      </c>
      <c r="F338" s="16" t="s">
        <v>1276</v>
      </c>
      <c r="G338" s="8">
        <v>1</v>
      </c>
      <c r="H338" s="8">
        <v>0</v>
      </c>
      <c r="I338" s="8">
        <v>0</v>
      </c>
      <c r="J338" s="8">
        <v>0</v>
      </c>
      <c r="K338" s="8">
        <v>0</v>
      </c>
      <c r="L338" s="8">
        <v>0</v>
      </c>
      <c r="M338" s="8">
        <v>0</v>
      </c>
      <c r="N338" s="8">
        <v>0</v>
      </c>
      <c r="O338" s="8">
        <v>0</v>
      </c>
      <c r="P338" s="8">
        <v>1</v>
      </c>
      <c r="Q338" s="8">
        <v>0</v>
      </c>
      <c r="R338" s="8">
        <v>0</v>
      </c>
      <c r="S338" s="16">
        <v>1</v>
      </c>
      <c r="T338" s="16"/>
      <c r="U338" s="16" t="s">
        <v>50</v>
      </c>
      <c r="V338" s="16"/>
      <c r="W338" s="16" t="s">
        <v>50</v>
      </c>
      <c r="X338" s="7" t="s">
        <v>50</v>
      </c>
      <c r="Y338" s="16" t="s">
        <v>50</v>
      </c>
      <c r="Z338" s="16" t="s">
        <v>50</v>
      </c>
    </row>
    <row r="339" spans="2:26" ht="15" customHeight="1">
      <c r="B339" s="16" t="s">
        <v>1277</v>
      </c>
      <c r="C339" s="16" t="s">
        <v>184</v>
      </c>
      <c r="D339" s="16" t="s">
        <v>65</v>
      </c>
      <c r="E339" s="16" t="s">
        <v>222</v>
      </c>
      <c r="F339" s="16" t="s">
        <v>1278</v>
      </c>
      <c r="G339" s="8">
        <v>1</v>
      </c>
      <c r="H339" s="8">
        <v>0</v>
      </c>
      <c r="I339" s="8">
        <v>0</v>
      </c>
      <c r="J339" s="8">
        <v>62478</v>
      </c>
      <c r="K339" s="8">
        <v>0</v>
      </c>
      <c r="L339" s="8">
        <v>0</v>
      </c>
      <c r="M339" s="8">
        <v>0</v>
      </c>
      <c r="N339" s="8">
        <v>0</v>
      </c>
      <c r="O339" s="8">
        <v>0</v>
      </c>
      <c r="P339" s="8">
        <v>0</v>
      </c>
      <c r="Q339" s="8">
        <v>0</v>
      </c>
      <c r="R339" s="8">
        <v>1</v>
      </c>
      <c r="S339" s="16">
        <v>1</v>
      </c>
      <c r="T339" s="16"/>
      <c r="U339" s="16" t="s">
        <v>50</v>
      </c>
      <c r="V339" s="16"/>
      <c r="W339" s="16" t="s">
        <v>50</v>
      </c>
      <c r="X339" s="7" t="s">
        <v>50</v>
      </c>
      <c r="Y339" s="16" t="s">
        <v>50</v>
      </c>
      <c r="Z339" s="16" t="s">
        <v>50</v>
      </c>
    </row>
    <row r="340" spans="2:26" ht="15" customHeight="1">
      <c r="B340" s="16" t="s">
        <v>820</v>
      </c>
      <c r="C340" s="16" t="s">
        <v>184</v>
      </c>
      <c r="D340" s="16" t="s">
        <v>62</v>
      </c>
      <c r="E340" s="16" t="s">
        <v>186</v>
      </c>
      <c r="F340" s="16" t="s">
        <v>821</v>
      </c>
      <c r="G340" s="8">
        <v>1</v>
      </c>
      <c r="H340" s="8">
        <v>0</v>
      </c>
      <c r="I340" s="8">
        <v>0</v>
      </c>
      <c r="J340" s="8">
        <v>0</v>
      </c>
      <c r="K340" s="8">
        <v>6</v>
      </c>
      <c r="L340" s="8">
        <v>0</v>
      </c>
      <c r="M340" s="8">
        <v>0</v>
      </c>
      <c r="N340" s="8">
        <v>0</v>
      </c>
      <c r="O340" s="8">
        <v>0</v>
      </c>
      <c r="P340" s="8">
        <v>0</v>
      </c>
      <c r="Q340" s="8">
        <v>1</v>
      </c>
      <c r="R340" s="8">
        <v>0</v>
      </c>
      <c r="S340" s="16">
        <v>1</v>
      </c>
      <c r="T340" s="16"/>
      <c r="U340" s="16" t="s">
        <v>50</v>
      </c>
      <c r="V340" s="16"/>
      <c r="W340" s="16" t="s">
        <v>50</v>
      </c>
      <c r="X340" s="7" t="s">
        <v>50</v>
      </c>
      <c r="Y340" s="16" t="s">
        <v>50</v>
      </c>
      <c r="Z340" s="16" t="s">
        <v>50</v>
      </c>
    </row>
    <row r="341" spans="2:26" ht="15" customHeight="1">
      <c r="B341" s="16" t="s">
        <v>1279</v>
      </c>
      <c r="C341" s="16" t="s">
        <v>184</v>
      </c>
      <c r="D341" s="16" t="s">
        <v>68</v>
      </c>
      <c r="E341" s="16" t="s">
        <v>222</v>
      </c>
      <c r="F341" s="16" t="s">
        <v>1280</v>
      </c>
      <c r="G341" s="8">
        <v>1</v>
      </c>
      <c r="H341" s="8">
        <v>0</v>
      </c>
      <c r="I341" s="8">
        <v>0</v>
      </c>
      <c r="J341" s="8">
        <v>30837</v>
      </c>
      <c r="K341" s="8">
        <v>0</v>
      </c>
      <c r="L341" s="8">
        <v>23</v>
      </c>
      <c r="M341" s="8">
        <v>23</v>
      </c>
      <c r="N341" s="8">
        <v>0</v>
      </c>
      <c r="O341" s="8">
        <v>0</v>
      </c>
      <c r="P341" s="8">
        <v>0</v>
      </c>
      <c r="Q341" s="8">
        <v>1</v>
      </c>
      <c r="R341" s="8">
        <v>0</v>
      </c>
      <c r="S341" s="16">
        <v>1</v>
      </c>
      <c r="T341" s="16"/>
      <c r="U341" s="16" t="s">
        <v>50</v>
      </c>
      <c r="V341" s="16"/>
      <c r="W341" s="16" t="s">
        <v>852</v>
      </c>
      <c r="X341" s="7" t="s">
        <v>852</v>
      </c>
      <c r="Y341" s="16" t="s">
        <v>50</v>
      </c>
      <c r="Z341" s="16" t="s">
        <v>50</v>
      </c>
    </row>
    <row r="342" spans="2:26" ht="15" customHeight="1">
      <c r="B342" s="16" t="s">
        <v>1281</v>
      </c>
      <c r="C342" s="16" t="s">
        <v>184</v>
      </c>
      <c r="D342" s="16" t="s">
        <v>99</v>
      </c>
      <c r="E342" s="16" t="s">
        <v>192</v>
      </c>
      <c r="F342" s="16" t="s">
        <v>1282</v>
      </c>
      <c r="G342" s="8">
        <v>1</v>
      </c>
      <c r="H342" s="8">
        <v>0</v>
      </c>
      <c r="I342" s="8" t="s">
        <v>101</v>
      </c>
      <c r="J342" s="8" t="s">
        <v>101</v>
      </c>
      <c r="K342" s="8">
        <v>0</v>
      </c>
      <c r="L342" s="8" t="s">
        <v>101</v>
      </c>
      <c r="M342" s="8">
        <v>3</v>
      </c>
      <c r="N342" s="8">
        <v>0</v>
      </c>
      <c r="O342" s="8">
        <v>0</v>
      </c>
      <c r="P342" s="8">
        <v>1</v>
      </c>
      <c r="Q342" s="8">
        <v>0</v>
      </c>
      <c r="R342" s="8">
        <v>0</v>
      </c>
      <c r="S342" s="16">
        <v>1</v>
      </c>
      <c r="T342" s="16"/>
      <c r="U342" s="16" t="s">
        <v>50</v>
      </c>
      <c r="V342" s="16"/>
      <c r="W342" s="16" t="s">
        <v>50</v>
      </c>
      <c r="X342" s="7" t="s">
        <v>50</v>
      </c>
      <c r="Y342" s="16" t="s">
        <v>50</v>
      </c>
      <c r="Z342" s="16" t="s">
        <v>50</v>
      </c>
    </row>
    <row r="343" spans="2:26" ht="15" customHeight="1">
      <c r="B343" s="16" t="s">
        <v>1283</v>
      </c>
      <c r="C343" s="16" t="s">
        <v>184</v>
      </c>
      <c r="D343" s="16" t="s">
        <v>85</v>
      </c>
      <c r="E343" s="16" t="s">
        <v>222</v>
      </c>
      <c r="F343" s="16" t="s">
        <v>1284</v>
      </c>
      <c r="G343" s="8">
        <v>1</v>
      </c>
      <c r="H343" s="8">
        <v>0</v>
      </c>
      <c r="I343" s="8">
        <v>0</v>
      </c>
      <c r="J343" s="8">
        <v>30</v>
      </c>
      <c r="K343" s="8">
        <v>0</v>
      </c>
      <c r="L343" s="8">
        <v>0</v>
      </c>
      <c r="M343" s="8">
        <v>0</v>
      </c>
      <c r="N343" s="8">
        <v>0</v>
      </c>
      <c r="O343" s="8">
        <v>0</v>
      </c>
      <c r="P343" s="8">
        <v>0</v>
      </c>
      <c r="Q343" s="8">
        <v>1</v>
      </c>
      <c r="R343" s="8">
        <v>0</v>
      </c>
      <c r="S343" s="16">
        <v>1</v>
      </c>
      <c r="T343" s="16"/>
      <c r="U343" s="16" t="s">
        <v>50</v>
      </c>
      <c r="V343" s="16"/>
      <c r="W343" s="16" t="s">
        <v>50</v>
      </c>
      <c r="X343" s="7" t="s">
        <v>50</v>
      </c>
      <c r="Y343" s="16" t="s">
        <v>50</v>
      </c>
      <c r="Z343" s="16" t="s">
        <v>50</v>
      </c>
    </row>
    <row r="344" spans="2:26" ht="15" customHeight="1">
      <c r="B344" s="16" t="s">
        <v>1285</v>
      </c>
      <c r="C344" s="16" t="s">
        <v>184</v>
      </c>
      <c r="D344" s="16" t="s">
        <v>99</v>
      </c>
      <c r="E344" s="16" t="s">
        <v>192</v>
      </c>
      <c r="F344" s="16" t="s">
        <v>1286</v>
      </c>
      <c r="G344" s="8">
        <v>1</v>
      </c>
      <c r="H344" s="8">
        <v>0</v>
      </c>
      <c r="I344" s="8" t="s">
        <v>101</v>
      </c>
      <c r="J344" s="8" t="s">
        <v>101</v>
      </c>
      <c r="K344" s="8">
        <v>0</v>
      </c>
      <c r="L344" s="8" t="s">
        <v>101</v>
      </c>
      <c r="M344" s="8">
        <v>1</v>
      </c>
      <c r="N344" s="8">
        <v>0</v>
      </c>
      <c r="O344" s="8">
        <v>0</v>
      </c>
      <c r="P344" s="8">
        <v>0</v>
      </c>
      <c r="Q344" s="8">
        <v>0</v>
      </c>
      <c r="R344" s="8">
        <v>1</v>
      </c>
      <c r="S344" s="16">
        <v>1</v>
      </c>
      <c r="T344" s="16"/>
      <c r="U344" s="16" t="s">
        <v>50</v>
      </c>
      <c r="V344" s="16"/>
      <c r="W344" s="16" t="s">
        <v>50</v>
      </c>
      <c r="X344" s="7" t="s">
        <v>50</v>
      </c>
      <c r="Y344" s="16" t="s">
        <v>50</v>
      </c>
      <c r="Z344" s="16" t="s">
        <v>50</v>
      </c>
    </row>
    <row r="345" spans="2:26" ht="15" customHeight="1">
      <c r="B345" s="16" t="s">
        <v>1287</v>
      </c>
      <c r="C345" s="16" t="s">
        <v>184</v>
      </c>
      <c r="D345" s="16" t="s">
        <v>110</v>
      </c>
      <c r="E345" s="16" t="s">
        <v>192</v>
      </c>
      <c r="F345" s="16" t="s">
        <v>1288</v>
      </c>
      <c r="G345" s="8">
        <v>1</v>
      </c>
      <c r="H345" s="8">
        <v>0</v>
      </c>
      <c r="I345" s="8" t="s">
        <v>101</v>
      </c>
      <c r="J345" s="8" t="s">
        <v>101</v>
      </c>
      <c r="K345" s="8">
        <v>0</v>
      </c>
      <c r="L345" s="8" t="s">
        <v>101</v>
      </c>
      <c r="M345" s="8">
        <v>0</v>
      </c>
      <c r="N345" s="8">
        <v>0</v>
      </c>
      <c r="O345" s="8">
        <v>0</v>
      </c>
      <c r="P345" s="8">
        <v>1</v>
      </c>
      <c r="Q345" s="8">
        <v>0</v>
      </c>
      <c r="R345" s="8">
        <v>0</v>
      </c>
      <c r="S345" s="16">
        <v>1</v>
      </c>
      <c r="T345" s="16"/>
      <c r="U345" s="16" t="s">
        <v>50</v>
      </c>
      <c r="V345" s="16"/>
      <c r="W345" s="16" t="s">
        <v>50</v>
      </c>
      <c r="X345" s="7" t="s">
        <v>50</v>
      </c>
      <c r="Y345" s="16" t="s">
        <v>50</v>
      </c>
      <c r="Z345" s="16" t="s">
        <v>50</v>
      </c>
    </row>
    <row r="346" spans="2:26" ht="15" customHeight="1">
      <c r="B346" s="16" t="s">
        <v>1289</v>
      </c>
      <c r="C346" s="16" t="s">
        <v>184</v>
      </c>
      <c r="D346" s="16" t="s">
        <v>130</v>
      </c>
      <c r="E346" s="16" t="s">
        <v>192</v>
      </c>
      <c r="F346" s="16" t="s">
        <v>1290</v>
      </c>
      <c r="G346" s="8">
        <v>1</v>
      </c>
      <c r="H346" s="8">
        <v>0</v>
      </c>
      <c r="I346" s="8" t="s">
        <v>101</v>
      </c>
      <c r="J346" s="8" t="s">
        <v>101</v>
      </c>
      <c r="K346" s="8">
        <v>0</v>
      </c>
      <c r="L346" s="8" t="s">
        <v>101</v>
      </c>
      <c r="M346" s="8">
        <v>0</v>
      </c>
      <c r="N346" s="8">
        <v>0</v>
      </c>
      <c r="O346" s="8">
        <v>0</v>
      </c>
      <c r="P346" s="8">
        <v>1</v>
      </c>
      <c r="Q346" s="8">
        <v>0</v>
      </c>
      <c r="R346" s="8">
        <v>0</v>
      </c>
      <c r="S346" s="16">
        <v>1</v>
      </c>
      <c r="T346" s="16" t="s">
        <v>187</v>
      </c>
      <c r="U346" s="16" t="s">
        <v>50</v>
      </c>
      <c r="V346" s="16"/>
      <c r="W346" s="16" t="s">
        <v>50</v>
      </c>
      <c r="X346" s="7" t="s">
        <v>50</v>
      </c>
      <c r="Y346" s="16" t="s">
        <v>50</v>
      </c>
      <c r="Z346" s="16" t="s">
        <v>50</v>
      </c>
    </row>
  </sheetData>
  <autoFilter ref="B27:Z27"/>
  <hyperlinks>
    <hyperlink ref="C1" location="Содержание!B4" display="К содержанию"/>
    <hyperlink ref="F28" r:id="rId1" display="http://vk.com/id1111874705"/>
    <hyperlink ref="F29" r:id="rId2" display="http://vk.com/id1209585"/>
    <hyperlink ref="F30" r:id="rId3" display="http://vk.com/id861782734"/>
    <hyperlink ref="F31" r:id="rId4" display="https://sprosivracha.com/authors/Лилия Акбашева"/>
    <hyperlink ref="F32" r:id="rId5" display="https://dzen.ru/user/edef6s10opi3ve84lz63es7gr1u"/>
    <hyperlink ref="F33" r:id="rId6" display="http://vk.com/id1115732629"/>
    <hyperlink ref="F34" r:id="rId7" display="https://web.telegram.org/#/im?p=@nataliya_1"/>
    <hyperlink ref="F35" r:id="rId8" display="http://vk.com/id244938783"/>
    <hyperlink ref="F36" r:id="rId9" display="http://www.youtube.com/channel/UCxOrMcy80l0areWExDLFgaA"/>
    <hyperlink ref="F37" r:id="rId10" display="https://web.telegram.org/#/im?p=@ecoterina_blog"/>
    <hyperlink ref="F38" r:id="rId11" display="http://vk.com/id2123550"/>
    <hyperlink ref="F39" r:id="rId12" display="http://vk.com/id165307226"/>
    <hyperlink ref="F40" r:id="rId13" display="http://vk.com/id160392480"/>
    <hyperlink ref="F41" r:id="rId14" display="http://vk.com/id110659096"/>
    <hyperlink ref="F42" r:id="rId15" display="http://vk.com/id7627055"/>
    <hyperlink ref="F43" r:id="rId16" display="http://ok.ru/profile/557381638366"/>
    <hyperlink ref="F44" r:id="rId17" display="http://vk.com/id383835053"/>
    <hyperlink ref="F45" r:id="rId18" display="https://www.vashe-mnenie.com/authors/Гость"/>
    <hyperlink ref="F46" r:id="rId19" display="https://www.otzyvru.com/authors/Гость"/>
    <hyperlink ref="F47" r:id="rId20" display="http://vk.com/id708739638"/>
    <hyperlink ref="F48" r:id="rId21" display="https://dzen.ru/id/5e6f8929a238dc1744a2e67f"/>
    <hyperlink ref="F49" r:id="rId22" display="https://web.telegram.org/#/im?p=@zovkredit"/>
    <hyperlink ref="F50" r:id="rId23" display="https://sprosivracha.com/authors/Вика"/>
    <hyperlink ref="F51" r:id="rId24" display="http://vk.com/id773113250"/>
    <hyperlink ref="F52" r:id="rId25" display="https://web.telegram.org/#/im?p=@lp_stepanida"/>
    <hyperlink ref="F53" r:id="rId26" display="https://nup.ru/#ViDen"/>
    <hyperlink ref="F54" r:id="rId27" display="http://vk.com/id719231073"/>
    <hyperlink ref="F55" r:id="rId28" display="https://web.telegram.org/#/im?p=@penesyer"/>
    <hyperlink ref="F56" r:id="rId29" display="https://sprosivracha.com/authors/Андрей Кулешов"/>
    <hyperlink ref="F57" r:id="rId30" display="http://www.facebook.com/profile.php?id=61587142363160"/>
    <hyperlink ref="F58" r:id="rId31" display="https://web.telegram.org/#/im?p=@1053760904"/>
    <hyperlink ref="F59" r:id="rId32" display="http://vk.com/club236733457"/>
    <hyperlink ref="F60" r:id="rId33" display="https://instagram.com/mirzaev.186"/>
    <hyperlink ref="F61" r:id="rId34" display="https://web.telegram.org/#/im?p=@1030201087"/>
    <hyperlink ref="F62" r:id="rId35" display="https://dzen.ru/user/widz-9ttzstlu5wquzbaljwtnka"/>
    <hyperlink ref="F63" r:id="rId36" display="http://www.facebook.com/profile.php?id=100001058827965"/>
    <hyperlink ref="F64" r:id="rId37" display="http://www.facebook.com/profile.php?id=100000821827539"/>
    <hyperlink ref="F65" r:id="rId38" display="http://vk.com/id193966433"/>
    <hyperlink ref="F66" r:id="rId39" display="http://vk.com/id3789070"/>
    <hyperlink ref="F67" r:id="rId40" display="http://vk.com/id170936222"/>
    <hyperlink ref="F68" r:id="rId41" display="http://www.facebook.com/profile.php?id=100002108655362"/>
    <hyperlink ref="F69" r:id="rId42" display="http://vk.com/club64593569"/>
    <hyperlink ref="F70" r:id="rId43" display="http://vk.com/club29445319"/>
    <hyperlink ref="F71" r:id="rId44" display="http://www.facebook.com/profile.php?id=100001690301142"/>
    <hyperlink ref="F72" r:id="rId45" display="http://vk.com/id123313021"/>
    <hyperlink ref="F73" r:id="rId46" display="http://vk.com/id260441521"/>
    <hyperlink ref="F74" r:id="rId47" display="http://vk.com/id13041644"/>
    <hyperlink ref="F75" r:id="rId48" display="http://vk.com/id17552547"/>
    <hyperlink ref="F76" r:id="rId49" display="http://vk.com/id171254440"/>
    <hyperlink ref="F77" r:id="rId50" display="http://vk.com/id15401333"/>
    <hyperlink ref="F78" r:id="rId51" display="http://vk.com/id2084950"/>
    <hyperlink ref="F79" r:id="rId52" display="http://vk.com/club25201586"/>
    <hyperlink ref="F80" r:id="rId53" display="http://vk.com/club30913680"/>
    <hyperlink ref="F81" r:id="rId54" display="http://vk.com/club35402404"/>
    <hyperlink ref="F82" r:id="rId55" display="http://vk.com/club61570233"/>
    <hyperlink ref="F83" r:id="rId56" display="http://vk.com/id208945354"/>
    <hyperlink ref="F84" r:id="rId57" display="http://vk.com/id5286837"/>
    <hyperlink ref="F85" r:id="rId58" display="http://vk.com/club42217841"/>
    <hyperlink ref="F86" r:id="rId59" display="http://vk.com/club42224436"/>
    <hyperlink ref="F87" r:id="rId60" display="http://vk.com/club99694181"/>
    <hyperlink ref="F88" r:id="rId61" display="http://vk.com/id318581728"/>
    <hyperlink ref="F89" r:id="rId62" display="http://vk.com/id207151277"/>
    <hyperlink ref="F90" r:id="rId63" display="http://www.facebook.com/profile.php?id=100001816816435"/>
    <hyperlink ref="F91" r:id="rId64" display="http://www.facebook.com/profile.php?id=694726573"/>
    <hyperlink ref="F92" r:id="rId65" display="http://ok.ru/group/51625046769845"/>
    <hyperlink ref="F93" r:id="rId66" display="http://vk.com/id268284622"/>
    <hyperlink ref="F94" r:id="rId67" display="http://ok.ru/group/52171764269129"/>
    <hyperlink ref="F95" r:id="rId68" display="http://vk.com/id228593450"/>
    <hyperlink ref="F96" r:id="rId69" display="http://ok.ru/group/52161146519625"/>
    <hyperlink ref="F97" r:id="rId70" display="http://vk.com/id204487094"/>
    <hyperlink ref="F98" r:id="rId71" display="http://www.facebook.com/profile.php?id=100004823103752"/>
    <hyperlink ref="F99" r:id="rId72" display="http://vk.com/id110528668"/>
    <hyperlink ref="F100" r:id="rId73" display="http://vk.com/club118474860"/>
    <hyperlink ref="F101" r:id="rId74" display="http://vk.com/club118324715"/>
    <hyperlink ref="F102" r:id="rId75" display="https://otvet.mail.ru/profile/id22388379"/>
    <hyperlink ref="F103" r:id="rId76" display="http://vk.com/id235493743"/>
    <hyperlink ref="F104" r:id="rId77" display="http://www.facebook.com/profile.php?id=100007192570040"/>
    <hyperlink ref="F105" r:id="rId78" display="http://www.facebook.com/profile.php?id=100005165671504"/>
    <hyperlink ref="F106" r:id="rId79" display="http://ok.ru/profile/523027629056"/>
    <hyperlink ref="F107" r:id="rId80" display="https://instagram.com/mila.fomina"/>
    <hyperlink ref="F108" r:id="rId81" display="http://ok.ru/group/55695437463587"/>
    <hyperlink ref="F109" r:id="rId82" display="http://vk.com/id67152682"/>
    <hyperlink ref="F110" r:id="rId83" display="https://instagram.com/pigasovanina"/>
    <hyperlink ref="F111" r:id="rId84" display="http://www.youtube.com/channel/UC3gDRwAdO7J1D4wTRuW3IDg"/>
    <hyperlink ref="F112" r:id="rId85" display="http://vk.com/id199272441"/>
    <hyperlink ref="F113" r:id="rId86" display="http://vk.com/id3364355"/>
    <hyperlink ref="F114" r:id="rId87" display="http://www.facebook.com/profile.php?id=799794627"/>
    <hyperlink ref="F115" r:id="rId88" display="http://www.facebook.com/profile.php?id=100012674343660"/>
    <hyperlink ref="F116" r:id="rId89" display="http://www.facebook.com/profile.php?id=100011353800327"/>
    <hyperlink ref="F117" r:id="rId90" display="http://sojuzpharma.ru"/>
    <hyperlink ref="F118" r:id="rId91" display="http://www.facebook.com/profile.php?id=100001525526292"/>
    <hyperlink ref="F119" r:id="rId92" display="http://www.facebook.com/profile.php?id=100003398325503"/>
    <hyperlink ref="F120" r:id="rId93" display="http://www.facebook.com/profile.php?id=100004399958144"/>
    <hyperlink ref="F121" r:id="rId94" display="http://www.facebook.com/profile.php?id=100000609345114"/>
    <hyperlink ref="F122" r:id="rId95" display="http://ok.ru/profile/572835117014"/>
    <hyperlink ref="F123" r:id="rId96" display="http://www.facebook.com/profile.php?id=100006312763962"/>
    <hyperlink ref="F124" r:id="rId97" display="http://vk.com/id450124649"/>
    <hyperlink ref="F125" r:id="rId98" display="http://www.facebook.com/profile.php?id=100022147444966"/>
    <hyperlink ref="F126" r:id="rId99" display="http://www.facebook.com/profile.php?id=100023342230421"/>
    <hyperlink ref="F127" r:id="rId100" display="https://instagram.com/dr_kozlova_antonina"/>
    <hyperlink ref="F128" r:id="rId101" display="http://vk.com/id264045142"/>
    <hyperlink ref="F129" r:id="rId102" display="http://www.facebook.com/profile.php?id=100007215365532"/>
    <hyperlink ref="F130" r:id="rId103" display="http://vk.com/id330920114"/>
    <hyperlink ref="F131" r:id="rId104" display="https://instagram.com/alexey_t18"/>
    <hyperlink ref="F132" r:id="rId105" display="http://vk.com/id441154094"/>
    <hyperlink ref="F133" r:id="rId106" display="http://www.facebook.com/profile.php?id=100024259613570"/>
    <hyperlink ref="F134" r:id="rId107" display="https://web.telegram.org/#/im?p=@sanechekk"/>
    <hyperlink ref="F135" r:id="rId108" display="http://ok.ru/group/55077875286120"/>
    <hyperlink ref="F136" r:id="rId109" display="http://ok.ru/profile/575282624141"/>
    <hyperlink ref="F137" r:id="rId110" display="https://instagram.com/m.u.life"/>
    <hyperlink ref="F138" r:id="rId111" display="https://pikabu.ru/@FFSet"/>
    <hyperlink ref="F139" r:id="rId112" display="http://vk.com/club171736200"/>
    <hyperlink ref="F140" r:id="rId113" display="https://web.telegram.org/#/im?p=@natem_sam"/>
    <hyperlink ref="F141" r:id="rId114" display="http://www.facebook.com/profile.php?id=100005065122372"/>
    <hyperlink ref="F142" r:id="rId115" display="http://ok.ru/profile/418187866754"/>
    <hyperlink ref="F143" r:id="rId116" display="https://instagram.com/svetik_kiss_13"/>
    <hyperlink ref="F144" r:id="rId117" display="https://instagram.com/doctor.kean"/>
    <hyperlink ref="F145" r:id="rId118" display="https://pikabu.ru/@svlads"/>
    <hyperlink ref="F146" r:id="rId119" display="http://vk.com/id370695184"/>
    <hyperlink ref="F147" r:id="rId120" display="http://vk.com/club179849289"/>
    <hyperlink ref="F148" r:id="rId121" display="http://vk.com/id206129022"/>
    <hyperlink ref="F149" r:id="rId122" display="http://www.youtube.com/channel/UCzcBeIBDmIi3AoSEEiVsXVA"/>
    <hyperlink ref="F150" r:id="rId123" display="http://www.facebook.com/profile.php?id=100035378387882"/>
    <hyperlink ref="F151" r:id="rId124" display="https://www.babyplan.ru/profile/127076-la-belle"/>
    <hyperlink ref="F152" r:id="rId125" display="https://web.telegram.org/#/im?p=@trean_den"/>
    <hyperlink ref="F153" r:id="rId126" display="https://medihost.ru/authors/нви"/>
    <hyperlink ref="F154" r:id="rId127" display="https://instagram.com/leharostovskii"/>
    <hyperlink ref="F155" r:id="rId128" display="http://vk.com/id534244568"/>
    <hyperlink ref="F156" r:id="rId129" display="https://pikabu.ru/@paranoidLynx"/>
    <hyperlink ref="F157" r:id="rId130" display="http://ok.ru/profile/572037868304"/>
    <hyperlink ref="F158" r:id="rId131" display="http://ok.ru/group/62637872906275"/>
    <hyperlink ref="F159" r:id="rId132" display="http://ok.ru/group/54782456954971"/>
    <hyperlink ref="F160" r:id="rId133" display="http://www.youtube.com/channel/UC8rCPm9QZMfOBgR1c5bMpYQ"/>
    <hyperlink ref="F161" r:id="rId134" display="http://vk.com/id501949024"/>
    <hyperlink ref="F162" r:id="rId135" display="http://www.youtube.com/channel/UCFNfF6U3o-Z8BBpc0bSbfCA"/>
    <hyperlink ref="F163" r:id="rId136" display="http://vk.com/id602488614"/>
    <hyperlink ref="F164" r:id="rId137" display="https://instagram.com/pro_talina"/>
    <hyperlink ref="F165" r:id="rId138" display="http://www.youtube.com/channel/UCCLQw9Y_QMNz6aWEU3CsnbQ"/>
    <hyperlink ref="F166" r:id="rId139" display="https://web.telegram.org/#/im?p=@beketovrk"/>
    <hyperlink ref="F167" r:id="rId140" display="https://instagram.com/r_e_a_l_b_o_y_58"/>
    <hyperlink ref="F168" r:id="rId141" display="http://ok.ru/group/64968977350691"/>
    <hyperlink ref="F169" r:id="rId142" display="https://web.telegram.org/#/im?p=@499174279"/>
    <hyperlink ref="F170" r:id="rId143" display="http://ok.ru/group/65890095595555"/>
    <hyperlink ref="F171" r:id="rId144" display="http://ok.ru/group/55780516757702"/>
    <hyperlink ref="F172" r:id="rId145" display="http://ok.ru/group/65900379045923"/>
    <hyperlink ref="F173" r:id="rId146" display="https://instagram.com/kireeva2879"/>
    <hyperlink ref="F174" r:id="rId147" display="http://ok.ru/group/66285485228067"/>
    <hyperlink ref="F175" r:id="rId148" display="http://ok.ru/group/66453854027811"/>
    <hyperlink ref="F176" r:id="rId149" display="https://web.telegram.org/#/im?p=@yougurtripper"/>
    <hyperlink ref="F177" r:id="rId150" display="http://www.youtube.com/channel/UC9lwQ7VwYPMndl94Yatb7Ww"/>
    <hyperlink ref="F178" r:id="rId151" display="http://dadanews.ru"/>
    <hyperlink ref="F179" r:id="rId152" display="http://www.youtube.com/channel/UCvaXsE0Uokmax_yXrG2sjYA"/>
    <hyperlink ref="F180" r:id="rId153" display="https://dzen.ru/id/5eaafa59cf77ee27c9421287"/>
    <hyperlink ref="F181" r:id="rId154" display="http://www.youtube.com/channel/UCKuzqICdyXvnNNGPkbQivnw"/>
    <hyperlink ref="F182" r:id="rId155" display="http://vk.com/id653692873"/>
    <hyperlink ref="F183" r:id="rId156" display="http://ok.ru/group/68602594918435"/>
    <hyperlink ref="F184" r:id="rId157" display="https://web.telegram.org/#/im?p=@pharmacomlabsnews"/>
    <hyperlink ref="F185" r:id="rId158" display="https://web.telegram.org/#/im?p=@770870676"/>
    <hyperlink ref="F186" r:id="rId159" display="http://vk.com/id708630637"/>
    <hyperlink ref="F187" r:id="rId160" display="https://www.babyplan.ru/profile/361817-darja-smirnova"/>
    <hyperlink ref="F188" r:id="rId161" display="http://vk.com/id201751826"/>
    <hyperlink ref="F189" r:id="rId162" display="http://vk.com/id715304648"/>
    <hyperlink ref="F190" r:id="rId163" display="https://web.telegram.org/#/im?p=@doc_kolesnik"/>
    <hyperlink ref="F191" r:id="rId164" display="http://www.youtube.com/channel/UCzSNNl6SMjzeqk2505Oeq4A"/>
    <hyperlink ref="F192" r:id="rId165" display="https://web.telegram.org/#/im?p=@1798766867"/>
    <hyperlink ref="F193" r:id="rId166" display="https://web.telegram.org/#/im?p=@kristheme"/>
    <hyperlink ref="F194" r:id="rId167" display="http://www.youtube.com/channel/UCwNb5iZXBZsjwon0FacVTMQ"/>
    <hyperlink ref="F195" r:id="rId168" display="https://web.telegram.org/#/im?p=@nmic_blokhina"/>
    <hyperlink ref="F196" r:id="rId169" display="http://vk.com/id678931674"/>
    <hyperlink ref="F197" r:id="rId170" display="http://www.facebook.com/profile.php?id=100004009910617"/>
    <hyperlink ref="F198" r:id="rId171" display="https://web.telegram.org/#/im?p=@maker072"/>
    <hyperlink ref="F199" r:id="rId172" display="https://dzen.ru/id/6252046f5fa8243b3e3fa422"/>
    <hyperlink ref="F200" r:id="rId173" display="https://dzen.ru/id/615dfcc3ca7ecd0395063799"/>
    <hyperlink ref="F201" r:id="rId174" display="https://dzen.ru/id/5f10c2705b8c597418428eae"/>
    <hyperlink ref="F202" r:id="rId175" display="https://web.telegram.org/#/im?p=@angiodoc"/>
    <hyperlink ref="F203" r:id="rId176" display="http://vk.com/club215871371"/>
    <hyperlink ref="F204" r:id="rId177" display="https://dzen.ru/id/5f72066cba91764cb5da7d65"/>
    <hyperlink ref="F205" r:id="rId178" display="https://web.telegram.org/#/im?p=@alpentour"/>
    <hyperlink ref="F206" r:id="rId179" display="https://www.woman.ru/forum/user-statuses/editorial/#gold_message"/>
    <hyperlink ref="F207" r:id="rId180" display="http://vk.com/id753636546"/>
    <hyperlink ref="F208" r:id="rId181" display="http://vk.com/id760792914"/>
    <hyperlink ref="F209" r:id="rId182" display="https://www.tiktok.com/@shamulba"/>
    <hyperlink ref="F210" r:id="rId183" display="https://sprosivracha.com/authors/Екатерина"/>
    <hyperlink ref="F211" r:id="rId184" display="https://sprosivracha.com/authors/Юлия"/>
    <hyperlink ref="F212" r:id="rId185" display="https://sprosivracha.com/authors/Сергей"/>
    <hyperlink ref="F213" r:id="rId186" display="https://sprosivracha.com/authors/Анастасия"/>
    <hyperlink ref="F214" r:id="rId187" display="https://sprosivracha.com/authors/Мария"/>
    <hyperlink ref="F215" r:id="rId188" display="https://sprosivracha.com/authors/Людмила"/>
    <hyperlink ref="F216" r:id="rId189" display="https://sprosivracha.com/authors/Оксана"/>
    <hyperlink ref="F217" r:id="rId190" display="https://sprosivracha.com/authors/Жанна"/>
    <hyperlink ref="F218" r:id="rId191" display="http://vk.com/id766994370"/>
    <hyperlink ref="F219" r:id="rId192" display="https://dzen.ru/id/63986528ad3abc63a232847f"/>
    <hyperlink ref="F220" r:id="rId193" display="http://vk.com/id772168005"/>
    <hyperlink ref="F221" r:id="rId194" display="https://web.telegram.org/#/im?p=@5305078907"/>
    <hyperlink ref="F222" r:id="rId195" display="http://vk.com/club218277808"/>
    <hyperlink ref="F223" r:id="rId196" display="https://dzen.ru/id/63d576d904f91437db4f6079"/>
    <hyperlink ref="F224" r:id="rId197" display="https://web.telegram.org/#/im?p=@airpumpservice"/>
    <hyperlink ref="F225" r:id="rId198" display="https://web.telegram.org/#/im?p=@1647708250"/>
    <hyperlink ref="F226" r:id="rId199" display="https://web.telegram.org/#/im?p=@podkotik"/>
    <hyperlink ref="F227" r:id="rId200" display="http://ok.ru/group/70000002368282"/>
    <hyperlink ref="F228" r:id="rId201" display="http://www.youtube.com/channel/UCeJzEuWiO54RfOaCMk71yKA"/>
    <hyperlink ref="F229" r:id="rId202" display="https://dzen.ru/id/5d394fc5e4f39f00ae200d32"/>
    <hyperlink ref="F230" r:id="rId203" display="https://dzen.ru/id/64d3745696905b12eb226804"/>
    <hyperlink ref="F231" r:id="rId204" display="https://www.babyblog.ru/user/blackparazittt"/>
    <hyperlink ref="F232" r:id="rId205" display="https://web.telegram.org/#/im?p=@koikchan"/>
    <hyperlink ref="F233" r:id="rId206" display="https://otzyv.ru/profile.php?id=75489"/>
    <hyperlink ref="F234" r:id="rId207" display="https://www.babyblog.ru/user/id2295545"/>
    <hyperlink ref="F235" r:id="rId208" display="https://www.babyblog.ru/user/onalesya1"/>
    <hyperlink ref="F236" r:id="rId209" display="https://dzen.ru/user/1678962437"/>
    <hyperlink ref="F237" r:id="rId210" display="http://ok.ru/profile/594299744169"/>
    <hyperlink ref="F238" r:id="rId211" display="http://vk.com/id833615399"/>
    <hyperlink ref="F239" r:id="rId212" display="http://www.youtube.com/channel/UCBnIG6SKJyBAeP5Mvz-_U7Q"/>
    <hyperlink ref="F240" r:id="rId213" display="https://web.telegram.org/#/im?p=@7062911248"/>
    <hyperlink ref="F241" r:id="rId214" display="http://vk.com/id741139354"/>
    <hyperlink ref="F242" r:id="rId215" display="https://forums.rusmedserv.com/authors/Vinto"/>
    <hyperlink ref="F243" r:id="rId216" display="http://vk.com/club226248434"/>
    <hyperlink ref="F244" r:id="rId217" display="http://vk.com/club226278715"/>
    <hyperlink ref="F245" r:id="rId218" display="http://vk.com/id851594044"/>
    <hyperlink ref="F246" r:id="rId219" display="http://vk.com/club226299499"/>
    <hyperlink ref="F247" r:id="rId220" display="http://www.youtube.com/channel/UClJhxoTP2ELanup9QKcst3w"/>
    <hyperlink ref="F248" r:id="rId221" display="https://mom.life/user/6691732f883d963458177ce6"/>
    <hyperlink ref="F249" r:id="rId222" display="https://web.telegram.org/#/im?p=@zdorovie_i_me"/>
    <hyperlink ref="F250" r:id="rId223" display="https://web.telegram.org/#/im?p=@forums_rms"/>
    <hyperlink ref="F251" r:id="rId224" display="https://web.telegram.org/#/im?p=@xeniatu"/>
    <hyperlink ref="F252" r:id="rId225" display="https://rutube.ru/video/person/24179634"/>
    <hyperlink ref="F253" r:id="rId226" display="https://market.yandex.ru/user/0n8c3nhne2au0fdbvvqxctkq4g"/>
    <hyperlink ref="F254" r:id="rId227" display="https://dzen.ru/id/66fedf8396beda649868a689"/>
    <hyperlink ref="F255" r:id="rId228" display="https://web.telegram.org/#/im?p=@papri_ka"/>
    <hyperlink ref="F256" r:id="rId229" display="https://web.telegram.org/#/im?p=@batr_fit"/>
    <hyperlink ref="F257" r:id="rId230" display="https://instagram.com/kiira_satu"/>
    <hyperlink ref="F258" r:id="rId231" display="http://vk.com/id890364807"/>
    <hyperlink ref="F259" r:id="rId232" display="https://rutube.ru/video/person/28404014"/>
    <hyperlink ref="F260" r:id="rId233" display="https://web.telegram.org/#/im?p=@5277775963"/>
    <hyperlink ref="F261" r:id="rId234" display="https://web.telegram.org/#/im?p=@d04a_chat"/>
    <hyperlink ref="F262" r:id="rId235" display="http://vk.com/club228862181"/>
    <hyperlink ref="F263" r:id="rId236" display="https://hron-prostatit.ru/authors/Кас"/>
    <hyperlink ref="F264" r:id="rId237" display="https://nup.ru/#pollightman"/>
    <hyperlink ref="F265" r:id="rId238" display="http://vk.com/id1023616008"/>
    <hyperlink ref="F266" r:id="rId239" display="https://web.telegram.org/#/im?p=@anastasiyaspadareva"/>
    <hyperlink ref="F267" r:id="rId240" display="https://web.telegram.org/#/im?p=@annamuklaeva"/>
    <hyperlink ref="F268" r:id="rId241" display="https://hron-prostatit.ru/authors/deni4"/>
    <hyperlink ref="F269" r:id="rId242" display="https://dzen.ru/id/61d0906bf5cf2400b384a3a3"/>
    <hyperlink ref="F270" r:id="rId243" display="https://irecommend.ru/users/zimma208"/>
    <hyperlink ref="F271" r:id="rId244" display="http://vk.com/club227669108"/>
    <hyperlink ref="F272" r:id="rId245" display="https://hron-prostatit.ru/authors/vito54"/>
    <hyperlink ref="F273" r:id="rId246" display="https://www.tiktok.com/@laizan02"/>
    <hyperlink ref="F274" r:id="rId247" display="https://web.telegram.org/#/im?p=@actualphlebology"/>
    <hyperlink ref="F275" r:id="rId248" display="https://www.ozon.ru/context/client_opinion/ClientGuid/00000000-0000-0000-0000-000000000000#Павел Р."/>
    <hyperlink ref="F276" r:id="rId249" display="https://www.ozon.ru/context/client_opinion/ClientGuid/00000000-0000-0000-0000-000000000000#Михаил К."/>
    <hyperlink ref="F277" r:id="rId250" display="https://www.ozon.ru/context/client_opinion/ClientGuid/00000000-0000-0000-0000-000000000000#Юлия Р."/>
    <hyperlink ref="F278" r:id="rId251" display="https://instagram.com/pavel_chukhnov"/>
    <hyperlink ref="F279" r:id="rId252" display="https://dzen.ru/user/77lhfkslznwclbekteqdvvxx_fm"/>
    <hyperlink ref="F280" r:id="rId253" display="https://dzen.ru/user/zy8xn3v5arsgfi8gpyu_asblbeq"/>
    <hyperlink ref="F281" r:id="rId254" display="https://dzen.ru/id/683a5da203a9ab31d4266a8b"/>
    <hyperlink ref="F282" r:id="rId255" display="https://web.telegram.org/#/im?p=@2141007721"/>
    <hyperlink ref="F283" r:id="rId256" display="https://teletype.in/@dominantazdorovja"/>
    <hyperlink ref="F284" r:id="rId257" display="https://dzen.ru/user/tthloi0zbn4jpz9s_9jo3kpk8zi"/>
    <hyperlink ref="F285" r:id="rId258" display="https://web.telegram.org/#/im?p=@mska2025"/>
    <hyperlink ref="F286" r:id="rId259" display="https://nup.ru/#rewet"/>
    <hyperlink ref="F287" r:id="rId260" display="https://web.telegram.org/#/im?p=@2214211507"/>
    <hyperlink ref="F288" r:id="rId261" display="https://www.woman.ru/user/str-id401270608"/>
    <hyperlink ref="F289" r:id="rId262" display="https://threads.com/@artem1983m"/>
    <hyperlink ref="F290" r:id="rId263" display="https://threads.com/@tatjana.onufrieva"/>
    <hyperlink ref="F291" r:id="rId264" display="https://web.telegram.org/#/im?p=@nastyadushk"/>
    <hyperlink ref="F292" r:id="rId265" display="http://vk.com/id1072210181"/>
    <hyperlink ref="F293" r:id="rId266" display="https://threads.com/@dimasikdoc"/>
    <hyperlink ref="F294" r:id="rId267" display="https://threads.com/@madame_cle_"/>
    <hyperlink ref="F295" r:id="rId268" display="http://vk.com/club233198825"/>
    <hyperlink ref="F296" r:id="rId269" display="https://threads.com/@oksanaderunets"/>
    <hyperlink ref="F297" r:id="rId270" display="http://www.youtube.com/channel/UCNGqyR3VwHyjJidsmfdw6Pw"/>
    <hyperlink ref="F298" r:id="rId271" display="https://sprosivracha.com/authors/Алена Шейпук"/>
    <hyperlink ref="F299" r:id="rId272" display="https://sprosivracha.com/authors/Александр Жуков"/>
    <hyperlink ref="F300" r:id="rId273" display="https://sprosivracha.com/authors/Нина Извозчикова"/>
    <hyperlink ref="F301" r:id="rId274" display="https://sprosivracha.com/authors/Юлия Рудоманова"/>
    <hyperlink ref="F302" r:id="rId275" display="https://sprosivracha.com/authors/Екатерина Ежова"/>
    <hyperlink ref="F303" r:id="rId276" display="https://sprosivracha.com/authors/Екатерина Плотникова"/>
    <hyperlink ref="F304" r:id="rId277" display="http://www.youtube.com/channel/UCdbCk6qf4f4yYyit8_9U5cQ"/>
    <hyperlink ref="F305" r:id="rId278" display="http://vk.com/id1087103557"/>
    <hyperlink ref="F306" r:id="rId279" display="https://web.telegram.org/#/im?p=@2605536942"/>
    <hyperlink ref="F307" r:id="rId280" display="https://dzen.ru/id/69424d3d4f8ad6248027232e"/>
    <hyperlink ref="F308" r:id="rId281" display="https://rutube.ru/video/person/73643784"/>
    <hyperlink ref="F309" r:id="rId282" display="https://threads.com/@kirill19720708"/>
    <hyperlink ref="F310" r:id="rId283" display="https://mom.life/user/691c555d258168052e026ef0"/>
    <hyperlink ref="F311" r:id="rId284" display="https://dzen.ru/id/69673fb99ddcd57294641e04"/>
    <hyperlink ref="F312" r:id="rId285" display="https://threads.com/@gnomic8801"/>
    <hyperlink ref="F313" r:id="rId286" display="https://web.telegram.org/#/im?p=@parser_part_bot"/>
    <hyperlink ref="F314" r:id="rId287" display="http://vk.com/club235865439"/>
    <hyperlink ref="F315" r:id="rId288" display="http://vk.com/club235912791"/>
    <hyperlink ref="F316" r:id="rId289" display="https://dzen.ru/id/698d829de5a6106bda5a3db0"/>
    <hyperlink ref="F317" r:id="rId290" display="http://vk.com/club235949966"/>
    <hyperlink ref="F318" r:id="rId291" display="https://web.telegram.org/#/im?p=@nikolai198726"/>
    <hyperlink ref="F319" r:id="rId292" display="https://max.ru/clariryofmind"/>
    <hyperlink ref="F320" r:id="rId293" display="https://max.ru/id7730183173_biz"/>
    <hyperlink ref="F321" r:id="rId294" display="https://sprosivracha.com/authors/Нурлан Иманов"/>
    <hyperlink ref="F322" r:id="rId295" display="http://www.youtube.com/channel/UCZ1RK8q-3ekd6Lv090ui_Mg"/>
    <hyperlink ref="F323" r:id="rId296" display="http://vk.com/club237474828"/>
    <hyperlink ref="F324" r:id="rId297" display="https://web.telegram.org/#/im?p=@bigmegabong"/>
    <hyperlink ref="F325" r:id="rId298" display="https://otzyv.pro/user/aleksafomina"/>
    <hyperlink ref="F326" r:id="rId299" display="http://vk.com/club237610432"/>
    <hyperlink ref="F327" r:id="rId300" display="https://mom.life/user/69dfa987d0b306af410c0268"/>
    <hyperlink ref="F328" r:id="rId301" display="https://otzovik.com/profile/Дивная+Полина"/>
    <hyperlink ref="F329" r:id="rId302" display="https://web.telegram.org/#/im?p=@udzhin80"/>
    <hyperlink ref="F330" r:id="rId303" display="https://hron-prostatit.ru/authors/Bevel"/>
    <hyperlink ref="F331" r:id="rId304" display="https://threads.com/@mommycine"/>
    <hyperlink ref="F332" r:id="rId305" display="https://dzen.ru/user/1669098787"/>
    <hyperlink ref="F333" r:id="rId306" display="https://forums.rusmedserv.com/authors/Nataliya0401"/>
    <hyperlink ref="F334" r:id="rId307" display="https://rutube.ru/video/person/78253766"/>
    <hyperlink ref="F335" r:id="rId308" display="https://www.woman.ru/authors/Гость [3614837798]"/>
    <hyperlink ref="F336" r:id="rId309" display="https://forum.baby.ru/u/usr2231337"/>
    <hyperlink ref="F337" r:id="rId310" display="https://forum.steelfactor.ru/index.php?showuser=61513"/>
    <hyperlink ref="F338" r:id="rId311" display="https://mom.life/user/6a03e35a7e15d5832e0a91d0"/>
    <hyperlink ref="F339" r:id="rId312" display="https://web.telegram.org/#/im?p=@8865043918"/>
    <hyperlink ref="F340" r:id="rId313" display="http://vk.com/club238438025"/>
    <hyperlink ref="F341" r:id="rId314" display="https://dzen.ru/user/2356853477"/>
    <hyperlink ref="F342" r:id="rId315" display="https://otzovik.com/profile/Андриановна"/>
    <hyperlink ref="F343" r:id="rId316" display="https://mom.life/user/6a14345a8a40cc102e0bb78d"/>
    <hyperlink ref="F344" r:id="rId317" display="https://otzovik.com/profile/AlisSia27"/>
    <hyperlink ref="F345" r:id="rId318" display="https://irecommend.ru/users/polyalugovaya"/>
    <hyperlink ref="F346" r:id="rId319" display="https://www.wildberries.ru/profile/RWHbm5SgopupK0XLs4SjDklqX5rw1br0U6tZx3UOisaz"/>
  </hyperlinks>
  <pageMargins left="0.75" right="0.75" top="1" bottom="1" header="0.5" footer="0.5"/>
  <drawing r:id="rId32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a2d2d70-8adf-4211-93e9-facd7893e388}">
  <dimension ref="B1:H131"/>
  <sheetViews>
    <sheetView showGridLines="0" workbookViewId="0" topLeftCell="A1"/>
  </sheetViews>
  <sheetFormatPr defaultRowHeight="12.75"/>
  <cols>
    <col min="1" max="1" width="4.714285714285714" customWidth="1"/>
    <col min="2" max="2" width="22.714285714285715" customWidth="1"/>
    <col min="3" max="3" width="30.714285714285715" customWidth="1"/>
    <col min="4" max="4" width="20.714285714285715" customWidth="1"/>
    <col min="5" max="5" width="30.714285714285715" customWidth="1"/>
    <col min="6" max="6" width="20.714285714285715" customWidth="1"/>
    <col min="7" max="13" width="13.714285714285714" customWidth="1"/>
  </cols>
  <sheetData>
    <row r="1" spans="2:3" s="1" customFormat="1" ht="30" customHeight="1">
      <c r="B1" s="1" t="s">
        <v>0</v>
      </c>
      <c r="C1" s="4" t="s">
        <v>2</v>
      </c>
    </row>
    <row r="4" spans="2:2" ht="12.75">
      <c r="B4" s="2" t="s">
        <v>29</v>
      </c>
    </row>
    <row r="6" spans="2:8" ht="30" customHeight="1">
      <c r="B6" s="5" t="s">
        <v>847</v>
      </c>
      <c r="C6" s="6" t="s">
        <v>5</v>
      </c>
      <c r="D6" s="6" t="s">
        <v>1314</v>
      </c>
      <c r="E6" s="6" t="s">
        <v>28</v>
      </c>
      <c r="F6" s="6" t="s">
        <v>1314</v>
      </c>
    </row>
    <row r="7" spans="2:6" ht="15" customHeight="1">
      <c r="B7" s="16" t="s">
        <v>1315</v>
      </c>
      <c r="C7" s="8">
        <v>72</v>
      </c>
      <c r="D7" s="21">
        <v>0.31034482758620691</v>
      </c>
      <c r="E7" s="8">
        <v>59</v>
      </c>
      <c r="F7" s="21">
        <v>0.34302325581395349</v>
      </c>
    </row>
    <row r="8" spans="2:6" ht="15" customHeight="1">
      <c r="B8" s="16" t="s">
        <v>1316</v>
      </c>
      <c r="C8" s="8">
        <v>160</v>
      </c>
      <c r="D8" s="21">
        <v>0.68965517241379315</v>
      </c>
      <c r="E8" s="8">
        <v>113</v>
      </c>
      <c r="F8" s="21">
        <v>0.65697674418604646</v>
      </c>
    </row>
    <row r="9" spans="2:2" ht="12.75">
      <c r="B9" s="25" t="s">
        <v>1317</v>
      </c>
    </row>
    <row r="10" ht="25" customHeight="1"/>
    <row r="11" spans="2:6" ht="30" customHeight="1">
      <c r="B11" s="5" t="s">
        <v>848</v>
      </c>
      <c r="C11" s="6" t="s">
        <v>5</v>
      </c>
      <c r="D11" s="6" t="s">
        <v>1314</v>
      </c>
      <c r="E11" s="6" t="s">
        <v>28</v>
      </c>
      <c r="F11" s="6" t="s">
        <v>1314</v>
      </c>
    </row>
    <row r="12" spans="2:6" ht="15" customHeight="1">
      <c r="B12" s="16" t="s">
        <v>1318</v>
      </c>
      <c r="C12" s="8">
        <v>0</v>
      </c>
      <c r="D12" s="21">
        <v>0</v>
      </c>
      <c r="E12" s="8">
        <v>0</v>
      </c>
      <c r="F12" s="21">
        <v>0</v>
      </c>
    </row>
    <row r="13" spans="2:6" ht="15" customHeight="1">
      <c r="B13" s="16" t="s">
        <v>1319</v>
      </c>
      <c r="C13" s="8">
        <v>0</v>
      </c>
      <c r="D13" s="21">
        <v>0</v>
      </c>
      <c r="E13" s="8">
        <v>0</v>
      </c>
      <c r="F13" s="21">
        <v>0</v>
      </c>
    </row>
    <row r="14" spans="2:6" ht="15" customHeight="1">
      <c r="B14" s="16" t="s">
        <v>1320</v>
      </c>
      <c r="C14" s="8">
        <v>36</v>
      </c>
      <c r="D14" s="21">
        <v>0.50704225352112675</v>
      </c>
      <c r="E14" s="8">
        <v>13</v>
      </c>
      <c r="F14" s="21">
        <v>0.30232558139534882</v>
      </c>
    </row>
    <row r="15" spans="2:6" ht="15" customHeight="1">
      <c r="B15" s="16" t="s">
        <v>1321</v>
      </c>
      <c r="C15" s="8">
        <v>20</v>
      </c>
      <c r="D15" s="21">
        <v>0.28169014084507044</v>
      </c>
      <c r="E15" s="8">
        <v>17</v>
      </c>
      <c r="F15" s="21">
        <v>0.39534883720930231</v>
      </c>
    </row>
    <row r="16" spans="2:6" ht="15" customHeight="1">
      <c r="B16" s="16" t="s">
        <v>1322</v>
      </c>
      <c r="C16" s="8">
        <v>15</v>
      </c>
      <c r="D16" s="21">
        <v>0.21126760563380281</v>
      </c>
      <c r="E16" s="8">
        <v>13</v>
      </c>
      <c r="F16" s="21">
        <v>0.30232558139534882</v>
      </c>
    </row>
    <row r="17" spans="2:2" ht="12.75">
      <c r="B17" s="25" t="s">
        <v>1323</v>
      </c>
    </row>
    <row r="18" ht="25" customHeight="1"/>
    <row r="19" spans="2:8" ht="30" customHeight="1">
      <c r="B19" s="5" t="s">
        <v>1324</v>
      </c>
      <c r="C19" s="6" t="s">
        <v>5</v>
      </c>
      <c r="D19" s="6" t="s">
        <v>1314</v>
      </c>
      <c r="E19" s="6" t="s">
        <v>28</v>
      </c>
      <c r="F19" s="6" t="s">
        <v>1314</v>
      </c>
    </row>
    <row r="20" spans="2:6" ht="15" customHeight="1">
      <c r="B20" s="16" t="s">
        <v>876</v>
      </c>
      <c r="C20" s="8">
        <v>9</v>
      </c>
      <c r="D20" s="21">
        <v>0.24324324324324326</v>
      </c>
      <c r="E20" s="8">
        <v>7</v>
      </c>
      <c r="F20" s="21">
        <v>0.26923076923076922</v>
      </c>
    </row>
    <row r="21" spans="2:6" ht="15" customHeight="1">
      <c r="B21" s="16" t="s">
        <v>1325</v>
      </c>
      <c r="C21" s="8">
        <v>28</v>
      </c>
      <c r="D21" s="21">
        <v>0.7567567567567568</v>
      </c>
      <c r="E21" s="8">
        <v>19</v>
      </c>
      <c r="F21" s="21">
        <v>0.73076923076923073</v>
      </c>
    </row>
    <row r="22" spans="2:2" ht="12.75">
      <c r="B22" s="25" t="s">
        <v>1326</v>
      </c>
    </row>
    <row r="23" ht="25" customHeight="1"/>
    <row r="24" spans="2:6" ht="30" customHeight="1">
      <c r="B24" s="5" t="s">
        <v>167</v>
      </c>
      <c r="C24" s="6" t="s">
        <v>5</v>
      </c>
      <c r="D24" s="6" t="s">
        <v>1314</v>
      </c>
      <c r="E24" s="6" t="s">
        <v>28</v>
      </c>
      <c r="F24" s="6" t="s">
        <v>1314</v>
      </c>
    </row>
    <row r="25" spans="2:6" ht="15" customHeight="1">
      <c r="B25" s="16" t="s">
        <v>883</v>
      </c>
      <c r="C25" s="8">
        <v>9</v>
      </c>
      <c r="D25" s="21">
        <v>0.59999999999999998</v>
      </c>
      <c r="E25" s="8">
        <v>8</v>
      </c>
      <c r="F25" s="21">
        <v>0.72727272727272729</v>
      </c>
    </row>
    <row r="26" spans="2:6" ht="15" customHeight="1">
      <c r="B26" s="16" t="s">
        <v>869</v>
      </c>
      <c r="C26" s="8">
        <v>6</v>
      </c>
      <c r="D26" s="21">
        <v>0.40000000000000002</v>
      </c>
      <c r="E26" s="8">
        <v>3</v>
      </c>
      <c r="F26" s="21">
        <v>0.27272727272727271</v>
      </c>
    </row>
    <row r="27" spans="2:6" ht="15" customHeight="1">
      <c r="B27" s="16" t="s">
        <v>1327</v>
      </c>
      <c r="C27" s="8">
        <v>0</v>
      </c>
      <c r="D27" s="21">
        <v>0</v>
      </c>
      <c r="E27" s="8">
        <v>0</v>
      </c>
      <c r="F27" s="21">
        <v>0</v>
      </c>
    </row>
    <row r="28" spans="2:2" ht="12.75">
      <c r="B28" s="25" t="s">
        <v>1328</v>
      </c>
    </row>
    <row r="29" ht="25" customHeight="1"/>
    <row r="30" spans="2:6" ht="30" customHeight="1">
      <c r="B30" s="5" t="s">
        <v>1329</v>
      </c>
      <c r="C30" s="6" t="s">
        <v>5</v>
      </c>
      <c r="D30" s="6" t="s">
        <v>1314</v>
      </c>
      <c r="E30" s="6" t="s">
        <v>28</v>
      </c>
      <c r="F30" s="6" t="s">
        <v>1314</v>
      </c>
    </row>
    <row r="31" spans="2:6" ht="15" customHeight="1">
      <c r="B31" s="16" t="s">
        <v>1330</v>
      </c>
      <c r="C31" s="8">
        <v>253</v>
      </c>
      <c r="D31" s="21">
        <v>0.65038560411311053</v>
      </c>
      <c r="E31" s="8">
        <v>199</v>
      </c>
      <c r="F31" s="21">
        <v>0.62382445141065834</v>
      </c>
    </row>
    <row r="32" spans="2:8" ht="15" customHeight="1">
      <c r="B32" s="16" t="s">
        <v>1331</v>
      </c>
      <c r="C32" s="8">
        <v>52</v>
      </c>
      <c r="D32" s="21">
        <v>0.13367609254498714</v>
      </c>
      <c r="E32" s="8">
        <v>44</v>
      </c>
      <c r="F32" s="21">
        <v>0.13793103448275862</v>
      </c>
    </row>
    <row r="33" spans="2:6" ht="15" customHeight="1">
      <c r="B33" s="16" t="s">
        <v>1332</v>
      </c>
      <c r="C33" s="8">
        <v>13</v>
      </c>
      <c r="D33" s="21">
        <v>0.033419023136246784</v>
      </c>
      <c r="E33" s="8">
        <v>12</v>
      </c>
      <c r="F33" s="21">
        <v>0.037617554858934171</v>
      </c>
    </row>
    <row r="34" spans="2:6" ht="15" customHeight="1">
      <c r="B34" s="16" t="s">
        <v>1333</v>
      </c>
      <c r="C34" s="8">
        <v>22</v>
      </c>
      <c r="D34" s="21">
        <v>0.056555269922879174</v>
      </c>
      <c r="E34" s="8">
        <v>20</v>
      </c>
      <c r="F34" s="21">
        <v>0.062695924764890276</v>
      </c>
    </row>
    <row r="35" spans="2:6" ht="15" customHeight="1">
      <c r="B35" s="16" t="s">
        <v>1334</v>
      </c>
      <c r="C35" s="8">
        <v>17</v>
      </c>
      <c r="D35" s="21">
        <v>0.043701799485861184</v>
      </c>
      <c r="E35" s="8">
        <v>15</v>
      </c>
      <c r="F35" s="21">
        <v>0.047021943573667714</v>
      </c>
    </row>
    <row r="36" spans="2:6" ht="15" customHeight="1">
      <c r="B36" s="16" t="s">
        <v>1335</v>
      </c>
      <c r="C36" s="8">
        <v>32</v>
      </c>
      <c r="D36" s="21">
        <v>0.082262210796915161</v>
      </c>
      <c r="E36" s="8">
        <v>29</v>
      </c>
      <c r="F36" s="21">
        <v>0.090909090909090912</v>
      </c>
    </row>
    <row r="37" spans="2:2" ht="12.75">
      <c r="B37" s="25" t="s">
        <v>1336</v>
      </c>
    </row>
    <row r="38" ht="25" customHeight="1"/>
    <row r="39" spans="2:4" ht="30" customHeight="1">
      <c r="B39" s="5" t="s">
        <v>1337</v>
      </c>
      <c r="C39" s="6" t="s">
        <v>5</v>
      </c>
      <c r="D39" s="6" t="s">
        <v>28</v>
      </c>
    </row>
    <row r="40" spans="2:4" ht="15" customHeight="1">
      <c r="B40" s="16" t="s">
        <v>168</v>
      </c>
      <c r="C40" s="8">
        <v>5</v>
      </c>
      <c r="D40" s="8">
        <v>4</v>
      </c>
    </row>
    <row r="41" spans="2:4" ht="15" customHeight="1">
      <c r="B41" s="16" t="s">
        <v>1338</v>
      </c>
      <c r="C41" s="8">
        <v>5</v>
      </c>
      <c r="D41" s="8">
        <v>4</v>
      </c>
    </row>
    <row r="42" spans="2:4" ht="15" customHeight="1">
      <c r="B42" s="16" t="s">
        <v>1339</v>
      </c>
      <c r="C42" s="8">
        <v>2</v>
      </c>
      <c r="D42" s="8">
        <v>2</v>
      </c>
    </row>
    <row r="43" spans="2:4" ht="15" customHeight="1">
      <c r="B43" s="16" t="s">
        <v>1340</v>
      </c>
      <c r="C43" s="8">
        <v>2</v>
      </c>
      <c r="D43" s="8">
        <v>2</v>
      </c>
    </row>
    <row r="44" spans="2:4" ht="15" customHeight="1">
      <c r="B44" s="16" t="s">
        <v>171</v>
      </c>
      <c r="C44" s="8">
        <v>2</v>
      </c>
      <c r="D44" s="8">
        <v>2</v>
      </c>
    </row>
    <row r="45" spans="2:8" ht="15" customHeight="1">
      <c r="B45" s="16" t="s">
        <v>1341</v>
      </c>
      <c r="C45" s="8">
        <v>0</v>
      </c>
      <c r="D45" s="8">
        <v>0</v>
      </c>
    </row>
    <row r="46" spans="2:2" ht="12.75">
      <c r="B46" s="25" t="s">
        <v>1342</v>
      </c>
    </row>
    <row r="47" ht="25" customHeight="1"/>
    <row r="48" spans="2:6" ht="30" customHeight="1">
      <c r="B48" s="5" t="s">
        <v>43</v>
      </c>
      <c r="C48" s="6" t="s">
        <v>5</v>
      </c>
      <c r="D48" s="6" t="s">
        <v>1314</v>
      </c>
      <c r="E48" s="6" t="s">
        <v>28</v>
      </c>
      <c r="F48" s="6" t="s">
        <v>1314</v>
      </c>
    </row>
    <row r="49" spans="2:6" ht="15" customHeight="1">
      <c r="B49" s="16" t="s">
        <v>187</v>
      </c>
      <c r="C49" s="8">
        <v>99</v>
      </c>
      <c r="D49" s="26">
        <v>0.89189189189189189</v>
      </c>
      <c r="E49" s="8">
        <v>75</v>
      </c>
      <c r="F49" s="26">
        <v>0.86206896551724133</v>
      </c>
    </row>
    <row r="50" spans="2:6" ht="15" customHeight="1">
      <c r="B50" s="16" t="s">
        <v>392</v>
      </c>
      <c r="C50" s="8">
        <v>7</v>
      </c>
      <c r="D50" s="26">
        <v>0.063063063063063057</v>
      </c>
      <c r="E50" s="8">
        <v>7</v>
      </c>
      <c r="F50" s="26">
        <v>0.080459770114942528</v>
      </c>
    </row>
    <row r="51" spans="2:6" ht="15" customHeight="1">
      <c r="B51" s="16" t="s">
        <v>991</v>
      </c>
      <c r="C51" s="8">
        <v>2</v>
      </c>
      <c r="D51" s="26">
        <v>0.018018018018018018</v>
      </c>
      <c r="E51" s="8">
        <v>2</v>
      </c>
      <c r="F51" s="26">
        <v>0.022988505747126436</v>
      </c>
    </row>
    <row r="52" spans="2:6" ht="15" customHeight="1">
      <c r="B52" s="16" t="s">
        <v>1293</v>
      </c>
      <c r="C52" s="8">
        <v>1</v>
      </c>
      <c r="D52" s="26">
        <v>0.0090090090090090089</v>
      </c>
      <c r="E52" s="8">
        <v>1</v>
      </c>
      <c r="F52" s="26">
        <v>0.011494252873563218</v>
      </c>
    </row>
    <row r="53" spans="2:6" ht="15" customHeight="1">
      <c r="B53" s="16" t="s">
        <v>946</v>
      </c>
      <c r="C53" s="8">
        <v>1</v>
      </c>
      <c r="D53" s="26">
        <v>0.0090090090090090089</v>
      </c>
      <c r="E53" s="8">
        <v>1</v>
      </c>
      <c r="F53" s="26">
        <v>0.011494252873563218</v>
      </c>
    </row>
    <row r="54" spans="2:6" ht="15" customHeight="1">
      <c r="B54" s="16" t="s">
        <v>466</v>
      </c>
      <c r="C54" s="8">
        <v>1</v>
      </c>
      <c r="D54" s="26">
        <v>0.0090090090090090089</v>
      </c>
      <c r="E54" s="8">
        <v>1</v>
      </c>
      <c r="F54" s="26">
        <v>0.011494252873563218</v>
      </c>
    </row>
    <row r="55" spans="2:2" ht="12.75">
      <c r="B55" s="25" t="s">
        <v>1343</v>
      </c>
    </row>
    <row r="56" ht="25" customHeight="1"/>
    <row r="57" spans="2:6" ht="30" customHeight="1">
      <c r="B57" s="5" t="s">
        <v>1344</v>
      </c>
      <c r="C57" s="6" t="s">
        <v>5</v>
      </c>
      <c r="D57" s="6" t="s">
        <v>1314</v>
      </c>
      <c r="E57" s="6" t="s">
        <v>28</v>
      </c>
      <c r="F57" s="6" t="s">
        <v>1314</v>
      </c>
    </row>
    <row r="58" spans="2:8" ht="15" customHeight="1">
      <c r="B58" s="16" t="s">
        <v>201</v>
      </c>
      <c r="C58" s="8">
        <v>20</v>
      </c>
      <c r="D58" s="26">
        <v>0.21739130434782608</v>
      </c>
      <c r="E58" s="8">
        <v>18</v>
      </c>
      <c r="F58" s="26">
        <v>0.25714285714285712</v>
      </c>
    </row>
    <row r="59" spans="2:6" ht="15" customHeight="1">
      <c r="B59" s="16" t="s">
        <v>189</v>
      </c>
      <c r="C59" s="8">
        <v>14</v>
      </c>
      <c r="D59" s="26">
        <v>0.15217391304347827</v>
      </c>
      <c r="E59" s="8">
        <v>8</v>
      </c>
      <c r="F59" s="26">
        <v>0.11428571428571428</v>
      </c>
    </row>
    <row r="60" spans="2:6" ht="15" customHeight="1">
      <c r="B60" s="16" t="s">
        <v>236</v>
      </c>
      <c r="C60" s="8">
        <v>5</v>
      </c>
      <c r="D60" s="26">
        <v>0.05434782608695652</v>
      </c>
      <c r="E60" s="8">
        <v>5</v>
      </c>
      <c r="F60" s="26">
        <v>0.071428571428571425</v>
      </c>
    </row>
    <row r="61" spans="2:6" ht="15" customHeight="1">
      <c r="B61" s="16" t="s">
        <v>400</v>
      </c>
      <c r="C61" s="8">
        <v>3</v>
      </c>
      <c r="D61" s="26">
        <v>0.032608695652173912</v>
      </c>
      <c r="E61" s="8">
        <v>3</v>
      </c>
      <c r="F61" s="26">
        <v>0.042857142857142858</v>
      </c>
    </row>
    <row r="62" spans="2:6" ht="15" customHeight="1">
      <c r="B62" s="16" t="s">
        <v>435</v>
      </c>
      <c r="C62" s="8">
        <v>3</v>
      </c>
      <c r="D62" s="26">
        <v>0.032608695652173912</v>
      </c>
      <c r="E62" s="8">
        <v>3</v>
      </c>
      <c r="F62" s="26">
        <v>0.042857142857142858</v>
      </c>
    </row>
    <row r="63" spans="2:6" ht="15" customHeight="1">
      <c r="B63" s="16" t="s">
        <v>358</v>
      </c>
      <c r="C63" s="8">
        <v>2</v>
      </c>
      <c r="D63" s="26">
        <v>0.021739130434782608</v>
      </c>
      <c r="E63" s="8">
        <v>2</v>
      </c>
      <c r="F63" s="26">
        <v>0.028571428571428571</v>
      </c>
    </row>
    <row r="64" spans="2:6" ht="15" customHeight="1">
      <c r="B64" s="16" t="s">
        <v>562</v>
      </c>
      <c r="C64" s="8">
        <v>3</v>
      </c>
      <c r="D64" s="26">
        <v>0.032608695652173912</v>
      </c>
      <c r="E64" s="8">
        <v>2</v>
      </c>
      <c r="F64" s="26">
        <v>0.028571428571428571</v>
      </c>
    </row>
    <row r="65" spans="2:6" ht="15" customHeight="1">
      <c r="B65" s="16" t="s">
        <v>1309</v>
      </c>
      <c r="C65" s="8">
        <v>3</v>
      </c>
      <c r="D65" s="26">
        <v>0.032608695652173912</v>
      </c>
      <c r="E65" s="8">
        <v>2</v>
      </c>
      <c r="F65" s="26">
        <v>0.028571428571428571</v>
      </c>
    </row>
    <row r="66" spans="2:6" ht="15" customHeight="1">
      <c r="B66" s="16" t="s">
        <v>273</v>
      </c>
      <c r="C66" s="8">
        <v>3</v>
      </c>
      <c r="D66" s="26">
        <v>0.032608695652173912</v>
      </c>
      <c r="E66" s="8">
        <v>2</v>
      </c>
      <c r="F66" s="26">
        <v>0.028571428571428571</v>
      </c>
    </row>
    <row r="67" spans="2:6" ht="15" customHeight="1">
      <c r="B67" s="16" t="s">
        <v>939</v>
      </c>
      <c r="C67" s="8">
        <v>2</v>
      </c>
      <c r="D67" s="26">
        <v>0.021739130434782608</v>
      </c>
      <c r="E67" s="8">
        <v>2</v>
      </c>
      <c r="F67" s="26">
        <v>0.028571428571428571</v>
      </c>
    </row>
    <row r="68" spans="2:6" ht="15" customHeight="1">
      <c r="B68" s="16" t="s">
        <v>385</v>
      </c>
      <c r="C68" s="8">
        <v>2</v>
      </c>
      <c r="D68" s="26">
        <v>0.021739130434782608</v>
      </c>
      <c r="E68" s="8">
        <v>2</v>
      </c>
      <c r="F68" s="26">
        <v>0.028571428571428571</v>
      </c>
    </row>
    <row r="69" spans="2:6" ht="15" customHeight="1">
      <c r="B69" s="16" t="s">
        <v>881</v>
      </c>
      <c r="C69" s="8">
        <v>3</v>
      </c>
      <c r="D69" s="26">
        <v>0.032608695652173912</v>
      </c>
      <c r="E69" s="8">
        <v>2</v>
      </c>
      <c r="F69" s="26">
        <v>0.028571428571428571</v>
      </c>
    </row>
    <row r="70" spans="2:6" ht="15" customHeight="1">
      <c r="B70" s="16" t="s">
        <v>329</v>
      </c>
      <c r="C70" s="8">
        <v>1</v>
      </c>
      <c r="D70" s="26">
        <v>0.010869565217391304</v>
      </c>
      <c r="E70" s="8">
        <v>1</v>
      </c>
      <c r="F70" s="26">
        <v>0.014285714285714285</v>
      </c>
    </row>
    <row r="71" spans="2:8" ht="15" customHeight="1">
      <c r="B71" s="16" t="s">
        <v>478</v>
      </c>
      <c r="C71" s="8">
        <v>2</v>
      </c>
      <c r="D71" s="26">
        <v>0.021739130434782608</v>
      </c>
      <c r="E71" s="8">
        <v>1</v>
      </c>
      <c r="F71" s="26">
        <v>0.014285714285714285</v>
      </c>
    </row>
    <row r="72" spans="2:6" ht="15" customHeight="1">
      <c r="B72" s="16" t="s">
        <v>654</v>
      </c>
      <c r="C72" s="8">
        <v>1</v>
      </c>
      <c r="D72" s="26">
        <v>0.010869565217391304</v>
      </c>
      <c r="E72" s="8">
        <v>1</v>
      </c>
      <c r="F72" s="26">
        <v>0.014285714285714285</v>
      </c>
    </row>
    <row r="73" spans="2:6" ht="15" customHeight="1">
      <c r="B73" s="16" t="s">
        <v>256</v>
      </c>
      <c r="C73" s="8">
        <v>3</v>
      </c>
      <c r="D73" s="26">
        <v>0.032608695652173912</v>
      </c>
      <c r="E73" s="8">
        <v>1</v>
      </c>
      <c r="F73" s="26">
        <v>0.014285714285714285</v>
      </c>
    </row>
    <row r="74" spans="2:6" ht="15" customHeight="1">
      <c r="B74" s="16" t="s">
        <v>1061</v>
      </c>
      <c r="C74" s="8">
        <v>1</v>
      </c>
      <c r="D74" s="26">
        <v>0.010869565217391304</v>
      </c>
      <c r="E74" s="8">
        <v>1</v>
      </c>
      <c r="F74" s="26">
        <v>0.014285714285714285</v>
      </c>
    </row>
    <row r="75" spans="2:6" ht="15" customHeight="1">
      <c r="B75" s="16" t="s">
        <v>262</v>
      </c>
      <c r="C75" s="8">
        <v>2</v>
      </c>
      <c r="D75" s="26">
        <v>0.021739130434782608</v>
      </c>
      <c r="E75" s="8">
        <v>1</v>
      </c>
      <c r="F75" s="26">
        <v>0.014285714285714285</v>
      </c>
    </row>
    <row r="76" spans="2:6" ht="15" customHeight="1">
      <c r="B76" s="16" t="s">
        <v>557</v>
      </c>
      <c r="C76" s="8">
        <v>6</v>
      </c>
      <c r="D76" s="26">
        <v>0.065217391304347824</v>
      </c>
      <c r="E76" s="8">
        <v>1</v>
      </c>
      <c r="F76" s="26">
        <v>0.014285714285714285</v>
      </c>
    </row>
    <row r="77" spans="2:6" ht="15" customHeight="1">
      <c r="B77" s="16" t="s">
        <v>968</v>
      </c>
      <c r="C77" s="8">
        <v>1</v>
      </c>
      <c r="D77" s="26">
        <v>0.010869565217391304</v>
      </c>
      <c r="E77" s="8">
        <v>1</v>
      </c>
      <c r="F77" s="26">
        <v>0.014285714285714285</v>
      </c>
    </row>
    <row r="78" spans="2:6" ht="15" customHeight="1">
      <c r="B78" s="16" t="s">
        <v>978</v>
      </c>
      <c r="C78" s="8">
        <v>1</v>
      </c>
      <c r="D78" s="26">
        <v>0.010869565217391304</v>
      </c>
      <c r="E78" s="8">
        <v>1</v>
      </c>
      <c r="F78" s="26">
        <v>0.014285714285714285</v>
      </c>
    </row>
    <row r="79" spans="2:6" ht="15" customHeight="1">
      <c r="B79" s="16" t="s">
        <v>439</v>
      </c>
      <c r="C79" s="8">
        <v>1</v>
      </c>
      <c r="D79" s="26">
        <v>0.010869565217391304</v>
      </c>
      <c r="E79" s="8">
        <v>1</v>
      </c>
      <c r="F79" s="26">
        <v>0.014285714285714285</v>
      </c>
    </row>
    <row r="80" spans="2:6" ht="15" customHeight="1">
      <c r="B80" s="16" t="s">
        <v>933</v>
      </c>
      <c r="C80" s="8">
        <v>1</v>
      </c>
      <c r="D80" s="26">
        <v>0.010869565217391304</v>
      </c>
      <c r="E80" s="8">
        <v>1</v>
      </c>
      <c r="F80" s="26">
        <v>0.014285714285714285</v>
      </c>
    </row>
    <row r="81" spans="2:6" ht="15" customHeight="1">
      <c r="B81" s="16" t="s">
        <v>956</v>
      </c>
      <c r="C81" s="8">
        <v>1</v>
      </c>
      <c r="D81" s="26">
        <v>0.010869565217391304</v>
      </c>
      <c r="E81" s="8">
        <v>1</v>
      </c>
      <c r="F81" s="26">
        <v>0.014285714285714285</v>
      </c>
    </row>
    <row r="82" spans="2:6" ht="15" customHeight="1">
      <c r="B82" s="16" t="s">
        <v>415</v>
      </c>
      <c r="C82" s="8">
        <v>1</v>
      </c>
      <c r="D82" s="26">
        <v>0.010869565217391304</v>
      </c>
      <c r="E82" s="8">
        <v>1</v>
      </c>
      <c r="F82" s="26">
        <v>0.014285714285714285</v>
      </c>
    </row>
    <row r="83" spans="2:6" ht="15" customHeight="1">
      <c r="B83" s="16" t="s">
        <v>976</v>
      </c>
      <c r="C83" s="8">
        <v>1</v>
      </c>
      <c r="D83" s="26">
        <v>0.010869565217391304</v>
      </c>
      <c r="E83" s="8">
        <v>1</v>
      </c>
      <c r="F83" s="26">
        <v>0.014285714285714285</v>
      </c>
    </row>
    <row r="84" spans="2:8" ht="15" customHeight="1">
      <c r="B84" s="16" t="s">
        <v>515</v>
      </c>
      <c r="C84" s="8">
        <v>1</v>
      </c>
      <c r="D84" s="26">
        <v>0.010869565217391304</v>
      </c>
      <c r="E84" s="8">
        <v>1</v>
      </c>
      <c r="F84" s="26">
        <v>0.014285714285714285</v>
      </c>
    </row>
    <row r="85" spans="2:6" ht="15" customHeight="1">
      <c r="B85" s="16" t="s">
        <v>812</v>
      </c>
      <c r="C85" s="8">
        <v>1</v>
      </c>
      <c r="D85" s="26">
        <v>0.010869565217391304</v>
      </c>
      <c r="E85" s="8">
        <v>1</v>
      </c>
      <c r="F85" s="26">
        <v>0.014285714285714285</v>
      </c>
    </row>
    <row r="86" spans="2:6" ht="15" customHeight="1">
      <c r="B86" s="16" t="s">
        <v>909</v>
      </c>
      <c r="C86" s="8">
        <v>2</v>
      </c>
      <c r="D86" s="26">
        <v>0.021739130434782608</v>
      </c>
      <c r="E86" s="8">
        <v>1</v>
      </c>
      <c r="F86" s="26">
        <v>0.014285714285714285</v>
      </c>
    </row>
    <row r="87" spans="2:6" ht="15" customHeight="1">
      <c r="B87" s="16" t="s">
        <v>196</v>
      </c>
      <c r="C87" s="8">
        <v>1</v>
      </c>
      <c r="D87" s="26">
        <v>0.010869565217391304</v>
      </c>
      <c r="E87" s="8">
        <v>1</v>
      </c>
      <c r="F87" s="26">
        <v>0.014285714285714285</v>
      </c>
    </row>
    <row r="88" spans="2:6" ht="15" customHeight="1">
      <c r="B88" s="16" t="s">
        <v>1136</v>
      </c>
      <c r="C88" s="8">
        <v>1</v>
      </c>
      <c r="D88" s="26">
        <v>0.010869565217391304</v>
      </c>
      <c r="E88" s="8">
        <v>1</v>
      </c>
      <c r="F88" s="26">
        <v>0.014285714285714285</v>
      </c>
    </row>
    <row r="89" spans="2:2" ht="12.75">
      <c r="B89" s="25" t="s">
        <v>1345</v>
      </c>
    </row>
    <row r="90" ht="25" customHeight="1"/>
    <row r="91" spans="2:6" ht="30" customHeight="1">
      <c r="B91" s="5" t="s">
        <v>1346</v>
      </c>
      <c r="C91" s="6" t="s">
        <v>5</v>
      </c>
      <c r="D91" s="6" t="s">
        <v>1314</v>
      </c>
      <c r="E91" s="6" t="s">
        <v>28</v>
      </c>
      <c r="F91" s="6" t="s">
        <v>1314</v>
      </c>
    </row>
    <row r="92" spans="2:6" ht="15" customHeight="1">
      <c r="B92" s="16" t="s">
        <v>201</v>
      </c>
      <c r="C92" s="8">
        <v>20</v>
      </c>
      <c r="D92" s="26">
        <v>0.21978021978021978</v>
      </c>
      <c r="E92" s="8">
        <v>18</v>
      </c>
      <c r="F92" s="26">
        <v>0.2608695652173913</v>
      </c>
    </row>
    <row r="93" spans="2:6" ht="15" customHeight="1">
      <c r="B93" s="16" t="s">
        <v>189</v>
      </c>
      <c r="C93" s="8">
        <v>14</v>
      </c>
      <c r="D93" s="26">
        <v>0.15384615384615385</v>
      </c>
      <c r="E93" s="8">
        <v>8</v>
      </c>
      <c r="F93" s="26">
        <v>0.11594202898550725</v>
      </c>
    </row>
    <row r="94" spans="2:6" ht="15" customHeight="1">
      <c r="B94" s="16" t="s">
        <v>237</v>
      </c>
      <c r="C94" s="8">
        <v>5</v>
      </c>
      <c r="D94" s="26">
        <v>0.054945054945054944</v>
      </c>
      <c r="E94" s="8">
        <v>5</v>
      </c>
      <c r="F94" s="26">
        <v>0.072463768115942032</v>
      </c>
    </row>
    <row r="95" spans="2:6" ht="15" customHeight="1">
      <c r="B95" s="16" t="s">
        <v>401</v>
      </c>
      <c r="C95" s="8">
        <v>2</v>
      </c>
      <c r="D95" s="26">
        <v>0.02197802197802198</v>
      </c>
      <c r="E95" s="8">
        <v>2</v>
      </c>
      <c r="F95" s="26">
        <v>0.028985507246376812</v>
      </c>
    </row>
    <row r="96" spans="2:6" ht="15" customHeight="1">
      <c r="B96" s="16" t="s">
        <v>436</v>
      </c>
      <c r="C96" s="8">
        <v>2</v>
      </c>
      <c r="D96" s="26">
        <v>0.02197802197802198</v>
      </c>
      <c r="E96" s="8">
        <v>2</v>
      </c>
      <c r="F96" s="26">
        <v>0.028985507246376812</v>
      </c>
    </row>
    <row r="97" spans="2:8" ht="15" customHeight="1">
      <c r="B97" s="16" t="s">
        <v>492</v>
      </c>
      <c r="C97" s="8">
        <v>1</v>
      </c>
      <c r="D97" s="26">
        <v>0.01098901098901099</v>
      </c>
      <c r="E97" s="8">
        <v>1</v>
      </c>
      <c r="F97" s="26">
        <v>0.014492753623188406</v>
      </c>
    </row>
    <row r="98" spans="2:6" ht="15" customHeight="1">
      <c r="B98" s="16" t="s">
        <v>448</v>
      </c>
      <c r="C98" s="8">
        <v>1</v>
      </c>
      <c r="D98" s="26">
        <v>0.01098901098901099</v>
      </c>
      <c r="E98" s="8">
        <v>1</v>
      </c>
      <c r="F98" s="26">
        <v>0.014492753623188406</v>
      </c>
    </row>
    <row r="99" spans="2:6" ht="15" customHeight="1">
      <c r="B99" s="16" t="s">
        <v>359</v>
      </c>
      <c r="C99" s="8">
        <v>1</v>
      </c>
      <c r="D99" s="26">
        <v>0.01098901098901099</v>
      </c>
      <c r="E99" s="8">
        <v>1</v>
      </c>
      <c r="F99" s="26">
        <v>0.014492753623188406</v>
      </c>
    </row>
    <row r="100" spans="2:6" ht="15" customHeight="1">
      <c r="B100" s="16" t="s">
        <v>563</v>
      </c>
      <c r="C100" s="8">
        <v>1</v>
      </c>
      <c r="D100" s="26">
        <v>0.01098901098901099</v>
      </c>
      <c r="E100" s="8">
        <v>1</v>
      </c>
      <c r="F100" s="26">
        <v>0.014492753623188406</v>
      </c>
    </row>
    <row r="101" spans="2:6" ht="15" customHeight="1">
      <c r="B101" s="16" t="s">
        <v>875</v>
      </c>
      <c r="C101" s="8">
        <v>2</v>
      </c>
      <c r="D101" s="26">
        <v>0.02197802197802198</v>
      </c>
      <c r="E101" s="8">
        <v>1</v>
      </c>
      <c r="F101" s="26">
        <v>0.014492753623188406</v>
      </c>
    </row>
    <row r="102" spans="2:6" ht="15" customHeight="1">
      <c r="B102" s="16" t="s">
        <v>886</v>
      </c>
      <c r="C102" s="8">
        <v>2</v>
      </c>
      <c r="D102" s="26">
        <v>0.02197802197802198</v>
      </c>
      <c r="E102" s="8">
        <v>1</v>
      </c>
      <c r="F102" s="26">
        <v>0.014492753623188406</v>
      </c>
    </row>
    <row r="103" spans="2:6" ht="15" customHeight="1">
      <c r="B103" s="16" t="s">
        <v>370</v>
      </c>
      <c r="C103" s="8">
        <v>1</v>
      </c>
      <c r="D103" s="26">
        <v>0.01098901098901099</v>
      </c>
      <c r="E103" s="8">
        <v>1</v>
      </c>
      <c r="F103" s="26">
        <v>0.014492753623188406</v>
      </c>
    </row>
    <row r="104" spans="2:6" ht="15" customHeight="1">
      <c r="B104" s="16" t="s">
        <v>764</v>
      </c>
      <c r="C104" s="8">
        <v>1</v>
      </c>
      <c r="D104" s="26">
        <v>0.01098901098901099</v>
      </c>
      <c r="E104" s="8">
        <v>1</v>
      </c>
      <c r="F104" s="26">
        <v>0.014492753623188406</v>
      </c>
    </row>
    <row r="105" spans="2:6" ht="15" customHeight="1">
      <c r="B105" s="16" t="s">
        <v>655</v>
      </c>
      <c r="C105" s="8">
        <v>1</v>
      </c>
      <c r="D105" s="26">
        <v>0.01098901098901099</v>
      </c>
      <c r="E105" s="8">
        <v>1</v>
      </c>
      <c r="F105" s="26">
        <v>0.014492753623188406</v>
      </c>
    </row>
    <row r="106" spans="2:6" ht="15" customHeight="1">
      <c r="B106" s="16" t="s">
        <v>257</v>
      </c>
      <c r="C106" s="8">
        <v>3</v>
      </c>
      <c r="D106" s="26">
        <v>0.032967032967032968</v>
      </c>
      <c r="E106" s="8">
        <v>1</v>
      </c>
      <c r="F106" s="26">
        <v>0.014492753623188406</v>
      </c>
    </row>
    <row r="107" spans="2:6" ht="15" customHeight="1">
      <c r="B107" s="16" t="s">
        <v>1062</v>
      </c>
      <c r="C107" s="8">
        <v>1</v>
      </c>
      <c r="D107" s="26">
        <v>0.01098901098901099</v>
      </c>
      <c r="E107" s="8">
        <v>1</v>
      </c>
      <c r="F107" s="26">
        <v>0.014492753623188406</v>
      </c>
    </row>
    <row r="108" spans="2:6" ht="15" customHeight="1">
      <c r="B108" s="16" t="s">
        <v>872</v>
      </c>
      <c r="C108" s="8">
        <v>2</v>
      </c>
      <c r="D108" s="26">
        <v>0.02197802197802198</v>
      </c>
      <c r="E108" s="8">
        <v>1</v>
      </c>
      <c r="F108" s="26">
        <v>0.014492753623188406</v>
      </c>
    </row>
    <row r="109" spans="2:6" ht="15" customHeight="1">
      <c r="B109" s="16" t="s">
        <v>274</v>
      </c>
      <c r="C109" s="8">
        <v>2</v>
      </c>
      <c r="D109" s="26">
        <v>0.02197802197802198</v>
      </c>
      <c r="E109" s="8">
        <v>1</v>
      </c>
      <c r="F109" s="26">
        <v>0.014492753623188406</v>
      </c>
    </row>
    <row r="110" spans="2:6" ht="15" customHeight="1">
      <c r="B110" s="16" t="s">
        <v>1023</v>
      </c>
      <c r="C110" s="8">
        <v>1</v>
      </c>
      <c r="D110" s="26">
        <v>0.01098901098901099</v>
      </c>
      <c r="E110" s="8">
        <v>1</v>
      </c>
      <c r="F110" s="26">
        <v>0.014492753623188406</v>
      </c>
    </row>
    <row r="111" spans="2:6" ht="15" customHeight="1">
      <c r="B111" s="16" t="s">
        <v>558</v>
      </c>
      <c r="C111" s="8">
        <v>6</v>
      </c>
      <c r="D111" s="26">
        <v>0.065934065934065936</v>
      </c>
      <c r="E111" s="8">
        <v>1</v>
      </c>
      <c r="F111" s="26">
        <v>0.014492753623188406</v>
      </c>
    </row>
    <row r="112" spans="2:6" ht="15" customHeight="1">
      <c r="B112" s="16" t="s">
        <v>940</v>
      </c>
      <c r="C112" s="8">
        <v>1</v>
      </c>
      <c r="D112" s="26">
        <v>0.01098901098901099</v>
      </c>
      <c r="E112" s="8">
        <v>1</v>
      </c>
      <c r="F112" s="26">
        <v>0.014492753623188406</v>
      </c>
    </row>
    <row r="113" spans="2:6" ht="15" customHeight="1">
      <c r="B113" s="16" t="s">
        <v>1028</v>
      </c>
      <c r="C113" s="8">
        <v>1</v>
      </c>
      <c r="D113" s="26">
        <v>0.01098901098901099</v>
      </c>
      <c r="E113" s="8">
        <v>1</v>
      </c>
      <c r="F113" s="26">
        <v>0.014492753623188406</v>
      </c>
    </row>
    <row r="114" spans="2:6" ht="15" customHeight="1">
      <c r="B114" s="16" t="s">
        <v>775</v>
      </c>
      <c r="C114" s="8">
        <v>1</v>
      </c>
      <c r="D114" s="26">
        <v>0.01098901098901099</v>
      </c>
      <c r="E114" s="8">
        <v>1</v>
      </c>
      <c r="F114" s="26">
        <v>0.014492753623188406</v>
      </c>
    </row>
    <row r="115" spans="2:6" ht="15" customHeight="1">
      <c r="B115" s="16" t="s">
        <v>945</v>
      </c>
      <c r="C115" s="8">
        <v>1</v>
      </c>
      <c r="D115" s="26">
        <v>0.01098901098901099</v>
      </c>
      <c r="E115" s="8">
        <v>1</v>
      </c>
      <c r="F115" s="26">
        <v>0.014492753623188406</v>
      </c>
    </row>
    <row r="116" spans="2:6" ht="15" customHeight="1">
      <c r="B116" s="16" t="s">
        <v>386</v>
      </c>
      <c r="C116" s="8">
        <v>1</v>
      </c>
      <c r="D116" s="26">
        <v>0.01098901098901099</v>
      </c>
      <c r="E116" s="8">
        <v>1</v>
      </c>
      <c r="F116" s="26">
        <v>0.014492753623188406</v>
      </c>
    </row>
    <row r="117" spans="2:6" ht="15" customHeight="1">
      <c r="B117" s="16" t="s">
        <v>934</v>
      </c>
      <c r="C117" s="8">
        <v>1</v>
      </c>
      <c r="D117" s="26">
        <v>0.01098901098901099</v>
      </c>
      <c r="E117" s="8">
        <v>1</v>
      </c>
      <c r="F117" s="26">
        <v>0.014492753623188406</v>
      </c>
    </row>
    <row r="118" spans="2:6" ht="15" customHeight="1">
      <c r="B118" s="16" t="s">
        <v>957</v>
      </c>
      <c r="C118" s="8">
        <v>1</v>
      </c>
      <c r="D118" s="26">
        <v>0.01098901098901099</v>
      </c>
      <c r="E118" s="8">
        <v>1</v>
      </c>
      <c r="F118" s="26">
        <v>0.014492753623188406</v>
      </c>
    </row>
    <row r="119" spans="2:6" ht="15" customHeight="1">
      <c r="B119" s="16" t="s">
        <v>416</v>
      </c>
      <c r="C119" s="8">
        <v>1</v>
      </c>
      <c r="D119" s="26">
        <v>0.01098901098901099</v>
      </c>
      <c r="E119" s="8">
        <v>1</v>
      </c>
      <c r="F119" s="26">
        <v>0.014492753623188406</v>
      </c>
    </row>
    <row r="120" spans="2:6" ht="15" customHeight="1">
      <c r="B120" s="16" t="s">
        <v>977</v>
      </c>
      <c r="C120" s="8">
        <v>1</v>
      </c>
      <c r="D120" s="26">
        <v>0.01098901098901099</v>
      </c>
      <c r="E120" s="8">
        <v>1</v>
      </c>
      <c r="F120" s="26">
        <v>0.014492753623188406</v>
      </c>
    </row>
    <row r="121" spans="2:6" ht="15" customHeight="1">
      <c r="B121" s="16" t="s">
        <v>516</v>
      </c>
      <c r="C121" s="8">
        <v>1</v>
      </c>
      <c r="D121" s="26">
        <v>0.01098901098901099</v>
      </c>
      <c r="E121" s="8">
        <v>1</v>
      </c>
      <c r="F121" s="26">
        <v>0.014492753623188406</v>
      </c>
    </row>
    <row r="122" spans="2:6" ht="15" customHeight="1">
      <c r="B122" s="16" t="s">
        <v>962</v>
      </c>
      <c r="C122" s="8">
        <v>1</v>
      </c>
      <c r="D122" s="26">
        <v>0.01098901098901099</v>
      </c>
      <c r="E122" s="8">
        <v>1</v>
      </c>
      <c r="F122" s="26">
        <v>0.014492753623188406</v>
      </c>
    </row>
    <row r="123" spans="2:6" ht="15" customHeight="1">
      <c r="B123" s="16" t="s">
        <v>813</v>
      </c>
      <c r="C123" s="8">
        <v>1</v>
      </c>
      <c r="D123" s="26">
        <v>0.01098901098901099</v>
      </c>
      <c r="E123" s="8">
        <v>1</v>
      </c>
      <c r="F123" s="26">
        <v>0.014492753623188406</v>
      </c>
    </row>
    <row r="124" spans="2:6" ht="15" customHeight="1">
      <c r="B124" s="16" t="s">
        <v>910</v>
      </c>
      <c r="C124" s="8">
        <v>2</v>
      </c>
      <c r="D124" s="26">
        <v>0.02197802197802198</v>
      </c>
      <c r="E124" s="8">
        <v>1</v>
      </c>
      <c r="F124" s="26">
        <v>0.014492753623188406</v>
      </c>
    </row>
    <row r="125" spans="2:6" ht="15" customHeight="1">
      <c r="B125" s="16" t="s">
        <v>1137</v>
      </c>
      <c r="C125" s="8">
        <v>1</v>
      </c>
      <c r="D125" s="26">
        <v>0.01098901098901099</v>
      </c>
      <c r="E125" s="8">
        <v>1</v>
      </c>
      <c r="F125" s="26">
        <v>0.014492753623188406</v>
      </c>
    </row>
    <row r="126" spans="2:6" ht="15" customHeight="1">
      <c r="B126" s="16" t="s">
        <v>330</v>
      </c>
      <c r="C126" s="8">
        <v>1</v>
      </c>
      <c r="D126" s="26">
        <v>0.01098901098901099</v>
      </c>
      <c r="E126" s="8">
        <v>1</v>
      </c>
      <c r="F126" s="26">
        <v>0.014492753623188406</v>
      </c>
    </row>
    <row r="127" spans="2:6" ht="15" customHeight="1">
      <c r="B127" s="16" t="s">
        <v>889</v>
      </c>
      <c r="C127" s="8">
        <v>2</v>
      </c>
      <c r="D127" s="26">
        <v>0.02197802197802198</v>
      </c>
      <c r="E127" s="8">
        <v>1</v>
      </c>
      <c r="F127" s="26">
        <v>0.014492753623188406</v>
      </c>
    </row>
    <row r="128" spans="2:6" ht="15" customHeight="1">
      <c r="B128" s="16" t="s">
        <v>969</v>
      </c>
      <c r="C128" s="8">
        <v>1</v>
      </c>
      <c r="D128" s="26">
        <v>0.01098901098901099</v>
      </c>
      <c r="E128" s="8">
        <v>1</v>
      </c>
      <c r="F128" s="26">
        <v>0.014492753623188406</v>
      </c>
    </row>
    <row r="129" spans="2:6" ht="15" customHeight="1">
      <c r="B129" s="16" t="s">
        <v>882</v>
      </c>
      <c r="C129" s="8">
        <v>2</v>
      </c>
      <c r="D129" s="26">
        <v>0.02197802197802198</v>
      </c>
      <c r="E129" s="8">
        <v>1</v>
      </c>
      <c r="F129" s="26">
        <v>0.014492753623188406</v>
      </c>
    </row>
    <row r="130" spans="2:6" ht="15" customHeight="1">
      <c r="B130" s="16" t="s">
        <v>197</v>
      </c>
      <c r="C130" s="8">
        <v>1</v>
      </c>
      <c r="D130" s="26">
        <v>0.01098901098901099</v>
      </c>
      <c r="E130" s="8">
        <v>1</v>
      </c>
      <c r="F130" s="26">
        <v>0.014492753623188406</v>
      </c>
    </row>
    <row r="131" spans="2:2" ht="12.75">
      <c r="B131" s="25" t="s">
        <v>1347</v>
      </c>
    </row>
  </sheetData>
  <hyperlinks>
    <hyperlink ref="C1" location="Содержание!B4" display="К содержанию"/>
  </hyperlinks>
  <pageMargins left="0.75" right="0.75" top="1" bottom="1" header="0.5" footer="0.5"/>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c572b26-6f9e-43c1-af1b-652f11018473}">
  <dimension ref="B1:C127"/>
  <sheetViews>
    <sheetView showGridLines="0" workbookViewId="0" topLeftCell="A1"/>
  </sheetViews>
  <sheetFormatPr defaultRowHeight="12.75"/>
  <cols>
    <col min="1" max="1" width="4.714285714285714" customWidth="1"/>
    <col min="2" max="2" width="22.714285714285715" customWidth="1"/>
    <col min="3" max="3" width="15.857142857142858" customWidth="1"/>
  </cols>
  <sheetData>
    <row r="1" spans="2:3" s="1" customFormat="1" ht="30" customHeight="1">
      <c r="B1" s="1" t="s">
        <v>0</v>
      </c>
      <c r="C1" s="4" t="s">
        <v>2</v>
      </c>
    </row>
    <row r="4" spans="2:2" ht="12.75">
      <c r="B4" s="2" t="s">
        <v>30</v>
      </c>
    </row>
    <row r="6" spans="2:2" ht="14" customHeight="1"/>
    <row r="7" ht="14" customHeight="1"/>
    <row r="8" ht="14" customHeight="1"/>
    <row r="9" ht="14" customHeight="1"/>
    <row r="10" ht="14" customHeight="1"/>
    <row r="11" ht="14" customHeight="1"/>
    <row r="12" ht="14" customHeight="1"/>
    <row r="13" ht="14" customHeight="1"/>
    <row r="14" ht="14" customHeight="1"/>
    <row r="15" ht="14" customHeight="1"/>
    <row r="16" ht="14" customHeight="1"/>
    <row r="17" ht="14" customHeight="1"/>
    <row r="18" ht="14" customHeight="1"/>
    <row r="19" ht="14" customHeight="1"/>
    <row r="20" ht="14" customHeight="1"/>
    <row r="21" ht="14" customHeight="1"/>
    <row r="22" ht="14" customHeight="1"/>
    <row r="23" ht="14" customHeight="1"/>
    <row r="24" spans="2:3" ht="30" customHeight="1">
      <c r="B24" s="5" t="s">
        <v>30</v>
      </c>
      <c r="C24" s="5" t="s">
        <v>15</v>
      </c>
    </row>
    <row r="25" spans="2:3" ht="15" customHeight="1">
      <c r="B25" s="17" t="s">
        <v>1545</v>
      </c>
      <c r="C25" s="17">
        <v>13</v>
      </c>
    </row>
    <row r="26" spans="2:3" ht="15" customHeight="1">
      <c r="B26" s="17" t="s">
        <v>1546</v>
      </c>
      <c r="C26" s="17">
        <v>12</v>
      </c>
    </row>
    <row r="27" spans="2:3" ht="15" customHeight="1">
      <c r="B27" s="17" t="s">
        <v>1360</v>
      </c>
      <c r="C27" s="17">
        <v>10</v>
      </c>
    </row>
    <row r="28" spans="2:3" ht="15" customHeight="1">
      <c r="B28" s="17" t="s">
        <v>1547</v>
      </c>
      <c r="C28" s="17">
        <v>10</v>
      </c>
    </row>
    <row r="29" spans="2:3" ht="15" customHeight="1">
      <c r="B29" s="17" t="s">
        <v>1548</v>
      </c>
      <c r="C29" s="17">
        <v>8</v>
      </c>
    </row>
    <row r="30" spans="2:3" ht="15" customHeight="1">
      <c r="B30" s="17" t="s">
        <v>1549</v>
      </c>
      <c r="C30" s="17">
        <v>6</v>
      </c>
    </row>
    <row r="31" spans="2:3" ht="15" customHeight="1">
      <c r="B31" s="17" t="s">
        <v>1550</v>
      </c>
      <c r="C31" s="17">
        <v>6</v>
      </c>
    </row>
    <row r="32" spans="2:3" ht="15" customHeight="1">
      <c r="B32" s="17" t="s">
        <v>1551</v>
      </c>
      <c r="C32" s="17">
        <v>6</v>
      </c>
    </row>
    <row r="33" spans="2:3" ht="15" customHeight="1">
      <c r="B33" s="17" t="s">
        <v>1552</v>
      </c>
      <c r="C33" s="17">
        <v>5</v>
      </c>
    </row>
    <row r="34" spans="2:3" ht="15" customHeight="1">
      <c r="B34" s="17" t="s">
        <v>1553</v>
      </c>
      <c r="C34" s="17">
        <v>5</v>
      </c>
    </row>
    <row r="35" spans="2:3" ht="15" customHeight="1">
      <c r="B35" s="17" t="s">
        <v>1359</v>
      </c>
      <c r="C35" s="17">
        <v>4</v>
      </c>
    </row>
    <row r="36" spans="2:3" ht="15" customHeight="1">
      <c r="B36" s="17" t="s">
        <v>1554</v>
      </c>
      <c r="C36" s="17">
        <v>4</v>
      </c>
    </row>
    <row r="37" spans="2:3" ht="15" customHeight="1">
      <c r="B37" s="17" t="s">
        <v>1555</v>
      </c>
      <c r="C37" s="17">
        <v>4</v>
      </c>
    </row>
    <row r="38" spans="2:3" ht="15" customHeight="1">
      <c r="B38" s="17" t="s">
        <v>1556</v>
      </c>
      <c r="C38" s="17">
        <v>4</v>
      </c>
    </row>
    <row r="39" spans="2:3" ht="15" customHeight="1">
      <c r="B39" s="17" t="s">
        <v>1557</v>
      </c>
      <c r="C39" s="17">
        <v>4</v>
      </c>
    </row>
    <row r="40" spans="2:3" ht="15" customHeight="1">
      <c r="B40" s="17" t="s">
        <v>1558</v>
      </c>
      <c r="C40" s="17">
        <v>4</v>
      </c>
    </row>
    <row r="41" spans="2:3" ht="15" customHeight="1">
      <c r="B41" s="17" t="s">
        <v>1559</v>
      </c>
      <c r="C41" s="17">
        <v>4</v>
      </c>
    </row>
    <row r="42" spans="2:3" ht="15" customHeight="1">
      <c r="B42" s="17" t="s">
        <v>1560</v>
      </c>
      <c r="C42" s="17">
        <v>3</v>
      </c>
    </row>
    <row r="43" spans="2:3" ht="15" customHeight="1">
      <c r="B43" s="17" t="s">
        <v>1561</v>
      </c>
      <c r="C43" s="17">
        <v>3</v>
      </c>
    </row>
    <row r="44" spans="2:3" ht="15" customHeight="1">
      <c r="B44" s="17" t="s">
        <v>1562</v>
      </c>
      <c r="C44" s="17">
        <v>3</v>
      </c>
    </row>
    <row r="45" spans="2:3" ht="15" customHeight="1">
      <c r="B45" s="17" t="s">
        <v>1563</v>
      </c>
      <c r="C45" s="17">
        <v>3</v>
      </c>
    </row>
    <row r="46" spans="2:3" ht="15" customHeight="1">
      <c r="B46" s="17" t="s">
        <v>1564</v>
      </c>
      <c r="C46" s="17">
        <v>3</v>
      </c>
    </row>
    <row r="47" spans="2:3" ht="15" customHeight="1">
      <c r="B47" s="17" t="s">
        <v>1565</v>
      </c>
      <c r="C47" s="17">
        <v>3</v>
      </c>
    </row>
    <row r="48" spans="2:3" ht="15" customHeight="1">
      <c r="B48" s="17" t="s">
        <v>1566</v>
      </c>
      <c r="C48" s="17">
        <v>3</v>
      </c>
    </row>
    <row r="49" spans="2:3" ht="15" customHeight="1">
      <c r="B49" s="17" t="s">
        <v>1567</v>
      </c>
      <c r="C49" s="17">
        <v>2</v>
      </c>
    </row>
    <row r="50" spans="2:3" ht="15" customHeight="1">
      <c r="B50" s="17" t="s">
        <v>1568</v>
      </c>
      <c r="C50" s="17">
        <v>2</v>
      </c>
    </row>
    <row r="51" spans="2:3" ht="15" customHeight="1">
      <c r="B51" s="17" t="s">
        <v>1569</v>
      </c>
      <c r="C51" s="17">
        <v>2</v>
      </c>
    </row>
    <row r="52" spans="2:3" ht="15" customHeight="1">
      <c r="B52" s="17" t="s">
        <v>1570</v>
      </c>
      <c r="C52" s="17">
        <v>2</v>
      </c>
    </row>
    <row r="53" spans="2:3" ht="15" customHeight="1">
      <c r="B53" s="17" t="s">
        <v>1571</v>
      </c>
      <c r="C53" s="17">
        <v>2</v>
      </c>
    </row>
    <row r="54" spans="2:3" ht="15" customHeight="1">
      <c r="B54" s="17" t="s">
        <v>1572</v>
      </c>
      <c r="C54" s="17">
        <v>2</v>
      </c>
    </row>
    <row r="55" spans="2:3" ht="15" customHeight="1">
      <c r="B55" s="17" t="s">
        <v>1573</v>
      </c>
      <c r="C55" s="17">
        <v>2</v>
      </c>
    </row>
    <row r="56" spans="2:3" ht="15" customHeight="1">
      <c r="B56" s="17" t="s">
        <v>1574</v>
      </c>
      <c r="C56" s="17">
        <v>2</v>
      </c>
    </row>
    <row r="57" spans="2:3" ht="15" customHeight="1">
      <c r="B57" s="17" t="s">
        <v>1575</v>
      </c>
      <c r="C57" s="17">
        <v>2</v>
      </c>
    </row>
    <row r="58" spans="2:3" ht="15" customHeight="1">
      <c r="B58" s="17" t="s">
        <v>1361</v>
      </c>
      <c r="C58" s="17">
        <v>2</v>
      </c>
    </row>
    <row r="59" spans="2:3" ht="15" customHeight="1">
      <c r="B59" s="17" t="s">
        <v>1576</v>
      </c>
      <c r="C59" s="17">
        <v>2</v>
      </c>
    </row>
    <row r="60" spans="2:3" ht="15" customHeight="1">
      <c r="B60" s="17" t="s">
        <v>1577</v>
      </c>
      <c r="C60" s="17">
        <v>2</v>
      </c>
    </row>
    <row r="61" spans="2:3" ht="15" customHeight="1">
      <c r="B61" s="17" t="s">
        <v>1578</v>
      </c>
      <c r="C61" s="17">
        <v>2</v>
      </c>
    </row>
    <row r="62" spans="2:3" ht="15" customHeight="1">
      <c r="B62" s="17" t="s">
        <v>1579</v>
      </c>
      <c r="C62" s="17">
        <v>2</v>
      </c>
    </row>
    <row r="63" spans="2:3" ht="15" customHeight="1">
      <c r="B63" s="17" t="s">
        <v>1580</v>
      </c>
      <c r="C63" s="17">
        <v>2</v>
      </c>
    </row>
    <row r="64" spans="2:3" ht="15" customHeight="1">
      <c r="B64" s="17" t="s">
        <v>1581</v>
      </c>
      <c r="C64" s="17">
        <v>2</v>
      </c>
    </row>
    <row r="65" spans="2:3" ht="15" customHeight="1">
      <c r="B65" s="17" t="s">
        <v>1582</v>
      </c>
      <c r="C65" s="17">
        <v>2</v>
      </c>
    </row>
    <row r="66" spans="2:3" ht="15" customHeight="1">
      <c r="B66" s="17" t="s">
        <v>1583</v>
      </c>
      <c r="C66" s="17">
        <v>2</v>
      </c>
    </row>
    <row r="67" spans="2:3" ht="15" customHeight="1">
      <c r="B67" s="17" t="s">
        <v>1584</v>
      </c>
      <c r="C67" s="17">
        <v>2</v>
      </c>
    </row>
    <row r="68" spans="2:3" ht="15" customHeight="1">
      <c r="B68" s="17" t="s">
        <v>1585</v>
      </c>
      <c r="C68" s="17">
        <v>1</v>
      </c>
    </row>
    <row r="69" spans="2:3" ht="15" customHeight="1">
      <c r="B69" s="17" t="s">
        <v>1586</v>
      </c>
      <c r="C69" s="17">
        <v>1</v>
      </c>
    </row>
    <row r="70" spans="2:3" ht="15" customHeight="1">
      <c r="B70" s="17" t="s">
        <v>1587</v>
      </c>
      <c r="C70" s="17">
        <v>1</v>
      </c>
    </row>
    <row r="71" spans="2:3" ht="15" customHeight="1">
      <c r="B71" s="17" t="s">
        <v>1588</v>
      </c>
      <c r="C71" s="17">
        <v>1</v>
      </c>
    </row>
    <row r="72" spans="2:3" ht="15" customHeight="1">
      <c r="B72" s="17" t="s">
        <v>1589</v>
      </c>
      <c r="C72" s="17">
        <v>1</v>
      </c>
    </row>
    <row r="73" spans="2:3" ht="15" customHeight="1">
      <c r="B73" s="17" t="s">
        <v>1590</v>
      </c>
      <c r="C73" s="17">
        <v>1</v>
      </c>
    </row>
    <row r="74" spans="2:3" ht="15" customHeight="1">
      <c r="B74" s="17" t="s">
        <v>1591</v>
      </c>
      <c r="C74" s="17">
        <v>1</v>
      </c>
    </row>
    <row r="75" spans="2:3" ht="15" customHeight="1">
      <c r="B75" s="17" t="s">
        <v>1592</v>
      </c>
      <c r="C75" s="17">
        <v>1</v>
      </c>
    </row>
    <row r="76" spans="2:3" ht="15" customHeight="1">
      <c r="B76" s="17" t="s">
        <v>1593</v>
      </c>
      <c r="C76" s="17">
        <v>1</v>
      </c>
    </row>
    <row r="77" spans="2:3" ht="15" customHeight="1">
      <c r="B77" s="17" t="s">
        <v>1594</v>
      </c>
      <c r="C77" s="17">
        <v>1</v>
      </c>
    </row>
    <row r="78" spans="2:3" ht="15" customHeight="1">
      <c r="B78" s="17" t="s">
        <v>1595</v>
      </c>
      <c r="C78" s="17">
        <v>1</v>
      </c>
    </row>
    <row r="79" spans="2:3" ht="15" customHeight="1">
      <c r="B79" s="17" t="s">
        <v>1596</v>
      </c>
      <c r="C79" s="17">
        <v>1</v>
      </c>
    </row>
    <row r="80" spans="2:3" ht="15" customHeight="1">
      <c r="B80" s="17" t="s">
        <v>1597</v>
      </c>
      <c r="C80" s="17">
        <v>1</v>
      </c>
    </row>
    <row r="81" spans="2:3" ht="15" customHeight="1">
      <c r="B81" s="17" t="s">
        <v>1598</v>
      </c>
      <c r="C81" s="17">
        <v>1</v>
      </c>
    </row>
    <row r="82" spans="2:3" ht="15" customHeight="1">
      <c r="B82" s="17" t="s">
        <v>1363</v>
      </c>
      <c r="C82" s="17">
        <v>1</v>
      </c>
    </row>
    <row r="83" spans="2:3" ht="15" customHeight="1">
      <c r="B83" s="17" t="s">
        <v>1599</v>
      </c>
      <c r="C83" s="17">
        <v>1</v>
      </c>
    </row>
    <row r="84" spans="2:3" ht="15" customHeight="1">
      <c r="B84" s="17" t="s">
        <v>1600</v>
      </c>
      <c r="C84" s="17">
        <v>1</v>
      </c>
    </row>
    <row r="85" spans="2:3" ht="15" customHeight="1">
      <c r="B85" s="17" t="s">
        <v>1601</v>
      </c>
      <c r="C85" s="17">
        <v>1</v>
      </c>
    </row>
    <row r="86" spans="2:3" ht="15" customHeight="1">
      <c r="B86" s="17" t="s">
        <v>1602</v>
      </c>
      <c r="C86" s="17">
        <v>1</v>
      </c>
    </row>
    <row r="87" spans="2:3" ht="15" customHeight="1">
      <c r="B87" s="17" t="s">
        <v>1603</v>
      </c>
      <c r="C87" s="17">
        <v>1</v>
      </c>
    </row>
    <row r="88" spans="2:3" ht="15" customHeight="1">
      <c r="B88" s="17" t="s">
        <v>1604</v>
      </c>
      <c r="C88" s="17">
        <v>1</v>
      </c>
    </row>
    <row r="89" spans="2:3" ht="15" customHeight="1">
      <c r="B89" s="17" t="s">
        <v>1605</v>
      </c>
      <c r="C89" s="17">
        <v>1</v>
      </c>
    </row>
    <row r="90" spans="2:3" ht="15" customHeight="1">
      <c r="B90" s="17" t="s">
        <v>1606</v>
      </c>
      <c r="C90" s="17">
        <v>1</v>
      </c>
    </row>
    <row r="91" spans="2:3" ht="15" customHeight="1">
      <c r="B91" s="17" t="s">
        <v>1358</v>
      </c>
      <c r="C91" s="17">
        <v>1</v>
      </c>
    </row>
    <row r="92" spans="2:3" ht="15" customHeight="1">
      <c r="B92" s="17" t="s">
        <v>1607</v>
      </c>
      <c r="C92" s="17">
        <v>1</v>
      </c>
    </row>
    <row r="93" spans="2:3" ht="15" customHeight="1">
      <c r="B93" s="17" t="s">
        <v>1608</v>
      </c>
      <c r="C93" s="17">
        <v>1</v>
      </c>
    </row>
    <row r="94" spans="2:3" ht="15" customHeight="1">
      <c r="B94" s="17" t="s">
        <v>1609</v>
      </c>
      <c r="C94" s="17">
        <v>1</v>
      </c>
    </row>
    <row r="95" spans="2:3" ht="15" customHeight="1">
      <c r="B95" s="17" t="s">
        <v>1610</v>
      </c>
      <c r="C95" s="17">
        <v>1</v>
      </c>
    </row>
    <row r="96" spans="2:3" ht="15" customHeight="1">
      <c r="B96" s="17" t="s">
        <v>1611</v>
      </c>
      <c r="C96" s="17">
        <v>1</v>
      </c>
    </row>
    <row r="97" spans="2:3" ht="15" customHeight="1">
      <c r="B97" s="17" t="s">
        <v>1612</v>
      </c>
      <c r="C97" s="17">
        <v>1</v>
      </c>
    </row>
    <row r="98" spans="2:3" ht="15" customHeight="1">
      <c r="B98" s="17" t="s">
        <v>1613</v>
      </c>
      <c r="C98" s="17">
        <v>1</v>
      </c>
    </row>
    <row r="99" spans="2:3" ht="15" customHeight="1">
      <c r="B99" s="17" t="s">
        <v>1614</v>
      </c>
      <c r="C99" s="17">
        <v>1</v>
      </c>
    </row>
    <row r="100" spans="2:3" ht="15" customHeight="1">
      <c r="B100" s="17" t="s">
        <v>1615</v>
      </c>
      <c r="C100" s="17">
        <v>1</v>
      </c>
    </row>
    <row r="101" spans="2:3" ht="15" customHeight="1">
      <c r="B101" s="17" t="s">
        <v>1616</v>
      </c>
      <c r="C101" s="17">
        <v>1</v>
      </c>
    </row>
    <row r="102" spans="2:3" ht="15" customHeight="1">
      <c r="B102" s="17" t="s">
        <v>1617</v>
      </c>
      <c r="C102" s="17">
        <v>1</v>
      </c>
    </row>
    <row r="103" spans="2:3" ht="15" customHeight="1">
      <c r="B103" s="17" t="s">
        <v>1618</v>
      </c>
      <c r="C103" s="17">
        <v>1</v>
      </c>
    </row>
    <row r="104" spans="2:3" ht="15" customHeight="1">
      <c r="B104" s="17" t="s">
        <v>1619</v>
      </c>
      <c r="C104" s="17">
        <v>1</v>
      </c>
    </row>
    <row r="105" spans="2:3" ht="15" customHeight="1">
      <c r="B105" s="17" t="s">
        <v>1620</v>
      </c>
      <c r="C105" s="17">
        <v>1</v>
      </c>
    </row>
    <row r="106" spans="2:3" ht="15" customHeight="1">
      <c r="B106" s="17" t="s">
        <v>1621</v>
      </c>
      <c r="C106" s="17">
        <v>1</v>
      </c>
    </row>
    <row r="107" spans="2:3" ht="15" customHeight="1">
      <c r="B107" s="17" t="s">
        <v>1367</v>
      </c>
      <c r="C107" s="17">
        <v>1</v>
      </c>
    </row>
    <row r="108" spans="2:3" ht="15" customHeight="1">
      <c r="B108" s="17" t="s">
        <v>1622</v>
      </c>
      <c r="C108" s="17">
        <v>1</v>
      </c>
    </row>
    <row r="109" spans="2:3" ht="15" customHeight="1">
      <c r="B109" s="17" t="s">
        <v>1623</v>
      </c>
      <c r="C109" s="17">
        <v>1</v>
      </c>
    </row>
    <row r="110" spans="2:3" ht="15" customHeight="1">
      <c r="B110" s="17" t="s">
        <v>1624</v>
      </c>
      <c r="C110" s="17">
        <v>1</v>
      </c>
    </row>
    <row r="111" spans="2:3" ht="15" customHeight="1">
      <c r="B111" s="17" t="s">
        <v>1625</v>
      </c>
      <c r="C111" s="17">
        <v>1</v>
      </c>
    </row>
    <row r="112" spans="2:3" ht="15" customHeight="1">
      <c r="B112" s="17" t="s">
        <v>1626</v>
      </c>
      <c r="C112" s="17">
        <v>1</v>
      </c>
    </row>
    <row r="113" spans="2:3" ht="15" customHeight="1">
      <c r="B113" s="17" t="s">
        <v>1627</v>
      </c>
      <c r="C113" s="17">
        <v>1</v>
      </c>
    </row>
    <row r="114" spans="2:3" ht="15" customHeight="1">
      <c r="B114" s="17" t="s">
        <v>1628</v>
      </c>
      <c r="C114" s="17">
        <v>1</v>
      </c>
    </row>
    <row r="115" spans="2:3" ht="15" customHeight="1">
      <c r="B115" s="17" t="s">
        <v>1629</v>
      </c>
      <c r="C115" s="17">
        <v>1</v>
      </c>
    </row>
    <row r="116" spans="2:3" ht="15" customHeight="1">
      <c r="B116" s="17" t="s">
        <v>1630</v>
      </c>
      <c r="C116" s="17">
        <v>1</v>
      </c>
    </row>
    <row r="117" spans="2:3" ht="15" customHeight="1">
      <c r="B117" s="17" t="s">
        <v>1631</v>
      </c>
      <c r="C117" s="17">
        <v>1</v>
      </c>
    </row>
    <row r="118" spans="2:3" ht="15" customHeight="1">
      <c r="B118" s="17" t="s">
        <v>1632</v>
      </c>
      <c r="C118" s="17">
        <v>1</v>
      </c>
    </row>
    <row r="119" spans="2:3" ht="15" customHeight="1">
      <c r="B119" s="17" t="s">
        <v>1633</v>
      </c>
      <c r="C119" s="17">
        <v>1</v>
      </c>
    </row>
    <row r="120" spans="2:3" ht="15" customHeight="1">
      <c r="B120" s="17" t="s">
        <v>1634</v>
      </c>
      <c r="C120" s="17">
        <v>1</v>
      </c>
    </row>
    <row r="121" spans="2:3" ht="15" customHeight="1">
      <c r="B121" s="17" t="s">
        <v>1635</v>
      </c>
      <c r="C121" s="17">
        <v>1</v>
      </c>
    </row>
    <row r="122" spans="2:3" ht="15" customHeight="1">
      <c r="B122" s="17" t="s">
        <v>1636</v>
      </c>
      <c r="C122" s="17">
        <v>1</v>
      </c>
    </row>
    <row r="123" spans="2:3" ht="15" customHeight="1">
      <c r="B123" s="17" t="s">
        <v>1637</v>
      </c>
      <c r="C123" s="17">
        <v>1</v>
      </c>
    </row>
    <row r="124" spans="2:3" ht="15" customHeight="1">
      <c r="B124" s="17" t="s">
        <v>1638</v>
      </c>
      <c r="C124" s="17">
        <v>1</v>
      </c>
    </row>
    <row r="125" spans="2:3" ht="15" customHeight="1">
      <c r="B125" s="17" t="s">
        <v>1639</v>
      </c>
      <c r="C125" s="17">
        <v>1</v>
      </c>
    </row>
    <row r="126" spans="2:3" ht="15" customHeight="1">
      <c r="B126" s="17" t="s">
        <v>1640</v>
      </c>
      <c r="C126" s="17">
        <v>1</v>
      </c>
    </row>
    <row r="127" spans="2:3" ht="15" customHeight="1">
      <c r="B127" s="17" t="s">
        <v>1641</v>
      </c>
      <c r="C127" s="17">
        <v>1</v>
      </c>
    </row>
  </sheetData>
  <hyperlinks>
    <hyperlink ref="C1" location="Содержание!B4" display="К содержанию"/>
  </hyperlinks>
  <pageMargins left="0.75" right="0.75" top="1" bottom="1" header="0.5" footer="0.5"/>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f5ccfd5-0be8-4fa6-8e97-c502ad909682}">
  <dimension ref="B1:D35"/>
  <sheetViews>
    <sheetView showGridLines="0" workbookViewId="0" topLeftCell="A1"/>
  </sheetViews>
  <sheetFormatPr defaultRowHeight="12.75"/>
  <cols>
    <col min="1" max="1" width="4.714285714285714" customWidth="1"/>
    <col min="2" max="2" width="22.714285714285715" customWidth="1"/>
    <col min="3" max="4" width="15.857142857142858" customWidth="1"/>
  </cols>
  <sheetData>
    <row r="1" spans="2:3" s="1" customFormat="1" ht="30" customHeight="1">
      <c r="B1" s="1" t="s">
        <v>0</v>
      </c>
      <c r="C1" s="4" t="s">
        <v>2</v>
      </c>
    </row>
    <row r="4" spans="2:2" ht="12.75">
      <c r="B4" s="2" t="s">
        <v>40</v>
      </c>
    </row>
    <row r="6" spans="2:2" ht="14" customHeight="1"/>
    <row r="7" ht="14" customHeight="1"/>
    <row r="8" ht="14" customHeight="1"/>
    <row r="9" ht="14" customHeight="1"/>
    <row r="10" ht="14" customHeight="1"/>
    <row r="11" ht="14" customHeight="1"/>
    <row r="12" ht="14" customHeight="1"/>
    <row r="13" ht="14" customHeight="1"/>
    <row r="14" ht="14" customHeight="1"/>
    <row r="15" ht="14" customHeight="1"/>
    <row r="16" ht="14" customHeight="1"/>
    <row r="17" ht="14" customHeight="1"/>
    <row r="18" ht="14" customHeight="1"/>
    <row r="19" ht="14" customHeight="1"/>
    <row r="20" ht="14" customHeight="1"/>
    <row r="21" ht="14" customHeight="1"/>
    <row r="22" ht="14" customHeight="1"/>
    <row r="23" ht="14" customHeight="1"/>
    <row r="24" spans="2:4" ht="30" customHeight="1">
      <c r="B24" s="5" t="s">
        <v>40</v>
      </c>
      <c r="C24" s="5" t="s">
        <v>1357</v>
      </c>
      <c r="D24" s="5" t="s">
        <v>15</v>
      </c>
    </row>
    <row r="25" spans="2:4" ht="15" customHeight="1">
      <c r="B25" s="17" t="s">
        <v>1358</v>
      </c>
      <c r="C25" s="17">
        <v>521</v>
      </c>
      <c r="D25" s="17">
        <v>6</v>
      </c>
    </row>
    <row r="26" spans="2:4" ht="15" customHeight="1">
      <c r="B26" s="17" t="s">
        <v>1359</v>
      </c>
      <c r="C26" s="17">
        <v>343</v>
      </c>
      <c r="D26" s="17">
        <v>3</v>
      </c>
    </row>
    <row r="27" spans="2:4" ht="15" customHeight="1">
      <c r="B27" s="17" t="s">
        <v>1360</v>
      </c>
      <c r="C27" s="17">
        <v>81</v>
      </c>
      <c r="D27" s="17">
        <v>2</v>
      </c>
    </row>
    <row r="28" spans="2:4" ht="15" customHeight="1">
      <c r="B28" s="17" t="s">
        <v>1361</v>
      </c>
      <c r="C28" s="17">
        <v>38</v>
      </c>
      <c r="D28" s="17">
        <v>5</v>
      </c>
    </row>
    <row r="29" spans="2:4" ht="15" customHeight="1">
      <c r="B29" s="17" t="s">
        <v>1362</v>
      </c>
      <c r="C29" s="17">
        <v>15</v>
      </c>
      <c r="D29" s="17">
        <v>1</v>
      </c>
    </row>
    <row r="30" spans="2:4" ht="15" customHeight="1">
      <c r="B30" s="17" t="s">
        <v>1363</v>
      </c>
      <c r="C30" s="17">
        <v>12</v>
      </c>
      <c r="D30" s="17">
        <v>2</v>
      </c>
    </row>
    <row r="31" spans="2:4" ht="15" customHeight="1">
      <c r="B31" s="17" t="s">
        <v>1364</v>
      </c>
      <c r="C31" s="17">
        <v>3</v>
      </c>
      <c r="D31" s="17">
        <v>1</v>
      </c>
    </row>
    <row r="32" spans="2:4" ht="15" customHeight="1">
      <c r="B32" s="17" t="s">
        <v>1365</v>
      </c>
      <c r="C32" s="17">
        <v>3</v>
      </c>
      <c r="D32" s="17">
        <v>2</v>
      </c>
    </row>
    <row r="33" spans="2:4" ht="15" customHeight="1">
      <c r="B33" s="17" t="s">
        <v>1366</v>
      </c>
      <c r="C33" s="17">
        <v>2</v>
      </c>
      <c r="D33" s="17">
        <v>1</v>
      </c>
    </row>
    <row r="34" spans="2:4" ht="15" customHeight="1">
      <c r="B34" s="17" t="s">
        <v>1367</v>
      </c>
      <c r="C34" s="17">
        <v>1</v>
      </c>
      <c r="D34" s="17">
        <v>1</v>
      </c>
    </row>
    <row r="35" spans="2:4" ht="15" customHeight="1">
      <c r="B35" s="17" t="s">
        <v>1368</v>
      </c>
      <c r="C35" s="17">
        <v>1</v>
      </c>
      <c r="D35" s="17">
        <v>1</v>
      </c>
    </row>
  </sheetData>
  <hyperlinks>
    <hyperlink ref="C1" location="Содержание!B4" display="К содержанию"/>
  </hyperlinks>
  <pageMargins left="0.75" right="0.75" top="1" bottom="1" header="0.5" footer="0.5"/>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b21be03-21bb-40f1-bd7c-55bba1f8c73e}">
  <dimension ref="B1:C106"/>
  <sheetViews>
    <sheetView showGridLines="0" workbookViewId="0" topLeftCell="A1"/>
  </sheetViews>
  <sheetFormatPr defaultRowHeight="12.75"/>
  <cols>
    <col min="1" max="1" width="4.714285714285714" customWidth="1"/>
    <col min="2" max="2" width="22.714285714285715" customWidth="1"/>
    <col min="3" max="3" width="25.714285714285715" customWidth="1"/>
    <col min="4" max="9" width="14.714285714285714" customWidth="1"/>
  </cols>
  <sheetData>
    <row r="1" spans="2:3" s="1" customFormat="1" ht="30" customHeight="1">
      <c r="B1" s="1" t="s">
        <v>0</v>
      </c>
      <c r="C1" s="4" t="s">
        <v>2</v>
      </c>
    </row>
    <row r="4" spans="2:2" ht="12.75">
      <c r="B4" s="2" t="s">
        <v>41</v>
      </c>
    </row>
    <row r="6" spans="2:3" ht="30" customHeight="1">
      <c r="B6" s="5" t="s">
        <v>41</v>
      </c>
      <c r="C6" s="6" t="s">
        <v>5</v>
      </c>
    </row>
    <row r="7" spans="2:3" ht="15" customHeight="1">
      <c r="B7" s="16" t="s">
        <v>1369</v>
      </c>
      <c r="C7" s="8">
        <v>168</v>
      </c>
    </row>
    <row r="8" spans="2:3" ht="15" customHeight="1">
      <c r="B8" s="16" t="s">
        <v>1370</v>
      </c>
      <c r="C8" s="8">
        <v>131</v>
      </c>
    </row>
    <row r="9" spans="2:3" ht="15" customHeight="1">
      <c r="B9" s="16" t="s">
        <v>1371</v>
      </c>
      <c r="C9" s="8">
        <v>124</v>
      </c>
    </row>
    <row r="10" spans="2:3" ht="15" customHeight="1">
      <c r="B10" s="16" t="s">
        <v>1372</v>
      </c>
      <c r="C10" s="8">
        <v>109</v>
      </c>
    </row>
    <row r="11" spans="2:3" ht="15" customHeight="1">
      <c r="B11" s="16" t="s">
        <v>1373</v>
      </c>
      <c r="C11" s="8">
        <v>101</v>
      </c>
    </row>
    <row r="12" spans="2:3" ht="15" customHeight="1">
      <c r="B12" s="16" t="s">
        <v>1374</v>
      </c>
      <c r="C12" s="8">
        <v>99</v>
      </c>
    </row>
    <row r="13" spans="2:3" ht="15" customHeight="1">
      <c r="B13" s="16" t="s">
        <v>1375</v>
      </c>
      <c r="C13" s="8">
        <v>99</v>
      </c>
    </row>
    <row r="14" spans="2:3" ht="15" customHeight="1">
      <c r="B14" s="16" t="s">
        <v>1376</v>
      </c>
      <c r="C14" s="8">
        <v>92</v>
      </c>
    </row>
    <row r="15" spans="2:3" ht="15" customHeight="1">
      <c r="B15" s="16" t="s">
        <v>1377</v>
      </c>
      <c r="C15" s="8">
        <v>91</v>
      </c>
    </row>
    <row r="16" spans="2:3" ht="15" customHeight="1">
      <c r="B16" s="16" t="s">
        <v>1378</v>
      </c>
      <c r="C16" s="8">
        <v>88</v>
      </c>
    </row>
    <row r="17" spans="2:3" ht="15" customHeight="1">
      <c r="B17" s="16" t="s">
        <v>1379</v>
      </c>
      <c r="C17" s="8">
        <v>78</v>
      </c>
    </row>
    <row r="18" spans="2:3" ht="15" customHeight="1">
      <c r="B18" s="16" t="s">
        <v>1380</v>
      </c>
      <c r="C18" s="8">
        <v>77</v>
      </c>
    </row>
    <row r="19" spans="2:3" ht="15" customHeight="1">
      <c r="B19" s="16" t="s">
        <v>1381</v>
      </c>
      <c r="C19" s="8">
        <v>76</v>
      </c>
    </row>
    <row r="20" spans="2:3" ht="15" customHeight="1">
      <c r="B20" s="16" t="s">
        <v>1382</v>
      </c>
      <c r="C20" s="8">
        <v>76</v>
      </c>
    </row>
    <row r="21" spans="2:3" ht="15" customHeight="1">
      <c r="B21" s="16" t="s">
        <v>1383</v>
      </c>
      <c r="C21" s="8">
        <v>74</v>
      </c>
    </row>
    <row r="22" spans="2:3" ht="15" customHeight="1">
      <c r="B22" s="16" t="s">
        <v>1384</v>
      </c>
      <c r="C22" s="8">
        <v>74</v>
      </c>
    </row>
    <row r="23" spans="2:3" ht="15" customHeight="1">
      <c r="B23" s="16" t="s">
        <v>1385</v>
      </c>
      <c r="C23" s="8">
        <v>72</v>
      </c>
    </row>
    <row r="24" spans="2:3" ht="15" customHeight="1">
      <c r="B24" s="16" t="s">
        <v>1386</v>
      </c>
      <c r="C24" s="8">
        <v>71</v>
      </c>
    </row>
    <row r="25" spans="2:3" ht="15" customHeight="1">
      <c r="B25" s="16" t="s">
        <v>1387</v>
      </c>
      <c r="C25" s="8">
        <v>71</v>
      </c>
    </row>
    <row r="26" spans="2:3" ht="15" customHeight="1">
      <c r="B26" s="16" t="s">
        <v>1388</v>
      </c>
      <c r="C26" s="8">
        <v>70</v>
      </c>
    </row>
    <row r="27" spans="2:3" ht="15" customHeight="1">
      <c r="B27" s="16" t="s">
        <v>1389</v>
      </c>
      <c r="C27" s="8">
        <v>67</v>
      </c>
    </row>
    <row r="28" spans="2:3" ht="15" customHeight="1">
      <c r="B28" s="16" t="s">
        <v>1390</v>
      </c>
      <c r="C28" s="8">
        <v>64</v>
      </c>
    </row>
    <row r="29" spans="2:3" ht="15" customHeight="1">
      <c r="B29" s="16" t="s">
        <v>1391</v>
      </c>
      <c r="C29" s="8">
        <v>64</v>
      </c>
    </row>
    <row r="30" spans="2:3" ht="15" customHeight="1">
      <c r="B30" s="16" t="s">
        <v>1392</v>
      </c>
      <c r="C30" s="8">
        <v>64</v>
      </c>
    </row>
    <row r="31" spans="2:3" ht="15" customHeight="1">
      <c r="B31" s="16" t="s">
        <v>1393</v>
      </c>
      <c r="C31" s="8">
        <v>63</v>
      </c>
    </row>
    <row r="32" spans="2:3" ht="15" customHeight="1">
      <c r="B32" s="16" t="s">
        <v>1394</v>
      </c>
      <c r="C32" s="8">
        <v>61</v>
      </c>
    </row>
    <row r="33" spans="2:3" ht="15" customHeight="1">
      <c r="B33" s="16" t="s">
        <v>1395</v>
      </c>
      <c r="C33" s="8">
        <v>59</v>
      </c>
    </row>
    <row r="34" spans="2:3" ht="15" customHeight="1">
      <c r="B34" s="16" t="s">
        <v>1396</v>
      </c>
      <c r="C34" s="8">
        <v>59</v>
      </c>
    </row>
    <row r="35" spans="2:3" ht="15" customHeight="1">
      <c r="B35" s="16" t="s">
        <v>1397</v>
      </c>
      <c r="C35" s="8">
        <v>58</v>
      </c>
    </row>
    <row r="36" spans="2:3" ht="15" customHeight="1">
      <c r="B36" s="16" t="s">
        <v>1398</v>
      </c>
      <c r="C36" s="8">
        <v>54</v>
      </c>
    </row>
    <row r="37" spans="2:3" ht="15" customHeight="1">
      <c r="B37" s="16" t="s">
        <v>1399</v>
      </c>
      <c r="C37" s="8">
        <v>54</v>
      </c>
    </row>
    <row r="38" spans="2:3" ht="15" customHeight="1">
      <c r="B38" s="16" t="s">
        <v>1400</v>
      </c>
      <c r="C38" s="8">
        <v>54</v>
      </c>
    </row>
    <row r="39" spans="2:3" ht="15" customHeight="1">
      <c r="B39" s="16" t="s">
        <v>1401</v>
      </c>
      <c r="C39" s="8">
        <v>53</v>
      </c>
    </row>
    <row r="40" spans="2:3" ht="15" customHeight="1">
      <c r="B40" s="16" t="s">
        <v>1402</v>
      </c>
      <c r="C40" s="8">
        <v>52</v>
      </c>
    </row>
    <row r="41" spans="2:3" ht="15" customHeight="1">
      <c r="B41" s="16" t="s">
        <v>1403</v>
      </c>
      <c r="C41" s="8">
        <v>51</v>
      </c>
    </row>
    <row r="42" spans="2:3" ht="15" customHeight="1">
      <c r="B42" s="16" t="s">
        <v>1404</v>
      </c>
      <c r="C42" s="8">
        <v>50</v>
      </c>
    </row>
    <row r="43" spans="2:3" ht="15" customHeight="1">
      <c r="B43" s="16" t="s">
        <v>1405</v>
      </c>
      <c r="C43" s="8">
        <v>49</v>
      </c>
    </row>
    <row r="44" spans="2:3" ht="15" customHeight="1">
      <c r="B44" s="16" t="s">
        <v>1406</v>
      </c>
      <c r="C44" s="8">
        <v>48</v>
      </c>
    </row>
    <row r="45" spans="2:3" ht="15" customHeight="1">
      <c r="B45" s="16" t="s">
        <v>1407</v>
      </c>
      <c r="C45" s="8">
        <v>47</v>
      </c>
    </row>
    <row r="46" spans="2:3" ht="15" customHeight="1">
      <c r="B46" s="16" t="s">
        <v>1408</v>
      </c>
      <c r="C46" s="8">
        <v>47</v>
      </c>
    </row>
    <row r="47" spans="2:3" ht="15" customHeight="1">
      <c r="B47" s="16" t="s">
        <v>1409</v>
      </c>
      <c r="C47" s="8">
        <v>47</v>
      </c>
    </row>
    <row r="48" spans="2:3" ht="15" customHeight="1">
      <c r="B48" s="16" t="s">
        <v>1410</v>
      </c>
      <c r="C48" s="8">
        <v>47</v>
      </c>
    </row>
    <row r="49" spans="2:3" ht="15" customHeight="1">
      <c r="B49" s="16" t="s">
        <v>1411</v>
      </c>
      <c r="C49" s="8">
        <v>46</v>
      </c>
    </row>
    <row r="50" spans="2:3" ht="15" customHeight="1">
      <c r="B50" s="16" t="s">
        <v>1412</v>
      </c>
      <c r="C50" s="8">
        <v>46</v>
      </c>
    </row>
    <row r="51" spans="2:3" ht="15" customHeight="1">
      <c r="B51" s="16" t="s">
        <v>1413</v>
      </c>
      <c r="C51" s="8">
        <v>45</v>
      </c>
    </row>
    <row r="52" spans="2:3" ht="15" customHeight="1">
      <c r="B52" s="16" t="s">
        <v>1414</v>
      </c>
      <c r="C52" s="8">
        <v>45</v>
      </c>
    </row>
    <row r="53" spans="2:3" ht="15" customHeight="1">
      <c r="B53" s="16" t="s">
        <v>1415</v>
      </c>
      <c r="C53" s="8">
        <v>45</v>
      </c>
    </row>
    <row r="54" spans="2:3" ht="15" customHeight="1">
      <c r="B54" s="16" t="s">
        <v>1416</v>
      </c>
      <c r="C54" s="8">
        <v>45</v>
      </c>
    </row>
    <row r="55" spans="2:3" ht="15" customHeight="1">
      <c r="B55" s="16" t="s">
        <v>1417</v>
      </c>
      <c r="C55" s="8">
        <v>45</v>
      </c>
    </row>
    <row r="56" spans="2:3" ht="15" customHeight="1">
      <c r="B56" s="16" t="s">
        <v>1418</v>
      </c>
      <c r="C56" s="8">
        <v>45</v>
      </c>
    </row>
    <row r="57" spans="2:3" ht="15" customHeight="1">
      <c r="B57" s="16" t="s">
        <v>1419</v>
      </c>
      <c r="C57" s="8">
        <v>44</v>
      </c>
    </row>
    <row r="58" spans="2:3" ht="15" customHeight="1">
      <c r="B58" s="16" t="s">
        <v>1420</v>
      </c>
      <c r="C58" s="8">
        <v>44</v>
      </c>
    </row>
    <row r="59" spans="2:3" ht="15" customHeight="1">
      <c r="B59" s="16" t="s">
        <v>1421</v>
      </c>
      <c r="C59" s="8">
        <v>44</v>
      </c>
    </row>
    <row r="60" spans="2:3" ht="15" customHeight="1">
      <c r="B60" s="16" t="s">
        <v>1422</v>
      </c>
      <c r="C60" s="8">
        <v>43</v>
      </c>
    </row>
    <row r="61" spans="2:3" ht="15" customHeight="1">
      <c r="B61" s="16" t="s">
        <v>1423</v>
      </c>
      <c r="C61" s="8">
        <v>43</v>
      </c>
    </row>
    <row r="62" spans="2:3" ht="15" customHeight="1">
      <c r="B62" s="16" t="s">
        <v>1424</v>
      </c>
      <c r="C62" s="8">
        <v>43</v>
      </c>
    </row>
    <row r="63" spans="2:3" ht="15" customHeight="1">
      <c r="B63" s="16" t="s">
        <v>1425</v>
      </c>
      <c r="C63" s="8">
        <v>43</v>
      </c>
    </row>
    <row r="64" spans="2:3" ht="15" customHeight="1">
      <c r="B64" s="16" t="s">
        <v>1426</v>
      </c>
      <c r="C64" s="8">
        <v>42</v>
      </c>
    </row>
    <row r="65" spans="2:3" ht="15" customHeight="1">
      <c r="B65" s="16" t="s">
        <v>1427</v>
      </c>
      <c r="C65" s="8">
        <v>42</v>
      </c>
    </row>
    <row r="66" spans="2:3" ht="15" customHeight="1">
      <c r="B66" s="16" t="s">
        <v>1428</v>
      </c>
      <c r="C66" s="8">
        <v>42</v>
      </c>
    </row>
    <row r="67" spans="2:3" ht="15" customHeight="1">
      <c r="B67" s="16" t="s">
        <v>1429</v>
      </c>
      <c r="C67" s="8">
        <v>42</v>
      </c>
    </row>
    <row r="68" spans="2:3" ht="15" customHeight="1">
      <c r="B68" s="16" t="s">
        <v>1430</v>
      </c>
      <c r="C68" s="8">
        <v>42</v>
      </c>
    </row>
    <row r="69" spans="2:3" ht="15" customHeight="1">
      <c r="B69" s="16" t="s">
        <v>1431</v>
      </c>
      <c r="C69" s="8">
        <v>41</v>
      </c>
    </row>
    <row r="70" spans="2:3" ht="15" customHeight="1">
      <c r="B70" s="16" t="s">
        <v>1432</v>
      </c>
      <c r="C70" s="8">
        <v>40</v>
      </c>
    </row>
    <row r="71" spans="2:3" ht="15" customHeight="1">
      <c r="B71" s="16" t="s">
        <v>1433</v>
      </c>
      <c r="C71" s="8">
        <v>40</v>
      </c>
    </row>
    <row r="72" spans="2:3" ht="15" customHeight="1">
      <c r="B72" s="16" t="s">
        <v>1434</v>
      </c>
      <c r="C72" s="8">
        <v>39</v>
      </c>
    </row>
    <row r="73" spans="2:3" ht="15" customHeight="1">
      <c r="B73" s="16" t="s">
        <v>1435</v>
      </c>
      <c r="C73" s="8">
        <v>39</v>
      </c>
    </row>
    <row r="74" spans="2:3" ht="15" customHeight="1">
      <c r="B74" s="16" t="s">
        <v>1436</v>
      </c>
      <c r="C74" s="8">
        <v>39</v>
      </c>
    </row>
    <row r="75" spans="2:3" ht="15" customHeight="1">
      <c r="B75" s="16" t="s">
        <v>1437</v>
      </c>
      <c r="C75" s="8">
        <v>39</v>
      </c>
    </row>
    <row r="76" spans="2:3" ht="15" customHeight="1">
      <c r="B76" s="16" t="s">
        <v>1438</v>
      </c>
      <c r="C76" s="8">
        <v>39</v>
      </c>
    </row>
    <row r="77" spans="2:3" ht="15" customHeight="1">
      <c r="B77" s="16" t="s">
        <v>1439</v>
      </c>
      <c r="C77" s="8">
        <v>38</v>
      </c>
    </row>
    <row r="78" spans="2:3" ht="15" customHeight="1">
      <c r="B78" s="16" t="s">
        <v>1440</v>
      </c>
      <c r="C78" s="8">
        <v>38</v>
      </c>
    </row>
    <row r="79" spans="2:3" ht="15" customHeight="1">
      <c r="B79" s="16" t="s">
        <v>1441</v>
      </c>
      <c r="C79" s="8">
        <v>38</v>
      </c>
    </row>
    <row r="80" spans="2:3" ht="15" customHeight="1">
      <c r="B80" s="16" t="s">
        <v>1442</v>
      </c>
      <c r="C80" s="8">
        <v>38</v>
      </c>
    </row>
    <row r="81" spans="2:3" ht="15" customHeight="1">
      <c r="B81" s="16" t="s">
        <v>1443</v>
      </c>
      <c r="C81" s="8">
        <v>38</v>
      </c>
    </row>
    <row r="82" spans="2:3" ht="15" customHeight="1">
      <c r="B82" s="16" t="s">
        <v>1444</v>
      </c>
      <c r="C82" s="8">
        <v>37</v>
      </c>
    </row>
    <row r="83" spans="2:3" ht="15" customHeight="1">
      <c r="B83" s="16" t="s">
        <v>1445</v>
      </c>
      <c r="C83" s="8">
        <v>37</v>
      </c>
    </row>
    <row r="84" spans="2:3" ht="15" customHeight="1">
      <c r="B84" s="16" t="s">
        <v>1446</v>
      </c>
      <c r="C84" s="8">
        <v>37</v>
      </c>
    </row>
    <row r="85" spans="2:3" ht="15" customHeight="1">
      <c r="B85" s="16" t="s">
        <v>1447</v>
      </c>
      <c r="C85" s="8">
        <v>36</v>
      </c>
    </row>
    <row r="86" spans="2:3" ht="15" customHeight="1">
      <c r="B86" s="16" t="s">
        <v>1448</v>
      </c>
      <c r="C86" s="8">
        <v>35</v>
      </c>
    </row>
    <row r="87" spans="2:3" ht="15" customHeight="1">
      <c r="B87" s="16" t="s">
        <v>1449</v>
      </c>
      <c r="C87" s="8">
        <v>35</v>
      </c>
    </row>
    <row r="88" spans="2:3" ht="15" customHeight="1">
      <c r="B88" s="16" t="s">
        <v>1450</v>
      </c>
      <c r="C88" s="8">
        <v>35</v>
      </c>
    </row>
    <row r="89" spans="2:3" ht="15" customHeight="1">
      <c r="B89" s="16" t="s">
        <v>1451</v>
      </c>
      <c r="C89" s="8">
        <v>35</v>
      </c>
    </row>
    <row r="90" spans="2:3" ht="15" customHeight="1">
      <c r="B90" s="16" t="s">
        <v>1452</v>
      </c>
      <c r="C90" s="8">
        <v>34</v>
      </c>
    </row>
    <row r="91" spans="2:3" ht="15" customHeight="1">
      <c r="B91" s="16" t="s">
        <v>1453</v>
      </c>
      <c r="C91" s="8">
        <v>34</v>
      </c>
    </row>
    <row r="92" spans="2:3" ht="15" customHeight="1">
      <c r="B92" s="16" t="s">
        <v>1454</v>
      </c>
      <c r="C92" s="8">
        <v>34</v>
      </c>
    </row>
    <row r="93" spans="2:3" ht="15" customHeight="1">
      <c r="B93" s="16" t="s">
        <v>1455</v>
      </c>
      <c r="C93" s="8">
        <v>33</v>
      </c>
    </row>
    <row r="94" spans="2:3" ht="15" customHeight="1">
      <c r="B94" s="16" t="s">
        <v>1456</v>
      </c>
      <c r="C94" s="8">
        <v>33</v>
      </c>
    </row>
    <row r="95" spans="2:3" ht="15" customHeight="1">
      <c r="B95" s="16" t="s">
        <v>1457</v>
      </c>
      <c r="C95" s="8">
        <v>33</v>
      </c>
    </row>
    <row r="96" spans="2:3" ht="15" customHeight="1">
      <c r="B96" s="16" t="s">
        <v>1458</v>
      </c>
      <c r="C96" s="8">
        <v>33</v>
      </c>
    </row>
    <row r="97" spans="2:3" ht="15" customHeight="1">
      <c r="B97" s="16" t="s">
        <v>1459</v>
      </c>
      <c r="C97" s="8">
        <v>33</v>
      </c>
    </row>
    <row r="98" spans="2:3" ht="15" customHeight="1">
      <c r="B98" s="16" t="s">
        <v>1460</v>
      </c>
      <c r="C98" s="8">
        <v>33</v>
      </c>
    </row>
    <row r="99" spans="2:3" ht="15" customHeight="1">
      <c r="B99" s="16" t="s">
        <v>1461</v>
      </c>
      <c r="C99" s="8">
        <v>33</v>
      </c>
    </row>
    <row r="100" spans="2:3" ht="15" customHeight="1">
      <c r="B100" s="16" t="s">
        <v>1462</v>
      </c>
      <c r="C100" s="8">
        <v>33</v>
      </c>
    </row>
    <row r="101" spans="2:3" ht="15" customHeight="1">
      <c r="B101" s="16" t="s">
        <v>1463</v>
      </c>
      <c r="C101" s="8">
        <v>33</v>
      </c>
    </row>
    <row r="102" spans="2:3" ht="15" customHeight="1">
      <c r="B102" s="16" t="s">
        <v>1464</v>
      </c>
      <c r="C102" s="8">
        <v>33</v>
      </c>
    </row>
    <row r="103" spans="2:3" ht="15" customHeight="1">
      <c r="B103" s="16" t="s">
        <v>1465</v>
      </c>
      <c r="C103" s="8">
        <v>32</v>
      </c>
    </row>
    <row r="104" spans="2:3" ht="15" customHeight="1">
      <c r="B104" s="16" t="s">
        <v>1466</v>
      </c>
      <c r="C104" s="8">
        <v>32</v>
      </c>
    </row>
    <row r="105" spans="2:3" ht="15" customHeight="1">
      <c r="B105" s="16" t="s">
        <v>1467</v>
      </c>
      <c r="C105" s="8">
        <v>32</v>
      </c>
    </row>
    <row r="106" spans="2:3" ht="15" customHeight="1">
      <c r="B106" s="16" t="s">
        <v>1468</v>
      </c>
      <c r="C106" s="8">
        <v>32</v>
      </c>
    </row>
  </sheetData>
  <hyperlinks>
    <hyperlink ref="C1" location="Содержание!B4" display="К содержанию"/>
  </hyperlinks>
  <pageMargins left="0.75" right="0.75" top="1" bottom="1" header="0.5" footer="0.5"/>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685170b-c5e2-4ac9-a2e0-eb3bba9cf723}">
  <dimension ref="B1:C82"/>
  <sheetViews>
    <sheetView showGridLines="0" workbookViewId="0" topLeftCell="A1"/>
  </sheetViews>
  <sheetFormatPr defaultRowHeight="12.75"/>
  <cols>
    <col min="1" max="1" width="4.714285714285714" customWidth="1"/>
    <col min="2" max="2" width="22.714285714285715" customWidth="1"/>
    <col min="3" max="3" width="25.714285714285715" customWidth="1"/>
    <col min="4" max="9" width="14.714285714285714" customWidth="1"/>
  </cols>
  <sheetData>
    <row r="1" spans="2:3" s="1" customFormat="1" ht="30" customHeight="1">
      <c r="B1" s="1" t="s">
        <v>0</v>
      </c>
      <c r="C1" s="4" t="s">
        <v>2</v>
      </c>
    </row>
    <row r="4" spans="2:2" ht="12.75">
      <c r="B4" s="2" t="s">
        <v>42</v>
      </c>
    </row>
    <row r="6" spans="2:3" ht="30" customHeight="1">
      <c r="B6" s="5" t="s">
        <v>42</v>
      </c>
      <c r="C6" s="6" t="s">
        <v>5</v>
      </c>
    </row>
    <row r="7" spans="2:3" ht="15" customHeight="1">
      <c r="B7" s="16" t="s">
        <v>1469</v>
      </c>
      <c r="C7" s="8">
        <v>4</v>
      </c>
    </row>
    <row r="8" spans="2:3" ht="15" customHeight="1">
      <c r="B8" s="16" t="s">
        <v>1470</v>
      </c>
      <c r="C8" s="8">
        <v>4</v>
      </c>
    </row>
    <row r="9" spans="2:3" ht="15" customHeight="1">
      <c r="B9" s="16" t="s">
        <v>1471</v>
      </c>
      <c r="C9" s="8">
        <v>3</v>
      </c>
    </row>
    <row r="10" spans="2:3" ht="15" customHeight="1">
      <c r="B10" s="16" t="s">
        <v>1472</v>
      </c>
      <c r="C10" s="8">
        <v>1</v>
      </c>
    </row>
    <row r="11" spans="2:3" ht="15" customHeight="1">
      <c r="B11" s="16" t="s">
        <v>1473</v>
      </c>
      <c r="C11" s="8">
        <v>1</v>
      </c>
    </row>
    <row r="12" spans="2:3" ht="15" customHeight="1">
      <c r="B12" s="16" t="s">
        <v>1474</v>
      </c>
      <c r="C12" s="8">
        <v>1</v>
      </c>
    </row>
    <row r="13" spans="2:3" ht="15" customHeight="1">
      <c r="B13" s="16" t="s">
        <v>1475</v>
      </c>
      <c r="C13" s="8">
        <v>1</v>
      </c>
    </row>
    <row r="14" spans="2:3" ht="15" customHeight="1">
      <c r="B14" s="16" t="s">
        <v>1476</v>
      </c>
      <c r="C14" s="8">
        <v>1</v>
      </c>
    </row>
    <row r="15" spans="2:3" ht="15" customHeight="1">
      <c r="B15" s="16" t="s">
        <v>1477</v>
      </c>
      <c r="C15" s="8">
        <v>1</v>
      </c>
    </row>
    <row r="16" spans="2:3" ht="15" customHeight="1">
      <c r="B16" s="16" t="s">
        <v>1478</v>
      </c>
      <c r="C16" s="8">
        <v>1</v>
      </c>
    </row>
    <row r="17" spans="2:3" ht="15" customHeight="1">
      <c r="B17" s="16" t="s">
        <v>1479</v>
      </c>
      <c r="C17" s="8">
        <v>1</v>
      </c>
    </row>
    <row r="18" spans="2:3" ht="15" customHeight="1">
      <c r="B18" s="16" t="s">
        <v>1480</v>
      </c>
      <c r="C18" s="8">
        <v>1</v>
      </c>
    </row>
    <row r="19" spans="2:3" ht="15" customHeight="1">
      <c r="B19" s="16" t="s">
        <v>1481</v>
      </c>
      <c r="C19" s="8">
        <v>1</v>
      </c>
    </row>
    <row r="20" spans="2:3" ht="15" customHeight="1">
      <c r="B20" s="16" t="s">
        <v>1482</v>
      </c>
      <c r="C20" s="8">
        <v>1</v>
      </c>
    </row>
    <row r="21" spans="2:3" ht="15" customHeight="1">
      <c r="B21" s="16" t="s">
        <v>1483</v>
      </c>
      <c r="C21" s="8">
        <v>1</v>
      </c>
    </row>
    <row r="22" spans="2:3" ht="15" customHeight="1">
      <c r="B22" s="16" t="s">
        <v>1484</v>
      </c>
      <c r="C22" s="8">
        <v>1</v>
      </c>
    </row>
    <row r="23" spans="2:3" ht="15" customHeight="1">
      <c r="B23" s="16" t="s">
        <v>1485</v>
      </c>
      <c r="C23" s="8">
        <v>1</v>
      </c>
    </row>
    <row r="24" spans="2:3" ht="15" customHeight="1">
      <c r="B24" s="16" t="s">
        <v>1486</v>
      </c>
      <c r="C24" s="8">
        <v>1</v>
      </c>
    </row>
    <row r="25" spans="2:3" ht="15" customHeight="1">
      <c r="B25" s="16" t="s">
        <v>1487</v>
      </c>
      <c r="C25" s="8">
        <v>1</v>
      </c>
    </row>
    <row r="26" spans="2:3" ht="15" customHeight="1">
      <c r="B26" s="16" t="s">
        <v>1488</v>
      </c>
      <c r="C26" s="8">
        <v>1</v>
      </c>
    </row>
    <row r="27" spans="2:3" ht="15" customHeight="1">
      <c r="B27" s="16" t="s">
        <v>1489</v>
      </c>
      <c r="C27" s="8">
        <v>1</v>
      </c>
    </row>
    <row r="28" spans="2:3" ht="15" customHeight="1">
      <c r="B28" s="16" t="s">
        <v>1490</v>
      </c>
      <c r="C28" s="8">
        <v>1</v>
      </c>
    </row>
    <row r="29" spans="2:3" ht="15" customHeight="1">
      <c r="B29" s="16" t="s">
        <v>1491</v>
      </c>
      <c r="C29" s="8">
        <v>1</v>
      </c>
    </row>
    <row r="30" spans="2:3" ht="15" customHeight="1">
      <c r="B30" s="16" t="s">
        <v>1492</v>
      </c>
      <c r="C30" s="8">
        <v>1</v>
      </c>
    </row>
    <row r="31" spans="2:3" ht="15" customHeight="1">
      <c r="B31" s="16" t="s">
        <v>1493</v>
      </c>
      <c r="C31" s="8">
        <v>1</v>
      </c>
    </row>
    <row r="32" spans="2:3" ht="15" customHeight="1">
      <c r="B32" s="16" t="s">
        <v>1494</v>
      </c>
      <c r="C32" s="8">
        <v>1</v>
      </c>
    </row>
    <row r="33" spans="2:3" ht="15" customHeight="1">
      <c r="B33" s="16" t="s">
        <v>1495</v>
      </c>
      <c r="C33" s="8">
        <v>1</v>
      </c>
    </row>
    <row r="34" spans="2:3" ht="15" customHeight="1">
      <c r="B34" s="16" t="s">
        <v>1496</v>
      </c>
      <c r="C34" s="8">
        <v>1</v>
      </c>
    </row>
    <row r="35" spans="2:3" ht="15" customHeight="1">
      <c r="B35" s="16" t="s">
        <v>1497</v>
      </c>
      <c r="C35" s="8">
        <v>1</v>
      </c>
    </row>
    <row r="36" spans="2:3" ht="15" customHeight="1">
      <c r="B36" s="16" t="s">
        <v>1498</v>
      </c>
      <c r="C36" s="8">
        <v>1</v>
      </c>
    </row>
    <row r="37" spans="2:3" ht="15" customHeight="1">
      <c r="B37" s="16" t="s">
        <v>1499</v>
      </c>
      <c r="C37" s="8">
        <v>1</v>
      </c>
    </row>
    <row r="38" spans="2:3" ht="15" customHeight="1">
      <c r="B38" s="16" t="s">
        <v>1500</v>
      </c>
      <c r="C38" s="8">
        <v>1</v>
      </c>
    </row>
    <row r="39" spans="2:3" ht="15" customHeight="1">
      <c r="B39" s="16" t="s">
        <v>1501</v>
      </c>
      <c r="C39" s="8">
        <v>1</v>
      </c>
    </row>
    <row r="40" spans="2:3" ht="15" customHeight="1">
      <c r="B40" s="16" t="s">
        <v>1502</v>
      </c>
      <c r="C40" s="8">
        <v>1</v>
      </c>
    </row>
    <row r="41" spans="2:3" ht="15" customHeight="1">
      <c r="B41" s="16" t="s">
        <v>1503</v>
      </c>
      <c r="C41" s="8">
        <v>1</v>
      </c>
    </row>
    <row r="42" spans="2:3" ht="15" customHeight="1">
      <c r="B42" s="16" t="s">
        <v>1504</v>
      </c>
      <c r="C42" s="8">
        <v>1</v>
      </c>
    </row>
    <row r="43" spans="2:3" ht="15" customHeight="1">
      <c r="B43" s="16" t="s">
        <v>1505</v>
      </c>
      <c r="C43" s="8">
        <v>1</v>
      </c>
    </row>
    <row r="44" spans="2:3" ht="15" customHeight="1">
      <c r="B44" s="16" t="s">
        <v>1506</v>
      </c>
      <c r="C44" s="8">
        <v>1</v>
      </c>
    </row>
    <row r="45" spans="2:3" ht="15" customHeight="1">
      <c r="B45" s="16" t="s">
        <v>1507</v>
      </c>
      <c r="C45" s="8">
        <v>1</v>
      </c>
    </row>
    <row r="46" spans="2:3" ht="15" customHeight="1">
      <c r="B46" s="16" t="s">
        <v>1508</v>
      </c>
      <c r="C46" s="8">
        <v>1</v>
      </c>
    </row>
    <row r="47" spans="2:3" ht="15" customHeight="1">
      <c r="B47" s="16" t="s">
        <v>1509</v>
      </c>
      <c r="C47" s="8">
        <v>1</v>
      </c>
    </row>
    <row r="48" spans="2:3" ht="15" customHeight="1">
      <c r="B48" s="16" t="s">
        <v>1510</v>
      </c>
      <c r="C48" s="8">
        <v>1</v>
      </c>
    </row>
    <row r="49" spans="2:3" ht="15" customHeight="1">
      <c r="B49" s="16" t="s">
        <v>1511</v>
      </c>
      <c r="C49" s="8">
        <v>1</v>
      </c>
    </row>
    <row r="50" spans="2:3" ht="15" customHeight="1">
      <c r="B50" s="16" t="s">
        <v>1512</v>
      </c>
      <c r="C50" s="8">
        <v>1</v>
      </c>
    </row>
    <row r="51" spans="2:3" ht="15" customHeight="1">
      <c r="B51" s="16" t="s">
        <v>1513</v>
      </c>
      <c r="C51" s="8">
        <v>1</v>
      </c>
    </row>
    <row r="52" spans="2:3" ht="15" customHeight="1">
      <c r="B52" s="16" t="s">
        <v>1514</v>
      </c>
      <c r="C52" s="8">
        <v>1</v>
      </c>
    </row>
    <row r="53" spans="2:3" ht="15" customHeight="1">
      <c r="B53" s="16" t="s">
        <v>1515</v>
      </c>
      <c r="C53" s="8">
        <v>1</v>
      </c>
    </row>
    <row r="54" spans="2:3" ht="15" customHeight="1">
      <c r="B54" s="16" t="s">
        <v>1516</v>
      </c>
      <c r="C54" s="8">
        <v>1</v>
      </c>
    </row>
    <row r="55" spans="2:3" ht="15" customHeight="1">
      <c r="B55" s="16" t="s">
        <v>1517</v>
      </c>
      <c r="C55" s="8">
        <v>1</v>
      </c>
    </row>
    <row r="56" spans="2:3" ht="15" customHeight="1">
      <c r="B56" s="16" t="s">
        <v>1518</v>
      </c>
      <c r="C56" s="8">
        <v>1</v>
      </c>
    </row>
    <row r="57" spans="2:3" ht="15" customHeight="1">
      <c r="B57" s="16" t="s">
        <v>1519</v>
      </c>
      <c r="C57" s="8">
        <v>1</v>
      </c>
    </row>
    <row r="58" spans="2:3" ht="15" customHeight="1">
      <c r="B58" s="16" t="s">
        <v>1520</v>
      </c>
      <c r="C58" s="8">
        <v>1</v>
      </c>
    </row>
    <row r="59" spans="2:3" ht="15" customHeight="1">
      <c r="B59" s="16" t="s">
        <v>1521</v>
      </c>
      <c r="C59" s="8">
        <v>1</v>
      </c>
    </row>
    <row r="60" spans="2:3" ht="15" customHeight="1">
      <c r="B60" s="16" t="s">
        <v>1522</v>
      </c>
      <c r="C60" s="8">
        <v>1</v>
      </c>
    </row>
    <row r="61" spans="2:3" ht="15" customHeight="1">
      <c r="B61" s="16" t="s">
        <v>1523</v>
      </c>
      <c r="C61" s="8">
        <v>1</v>
      </c>
    </row>
    <row r="62" spans="2:3" ht="15" customHeight="1">
      <c r="B62" s="16" t="s">
        <v>1524</v>
      </c>
      <c r="C62" s="8">
        <v>1</v>
      </c>
    </row>
    <row r="63" spans="2:3" ht="15" customHeight="1">
      <c r="B63" s="16" t="s">
        <v>1525</v>
      </c>
      <c r="C63" s="8">
        <v>1</v>
      </c>
    </row>
    <row r="64" spans="2:3" ht="15" customHeight="1">
      <c r="B64" s="16" t="s">
        <v>1526</v>
      </c>
      <c r="C64" s="8">
        <v>1</v>
      </c>
    </row>
    <row r="65" spans="2:3" ht="15" customHeight="1">
      <c r="B65" s="16" t="s">
        <v>1527</v>
      </c>
      <c r="C65" s="8">
        <v>1</v>
      </c>
    </row>
    <row r="66" spans="2:3" ht="15" customHeight="1">
      <c r="B66" s="16" t="s">
        <v>1528</v>
      </c>
      <c r="C66" s="8">
        <v>1</v>
      </c>
    </row>
    <row r="67" spans="2:3" ht="15" customHeight="1">
      <c r="B67" s="16" t="s">
        <v>1529</v>
      </c>
      <c r="C67" s="8">
        <v>1</v>
      </c>
    </row>
    <row r="68" spans="2:3" ht="15" customHeight="1">
      <c r="B68" s="16" t="s">
        <v>1530</v>
      </c>
      <c r="C68" s="8">
        <v>1</v>
      </c>
    </row>
    <row r="69" spans="2:3" ht="15" customHeight="1">
      <c r="B69" s="16" t="s">
        <v>1531</v>
      </c>
      <c r="C69" s="8">
        <v>1</v>
      </c>
    </row>
    <row r="70" spans="2:3" ht="15" customHeight="1">
      <c r="B70" s="16" t="s">
        <v>1532</v>
      </c>
      <c r="C70" s="8">
        <v>1</v>
      </c>
    </row>
    <row r="71" spans="2:3" ht="15" customHeight="1">
      <c r="B71" s="16" t="s">
        <v>1533</v>
      </c>
      <c r="C71" s="8">
        <v>1</v>
      </c>
    </row>
    <row r="72" spans="2:3" ht="15" customHeight="1">
      <c r="B72" s="16" t="s">
        <v>1534</v>
      </c>
      <c r="C72" s="8">
        <v>1</v>
      </c>
    </row>
    <row r="73" spans="2:3" ht="15" customHeight="1">
      <c r="B73" s="16" t="s">
        <v>1535</v>
      </c>
      <c r="C73" s="8">
        <v>1</v>
      </c>
    </row>
    <row r="74" spans="2:3" ht="15" customHeight="1">
      <c r="B74" s="16" t="s">
        <v>1536</v>
      </c>
      <c r="C74" s="8">
        <v>1</v>
      </c>
    </row>
    <row r="75" spans="2:3" ht="15" customHeight="1">
      <c r="B75" s="16" t="s">
        <v>1537</v>
      </c>
      <c r="C75" s="8">
        <v>1</v>
      </c>
    </row>
    <row r="76" spans="2:3" ht="15" customHeight="1">
      <c r="B76" s="16" t="s">
        <v>1538</v>
      </c>
      <c r="C76" s="8">
        <v>1</v>
      </c>
    </row>
    <row r="77" spans="2:3" ht="15" customHeight="1">
      <c r="B77" s="16" t="s">
        <v>1539</v>
      </c>
      <c r="C77" s="8">
        <v>1</v>
      </c>
    </row>
    <row r="78" spans="2:3" ht="15" customHeight="1">
      <c r="B78" s="16" t="s">
        <v>1540</v>
      </c>
      <c r="C78" s="8">
        <v>1</v>
      </c>
    </row>
    <row r="79" spans="2:3" ht="15" customHeight="1">
      <c r="B79" s="16" t="s">
        <v>1541</v>
      </c>
      <c r="C79" s="8">
        <v>1</v>
      </c>
    </row>
    <row r="80" spans="2:3" ht="15" customHeight="1">
      <c r="B80" s="16" t="s">
        <v>1542</v>
      </c>
      <c r="C80" s="8">
        <v>1</v>
      </c>
    </row>
    <row r="81" spans="2:3" ht="15" customHeight="1">
      <c r="B81" s="16" t="s">
        <v>1543</v>
      </c>
      <c r="C81" s="8">
        <v>1</v>
      </c>
    </row>
    <row r="82" spans="2:3" ht="15" customHeight="1">
      <c r="B82" s="16" t="s">
        <v>1544</v>
      </c>
      <c r="C82" s="8">
        <v>1</v>
      </c>
    </row>
  </sheetData>
  <hyperlinks>
    <hyperlink ref="C1" location="Содержание!B4" display="К содержанию"/>
  </hyperlinks>
  <pageMargins left="0.75" right="0.75" top="1" bottom="1" header="0.5" footer="0.5"/>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134bb25-638e-4790-aa6d-667e4adff639}">
  <dimension ref="B1:I37"/>
  <sheetViews>
    <sheetView showGridLines="0" workbookViewId="0" topLeftCell="A1"/>
  </sheetViews>
  <sheetFormatPr defaultRowHeight="12.75"/>
  <cols>
    <col min="1" max="1" width="4.714285714285714" customWidth="1"/>
    <col min="2" max="2" width="35.714285714285715" customWidth="1"/>
    <col min="3" max="9" width="20.714285714285715" customWidth="1"/>
  </cols>
  <sheetData>
    <row r="1" spans="2:3" s="1" customFormat="1" ht="30" customHeight="1">
      <c r="B1" s="1" t="s">
        <v>0</v>
      </c>
      <c r="C1" s="4" t="s">
        <v>2</v>
      </c>
    </row>
    <row r="4" spans="2:2" ht="12.75">
      <c r="B4" s="2" t="s">
        <v>43</v>
      </c>
    </row>
    <row r="6" spans="2:2" ht="12.75"/>
    <row r="26" spans="2:9" ht="30" customHeight="1">
      <c r="B26" s="5" t="s">
        <v>180</v>
      </c>
      <c r="C26" s="6" t="s">
        <v>5</v>
      </c>
      <c r="D26" s="6" t="s">
        <v>33</v>
      </c>
      <c r="E26" s="6" t="s">
        <v>34</v>
      </c>
      <c r="F26" s="6" t="s">
        <v>36</v>
      </c>
      <c r="G26" s="6" t="s">
        <v>57</v>
      </c>
      <c r="H26" s="6" t="s">
        <v>38</v>
      </c>
      <c r="I26" s="6" t="s">
        <v>28</v>
      </c>
    </row>
    <row r="27" spans="2:9" ht="15" customHeight="1">
      <c r="B27" s="16" t="s">
        <v>1291</v>
      </c>
      <c r="C27" s="8">
        <v>200</v>
      </c>
      <c r="D27" s="8">
        <v>10321752</v>
      </c>
      <c r="E27" s="8">
        <v>2211</v>
      </c>
      <c r="F27" s="8">
        <v>40</v>
      </c>
      <c r="G27" s="8">
        <v>148</v>
      </c>
      <c r="H27" s="8">
        <v>12</v>
      </c>
      <c r="I27" s="8">
        <v>173</v>
      </c>
    </row>
    <row r="28" spans="2:9" ht="15" customHeight="1">
      <c r="B28" s="16" t="s">
        <v>187</v>
      </c>
      <c r="C28" s="8">
        <v>164</v>
      </c>
      <c r="D28" s="8">
        <v>22324152</v>
      </c>
      <c r="E28" s="8">
        <v>313</v>
      </c>
      <c r="F28" s="8">
        <v>51</v>
      </c>
      <c r="G28" s="8">
        <v>103</v>
      </c>
      <c r="H28" s="8">
        <v>10</v>
      </c>
      <c r="I28" s="8">
        <v>124</v>
      </c>
    </row>
    <row r="29" spans="2:9" ht="15" customHeight="1">
      <c r="B29" s="16" t="s">
        <v>392</v>
      </c>
      <c r="C29" s="8">
        <v>11</v>
      </c>
      <c r="D29" s="8">
        <v>1433539</v>
      </c>
      <c r="E29" s="8">
        <v>9</v>
      </c>
      <c r="F29" s="8">
        <v>0</v>
      </c>
      <c r="G29" s="8">
        <v>10</v>
      </c>
      <c r="H29" s="8">
        <v>1</v>
      </c>
      <c r="I29" s="8">
        <v>11</v>
      </c>
    </row>
    <row r="30" spans="2:9" ht="15" customHeight="1">
      <c r="B30" s="16" t="s">
        <v>991</v>
      </c>
      <c r="C30" s="8">
        <v>6</v>
      </c>
      <c r="D30" s="8">
        <v>89868</v>
      </c>
      <c r="E30" s="8">
        <v>1284</v>
      </c>
      <c r="F30" s="8">
        <v>1</v>
      </c>
      <c r="G30" s="8">
        <v>2</v>
      </c>
      <c r="H30" s="8">
        <v>3</v>
      </c>
      <c r="I30" s="8">
        <v>6</v>
      </c>
    </row>
    <row r="31" spans="2:9" ht="15" customHeight="1">
      <c r="B31" s="16" t="s">
        <v>1292</v>
      </c>
      <c r="C31" s="8">
        <v>4</v>
      </c>
      <c r="D31" s="8">
        <v>36500</v>
      </c>
      <c r="E31" s="8">
        <v>1</v>
      </c>
      <c r="F31" s="8">
        <v>1</v>
      </c>
      <c r="G31" s="8">
        <v>2</v>
      </c>
      <c r="H31" s="8">
        <v>1</v>
      </c>
      <c r="I31" s="8">
        <v>4</v>
      </c>
    </row>
    <row r="32" spans="2:9" ht="15" customHeight="1">
      <c r="B32" s="16" t="s">
        <v>1293</v>
      </c>
      <c r="C32" s="8">
        <v>1</v>
      </c>
      <c r="D32" s="8">
        <v>109</v>
      </c>
      <c r="E32" s="8">
        <v>0</v>
      </c>
      <c r="F32" s="8">
        <v>0</v>
      </c>
      <c r="G32" s="8">
        <v>1</v>
      </c>
      <c r="H32" s="8">
        <v>0</v>
      </c>
      <c r="I32" s="8">
        <v>1</v>
      </c>
    </row>
    <row r="33" spans="2:9" ht="15" customHeight="1">
      <c r="B33" s="16" t="s">
        <v>946</v>
      </c>
      <c r="C33" s="8">
        <v>1</v>
      </c>
      <c r="D33" s="8">
        <v>1427</v>
      </c>
      <c r="E33" s="8">
        <v>0</v>
      </c>
      <c r="F33" s="8">
        <v>0</v>
      </c>
      <c r="G33" s="8">
        <v>1</v>
      </c>
      <c r="H33" s="8">
        <v>0</v>
      </c>
      <c r="I33" s="8">
        <v>1</v>
      </c>
    </row>
    <row r="34" spans="2:9" ht="15" customHeight="1">
      <c r="B34" s="16" t="s">
        <v>1294</v>
      </c>
      <c r="C34" s="8">
        <v>1</v>
      </c>
      <c r="D34" s="8">
        <v>119000</v>
      </c>
      <c r="E34" s="8">
        <v>0</v>
      </c>
      <c r="F34" s="8">
        <v>1</v>
      </c>
      <c r="G34" s="8">
        <v>0</v>
      </c>
      <c r="H34" s="8">
        <v>0</v>
      </c>
      <c r="I34" s="8">
        <v>1</v>
      </c>
    </row>
    <row r="35" spans="2:9" ht="15" customHeight="1">
      <c r="B35" s="16" t="s">
        <v>466</v>
      </c>
      <c r="C35" s="8">
        <v>1</v>
      </c>
      <c r="D35" s="8">
        <v>1025</v>
      </c>
      <c r="E35" s="8">
        <v>0</v>
      </c>
      <c r="F35" s="8">
        <v>0</v>
      </c>
      <c r="G35" s="8">
        <v>1</v>
      </c>
      <c r="H35" s="8">
        <v>0</v>
      </c>
      <c r="I35" s="8">
        <v>1</v>
      </c>
    </row>
    <row r="36" spans="2:8" ht="12.75"/>
    <row r="37" spans="2:2" ht="15" customHeight="1">
      <c r="B37" s="24" t="s">
        <v>1295</v>
      </c>
    </row>
  </sheetData>
  <autoFilter ref="B26:I26"/>
  <hyperlinks>
    <hyperlink ref="C1" location="Содержание!B4" display="К содержанию"/>
  </hyperlinks>
  <pageMargins left="0.75" right="0.75" top="1" bottom="1" header="0.5" footer="0.5"/>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72def5b-c001-4ccf-bd68-57d56fd862e7}">
  <dimension ref="B1:I36"/>
  <sheetViews>
    <sheetView showGridLines="0" workbookViewId="0" topLeftCell="A1"/>
  </sheetViews>
  <sheetFormatPr defaultRowHeight="12.75"/>
  <cols>
    <col min="1" max="1" width="4.714285714285714" customWidth="1"/>
    <col min="2" max="2" width="35.714285714285715" customWidth="1"/>
    <col min="3" max="9" width="20.714285714285715" customWidth="1"/>
  </cols>
  <sheetData>
    <row r="1" spans="2:3" s="1" customFormat="1" ht="30" customHeight="1">
      <c r="B1" s="1" t="s">
        <v>0</v>
      </c>
      <c r="C1" s="4" t="s">
        <v>2</v>
      </c>
    </row>
    <row r="4" spans="2:2" ht="12.75">
      <c r="B4" s="2" t="s">
        <v>44</v>
      </c>
    </row>
    <row r="6" spans="2:2" ht="12.75"/>
    <row r="26" spans="2:9" ht="30" customHeight="1">
      <c r="B26" s="5" t="s">
        <v>1296</v>
      </c>
      <c r="C26" s="6" t="s">
        <v>5</v>
      </c>
      <c r="D26" s="6" t="s">
        <v>33</v>
      </c>
      <c r="E26" s="6" t="s">
        <v>34</v>
      </c>
      <c r="F26" s="6" t="s">
        <v>36</v>
      </c>
      <c r="G26" s="6" t="s">
        <v>57</v>
      </c>
      <c r="H26" s="6" t="s">
        <v>38</v>
      </c>
      <c r="I26" s="6" t="s">
        <v>28</v>
      </c>
    </row>
    <row r="27" spans="2:9" ht="15" customHeight="1">
      <c r="B27" s="16" t="s">
        <v>1297</v>
      </c>
      <c r="C27" s="8">
        <v>50</v>
      </c>
      <c r="D27" s="8">
        <v>4194722</v>
      </c>
      <c r="E27" s="8">
        <v>198</v>
      </c>
      <c r="F27" s="8">
        <v>22</v>
      </c>
      <c r="G27" s="8">
        <v>26</v>
      </c>
      <c r="H27" s="8">
        <v>2</v>
      </c>
      <c r="I27" s="8">
        <v>43</v>
      </c>
    </row>
    <row r="28" spans="2:9" ht="15" customHeight="1">
      <c r="B28" s="16" t="s">
        <v>1298</v>
      </c>
      <c r="C28" s="8">
        <v>45</v>
      </c>
      <c r="D28" s="8">
        <v>3964817</v>
      </c>
      <c r="E28" s="8">
        <v>103</v>
      </c>
      <c r="F28" s="8">
        <v>7</v>
      </c>
      <c r="G28" s="8">
        <v>35</v>
      </c>
      <c r="H28" s="8">
        <v>3</v>
      </c>
      <c r="I28" s="8">
        <v>36</v>
      </c>
    </row>
    <row r="29" spans="2:9" ht="15" customHeight="1">
      <c r="B29" s="16" t="s">
        <v>1299</v>
      </c>
      <c r="C29" s="8">
        <v>34</v>
      </c>
      <c r="D29" s="8">
        <v>590502</v>
      </c>
      <c r="E29" s="8">
        <v>3</v>
      </c>
      <c r="F29" s="8">
        <v>10</v>
      </c>
      <c r="G29" s="8">
        <v>21</v>
      </c>
      <c r="H29" s="8">
        <v>3</v>
      </c>
      <c r="I29" s="8">
        <v>23</v>
      </c>
    </row>
    <row r="30" spans="2:9" ht="15" customHeight="1">
      <c r="B30" s="16" t="s">
        <v>1300</v>
      </c>
      <c r="C30" s="8">
        <v>20</v>
      </c>
      <c r="D30" s="8">
        <v>12324064</v>
      </c>
      <c r="E30" s="8">
        <v>3</v>
      </c>
      <c r="F30" s="8">
        <v>10</v>
      </c>
      <c r="G30" s="8">
        <v>10</v>
      </c>
      <c r="H30" s="8">
        <v>0</v>
      </c>
      <c r="I30" s="8">
        <v>15</v>
      </c>
    </row>
    <row r="31" spans="2:9" ht="15" customHeight="1">
      <c r="B31" s="16" t="s">
        <v>1301</v>
      </c>
      <c r="C31" s="8">
        <v>5</v>
      </c>
      <c r="D31" s="8">
        <v>204749</v>
      </c>
      <c r="E31" s="8">
        <v>2</v>
      </c>
      <c r="F31" s="8">
        <v>2</v>
      </c>
      <c r="G31" s="8">
        <v>1</v>
      </c>
      <c r="H31" s="8">
        <v>2</v>
      </c>
      <c r="I31" s="8">
        <v>5</v>
      </c>
    </row>
    <row r="32" spans="2:9" ht="15" customHeight="1">
      <c r="B32" s="16" t="s">
        <v>1302</v>
      </c>
      <c r="C32" s="8">
        <v>4</v>
      </c>
      <c r="D32" s="8">
        <v>43177</v>
      </c>
      <c r="E32" s="8">
        <v>0</v>
      </c>
      <c r="F32" s="8">
        <v>0</v>
      </c>
      <c r="G32" s="8">
        <v>4</v>
      </c>
      <c r="H32" s="8">
        <v>0</v>
      </c>
      <c r="I32" s="8">
        <v>4</v>
      </c>
    </row>
    <row r="33" spans="2:9" ht="15" customHeight="1">
      <c r="B33" s="16" t="s">
        <v>1303</v>
      </c>
      <c r="C33" s="8">
        <v>3</v>
      </c>
      <c r="D33" s="8">
        <v>1347982</v>
      </c>
      <c r="E33" s="8">
        <v>4</v>
      </c>
      <c r="F33" s="8">
        <v>0</v>
      </c>
      <c r="G33" s="8">
        <v>3</v>
      </c>
      <c r="H33" s="8">
        <v>0</v>
      </c>
      <c r="I33" s="8">
        <v>3</v>
      </c>
    </row>
    <row r="34" spans="2:9" ht="15" customHeight="1">
      <c r="B34" s="16" t="s">
        <v>1304</v>
      </c>
      <c r="C34" s="8">
        <v>3</v>
      </c>
      <c r="D34" s="8">
        <v>357030</v>
      </c>
      <c r="E34" s="8">
        <v>0</v>
      </c>
      <c r="F34" s="8">
        <v>0</v>
      </c>
      <c r="G34" s="8">
        <v>3</v>
      </c>
      <c r="H34" s="8">
        <v>0</v>
      </c>
      <c r="I34" s="8">
        <v>3</v>
      </c>
    </row>
    <row r="35" spans="2:8" ht="12.75"/>
    <row r="36" spans="2:2" ht="15" customHeight="1">
      <c r="B36" s="24" t="s">
        <v>1305</v>
      </c>
    </row>
  </sheetData>
  <autoFilter ref="B26:I26"/>
  <hyperlinks>
    <hyperlink ref="C1" location="Содержание!B4" display="К содержанию"/>
  </hyperlinks>
  <pageMargins left="0.75" right="0.75" top="1" bottom="1" header="0.5" footer="0.5"/>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c5becd1-f3a4-4097-883f-2ed8d380539b}">
  <dimension ref="B1:I63"/>
  <sheetViews>
    <sheetView showGridLines="0" workbookViewId="0" topLeftCell="A1"/>
  </sheetViews>
  <sheetFormatPr defaultRowHeight="12.75"/>
  <cols>
    <col min="1" max="1" width="4.714285714285714" customWidth="1"/>
    <col min="2" max="2" width="35.714285714285715" customWidth="1"/>
    <col min="3" max="9" width="20.714285714285715" customWidth="1"/>
  </cols>
  <sheetData>
    <row r="1" spans="2:3" s="1" customFormat="1" ht="30" customHeight="1">
      <c r="B1" s="1" t="s">
        <v>0</v>
      </c>
      <c r="C1" s="4" t="s">
        <v>2</v>
      </c>
    </row>
    <row r="4" spans="2:2" ht="12.75">
      <c r="B4" s="2" t="s">
        <v>45</v>
      </c>
    </row>
    <row r="6" spans="2:2" ht="12.75"/>
    <row r="26" spans="2:9" ht="30" customHeight="1">
      <c r="B26" s="5" t="s">
        <v>1306</v>
      </c>
      <c r="C26" s="6" t="s">
        <v>5</v>
      </c>
      <c r="D26" s="6" t="s">
        <v>33</v>
      </c>
      <c r="E26" s="6" t="s">
        <v>34</v>
      </c>
      <c r="F26" s="6" t="s">
        <v>36</v>
      </c>
      <c r="G26" s="6" t="s">
        <v>57</v>
      </c>
      <c r="H26" s="6" t="s">
        <v>38</v>
      </c>
      <c r="I26" s="6" t="s">
        <v>28</v>
      </c>
    </row>
    <row r="27" spans="2:9" ht="15" customHeight="1">
      <c r="B27" s="16" t="s">
        <v>1307</v>
      </c>
      <c r="C27" s="8">
        <v>50</v>
      </c>
      <c r="D27" s="8">
        <v>4194722</v>
      </c>
      <c r="E27" s="8">
        <v>198</v>
      </c>
      <c r="F27" s="8">
        <v>22</v>
      </c>
      <c r="G27" s="8">
        <v>26</v>
      </c>
      <c r="H27" s="8">
        <v>2</v>
      </c>
      <c r="I27" s="8">
        <v>43</v>
      </c>
    </row>
    <row r="28" spans="2:9" ht="15" customHeight="1">
      <c r="B28" s="16" t="s">
        <v>201</v>
      </c>
      <c r="C28" s="8">
        <v>32</v>
      </c>
      <c r="D28" s="8">
        <v>1723372</v>
      </c>
      <c r="E28" s="8">
        <v>84</v>
      </c>
      <c r="F28" s="8">
        <v>3</v>
      </c>
      <c r="G28" s="8">
        <v>28</v>
      </c>
      <c r="H28" s="8">
        <v>1</v>
      </c>
      <c r="I28" s="8">
        <v>28</v>
      </c>
    </row>
    <row r="29" spans="2:9" ht="15" customHeight="1">
      <c r="B29" s="16" t="s">
        <v>189</v>
      </c>
      <c r="C29" s="8">
        <v>25</v>
      </c>
      <c r="D29" s="8">
        <v>452171</v>
      </c>
      <c r="E29" s="8">
        <v>1</v>
      </c>
      <c r="F29" s="8">
        <v>8</v>
      </c>
      <c r="G29" s="8">
        <v>15</v>
      </c>
      <c r="H29" s="8">
        <v>2</v>
      </c>
      <c r="I29" s="8">
        <v>16</v>
      </c>
    </row>
    <row r="30" spans="2:9" ht="15" customHeight="1">
      <c r="B30" s="16" t="s">
        <v>236</v>
      </c>
      <c r="C30" s="8">
        <v>5</v>
      </c>
      <c r="D30" s="8">
        <v>204749</v>
      </c>
      <c r="E30" s="8">
        <v>2</v>
      </c>
      <c r="F30" s="8">
        <v>2</v>
      </c>
      <c r="G30" s="8">
        <v>1</v>
      </c>
      <c r="H30" s="8">
        <v>2</v>
      </c>
      <c r="I30" s="8">
        <v>5</v>
      </c>
    </row>
    <row r="31" spans="2:9" ht="15" customHeight="1">
      <c r="B31" s="16" t="s">
        <v>400</v>
      </c>
      <c r="C31" s="8">
        <v>4</v>
      </c>
      <c r="D31" s="8">
        <v>91447</v>
      </c>
      <c r="E31" s="8">
        <v>0</v>
      </c>
      <c r="F31" s="8">
        <v>2</v>
      </c>
      <c r="G31" s="8">
        <v>2</v>
      </c>
      <c r="H31" s="8">
        <v>0</v>
      </c>
      <c r="I31" s="8">
        <v>4</v>
      </c>
    </row>
    <row r="32" spans="2:9" ht="15" customHeight="1">
      <c r="B32" s="16" t="s">
        <v>562</v>
      </c>
      <c r="C32" s="8">
        <v>4</v>
      </c>
      <c r="D32" s="8">
        <v>1985398</v>
      </c>
      <c r="E32" s="8">
        <v>0</v>
      </c>
      <c r="F32" s="8">
        <v>3</v>
      </c>
      <c r="G32" s="8">
        <v>1</v>
      </c>
      <c r="H32" s="8">
        <v>0</v>
      </c>
      <c r="I32" s="8">
        <v>3</v>
      </c>
    </row>
    <row r="33" spans="2:9" ht="15" customHeight="1">
      <c r="B33" s="16" t="s">
        <v>478</v>
      </c>
      <c r="C33" s="8">
        <v>3</v>
      </c>
      <c r="D33" s="8">
        <v>254274</v>
      </c>
      <c r="E33" s="8">
        <v>2</v>
      </c>
      <c r="F33" s="8">
        <v>1</v>
      </c>
      <c r="G33" s="8">
        <v>2</v>
      </c>
      <c r="H33" s="8">
        <v>0</v>
      </c>
      <c r="I33" s="8">
        <v>2</v>
      </c>
    </row>
    <row r="34" spans="2:9" ht="15" customHeight="1">
      <c r="B34" s="16" t="s">
        <v>435</v>
      </c>
      <c r="C34" s="8">
        <v>3</v>
      </c>
      <c r="D34" s="8">
        <v>9658</v>
      </c>
      <c r="E34" s="8">
        <v>0</v>
      </c>
      <c r="F34" s="8">
        <v>0</v>
      </c>
      <c r="G34" s="8">
        <v>3</v>
      </c>
      <c r="H34" s="8">
        <v>0</v>
      </c>
      <c r="I34" s="8">
        <v>3</v>
      </c>
    </row>
    <row r="35" spans="2:9" ht="15" customHeight="1">
      <c r="B35" s="16" t="s">
        <v>262</v>
      </c>
      <c r="C35" s="8">
        <v>3</v>
      </c>
      <c r="D35" s="8">
        <v>88210</v>
      </c>
      <c r="E35" s="8">
        <v>0</v>
      </c>
      <c r="F35" s="8">
        <v>0</v>
      </c>
      <c r="G35" s="8">
        <v>3</v>
      </c>
      <c r="H35" s="8">
        <v>0</v>
      </c>
      <c r="I35" s="8">
        <v>2</v>
      </c>
    </row>
    <row r="36" spans="2:9" ht="15" customHeight="1">
      <c r="B36" s="16" t="s">
        <v>338</v>
      </c>
      <c r="C36" s="8">
        <v>3</v>
      </c>
      <c r="D36" s="8">
        <v>72090</v>
      </c>
      <c r="E36" s="8">
        <v>0</v>
      </c>
      <c r="F36" s="8">
        <v>1</v>
      </c>
      <c r="G36" s="8">
        <v>2</v>
      </c>
      <c r="H36" s="8">
        <v>0</v>
      </c>
      <c r="I36" s="8">
        <v>3</v>
      </c>
    </row>
    <row r="37" spans="2:9" ht="15" customHeight="1">
      <c r="B37" s="16" t="s">
        <v>218</v>
      </c>
      <c r="C37" s="8">
        <v>3</v>
      </c>
      <c r="D37" s="8">
        <v>66349</v>
      </c>
      <c r="E37" s="8">
        <v>0</v>
      </c>
      <c r="F37" s="8">
        <v>1</v>
      </c>
      <c r="G37" s="8">
        <v>2</v>
      </c>
      <c r="H37" s="8">
        <v>0</v>
      </c>
      <c r="I37" s="8">
        <v>2</v>
      </c>
    </row>
    <row r="38" spans="2:9" ht="15" customHeight="1">
      <c r="B38" s="16" t="s">
        <v>358</v>
      </c>
      <c r="C38" s="8">
        <v>2</v>
      </c>
      <c r="D38" s="8">
        <v>718</v>
      </c>
      <c r="E38" s="8">
        <v>0</v>
      </c>
      <c r="F38" s="8">
        <v>1</v>
      </c>
      <c r="G38" s="8">
        <v>1</v>
      </c>
      <c r="H38" s="8">
        <v>0</v>
      </c>
      <c r="I38" s="8">
        <v>2</v>
      </c>
    </row>
    <row r="39" spans="2:9" ht="15" customHeight="1">
      <c r="B39" s="16" t="s">
        <v>273</v>
      </c>
      <c r="C39" s="8">
        <v>2</v>
      </c>
      <c r="D39" s="8">
        <v>24588</v>
      </c>
      <c r="E39" s="8">
        <v>0</v>
      </c>
      <c r="F39" s="8">
        <v>0</v>
      </c>
      <c r="G39" s="8">
        <v>1</v>
      </c>
      <c r="H39" s="8">
        <v>1</v>
      </c>
      <c r="I39" s="8">
        <v>1</v>
      </c>
    </row>
    <row r="40" spans="2:9" ht="15" customHeight="1">
      <c r="B40" s="16" t="s">
        <v>557</v>
      </c>
      <c r="C40" s="8">
        <v>2</v>
      </c>
      <c r="D40" s="8">
        <v>242006</v>
      </c>
      <c r="E40" s="8">
        <v>0</v>
      </c>
      <c r="F40" s="8">
        <v>0</v>
      </c>
      <c r="G40" s="8">
        <v>2</v>
      </c>
      <c r="H40" s="8">
        <v>0</v>
      </c>
      <c r="I40" s="8">
        <v>1</v>
      </c>
    </row>
    <row r="41" spans="2:9" ht="15" customHeight="1">
      <c r="B41" s="16" t="s">
        <v>439</v>
      </c>
      <c r="C41" s="8">
        <v>2</v>
      </c>
      <c r="D41" s="8">
        <v>17956</v>
      </c>
      <c r="E41" s="8">
        <v>2</v>
      </c>
      <c r="F41" s="8">
        <v>1</v>
      </c>
      <c r="G41" s="8">
        <v>1</v>
      </c>
      <c r="H41" s="8">
        <v>0</v>
      </c>
      <c r="I41" s="8">
        <v>2</v>
      </c>
    </row>
    <row r="42" spans="2:9" ht="15" customHeight="1">
      <c r="B42" s="16" t="s">
        <v>812</v>
      </c>
      <c r="C42" s="8">
        <v>2</v>
      </c>
      <c r="D42" s="8">
        <v>252496</v>
      </c>
      <c r="E42" s="8">
        <v>0</v>
      </c>
      <c r="F42" s="8">
        <v>1</v>
      </c>
      <c r="G42" s="8">
        <v>1</v>
      </c>
      <c r="H42" s="8">
        <v>0</v>
      </c>
      <c r="I42" s="8">
        <v>2</v>
      </c>
    </row>
    <row r="43" spans="2:9" ht="15" customHeight="1">
      <c r="B43" s="16" t="s">
        <v>329</v>
      </c>
      <c r="C43" s="8">
        <v>1</v>
      </c>
      <c r="D43" s="8">
        <v>2267</v>
      </c>
      <c r="E43" s="8">
        <v>2</v>
      </c>
      <c r="F43" s="8">
        <v>0</v>
      </c>
      <c r="G43" s="8">
        <v>1</v>
      </c>
      <c r="H43" s="8">
        <v>0</v>
      </c>
      <c r="I43" s="8">
        <v>1</v>
      </c>
    </row>
    <row r="44" spans="2:9" ht="15" customHeight="1">
      <c r="B44" s="16" t="s">
        <v>1308</v>
      </c>
      <c r="C44" s="8">
        <v>1</v>
      </c>
      <c r="D44" s="8">
        <v>26134</v>
      </c>
      <c r="E44" s="8">
        <v>0</v>
      </c>
      <c r="F44" s="8">
        <v>0</v>
      </c>
      <c r="G44" s="8">
        <v>1</v>
      </c>
      <c r="H44" s="8">
        <v>0</v>
      </c>
      <c r="I44" s="8">
        <v>1</v>
      </c>
    </row>
    <row r="45" spans="2:9" ht="15" customHeight="1">
      <c r="B45" s="16" t="s">
        <v>1309</v>
      </c>
      <c r="C45" s="8">
        <v>1</v>
      </c>
      <c r="D45" s="8">
        <v>9871561</v>
      </c>
      <c r="E45" s="8">
        <v>0</v>
      </c>
      <c r="F45" s="8">
        <v>1</v>
      </c>
      <c r="G45" s="8">
        <v>0</v>
      </c>
      <c r="H45" s="8">
        <v>0</v>
      </c>
      <c r="I45" s="8">
        <v>1</v>
      </c>
    </row>
    <row r="46" spans="2:9" ht="15" customHeight="1">
      <c r="B46" s="16" t="s">
        <v>839</v>
      </c>
      <c r="C46" s="8">
        <v>1</v>
      </c>
      <c r="D46" s="8">
        <v>0</v>
      </c>
      <c r="E46" s="8">
        <v>0</v>
      </c>
      <c r="F46" s="8">
        <v>0</v>
      </c>
      <c r="G46" s="8">
        <v>1</v>
      </c>
      <c r="H46" s="8">
        <v>0</v>
      </c>
      <c r="I46" s="8">
        <v>1</v>
      </c>
    </row>
    <row r="47" spans="2:9" ht="15" customHeight="1">
      <c r="B47" s="16" t="s">
        <v>654</v>
      </c>
      <c r="C47" s="8">
        <v>1</v>
      </c>
      <c r="D47" s="8">
        <v>1330588</v>
      </c>
      <c r="E47" s="8">
        <v>0</v>
      </c>
      <c r="F47" s="8">
        <v>0</v>
      </c>
      <c r="G47" s="8">
        <v>1</v>
      </c>
      <c r="H47" s="8">
        <v>0</v>
      </c>
      <c r="I47" s="8">
        <v>1</v>
      </c>
    </row>
    <row r="48" spans="2:9" ht="15" customHeight="1">
      <c r="B48" s="16" t="s">
        <v>256</v>
      </c>
      <c r="C48" s="8">
        <v>1</v>
      </c>
      <c r="D48" s="8">
        <v>104543</v>
      </c>
      <c r="E48" s="8">
        <v>0</v>
      </c>
      <c r="F48" s="8">
        <v>0</v>
      </c>
      <c r="G48" s="8">
        <v>1</v>
      </c>
      <c r="H48" s="8">
        <v>0</v>
      </c>
      <c r="I48" s="8">
        <v>1</v>
      </c>
    </row>
    <row r="49" spans="2:9" ht="15" customHeight="1">
      <c r="B49" s="16" t="s">
        <v>471</v>
      </c>
      <c r="C49" s="8">
        <v>1</v>
      </c>
      <c r="D49" s="8">
        <v>13750</v>
      </c>
      <c r="E49" s="8">
        <v>0</v>
      </c>
      <c r="F49" s="8">
        <v>1</v>
      </c>
      <c r="G49" s="8">
        <v>0</v>
      </c>
      <c r="H49" s="8">
        <v>0</v>
      </c>
      <c r="I49" s="8">
        <v>1</v>
      </c>
    </row>
    <row r="50" spans="2:9" ht="15" customHeight="1">
      <c r="B50" s="16" t="s">
        <v>538</v>
      </c>
      <c r="C50" s="8">
        <v>1</v>
      </c>
      <c r="D50" s="8">
        <v>27983</v>
      </c>
      <c r="E50" s="8">
        <v>0</v>
      </c>
      <c r="F50" s="8">
        <v>0</v>
      </c>
      <c r="G50" s="8">
        <v>0</v>
      </c>
      <c r="H50" s="8">
        <v>1</v>
      </c>
      <c r="I50" s="8">
        <v>1</v>
      </c>
    </row>
    <row r="51" spans="2:9" ht="15" customHeight="1">
      <c r="B51" s="16" t="s">
        <v>523</v>
      </c>
      <c r="C51" s="8">
        <v>1</v>
      </c>
      <c r="D51" s="8">
        <v>28622</v>
      </c>
      <c r="E51" s="8">
        <v>0</v>
      </c>
      <c r="F51" s="8">
        <v>1</v>
      </c>
      <c r="G51" s="8">
        <v>0</v>
      </c>
      <c r="H51" s="8">
        <v>0</v>
      </c>
      <c r="I51" s="8">
        <v>1</v>
      </c>
    </row>
    <row r="52" spans="2:9" ht="15" customHeight="1">
      <c r="B52" s="16" t="s">
        <v>978</v>
      </c>
      <c r="C52" s="8">
        <v>1</v>
      </c>
      <c r="D52" s="8">
        <v>0</v>
      </c>
      <c r="E52" s="8">
        <v>0</v>
      </c>
      <c r="F52" s="8">
        <v>0</v>
      </c>
      <c r="G52" s="8">
        <v>1</v>
      </c>
      <c r="H52" s="8">
        <v>0</v>
      </c>
      <c r="I52" s="8">
        <v>1</v>
      </c>
    </row>
    <row r="53" spans="2:9" ht="15" customHeight="1">
      <c r="B53" s="16" t="s">
        <v>570</v>
      </c>
      <c r="C53" s="8">
        <v>1</v>
      </c>
      <c r="D53" s="8">
        <v>19153</v>
      </c>
      <c r="E53" s="8">
        <v>0</v>
      </c>
      <c r="F53" s="8">
        <v>1</v>
      </c>
      <c r="G53" s="8">
        <v>0</v>
      </c>
      <c r="H53" s="8">
        <v>0</v>
      </c>
      <c r="I53" s="8">
        <v>1</v>
      </c>
    </row>
    <row r="54" spans="2:9" ht="15" customHeight="1">
      <c r="B54" s="16" t="s">
        <v>385</v>
      </c>
      <c r="C54" s="8">
        <v>1</v>
      </c>
      <c r="D54" s="8">
        <v>279</v>
      </c>
      <c r="E54" s="8">
        <v>1</v>
      </c>
      <c r="F54" s="8">
        <v>0</v>
      </c>
      <c r="G54" s="8">
        <v>1</v>
      </c>
      <c r="H54" s="8">
        <v>0</v>
      </c>
      <c r="I54" s="8">
        <v>1</v>
      </c>
    </row>
    <row r="55" spans="2:9" ht="15" customHeight="1">
      <c r="B55" s="16" t="s">
        <v>830</v>
      </c>
      <c r="C55" s="8">
        <v>1</v>
      </c>
      <c r="D55" s="8">
        <v>0</v>
      </c>
      <c r="E55" s="8">
        <v>0</v>
      </c>
      <c r="F55" s="8">
        <v>0</v>
      </c>
      <c r="G55" s="8">
        <v>1</v>
      </c>
      <c r="H55" s="8">
        <v>0</v>
      </c>
      <c r="I55" s="8">
        <v>1</v>
      </c>
    </row>
    <row r="56" spans="2:9" ht="15" customHeight="1">
      <c r="B56" s="16" t="s">
        <v>933</v>
      </c>
      <c r="C56" s="8">
        <v>1</v>
      </c>
      <c r="D56" s="8">
        <v>17394</v>
      </c>
      <c r="E56" s="8">
        <v>4</v>
      </c>
      <c r="F56" s="8">
        <v>0</v>
      </c>
      <c r="G56" s="8">
        <v>1</v>
      </c>
      <c r="H56" s="8">
        <v>0</v>
      </c>
      <c r="I56" s="8">
        <v>1</v>
      </c>
    </row>
    <row r="57" spans="2:9" ht="15" customHeight="1">
      <c r="B57" s="16" t="s">
        <v>343</v>
      </c>
      <c r="C57" s="8">
        <v>1</v>
      </c>
      <c r="D57" s="8">
        <v>33519</v>
      </c>
      <c r="E57" s="8">
        <v>0</v>
      </c>
      <c r="F57" s="8">
        <v>0</v>
      </c>
      <c r="G57" s="8">
        <v>1</v>
      </c>
      <c r="H57" s="8">
        <v>0</v>
      </c>
      <c r="I57" s="8">
        <v>1</v>
      </c>
    </row>
    <row r="58" spans="2:9" ht="15" customHeight="1">
      <c r="B58" s="16" t="s">
        <v>415</v>
      </c>
      <c r="C58" s="8">
        <v>1</v>
      </c>
      <c r="D58" s="8">
        <v>55177</v>
      </c>
      <c r="E58" s="8">
        <v>17</v>
      </c>
      <c r="F58" s="8">
        <v>0</v>
      </c>
      <c r="G58" s="8">
        <v>0</v>
      </c>
      <c r="H58" s="8">
        <v>1</v>
      </c>
      <c r="I58" s="8">
        <v>1</v>
      </c>
    </row>
    <row r="59" spans="2:9" ht="15" customHeight="1">
      <c r="B59" s="16" t="s">
        <v>669</v>
      </c>
      <c r="C59" s="8">
        <v>1</v>
      </c>
      <c r="D59" s="8">
        <v>45156</v>
      </c>
      <c r="E59" s="8">
        <v>0</v>
      </c>
      <c r="F59" s="8">
        <v>1</v>
      </c>
      <c r="G59" s="8">
        <v>0</v>
      </c>
      <c r="H59" s="8">
        <v>0</v>
      </c>
      <c r="I59" s="8">
        <v>1</v>
      </c>
    </row>
    <row r="60" spans="2:9" ht="15" customHeight="1">
      <c r="B60" s="16" t="s">
        <v>515</v>
      </c>
      <c r="C60" s="8">
        <v>1</v>
      </c>
      <c r="D60" s="8">
        <v>1770722</v>
      </c>
      <c r="E60" s="8">
        <v>0</v>
      </c>
      <c r="F60" s="8">
        <v>0</v>
      </c>
      <c r="G60" s="8">
        <v>1</v>
      </c>
      <c r="H60" s="8">
        <v>0</v>
      </c>
      <c r="I60" s="8">
        <v>1</v>
      </c>
    </row>
    <row r="61" spans="2:9" ht="15" customHeight="1">
      <c r="B61" s="16" t="s">
        <v>196</v>
      </c>
      <c r="C61" s="8">
        <v>1</v>
      </c>
      <c r="D61" s="8">
        <v>252487</v>
      </c>
      <c r="E61" s="8">
        <v>0</v>
      </c>
      <c r="F61" s="8">
        <v>0</v>
      </c>
      <c r="G61" s="8">
        <v>1</v>
      </c>
      <c r="H61" s="8">
        <v>0</v>
      </c>
      <c r="I61" s="8">
        <v>1</v>
      </c>
    </row>
    <row r="63" spans="2:2" ht="15" customHeight="1">
      <c r="B63" s="24" t="s">
        <v>1310</v>
      </c>
    </row>
  </sheetData>
  <autoFilter ref="B26:I26"/>
  <hyperlinks>
    <hyperlink ref="C1" location="Содержание!B4" display="К содержанию"/>
  </hyperlinks>
  <pageMargins left="0.75" right="0.75" top="1" bottom="1" header="0.5" footer="0.5"/>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52f803b-2bb9-46d4-97a1-331bb5c330bf}">
  <dimension ref="B1:I69"/>
  <sheetViews>
    <sheetView showGridLines="0" workbookViewId="0" topLeftCell="A1"/>
  </sheetViews>
  <sheetFormatPr defaultRowHeight="12.75"/>
  <cols>
    <col min="1" max="1" width="4.714285714285714" customWidth="1"/>
    <col min="2" max="2" width="35.714285714285715" customWidth="1"/>
    <col min="3" max="9" width="20.714285714285715" customWidth="1"/>
  </cols>
  <sheetData>
    <row r="1" spans="2:3" s="1" customFormat="1" ht="30" customHeight="1">
      <c r="B1" s="1" t="s">
        <v>0</v>
      </c>
      <c r="C1" s="4" t="s">
        <v>2</v>
      </c>
    </row>
    <row r="4" spans="2:2" ht="12.75">
      <c r="B4" s="2" t="s">
        <v>46</v>
      </c>
    </row>
    <row r="6" spans="2:2" ht="12.75"/>
    <row r="26" spans="2:9" ht="30" customHeight="1">
      <c r="B26" s="5" t="s">
        <v>1311</v>
      </c>
      <c r="C26" s="6" t="s">
        <v>5</v>
      </c>
      <c r="D26" s="6" t="s">
        <v>33</v>
      </c>
      <c r="E26" s="6" t="s">
        <v>34</v>
      </c>
      <c r="F26" s="6" t="s">
        <v>36</v>
      </c>
      <c r="G26" s="6" t="s">
        <v>57</v>
      </c>
      <c r="H26" s="6" t="s">
        <v>38</v>
      </c>
      <c r="I26" s="6" t="s">
        <v>28</v>
      </c>
    </row>
    <row r="27" spans="2:9" ht="15" customHeight="1">
      <c r="B27" s="16" t="s">
        <v>1312</v>
      </c>
      <c r="C27" s="8">
        <v>53</v>
      </c>
      <c r="D27" s="8">
        <v>4217961</v>
      </c>
      <c r="E27" s="8">
        <v>202</v>
      </c>
      <c r="F27" s="8">
        <v>22</v>
      </c>
      <c r="G27" s="8">
        <v>29</v>
      </c>
      <c r="H27" s="8">
        <v>2</v>
      </c>
      <c r="I27" s="8">
        <v>46</v>
      </c>
    </row>
    <row r="28" spans="2:9" ht="15" customHeight="1">
      <c r="B28" s="16" t="s">
        <v>201</v>
      </c>
      <c r="C28" s="8">
        <v>32</v>
      </c>
      <c r="D28" s="8">
        <v>1723372</v>
      </c>
      <c r="E28" s="8">
        <v>84</v>
      </c>
      <c r="F28" s="8">
        <v>3</v>
      </c>
      <c r="G28" s="8">
        <v>28</v>
      </c>
      <c r="H28" s="8">
        <v>1</v>
      </c>
      <c r="I28" s="8">
        <v>28</v>
      </c>
    </row>
    <row r="29" spans="2:9" ht="15" customHeight="1">
      <c r="B29" s="16" t="s">
        <v>189</v>
      </c>
      <c r="C29" s="8">
        <v>25</v>
      </c>
      <c r="D29" s="8">
        <v>452171</v>
      </c>
      <c r="E29" s="8">
        <v>1</v>
      </c>
      <c r="F29" s="8">
        <v>8</v>
      </c>
      <c r="G29" s="8">
        <v>15</v>
      </c>
      <c r="H29" s="8">
        <v>2</v>
      </c>
      <c r="I29" s="8">
        <v>16</v>
      </c>
    </row>
    <row r="30" spans="2:9" ht="15" customHeight="1">
      <c r="B30" s="16" t="s">
        <v>237</v>
      </c>
      <c r="C30" s="8">
        <v>5</v>
      </c>
      <c r="D30" s="8">
        <v>204749</v>
      </c>
      <c r="E30" s="8">
        <v>2</v>
      </c>
      <c r="F30" s="8">
        <v>2</v>
      </c>
      <c r="G30" s="8">
        <v>1</v>
      </c>
      <c r="H30" s="8">
        <v>2</v>
      </c>
      <c r="I30" s="8">
        <v>5</v>
      </c>
    </row>
    <row r="31" spans="2:9" ht="15" customHeight="1">
      <c r="B31" s="16" t="s">
        <v>401</v>
      </c>
      <c r="C31" s="8">
        <v>3</v>
      </c>
      <c r="D31" s="8">
        <v>87410</v>
      </c>
      <c r="E31" s="8">
        <v>0</v>
      </c>
      <c r="F31" s="8">
        <v>1</v>
      </c>
      <c r="G31" s="8">
        <v>2</v>
      </c>
      <c r="H31" s="8">
        <v>0</v>
      </c>
      <c r="I31" s="8">
        <v>3</v>
      </c>
    </row>
    <row r="32" spans="2:9" ht="15" customHeight="1">
      <c r="B32" s="16" t="s">
        <v>219</v>
      </c>
      <c r="C32" s="8">
        <v>3</v>
      </c>
      <c r="D32" s="8">
        <v>66349</v>
      </c>
      <c r="E32" s="8">
        <v>0</v>
      </c>
      <c r="F32" s="8">
        <v>1</v>
      </c>
      <c r="G32" s="8">
        <v>2</v>
      </c>
      <c r="H32" s="8">
        <v>0</v>
      </c>
      <c r="I32" s="8">
        <v>2</v>
      </c>
    </row>
    <row r="33" spans="2:9" ht="15" customHeight="1">
      <c r="B33" s="16" t="s">
        <v>875</v>
      </c>
      <c r="C33" s="8">
        <v>2</v>
      </c>
      <c r="D33" s="8">
        <v>197908</v>
      </c>
      <c r="E33" s="8">
        <v>0</v>
      </c>
      <c r="F33" s="8">
        <v>2</v>
      </c>
      <c r="G33" s="8">
        <v>0</v>
      </c>
      <c r="H33" s="8">
        <v>0</v>
      </c>
      <c r="I33" s="8">
        <v>1</v>
      </c>
    </row>
    <row r="34" spans="2:9" ht="15" customHeight="1">
      <c r="B34" s="16" t="s">
        <v>436</v>
      </c>
      <c r="C34" s="8">
        <v>2</v>
      </c>
      <c r="D34" s="8">
        <v>9651</v>
      </c>
      <c r="E34" s="8">
        <v>0</v>
      </c>
      <c r="F34" s="8">
        <v>0</v>
      </c>
      <c r="G34" s="8">
        <v>2</v>
      </c>
      <c r="H34" s="8">
        <v>0</v>
      </c>
      <c r="I34" s="8">
        <v>2</v>
      </c>
    </row>
    <row r="35" spans="2:9" ht="15" customHeight="1">
      <c r="B35" s="16" t="s">
        <v>263</v>
      </c>
      <c r="C35" s="8">
        <v>2</v>
      </c>
      <c r="D35" s="8">
        <v>84954</v>
      </c>
      <c r="E35" s="8">
        <v>0</v>
      </c>
      <c r="F35" s="8">
        <v>0</v>
      </c>
      <c r="G35" s="8">
        <v>2</v>
      </c>
      <c r="H35" s="8">
        <v>0</v>
      </c>
      <c r="I35" s="8">
        <v>1</v>
      </c>
    </row>
    <row r="36" spans="2:9" ht="15" customHeight="1">
      <c r="B36" s="16" t="s">
        <v>274</v>
      </c>
      <c r="C36" s="8">
        <v>2</v>
      </c>
      <c r="D36" s="8">
        <v>24588</v>
      </c>
      <c r="E36" s="8">
        <v>0</v>
      </c>
      <c r="F36" s="8">
        <v>0</v>
      </c>
      <c r="G36" s="8">
        <v>1</v>
      </c>
      <c r="H36" s="8">
        <v>1</v>
      </c>
      <c r="I36" s="8">
        <v>1</v>
      </c>
    </row>
    <row r="37" spans="2:9" ht="15" customHeight="1">
      <c r="B37" s="16" t="s">
        <v>558</v>
      </c>
      <c r="C37" s="8">
        <v>2</v>
      </c>
      <c r="D37" s="8">
        <v>242006</v>
      </c>
      <c r="E37" s="8">
        <v>0</v>
      </c>
      <c r="F37" s="8">
        <v>0</v>
      </c>
      <c r="G37" s="8">
        <v>2</v>
      </c>
      <c r="H37" s="8">
        <v>0</v>
      </c>
      <c r="I37" s="8">
        <v>1</v>
      </c>
    </row>
    <row r="38" spans="2:9" ht="15" customHeight="1">
      <c r="B38" s="16" t="s">
        <v>339</v>
      </c>
      <c r="C38" s="8">
        <v>2</v>
      </c>
      <c r="D38" s="8">
        <v>66245</v>
      </c>
      <c r="E38" s="8">
        <v>0</v>
      </c>
      <c r="F38" s="8">
        <v>1</v>
      </c>
      <c r="G38" s="8">
        <v>1</v>
      </c>
      <c r="H38" s="8">
        <v>0</v>
      </c>
      <c r="I38" s="8">
        <v>2</v>
      </c>
    </row>
    <row r="39" spans="2:9" ht="15" customHeight="1">
      <c r="B39" s="16" t="s">
        <v>813</v>
      </c>
      <c r="C39" s="8">
        <v>2</v>
      </c>
      <c r="D39" s="8">
        <v>252496</v>
      </c>
      <c r="E39" s="8">
        <v>0</v>
      </c>
      <c r="F39" s="8">
        <v>1</v>
      </c>
      <c r="G39" s="8">
        <v>1</v>
      </c>
      <c r="H39" s="8">
        <v>0</v>
      </c>
      <c r="I39" s="8">
        <v>2</v>
      </c>
    </row>
    <row r="40" spans="2:9" ht="15" customHeight="1">
      <c r="B40" s="16" t="s">
        <v>889</v>
      </c>
      <c r="C40" s="8">
        <v>2</v>
      </c>
      <c r="D40" s="8">
        <v>252496</v>
      </c>
      <c r="E40" s="8">
        <v>2</v>
      </c>
      <c r="F40" s="8">
        <v>1</v>
      </c>
      <c r="G40" s="8">
        <v>1</v>
      </c>
      <c r="H40" s="8">
        <v>0</v>
      </c>
      <c r="I40" s="8">
        <v>1</v>
      </c>
    </row>
    <row r="41" spans="2:9" ht="15" customHeight="1">
      <c r="B41" s="16" t="s">
        <v>492</v>
      </c>
      <c r="C41" s="8">
        <v>1</v>
      </c>
      <c r="D41" s="8">
        <v>4037</v>
      </c>
      <c r="E41" s="8">
        <v>0</v>
      </c>
      <c r="F41" s="8">
        <v>1</v>
      </c>
      <c r="G41" s="8">
        <v>0</v>
      </c>
      <c r="H41" s="8">
        <v>0</v>
      </c>
      <c r="I41" s="8">
        <v>1</v>
      </c>
    </row>
    <row r="42" spans="2:9" ht="15" customHeight="1">
      <c r="B42" s="16" t="s">
        <v>448</v>
      </c>
      <c r="C42" s="8">
        <v>1</v>
      </c>
      <c r="D42" s="8">
        <v>461</v>
      </c>
      <c r="E42" s="8">
        <v>0</v>
      </c>
      <c r="F42" s="8">
        <v>1</v>
      </c>
      <c r="G42" s="8">
        <v>0</v>
      </c>
      <c r="H42" s="8">
        <v>0</v>
      </c>
      <c r="I42" s="8">
        <v>1</v>
      </c>
    </row>
    <row r="43" spans="2:9" ht="15" customHeight="1">
      <c r="B43" s="16" t="s">
        <v>432</v>
      </c>
      <c r="C43" s="8">
        <v>1</v>
      </c>
      <c r="D43" s="8">
        <v>26134</v>
      </c>
      <c r="E43" s="8">
        <v>0</v>
      </c>
      <c r="F43" s="8">
        <v>0</v>
      </c>
      <c r="G43" s="8">
        <v>1</v>
      </c>
      <c r="H43" s="8">
        <v>0</v>
      </c>
      <c r="I43" s="8">
        <v>1</v>
      </c>
    </row>
    <row r="44" spans="2:9" ht="15" customHeight="1">
      <c r="B44" s="16" t="s">
        <v>359</v>
      </c>
      <c r="C44" s="8">
        <v>1</v>
      </c>
      <c r="D44" s="8">
        <v>257</v>
      </c>
      <c r="E44" s="8">
        <v>0</v>
      </c>
      <c r="F44" s="8">
        <v>0</v>
      </c>
      <c r="G44" s="8">
        <v>1</v>
      </c>
      <c r="H44" s="8">
        <v>0</v>
      </c>
      <c r="I44" s="8">
        <v>1</v>
      </c>
    </row>
    <row r="45" spans="2:9" ht="15" customHeight="1">
      <c r="B45" s="16" t="s">
        <v>479</v>
      </c>
      <c r="C45" s="8">
        <v>1</v>
      </c>
      <c r="D45" s="8">
        <v>1778</v>
      </c>
      <c r="E45" s="8">
        <v>0</v>
      </c>
      <c r="F45" s="8">
        <v>0</v>
      </c>
      <c r="G45" s="8">
        <v>1</v>
      </c>
      <c r="H45" s="8">
        <v>0</v>
      </c>
      <c r="I45" s="8">
        <v>1</v>
      </c>
    </row>
    <row r="46" spans="2:9" ht="15" customHeight="1">
      <c r="B46" s="16" t="s">
        <v>613</v>
      </c>
      <c r="C46" s="8">
        <v>1</v>
      </c>
      <c r="D46" s="8">
        <v>188185</v>
      </c>
      <c r="E46" s="8">
        <v>0</v>
      </c>
      <c r="F46" s="8">
        <v>0</v>
      </c>
      <c r="G46" s="8">
        <v>1</v>
      </c>
      <c r="H46" s="8">
        <v>0</v>
      </c>
      <c r="I46" s="8">
        <v>1</v>
      </c>
    </row>
    <row r="47" spans="2:9" ht="15" customHeight="1">
      <c r="B47" s="16" t="s">
        <v>563</v>
      </c>
      <c r="C47" s="8">
        <v>1</v>
      </c>
      <c r="D47" s="8">
        <v>1599305</v>
      </c>
      <c r="E47" s="8">
        <v>0</v>
      </c>
      <c r="F47" s="8">
        <v>1</v>
      </c>
      <c r="G47" s="8">
        <v>0</v>
      </c>
      <c r="H47" s="8">
        <v>0</v>
      </c>
      <c r="I47" s="8">
        <v>1</v>
      </c>
    </row>
    <row r="48" spans="2:9" ht="15" customHeight="1">
      <c r="B48" s="16" t="s">
        <v>370</v>
      </c>
      <c r="C48" s="8">
        <v>1</v>
      </c>
      <c r="D48" s="8">
        <v>9871561</v>
      </c>
      <c r="E48" s="8">
        <v>0</v>
      </c>
      <c r="F48" s="8">
        <v>1</v>
      </c>
      <c r="G48" s="8">
        <v>0</v>
      </c>
      <c r="H48" s="8">
        <v>0</v>
      </c>
      <c r="I48" s="8">
        <v>1</v>
      </c>
    </row>
    <row r="49" spans="2:9" ht="15" customHeight="1">
      <c r="B49" s="16" t="s">
        <v>840</v>
      </c>
      <c r="C49" s="8">
        <v>1</v>
      </c>
      <c r="D49" s="8">
        <v>0</v>
      </c>
      <c r="E49" s="8">
        <v>0</v>
      </c>
      <c r="F49" s="8">
        <v>0</v>
      </c>
      <c r="G49" s="8">
        <v>1</v>
      </c>
      <c r="H49" s="8">
        <v>0</v>
      </c>
      <c r="I49" s="8">
        <v>1</v>
      </c>
    </row>
    <row r="50" spans="2:9" ht="15" customHeight="1">
      <c r="B50" s="16" t="s">
        <v>764</v>
      </c>
      <c r="C50" s="8">
        <v>1</v>
      </c>
      <c r="D50" s="8">
        <v>7</v>
      </c>
      <c r="E50" s="8">
        <v>0</v>
      </c>
      <c r="F50" s="8">
        <v>0</v>
      </c>
      <c r="G50" s="8">
        <v>1</v>
      </c>
      <c r="H50" s="8">
        <v>0</v>
      </c>
      <c r="I50" s="8">
        <v>1</v>
      </c>
    </row>
    <row r="51" spans="2:9" ht="15" customHeight="1">
      <c r="B51" s="16" t="s">
        <v>655</v>
      </c>
      <c r="C51" s="8">
        <v>1</v>
      </c>
      <c r="D51" s="8">
        <v>1330588</v>
      </c>
      <c r="E51" s="8">
        <v>0</v>
      </c>
      <c r="F51" s="8">
        <v>0</v>
      </c>
      <c r="G51" s="8">
        <v>1</v>
      </c>
      <c r="H51" s="8">
        <v>0</v>
      </c>
      <c r="I51" s="8">
        <v>1</v>
      </c>
    </row>
    <row r="52" spans="2:9" ht="15" customHeight="1">
      <c r="B52" s="16" t="s">
        <v>257</v>
      </c>
      <c r="C52" s="8">
        <v>1</v>
      </c>
      <c r="D52" s="8">
        <v>104543</v>
      </c>
      <c r="E52" s="8">
        <v>0</v>
      </c>
      <c r="F52" s="8">
        <v>0</v>
      </c>
      <c r="G52" s="8">
        <v>1</v>
      </c>
      <c r="H52" s="8">
        <v>0</v>
      </c>
      <c r="I52" s="8">
        <v>1</v>
      </c>
    </row>
    <row r="53" spans="2:9" ht="15" customHeight="1">
      <c r="B53" s="16" t="s">
        <v>428</v>
      </c>
      <c r="C53" s="8">
        <v>1</v>
      </c>
      <c r="D53" s="8">
        <v>3256</v>
      </c>
      <c r="E53" s="8">
        <v>0</v>
      </c>
      <c r="F53" s="8">
        <v>0</v>
      </c>
      <c r="G53" s="8">
        <v>1</v>
      </c>
      <c r="H53" s="8">
        <v>0</v>
      </c>
      <c r="I53" s="8">
        <v>1</v>
      </c>
    </row>
    <row r="54" spans="2:9" ht="15" customHeight="1">
      <c r="B54" s="16" t="s">
        <v>469</v>
      </c>
      <c r="C54" s="8">
        <v>1</v>
      </c>
      <c r="D54" s="8">
        <v>13750</v>
      </c>
      <c r="E54" s="8">
        <v>0</v>
      </c>
      <c r="F54" s="8">
        <v>1</v>
      </c>
      <c r="G54" s="8">
        <v>0</v>
      </c>
      <c r="H54" s="8">
        <v>0</v>
      </c>
      <c r="I54" s="8">
        <v>1</v>
      </c>
    </row>
    <row r="55" spans="2:9" ht="15" customHeight="1">
      <c r="B55" s="16" t="s">
        <v>539</v>
      </c>
      <c r="C55" s="8">
        <v>1</v>
      </c>
      <c r="D55" s="8">
        <v>27983</v>
      </c>
      <c r="E55" s="8">
        <v>0</v>
      </c>
      <c r="F55" s="8">
        <v>0</v>
      </c>
      <c r="G55" s="8">
        <v>0</v>
      </c>
      <c r="H55" s="8">
        <v>1</v>
      </c>
      <c r="I55" s="8">
        <v>1</v>
      </c>
    </row>
    <row r="56" spans="2:9" ht="15" customHeight="1">
      <c r="B56" s="16" t="s">
        <v>524</v>
      </c>
      <c r="C56" s="8">
        <v>1</v>
      </c>
      <c r="D56" s="8">
        <v>28622</v>
      </c>
      <c r="E56" s="8">
        <v>0</v>
      </c>
      <c r="F56" s="8">
        <v>1</v>
      </c>
      <c r="G56" s="8">
        <v>0</v>
      </c>
      <c r="H56" s="8">
        <v>0</v>
      </c>
      <c r="I56" s="8">
        <v>1</v>
      </c>
    </row>
    <row r="57" spans="2:9" ht="15" customHeight="1">
      <c r="B57" s="16" t="s">
        <v>440</v>
      </c>
      <c r="C57" s="8">
        <v>1</v>
      </c>
      <c r="D57" s="8">
        <v>17935</v>
      </c>
      <c r="E57" s="8">
        <v>0</v>
      </c>
      <c r="F57" s="8">
        <v>1</v>
      </c>
      <c r="G57" s="8">
        <v>0</v>
      </c>
      <c r="H57" s="8">
        <v>0</v>
      </c>
      <c r="I57" s="8">
        <v>1</v>
      </c>
    </row>
    <row r="58" spans="2:9" ht="15" customHeight="1">
      <c r="B58" s="16" t="s">
        <v>775</v>
      </c>
      <c r="C58" s="8">
        <v>1</v>
      </c>
      <c r="D58" s="8">
        <v>21</v>
      </c>
      <c r="E58" s="8">
        <v>2</v>
      </c>
      <c r="F58" s="8">
        <v>0</v>
      </c>
      <c r="G58" s="8">
        <v>1</v>
      </c>
      <c r="H58" s="8">
        <v>0</v>
      </c>
      <c r="I58" s="8">
        <v>1</v>
      </c>
    </row>
    <row r="59" spans="2:9" ht="15" customHeight="1">
      <c r="B59" s="16" t="s">
        <v>571</v>
      </c>
      <c r="C59" s="8">
        <v>1</v>
      </c>
      <c r="D59" s="8">
        <v>19153</v>
      </c>
      <c r="E59" s="8">
        <v>0</v>
      </c>
      <c r="F59" s="8">
        <v>1</v>
      </c>
      <c r="G59" s="8">
        <v>0</v>
      </c>
      <c r="H59" s="8">
        <v>0</v>
      </c>
      <c r="I59" s="8">
        <v>1</v>
      </c>
    </row>
    <row r="60" spans="2:9" ht="15" customHeight="1">
      <c r="B60" s="16" t="s">
        <v>386</v>
      </c>
      <c r="C60" s="8">
        <v>1</v>
      </c>
      <c r="D60" s="8">
        <v>279</v>
      </c>
      <c r="E60" s="8">
        <v>1</v>
      </c>
      <c r="F60" s="8">
        <v>0</v>
      </c>
      <c r="G60" s="8">
        <v>1</v>
      </c>
      <c r="H60" s="8">
        <v>0</v>
      </c>
      <c r="I60" s="8">
        <v>1</v>
      </c>
    </row>
    <row r="61" spans="2:9" ht="15" customHeight="1">
      <c r="B61" s="16" t="s">
        <v>831</v>
      </c>
      <c r="C61" s="8">
        <v>1</v>
      </c>
      <c r="D61" s="8">
        <v>0</v>
      </c>
      <c r="E61" s="8">
        <v>0</v>
      </c>
      <c r="F61" s="8">
        <v>0</v>
      </c>
      <c r="G61" s="8">
        <v>1</v>
      </c>
      <c r="H61" s="8">
        <v>0</v>
      </c>
      <c r="I61" s="8">
        <v>1</v>
      </c>
    </row>
    <row r="62" spans="2:9" ht="15" customHeight="1">
      <c r="B62" s="16" t="s">
        <v>344</v>
      </c>
      <c r="C62" s="8">
        <v>1</v>
      </c>
      <c r="D62" s="8">
        <v>33519</v>
      </c>
      <c r="E62" s="8">
        <v>0</v>
      </c>
      <c r="F62" s="8">
        <v>0</v>
      </c>
      <c r="G62" s="8">
        <v>1</v>
      </c>
      <c r="H62" s="8">
        <v>0</v>
      </c>
      <c r="I62" s="8">
        <v>1</v>
      </c>
    </row>
    <row r="63" spans="2:9" ht="15" customHeight="1">
      <c r="B63" s="16" t="s">
        <v>416</v>
      </c>
      <c r="C63" s="8">
        <v>1</v>
      </c>
      <c r="D63" s="8">
        <v>55177</v>
      </c>
      <c r="E63" s="8">
        <v>17</v>
      </c>
      <c r="F63" s="8">
        <v>0</v>
      </c>
      <c r="G63" s="8">
        <v>0</v>
      </c>
      <c r="H63" s="8">
        <v>1</v>
      </c>
      <c r="I63" s="8">
        <v>1</v>
      </c>
    </row>
    <row r="64" spans="2:9" ht="15" customHeight="1">
      <c r="B64" s="16" t="s">
        <v>667</v>
      </c>
      <c r="C64" s="8">
        <v>1</v>
      </c>
      <c r="D64" s="8">
        <v>45156</v>
      </c>
      <c r="E64" s="8">
        <v>0</v>
      </c>
      <c r="F64" s="8">
        <v>1</v>
      </c>
      <c r="G64" s="8">
        <v>0</v>
      </c>
      <c r="H64" s="8">
        <v>0</v>
      </c>
      <c r="I64" s="8">
        <v>1</v>
      </c>
    </row>
    <row r="65" spans="2:9" ht="15" customHeight="1">
      <c r="B65" s="16" t="s">
        <v>516</v>
      </c>
      <c r="C65" s="8">
        <v>1</v>
      </c>
      <c r="D65" s="8">
        <v>1770722</v>
      </c>
      <c r="E65" s="8">
        <v>0</v>
      </c>
      <c r="F65" s="8">
        <v>0</v>
      </c>
      <c r="G65" s="8">
        <v>1</v>
      </c>
      <c r="H65" s="8">
        <v>0</v>
      </c>
      <c r="I65" s="8">
        <v>1</v>
      </c>
    </row>
    <row r="66" spans="2:9" ht="15" customHeight="1">
      <c r="B66" s="16" t="s">
        <v>330</v>
      </c>
      <c r="C66" s="8">
        <v>1</v>
      </c>
      <c r="D66" s="8">
        <v>2267</v>
      </c>
      <c r="E66" s="8">
        <v>2</v>
      </c>
      <c r="F66" s="8">
        <v>0</v>
      </c>
      <c r="G66" s="8">
        <v>1</v>
      </c>
      <c r="H66" s="8">
        <v>0</v>
      </c>
      <c r="I66" s="8">
        <v>1</v>
      </c>
    </row>
    <row r="67" spans="2:9" ht="15" customHeight="1">
      <c r="B67" s="16" t="s">
        <v>197</v>
      </c>
      <c r="C67" s="8">
        <v>1</v>
      </c>
      <c r="D67" s="8">
        <v>252487</v>
      </c>
      <c r="E67" s="8">
        <v>0</v>
      </c>
      <c r="F67" s="8">
        <v>0</v>
      </c>
      <c r="G67" s="8">
        <v>1</v>
      </c>
      <c r="H67" s="8">
        <v>0</v>
      </c>
      <c r="I67" s="8">
        <v>1</v>
      </c>
    </row>
    <row r="69" spans="2:2" ht="15" customHeight="1">
      <c r="B69" s="24" t="s">
        <v>1313</v>
      </c>
    </row>
  </sheetData>
  <autoFilter ref="B26:I26"/>
  <hyperlinks>
    <hyperlink ref="C1" location="Содержание!B4" display="К содержанию"/>
  </hyperlink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25</vt:i4>
      </vt:variant>
    </vt:vector>
  </HeadingPairs>
  <TitlesOfParts>
    <vt:vector size="25" baseType="lpstr">
      <vt:lpstr>Содержание</vt:lpstr>
      <vt:lpstr>Показатели</vt:lpstr>
      <vt:lpstr>Динамика</vt:lpstr>
      <vt:lpstr>Сообщения</vt:lpstr>
      <vt:lpstr>События СМИ</vt:lpstr>
      <vt:lpstr>Тональность</vt:lpstr>
      <vt:lpstr>Мнения</vt:lpstr>
      <vt:lpstr>Теги</vt:lpstr>
      <vt:lpstr>Промо</vt:lpstr>
      <vt:lpstr>Заказчики</vt:lpstr>
      <vt:lpstr>Оценки</vt:lpstr>
      <vt:lpstr>Типы площадок</vt:lpstr>
      <vt:lpstr>Площадки</vt:lpstr>
      <vt:lpstr>Тематики</vt:lpstr>
      <vt:lpstr>Группы</vt:lpstr>
      <vt:lpstr>Авторы</vt:lpstr>
      <vt:lpstr>Соцдем авторов</vt:lpstr>
      <vt:lpstr>Эмоции</vt:lpstr>
      <vt:lpstr>Реакции</vt:lpstr>
      <vt:lpstr>Слова</vt:lpstr>
      <vt:lpstr>Хэштеги</vt:lpstr>
      <vt:lpstr>Страны</vt:lpstr>
      <vt:lpstr>Федеральные округа</vt:lpstr>
      <vt:lpstr>Регионы РФ</vt:lpstr>
      <vt:lpstr>Города РФ</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