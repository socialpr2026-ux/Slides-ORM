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1.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drawings/drawing2.xml" ContentType="application/vnd.openxmlformats-officedocument.drawing+xml"/>
  <Override PartName="/xl/worksheets/sheet6.xml" ContentType="application/vnd.openxmlformats-officedocument.spreadsheetml.worksheet+xml"/>
  <Override PartName="/xl/charts/chart9.xml" ContentType="application/vnd.openxmlformats-officedocument.drawingml.chart+xml"/>
  <Override PartName="/xl/drawings/drawing3.xml" ContentType="application/vnd.openxmlformats-officedocument.drawing+xml"/>
  <Override PartName="/xl/worksheets/sheet7.xml" ContentType="application/vnd.openxmlformats-officedocument.spreadsheetml.worksheet+xml"/>
  <Override PartName="/xl/charts/chart10.xml" ContentType="application/vnd.openxmlformats-officedocument.drawingml.chart+xml"/>
  <Override PartName="/xl/charts/chart11.xml" ContentType="application/vnd.openxmlformats-officedocument.drawingml.chart+xml"/>
  <Override PartName="/xl/drawings/drawing4.xml" ContentType="application/vnd.openxmlformats-officedocument.drawing+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5.xml" ContentType="application/vnd.openxmlformats-officedocument.drawing+xml"/>
  <Override PartName="/xl/worksheets/sheet11.xml" ContentType="application/vnd.openxmlformats-officedocument.spreadsheetml.worksheet+xml"/>
  <Override PartName="/xl/charts/chart15.xml" ContentType="application/vnd.openxmlformats-officedocument.drawingml.chart+xml"/>
  <Override PartName="/xl/drawings/drawing6.xml" ContentType="application/vnd.openxmlformats-officedocument.drawing+xml"/>
  <Override PartName="/xl/worksheets/sheet12.xml" ContentType="application/vnd.openxmlformats-officedocument.spreadsheetml.worksheet+xml"/>
  <Override PartName="/xl/charts/chart16.xml" ContentType="application/vnd.openxmlformats-officedocument.drawingml.chart+xml"/>
  <Override PartName="/xl/drawings/drawing7.xml" ContentType="application/vnd.openxmlformats-officedocument.drawing+xml"/>
  <Override PartName="/xl/worksheets/sheet13.xml" ContentType="application/vnd.openxmlformats-officedocument.spreadsheetml.worksheet+xml"/>
  <Override PartName="/xl/worksheets/sheet14.xml" ContentType="application/vnd.openxmlformats-officedocument.spreadsheetml.worksheet+xml"/>
  <Override PartName="/xl/charts/chart17.xml" ContentType="application/vnd.openxmlformats-officedocument.drawingml.chart+xml"/>
  <Override PartName="/xl/drawings/drawing8.xml" ContentType="application/vnd.openxmlformats-officedocument.drawing+xml"/>
  <Override PartName="/xl/worksheets/sheet15.xml" ContentType="application/vnd.openxmlformats-officedocument.spreadsheetml.worksheet+xml"/>
  <Override PartName="/xl/charts/chart18.xml" ContentType="application/vnd.openxmlformats-officedocument.drawingml.chart+xml"/>
  <Override PartName="/xl/drawings/drawing9.xml" ContentType="application/vnd.openxmlformats-officedocument.drawing+xml"/>
  <Override PartName="/xl/worksheets/sheet16.xml" ContentType="application/vnd.openxmlformats-officedocument.spreadsheetml.worksheet+xml"/>
  <Override PartName="/xl/charts/chart19.xml" ContentType="application/vnd.openxmlformats-officedocument.drawingml.chart+xml"/>
  <Override PartName="/xl/charts/chart20.xml" ContentType="application/vnd.openxmlformats-officedocument.drawingml.chart+xml"/>
  <Override PartName="/xl/charts/chart21.xml" ContentType="application/vnd.openxmlformats-officedocument.drawingml.chart+xml"/>
  <Override PartName="/xl/charts/chart22.xml" ContentType="application/vnd.openxmlformats-officedocument.drawingml.chart+xml"/>
  <Override PartName="/xl/charts/chart23.xml" ContentType="application/vnd.openxmlformats-officedocument.drawingml.chart+xml"/>
  <Override PartName="/xl/charts/chart24.xml" ContentType="application/vnd.openxmlformats-officedocument.drawingml.chart+xml"/>
  <Override PartName="/xl/charts/chart25.xml" ContentType="application/vnd.openxmlformats-officedocument.drawingml.chart+xml"/>
  <Override PartName="/xl/charts/chart26.xml" ContentType="application/vnd.openxmlformats-officedocument.drawingml.chart+xml"/>
  <Override PartName="/xl/drawings/drawing10.xml" ContentType="application/vnd.openxmlformats-officedocument.drawing+xml"/>
  <Override PartName="/xl/worksheets/sheet17.xml" ContentType="application/vnd.openxmlformats-officedocument.spreadsheetml.worksheet+xml"/>
  <Override PartName="/xl/charts/chart27.xml" ContentType="application/vnd.openxmlformats-officedocument.drawingml.chart+xml"/>
  <Override PartName="/xl/drawings/drawing11.xml" ContentType="application/vnd.openxmlformats-officedocument.drawing+xml"/>
  <Override PartName="/xl/worksheets/sheet18.xml" ContentType="application/vnd.openxmlformats-officedocument.spreadsheetml.worksheet+xml"/>
  <Override PartName="/xl/charts/chart28.xml" ContentType="application/vnd.openxmlformats-officedocument.drawingml.chart+xml"/>
  <Override PartName="/xl/drawings/drawing12.xml" ContentType="application/vnd.openxmlformats-officedocument.drawing+xml"/>
  <Override PartName="/xl/worksheets/sheet19.xml" ContentType="application/vnd.openxmlformats-officedocument.spreadsheetml.worksheet+xml"/>
  <Override PartName="/xl/charts/chart29.xml" ContentType="application/vnd.openxmlformats-officedocument.drawingml.chart+xml"/>
  <Override PartName="/xl/drawings/drawing13.xml" ContentType="application/vnd.openxmlformats-officedocument.drawing+xml"/>
  <Override PartName="/xl/worksheets/sheet20.xml" ContentType="application/vnd.openxmlformats-officedocument.spreadsheetml.worksheet+xml"/>
  <Override PartName="/xl/charts/chart30.xml" ContentType="application/vnd.openxmlformats-officedocument.drawingml.chart+xml"/>
  <Override PartName="/xl/drawings/drawing14.xml" ContentType="application/vnd.openxmlformats-officedocument.drawing+xml"/>
  <Override PartName="/xl/worksheets/sheet21.xml" ContentType="application/vnd.openxmlformats-officedocument.spreadsheetml.worksheet+xml"/>
  <Override PartName="/xl/charts/chart31.xml" ContentType="application/vnd.openxmlformats-officedocument.drawingml.chart+xml"/>
  <Override PartName="/xl/drawings/drawing15.xml" ContentType="application/vnd.openxmlformats-officedocument.drawing+xml"/>
  <Override PartName="/xl/worksheets/sheet22.xml" ContentType="application/vnd.openxmlformats-officedocument.spreadsheetml.worksheet+xml"/>
  <Override PartName="/xl/charts/chart32.xml" ContentType="application/vnd.openxmlformats-officedocument.drawingml.chart+xml"/>
  <Override PartName="/xl/drawings/drawing16.xml" ContentType="application/vnd.openxmlformats-officedocument.drawing+xml"/>
  <Override PartName="/xl/worksheets/sheet23.xml" ContentType="application/vnd.openxmlformats-officedocument.spreadsheetml.worksheet+xml"/>
  <Override PartName="/xl/charts/chart33.xml" ContentType="application/vnd.openxmlformats-officedocument.drawingml.chart+xml"/>
  <Override PartName="/xl/drawings/drawing17.xml" ContentType="application/vnd.openxmlformats-officedocument.drawing+xml"/>
  <Override PartName="/xl/worksheets/sheet24.xml" ContentType="application/vnd.openxmlformats-officedocument.spreadsheetml.worksheet+xml"/>
  <Override PartName="/xl/charts/chart34.xml" ContentType="application/vnd.openxmlformats-officedocument.drawingml.chart+xml"/>
  <Override PartName="/xl/drawings/drawing18.xml" ContentType="application/vnd.openxmlformats-officedocument.drawing+xml"/>
  <Override PartName="/xl/worksheets/sheet25.xml" ContentType="application/vnd.openxmlformats-officedocument.spreadsheetml.worksheet+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3" Type="http://schemas.openxmlformats.org/officeDocument/2006/relationships/extended-properties" Target="docProps/app.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Содержание" sheetId="2" r:id="rId3"/>
    <sheet name="Показатели" sheetId="3" r:id="rId4"/>
    <sheet name="Динамика" sheetId="4" r:id="rId5"/>
    <sheet name="Сообщения" sheetId="5" r:id="rId6"/>
    <sheet name="События СМИ" sheetId="6" r:id="rId7"/>
    <sheet name="Тональность" sheetId="7" r:id="rId8"/>
    <sheet name="Мнения" sheetId="8" r:id="rId9"/>
    <sheet name="Теги" sheetId="9" r:id="rId10"/>
    <sheet name="Промо" sheetId="10" r:id="rId11"/>
    <sheet name="Заказчики" sheetId="11" r:id="rId12"/>
    <sheet name="Оценки" sheetId="12" r:id="rId13"/>
    <sheet name="Типы площадок" sheetId="13" r:id="rId14"/>
    <sheet name="Площадки" sheetId="14" r:id="rId15"/>
    <sheet name="Тематики" sheetId="15" r:id="rId16"/>
    <sheet name="Группы" sheetId="16" r:id="rId17"/>
    <sheet name="Авторы" sheetId="17" r:id="rId18"/>
    <sheet name="Соцдем авторов" sheetId="18" r:id="rId19"/>
    <sheet name="Эмоции" sheetId="19" r:id="rId20"/>
    <sheet name="Реакции" sheetId="20" r:id="rId21"/>
    <sheet name="Слова" sheetId="21" r:id="rId22"/>
    <sheet name="Хэштеги" sheetId="22" r:id="rId23"/>
    <sheet name="Страны" sheetId="23" r:id="rId24"/>
    <sheet name="Федеральные округа" sheetId="24" r:id="rId25"/>
    <sheet name="Регионы РФ" sheetId="25" r:id="rId26"/>
    <sheet name="Города РФ" sheetId="26" r:id="rId27"/>
  </sheets>
  <definedNames>
    <definedName name="_xlnm._FilterDatabase" localSheetId="3" hidden="1">Сообщения!$B$6:$AV$6</definedName>
    <definedName name="_xlnm._FilterDatabase" localSheetId="12" hidden="1">Площадки!$B$27:$O$27</definedName>
    <definedName name="_xlnm._FilterDatabase" localSheetId="13" hidden="1">Тематики!$B$6:$K$6</definedName>
    <definedName name="_xlnm._FilterDatabase" localSheetId="14" hidden="1">Группы!$B$27:$W$27</definedName>
    <definedName name="_xlnm._FilterDatabase" localSheetId="15" hidden="1">Авторы!$B$27:$Z$27</definedName>
    <definedName name="_xlnm._FilterDatabase" localSheetId="21" hidden="1">Страны!$B$26:$I$26</definedName>
    <definedName name="_xlnm._FilterDatabase" localSheetId="22" hidden="1">'Федеральные округа'!$B$26:$I$26</definedName>
    <definedName name="_xlnm._FilterDatabase" localSheetId="23" hidden="1">'Регионы РФ'!$B$26:$I$26</definedName>
    <definedName name="_xlnm._FilterDatabase" localSheetId="24" hidden="1">'Города РФ'!$B$26:$I$26</definedName>
  </definedNames>
  <calcPr fullCalcOnLoad="1"/>
</workbook>
</file>

<file path=xl/calcChain.xml><?xml version="1.0" encoding="utf-8"?>
<calcChain xmlns="http://schemas.openxmlformats.org/spreadsheetml/2006/main">
  <c r="J32" i="13" l="1"/>
</calcChain>
</file>

<file path=xl/sharedStrings.xml><?xml version="1.0" encoding="utf-8"?>
<sst xmlns="http://schemas.openxmlformats.org/spreadsheetml/2006/main" count="10300" uniqueCount="1677">
  <si>
    <t>© Медиалогия</t>
  </si>
  <si>
    <t>Содержание</t>
  </si>
  <si>
    <t>К содержанию</t>
  </si>
  <si>
    <t>Показатели</t>
  </si>
  <si>
    <t>Динамика</t>
  </si>
  <si>
    <t>Сообщения</t>
  </si>
  <si>
    <t>События СМИ</t>
  </si>
  <si>
    <t>Тональность</t>
  </si>
  <si>
    <t>Мнения</t>
  </si>
  <si>
    <t>Теги</t>
  </si>
  <si>
    <t>Промо</t>
  </si>
  <si>
    <t>Заказчики</t>
  </si>
  <si>
    <t>Оценки</t>
  </si>
  <si>
    <t>Оценки в отзывах</t>
  </si>
  <si>
    <t>Типы площадок</t>
  </si>
  <si>
    <t>Количество сообщений</t>
  </si>
  <si>
    <t>Оценка 5</t>
  </si>
  <si>
    <t>Оценка 4</t>
  </si>
  <si>
    <t>Оценка 3</t>
  </si>
  <si>
    <t>Оценка 2</t>
  </si>
  <si>
    <t>Оценка 1</t>
  </si>
  <si>
    <t>Итого</t>
  </si>
  <si>
    <t>Средняя оценка</t>
  </si>
  <si>
    <t>Площадки</t>
  </si>
  <si>
    <t>Тематики</t>
  </si>
  <si>
    <t>Оценка по дням</t>
  </si>
  <si>
    <t>Дата</t>
  </si>
  <si>
    <t>Группы</t>
  </si>
  <si>
    <t>Авторы</t>
  </si>
  <si>
    <t>Соцдем авторов</t>
  </si>
  <si>
    <t>Эмоции</t>
  </si>
  <si>
    <t>Реакции</t>
  </si>
  <si>
    <t>Слова</t>
  </si>
  <si>
    <t>Хэштеги</t>
  </si>
  <si>
    <t>Страны</t>
  </si>
  <si>
    <t>Федеральные округа</t>
  </si>
  <si>
    <t>Регионы РФ</t>
  </si>
  <si>
    <t>Города РФ</t>
  </si>
  <si>
    <t>Мнение</t>
  </si>
  <si>
    <t>Тип</t>
  </si>
  <si>
    <t>Аудитория</t>
  </si>
  <si>
    <t>Вовлечённость</t>
  </si>
  <si>
    <t>Высокая эффективность препарата</t>
  </si>
  <si>
    <t>Позитивные</t>
  </si>
  <si>
    <t>Отсутствие побочных эффектов препарата</t>
  </si>
  <si>
    <t>СМ Индекс</t>
  </si>
  <si>
    <t>Просмотры</t>
  </si>
  <si>
    <t>Нейтральные</t>
  </si>
  <si>
    <t>Негативные</t>
  </si>
  <si>
    <t>% позитивных</t>
  </si>
  <si>
    <t>% нейтральных</t>
  </si>
  <si>
    <t>% негативных</t>
  </si>
  <si>
    <t>Сообщения по площадкам</t>
  </si>
  <si>
    <t/>
  </si>
  <si>
    <t>Соцсети</t>
  </si>
  <si>
    <t>Меcсенджеры (Каналы)</t>
  </si>
  <si>
    <t>Мессенджеры (Чаты)</t>
  </si>
  <si>
    <t>Отзывы</t>
  </si>
  <si>
    <t>Блоги</t>
  </si>
  <si>
    <t>Площадка</t>
  </si>
  <si>
    <t>Форумы</t>
  </si>
  <si>
    <t>СМИ</t>
  </si>
  <si>
    <t>Всего</t>
  </si>
  <si>
    <t>Ссылка</t>
  </si>
  <si>
    <t>ВКонтакте</t>
  </si>
  <si>
    <t>http://vk.com</t>
  </si>
  <si>
    <t>Соцсеть</t>
  </si>
  <si>
    <t>Дзен</t>
  </si>
  <si>
    <t>http://dzen.ru</t>
  </si>
  <si>
    <t>Блог</t>
  </si>
  <si>
    <t>Telegram</t>
  </si>
  <si>
    <t>http://telegram.org</t>
  </si>
  <si>
    <t>Мессенджер (Чат)</t>
  </si>
  <si>
    <t>Sprosivracha.com - форум</t>
  </si>
  <si>
    <t>http://sprosivracha.com</t>
  </si>
  <si>
    <t>Форум</t>
  </si>
  <si>
    <t>Мамлайф</t>
  </si>
  <si>
    <t>http://mom.life</t>
  </si>
  <si>
    <t>Одноклассники</t>
  </si>
  <si>
    <t>http://ok.ru</t>
  </si>
  <si>
    <t>Otzovik.com</t>
  </si>
  <si>
    <t>http://otzovik.com</t>
  </si>
  <si>
    <t>—</t>
  </si>
  <si>
    <t>Мессенджер (Канал)</t>
  </si>
  <si>
    <t>Озон</t>
  </si>
  <si>
    <t>http://ozon.ru</t>
  </si>
  <si>
    <t>Threads</t>
  </si>
  <si>
    <t>http://threads.com</t>
  </si>
  <si>
    <t>YouTube</t>
  </si>
  <si>
    <t>http://youtube.com</t>
  </si>
  <si>
    <t>Instagram</t>
  </si>
  <si>
    <t>http://instagram.com</t>
  </si>
  <si>
    <t>БебиБлог (babyblog.ru)</t>
  </si>
  <si>
    <t>http://babyblog.ru</t>
  </si>
  <si>
    <t>Женский журнал Woman.ru</t>
  </si>
  <si>
    <t>http://woman.ru</t>
  </si>
  <si>
    <t xml:space="preserve">Otzyv.pro </t>
  </si>
  <si>
    <t>http://otzyv.pro</t>
  </si>
  <si>
    <t xml:space="preserve">Vashe-mnenie.com </t>
  </si>
  <si>
    <t>http://vashe-mnenie.com</t>
  </si>
  <si>
    <t xml:space="preserve">Otzyvru.com </t>
  </si>
  <si>
    <t>http://otzyvru.com</t>
  </si>
  <si>
    <t>Rutube.ru</t>
  </si>
  <si>
    <t>http://rutube.ru</t>
  </si>
  <si>
    <t>TikTok</t>
  </si>
  <si>
    <t>http://tiktok.com</t>
  </si>
  <si>
    <t>Женский форум Бэби.ру</t>
  </si>
  <si>
    <t>http://forum.baby.ru</t>
  </si>
  <si>
    <t>sports.ru</t>
  </si>
  <si>
    <t>http://sports.ru</t>
  </si>
  <si>
    <t xml:space="preserve">Irecommend.ru </t>
  </si>
  <si>
    <t>http://irecommend.ru</t>
  </si>
  <si>
    <t>Яндекс.Маркет</t>
  </si>
  <si>
    <t>http://market.yandex.ru</t>
  </si>
  <si>
    <t xml:space="preserve">Medcentre24.ru  </t>
  </si>
  <si>
    <t>http://medcentre24.ru</t>
  </si>
  <si>
    <t xml:space="preserve"> Medum.ru</t>
  </si>
  <si>
    <t>http://medum.ru</t>
  </si>
  <si>
    <t>Заказчик</t>
  </si>
  <si>
    <t>Вовлеченность</t>
  </si>
  <si>
    <t>ERID</t>
  </si>
  <si>
    <t>Текст сообщения</t>
  </si>
  <si>
    <t>Тематика</t>
  </si>
  <si>
    <t>Знакомство и общение</t>
  </si>
  <si>
    <t>Семья и дети</t>
  </si>
  <si>
    <t>Медицина и здоровье</t>
  </si>
  <si>
    <t>Прочее</t>
  </si>
  <si>
    <t>Образование</t>
  </si>
  <si>
    <t>Красота и мода</t>
  </si>
  <si>
    <t>-</t>
  </si>
  <si>
    <t>Еда</t>
  </si>
  <si>
    <t>№</t>
  </si>
  <si>
    <t>Событие СМИ</t>
  </si>
  <si>
    <t>Лайки</t>
  </si>
  <si>
    <t>Комментарии</t>
  </si>
  <si>
    <t>Репосты</t>
  </si>
  <si>
    <t>Теги / Показатель</t>
  </si>
  <si>
    <t>розыгрыш</t>
  </si>
  <si>
    <t>ТОП маркетплейсов</t>
  </si>
  <si>
    <t>!цена | !рублей | !"цена за все"</t>
  </si>
  <si>
    <t>Дата / Теги</t>
  </si>
  <si>
    <t>Страна</t>
  </si>
  <si>
    <t>Россия</t>
  </si>
  <si>
    <t>Без страны</t>
  </si>
  <si>
    <t>2 страны определены у 55,2% (111) сообщение</t>
  </si>
  <si>
    <t>Сообщения по группам</t>
  </si>
  <si>
    <t>Группа</t>
  </si>
  <si>
    <t>SM Influence</t>
  </si>
  <si>
    <t>Регион</t>
  </si>
  <si>
    <t>Город</t>
  </si>
  <si>
    <t>Актуальная Флебология - пациенту</t>
  </si>
  <si>
    <t>Не определено</t>
  </si>
  <si>
    <t>https://web.telegram.org/#/im?p=@ap_patient</t>
  </si>
  <si>
    <t>Сообщество</t>
  </si>
  <si>
    <t>Вессел Дуэ Ф капсулы 250ЛЕ 60шт</t>
  </si>
  <si>
    <t>https://www.ozon.ru/context/detail/id/754249148</t>
  </si>
  <si>
    <t>Другое</t>
  </si>
  <si>
    <t>Подслушано у Мам | Кирово-Чепецк</t>
  </si>
  <si>
    <t>http://vk.com/club155019350</t>
  </si>
  <si>
    <t>Кировская область</t>
  </si>
  <si>
    <t>Кирово-Чепецк</t>
  </si>
  <si>
    <t>Заметки невролога - Овсянникова К.С.</t>
  </si>
  <si>
    <t>http://vk.com/club211243521</t>
  </si>
  <si>
    <t>Татарстан республика</t>
  </si>
  <si>
    <t>Казань</t>
  </si>
  <si>
    <t>Матрицы Гаряева Чистые Скачать Архив</t>
  </si>
  <si>
    <t>http://ok.ru/profile/910116631862</t>
  </si>
  <si>
    <t>Пользователь</t>
  </si>
  <si>
    <t xml:space="preserve">Москва </t>
  </si>
  <si>
    <t>Москва</t>
  </si>
  <si>
    <t>ЖК2 - Женский Киров</t>
  </si>
  <si>
    <t>http://vk.com/club55884956</t>
  </si>
  <si>
    <t>Киров</t>
  </si>
  <si>
    <t>...</t>
  </si>
  <si>
    <t>https://mom.life/user/5c6d48f80bdf004ed10e6684</t>
  </si>
  <si>
    <t>Свердловская область</t>
  </si>
  <si>
    <t>Екатеринбург</t>
  </si>
  <si>
    <t>Народная Газета Сочи</t>
  </si>
  <si>
    <t>https://dzen.ru/id/66f3e42b025ba177c356b855</t>
  </si>
  <si>
    <t>Таблетки Alfa Wassermann Вессел ДУЭ Ф</t>
  </si>
  <si>
    <t>https://otzovik.com/reviews/tabletki_alfa_wassermann_vessel_due_f_250_le</t>
  </si>
  <si>
    <t>Тромболикс Про</t>
  </si>
  <si>
    <t>https://otzovik.com/reviews/tromboliks_pro</t>
  </si>
  <si>
    <t>Самарская область</t>
  </si>
  <si>
    <t>Самара</t>
  </si>
  <si>
    <t>Беременность</t>
  </si>
  <si>
    <t>https://mom.life/channel/5d4811d6ebdb000de72653af</t>
  </si>
  <si>
    <t>Оренбургская область</t>
  </si>
  <si>
    <t>Оренбург</t>
  </si>
  <si>
    <t>Аптечный Романс</t>
  </si>
  <si>
    <t>https://dzen.ru/id/69b5bb875330f8608cd9b95d</t>
  </si>
  <si>
    <t>Терапия при беременности</t>
  </si>
  <si>
    <t>https://sprosivracha.com/questions/4310948-terapiya-pri-beremennosti</t>
  </si>
  <si>
    <t>Ответ на вопрос</t>
  </si>
  <si>
    <t>https://sprosivracha.com/questions/4324170-gematolog-ubral-vse-vitaminy-pochemu</t>
  </si>
  <si>
    <t>Московская область</t>
  </si>
  <si>
    <t>Коломна</t>
  </si>
  <si>
    <t>Подслушано l Иваново</t>
  </si>
  <si>
    <t>Новости, Прочее</t>
  </si>
  <si>
    <t>http://vk.com/club60212615</t>
  </si>
  <si>
    <t>Ивановская область</t>
  </si>
  <si>
    <t>Иваново</t>
  </si>
  <si>
    <t>«Мамы Домодедово»</t>
  </si>
  <si>
    <t>http://vk.com/club80942402</t>
  </si>
  <si>
    <t>Домодедово</t>
  </si>
  <si>
    <t>Подслушано у мамочек в городе Кстово</t>
  </si>
  <si>
    <t>Знакомство и общение, Семья и дети</t>
  </si>
  <si>
    <t>http://vk.com/club114905525</t>
  </si>
  <si>
    <t>Нижегородская область</t>
  </si>
  <si>
    <t>Кстово</t>
  </si>
  <si>
    <t>Про Детей | Мамы Владимира</t>
  </si>
  <si>
    <t>http://vk.com/club115360655</t>
  </si>
  <si>
    <t>Владимирская область</t>
  </si>
  <si>
    <t>Владимир</t>
  </si>
  <si>
    <t>Дневник Диабетика</t>
  </si>
  <si>
    <t>Знакомство и общение, ЗОЖ</t>
  </si>
  <si>
    <t>http://vk.com/club116010319</t>
  </si>
  <si>
    <t>Женский Липецк</t>
  </si>
  <si>
    <t>http://vk.com/club121964063</t>
  </si>
  <si>
    <t>Липецкая область</t>
  </si>
  <si>
    <t>Липецк</t>
  </si>
  <si>
    <t>ЖенСовет Владимир</t>
  </si>
  <si>
    <t>http://vk.com/club131931112</t>
  </si>
  <si>
    <t>О главном...</t>
  </si>
  <si>
    <t>http://vk.com/club135703188</t>
  </si>
  <si>
    <t>Подслушано у Мам - Елец</t>
  </si>
  <si>
    <t>http://vk.com/club158881136</t>
  </si>
  <si>
    <t>Елец</t>
  </si>
  <si>
    <t>UniProf для врачей</t>
  </si>
  <si>
    <t>Медицина и здоровье, Образование</t>
  </si>
  <si>
    <t>http://vk.com/club166736387</t>
  </si>
  <si>
    <t>Пермский край</t>
  </si>
  <si>
    <t>Пермь</t>
  </si>
  <si>
    <t>Максим Абасов | Врач-флеболог, кмн</t>
  </si>
  <si>
    <t>http://vk.com/club171736200</t>
  </si>
  <si>
    <t>Территория Здоровья</t>
  </si>
  <si>
    <t>http://vk.com/club177688766</t>
  </si>
  <si>
    <t xml:space="preserve">Санкт-Петербург </t>
  </si>
  <si>
    <t>Санкт-Петербург</t>
  </si>
  <si>
    <t>Женский Воронеж</t>
  </si>
  <si>
    <t>http://vk.com/club185317296</t>
  </si>
  <si>
    <t>Воронежская область</t>
  </si>
  <si>
    <t>Воронеж</t>
  </si>
  <si>
    <t>VOLOSY.chat</t>
  </si>
  <si>
    <t>https://web.telegram.org/#/im?p=@alopecia_info</t>
  </si>
  <si>
    <t>Игорь Ботоговский</t>
  </si>
  <si>
    <t>https://dzen.ru/id/5ea3fd8b22b6bd32eecb63f5</t>
  </si>
  <si>
    <t>Советы для здоровья</t>
  </si>
  <si>
    <t>https://dzen.ru/id/5eaafa59cf77ee27c9421287</t>
  </si>
  <si>
    <t>Вессел Дуэ Ф</t>
  </si>
  <si>
    <t>https://www.vashe-mnenie.com/reviews.php?name=vessel-due-f</t>
  </si>
  <si>
    <t>Блог Кардиолога||Тамаз Тамазович</t>
  </si>
  <si>
    <t>ЗОЖ, Медицина и здоровье</t>
  </si>
  <si>
    <t>http://vk.com/club210934520</t>
  </si>
  <si>
    <t>Доктор Боголюбова</t>
  </si>
  <si>
    <t>https://dzen.ru/id/65f3067dd5f4eb779713e531</t>
  </si>
  <si>
    <t>Главный Медицинский Канал | Медицина и Здоровье</t>
  </si>
  <si>
    <t>https://dzen.ru/id/65f1dc2e477f931a69a2da7e</t>
  </si>
  <si>
    <t>Doctor_alina chat</t>
  </si>
  <si>
    <t>https://web.telegram.org/#/im?p=@doctor_alina_chat</t>
  </si>
  <si>
    <t>https://www.otzyvru.com/vessel-due-f</t>
  </si>
  <si>
    <t>Комментарий к вопросу</t>
  </si>
  <si>
    <t>https://sprosivracha.com/questions/4317017-giperplaziya-endometriyanorkoluttrombofiliyakleksan</t>
  </si>
  <si>
    <t>Краснодарский край</t>
  </si>
  <si>
    <t>Новороссийск</t>
  </si>
  <si>
    <t>Варикоз. Что принимаете?</t>
  </si>
  <si>
    <t>https://www.woman.ru/forum/all/health/woman-health/thread-varikoz-chto-prinimaete-id6426253</t>
  </si>
  <si>
    <t>Вечерняя Москва</t>
  </si>
  <si>
    <t>Новости, СМИ</t>
  </si>
  <si>
    <t>http://vk.com/club29487103</t>
  </si>
  <si>
    <t>ஐ ВЯТСКИЕ МАМОЧКИ ஐ</t>
  </si>
  <si>
    <t>http://vk.com/club12670685</t>
  </si>
  <si>
    <t>ЖК Алексеевская Роща (Балашиха)</t>
  </si>
  <si>
    <t>http://vk.com/club47981464</t>
  </si>
  <si>
    <t>Балашиха</t>
  </si>
  <si>
    <t>Секреты здоровья. О чем молчат врачи.</t>
  </si>
  <si>
    <t>ЗОЖ</t>
  </si>
  <si>
    <t>http://vk.com/club55122354</t>
  </si>
  <si>
    <t>Доктор на работе | Клинические публикации</t>
  </si>
  <si>
    <t>http://vk.com/club29445319</t>
  </si>
  <si>
    <t>Сахарный диабет: есть вопрос? найдем ответ!</t>
  </si>
  <si>
    <t>http://vk.com/club66100600</t>
  </si>
  <si>
    <t>Клуб массажистов</t>
  </si>
  <si>
    <t>http://vk.com/club85415124</t>
  </si>
  <si>
    <t>Смартфарма</t>
  </si>
  <si>
    <t>http://vk.com/club35402404</t>
  </si>
  <si>
    <t>Типичный первостольник</t>
  </si>
  <si>
    <t>http://vk.com/club61570233</t>
  </si>
  <si>
    <t>Известия Мордовии</t>
  </si>
  <si>
    <t>http://vk.com/club38982223</t>
  </si>
  <si>
    <t>Мордовия республика</t>
  </si>
  <si>
    <t>Саранск</t>
  </si>
  <si>
    <t>Казань Онлайн | Главный Женский паблик города</t>
  </si>
  <si>
    <t>Красота и мода, Семья и дети</t>
  </si>
  <si>
    <t>http://vk.com/club86403806</t>
  </si>
  <si>
    <t>Неврология | Психотерапия | Консультации</t>
  </si>
  <si>
    <t>http://vk.com/club88570414</t>
  </si>
  <si>
    <t>ККМ - Клуб Красноярских Мам</t>
  </si>
  <si>
    <t>http://vk.com/club48183890</t>
  </si>
  <si>
    <t>Красноярский край</t>
  </si>
  <si>
    <t>Красноярск</t>
  </si>
  <si>
    <t>ЦИР Центр иммунологии и репродукции</t>
  </si>
  <si>
    <t>Бренды и организации, Медицина и здоровье</t>
  </si>
  <si>
    <t>http://www.youtube.com/channel/UCmXcQ3wSf1szPGmssQOop8Q</t>
  </si>
  <si>
    <t>Мамочки Сыктывкара</t>
  </si>
  <si>
    <t>http://vk.com/club74631162</t>
  </si>
  <si>
    <t>Коми республика</t>
  </si>
  <si>
    <t>Сыктывкар</t>
  </si>
  <si>
    <t>Клуб Мам Нижнего Новгорода</t>
  </si>
  <si>
    <t>http://vk.com/club110697191</t>
  </si>
  <si>
    <t>Клуб Самарских Мам</t>
  </si>
  <si>
    <t>http://vk.com/club110697272</t>
  </si>
  <si>
    <t>http://vk.com/club112011819</t>
  </si>
  <si>
    <t>http://ok.ru/group/52171764269129</t>
  </si>
  <si>
    <t>http://ok.ru/group/52161146519625</t>
  </si>
  <si>
    <t>Анонимный Чайковский</t>
  </si>
  <si>
    <t>http://vk.com/club113506584</t>
  </si>
  <si>
    <t>Чайковский</t>
  </si>
  <si>
    <t>Врач Хирург Максимов А.В.</t>
  </si>
  <si>
    <t>http://vk.com/club78602257</t>
  </si>
  <si>
    <t>Женский клуб Новокузнецк</t>
  </si>
  <si>
    <t>http://vk.com/club102968436</t>
  </si>
  <si>
    <t>Кемеровская область</t>
  </si>
  <si>
    <t>Новокузнецк</t>
  </si>
  <si>
    <t>Подслушано у Мам</t>
  </si>
  <si>
    <t>http://vk.com/club123403112</t>
  </si>
  <si>
    <t>Мамы Мурино</t>
  </si>
  <si>
    <t>http://vk.com/club37094416</t>
  </si>
  <si>
    <t>КЧМ | КЛУБ ЧИТИНСКИХ МАМ | МАМОЧКИ ЧИТЫ</t>
  </si>
  <si>
    <t>http://vk.com/club121511206</t>
  </si>
  <si>
    <t>Забайкальский край</t>
  </si>
  <si>
    <t>Чита</t>
  </si>
  <si>
    <t>Вязьма Подслушано</t>
  </si>
  <si>
    <t>http://vk.com/club127033373</t>
  </si>
  <si>
    <t>Смоленская область</t>
  </si>
  <si>
    <t>Вязьма</t>
  </si>
  <si>
    <t>Мамы Ижевска</t>
  </si>
  <si>
    <t>http://vk.com/club126850514</t>
  </si>
  <si>
    <t xml:space="preserve">Удмуртская Республика </t>
  </si>
  <si>
    <t>Ижевск</t>
  </si>
  <si>
    <t>Irina Levchuk</t>
  </si>
  <si>
    <t>https://instagram.com/iri.levchuk</t>
  </si>
  <si>
    <t>АнтиПодслушано | Дубна</t>
  </si>
  <si>
    <t>http://vk.com/club132664992</t>
  </si>
  <si>
    <t>Дубна</t>
  </si>
  <si>
    <t>Саморазвитие ИЯ</t>
  </si>
  <si>
    <t>http://vk.com/club138737375</t>
  </si>
  <si>
    <t>http://vk.com/club143027530</t>
  </si>
  <si>
    <t>Женский Питер Санкт-Петербург СПБ</t>
  </si>
  <si>
    <t>http://vk.com/club146361880</t>
  </si>
  <si>
    <t>Женский Брянск</t>
  </si>
  <si>
    <t>http://vk.com/club146414683</t>
  </si>
  <si>
    <t>Брянская область</t>
  </si>
  <si>
    <t>Брянск</t>
  </si>
  <si>
    <t>Женский Саратов</t>
  </si>
  <si>
    <t>http://vk.com/club149047382</t>
  </si>
  <si>
    <t>Саратовская область</t>
  </si>
  <si>
    <t>Саратов</t>
  </si>
  <si>
    <t>Sports.ru</t>
  </si>
  <si>
    <t>Айболит</t>
  </si>
  <si>
    <t>http://vk.com/club153846848</t>
  </si>
  <si>
    <t>ПроДетей Смоленск | мама</t>
  </si>
  <si>
    <t>http://vk.com/club153326278</t>
  </si>
  <si>
    <t>Смоленск</t>
  </si>
  <si>
    <t>Это Полезно Знать</t>
  </si>
  <si>
    <t>http://vk.com/club157831435</t>
  </si>
  <si>
    <t>Женская Пенза</t>
  </si>
  <si>
    <t>http://vk.com/club159559335</t>
  </si>
  <si>
    <t>Пензенская область</t>
  </si>
  <si>
    <t>Пенза</t>
  </si>
  <si>
    <t>http://vk.com/club162456827</t>
  </si>
  <si>
    <t>ЖенСовет Череповец</t>
  </si>
  <si>
    <t>http://vk.com/club163661733</t>
  </si>
  <si>
    <t>Семья Йошкар-Ола</t>
  </si>
  <si>
    <t>http://vk.com/club164931876</t>
  </si>
  <si>
    <t xml:space="preserve">Республика Марий Эл </t>
  </si>
  <si>
    <t>Йошкар-Ола</t>
  </si>
  <si>
    <t>Блог Кардиолога</t>
  </si>
  <si>
    <t>http://www.youtube.com/channel/UCj5sl2ikNJVEgNQKCVQXUoA</t>
  </si>
  <si>
    <t>ЖенСовет Липецк</t>
  </si>
  <si>
    <t>http://vk.com/club163661411</t>
  </si>
  <si>
    <t>Ридус</t>
  </si>
  <si>
    <t>https://dzen.ru/id/5994437877d0e668483ba5cb</t>
  </si>
  <si>
    <t>https://dzen.ru/id/59b7ace157906a468e38e6c5</t>
  </si>
  <si>
    <t>Мамы Воронежа. Мамочки Воронеж</t>
  </si>
  <si>
    <t>http://vk.com/club170066150</t>
  </si>
  <si>
    <t>Ирина Ренева</t>
  </si>
  <si>
    <t>http://vk.com/id466341803</t>
  </si>
  <si>
    <t>Антикоагулянт Alfasigma Вессел Дуэ Ф капс. 250 ЛЕ №50— отзыв</t>
  </si>
  <si>
    <t>https://irecommend.ru/content/antikoagulyant-alfa-wassermann-spa-vessel-due-f-kaps-250-le-50</t>
  </si>
  <si>
    <t>СКИФ. Лечение варикоза любой стадии за 1 визит</t>
  </si>
  <si>
    <t>http://vk.com/club180149085</t>
  </si>
  <si>
    <t>Крым республика</t>
  </si>
  <si>
    <t>Евпатория</t>
  </si>
  <si>
    <t>Женский Владимир</t>
  </si>
  <si>
    <t>http://vk.com/club183105257</t>
  </si>
  <si>
    <t>Любовь Язева</t>
  </si>
  <si>
    <t>http://vk.com/id569170044</t>
  </si>
  <si>
    <t>Сергей Соловьев</t>
  </si>
  <si>
    <t>http://vk.com/id530424871</t>
  </si>
  <si>
    <t>Ленинградская область</t>
  </si>
  <si>
    <t>Сланцы</t>
  </si>
  <si>
    <t>Доктор Света. Врач с опытом 40 лет</t>
  </si>
  <si>
    <t>http://vk.com/club193354828</t>
  </si>
  <si>
    <t>СЮДА!!11</t>
  </si>
  <si>
    <t>https://web.telegram.org/#/im?p=@tamzdes</t>
  </si>
  <si>
    <t>Павел Корпачев</t>
  </si>
  <si>
    <t>https://dzen.ru/id/5ebadf94d86ce72cb4b1e6de</t>
  </si>
  <si>
    <t>Evolutis Clinic</t>
  </si>
  <si>
    <t>https://dzen.ru/id/5db82d1d4e057700b0d04411</t>
  </si>
  <si>
    <t>Жители Соседи Зюзино</t>
  </si>
  <si>
    <t>http://vk.com/club201625372</t>
  </si>
  <si>
    <t>ББП new</t>
  </si>
  <si>
    <t>http://ok.ru/group/59240543158337</t>
  </si>
  <si>
    <t>Ripsime_pro_food</t>
  </si>
  <si>
    <t>https://www.tiktok.com/@ripsime_pro_food</t>
  </si>
  <si>
    <t>ВЕССЕЛ ДУЭ Ф</t>
  </si>
  <si>
    <t>https://www.medcentre24.ru/medikamenty/vessel-due-f.html</t>
  </si>
  <si>
    <t>ИЗБА МОЛОДИЛЬНЯ</t>
  </si>
  <si>
    <t>https://web.telegram.org/#/im?p=@izbamolodilnya</t>
  </si>
  <si>
    <t>Гематолог Вадим Куваев</t>
  </si>
  <si>
    <t>https://web.telegram.org/#/im?p=@drvkuvaev</t>
  </si>
  <si>
    <t>aleksatru: путь к материнству ✨</t>
  </si>
  <si>
    <t>https://web.telegram.org/#/im?p=@aleksatru</t>
  </si>
  <si>
    <t>Советы Профессора</t>
  </si>
  <si>
    <t>http://vk.com/club213047982</t>
  </si>
  <si>
    <t>Репчатый Лук</t>
  </si>
  <si>
    <t>https://dzen.ru/id/5fc4f61b0c08f433f3ac864e</t>
  </si>
  <si>
    <t>ТОП 100 ВРАЧЕЙ | Здоровье и Долголетие</t>
  </si>
  <si>
    <t>https://dzen.ru/id/5c41f31debbae500ac645050</t>
  </si>
  <si>
    <t>NobleRise — крупнейший в России производитель EMS-оборудования</t>
  </si>
  <si>
    <t>https://dzen.ru/id/60c090e7ef324247ee9673bb</t>
  </si>
  <si>
    <t>Флеболог Максим Абасов Москва</t>
  </si>
  <si>
    <t>https://rutube.ru/video/person/24831553</t>
  </si>
  <si>
    <t>Настюшка</t>
  </si>
  <si>
    <t>https://www.babyblog.ru/user/nastyaeta</t>
  </si>
  <si>
    <t>blog.ru</t>
  </si>
  <si>
    <t>Актуальная Флебология Онлайн</t>
  </si>
  <si>
    <t>https://web.telegram.org/#/im?p=@actual_phlebology_ru</t>
  </si>
  <si>
    <t>2 капли бессмертия</t>
  </si>
  <si>
    <t>https://web.telegram.org/#/im?p=@immortaldrops</t>
  </si>
  <si>
    <t>Доктор Кикина</t>
  </si>
  <si>
    <t>https://web.telegram.org/#/im?p=@dr_kikina</t>
  </si>
  <si>
    <t>Веселый бобер</t>
  </si>
  <si>
    <t>http://vk.com/club223318821</t>
  </si>
  <si>
    <t>Краснознаменск</t>
  </si>
  <si>
    <t>Эндокринология - тесты с ответами</t>
  </si>
  <si>
    <t>http://vk.com/club226299499</t>
  </si>
  <si>
    <t>Айз✨</t>
  </si>
  <si>
    <t>https://instagram.com/aizana.stambulova</t>
  </si>
  <si>
    <t>Евгения</t>
  </si>
  <si>
    <t>https://mom.life/user/66b2e6108d119b05b376d241</t>
  </si>
  <si>
    <t>Врач-инфекционист Ищенко С.</t>
  </si>
  <si>
    <t>https://dzen.ru/id/60324e29084cc34524539a3a</t>
  </si>
  <si>
    <t>Москвич - Индус</t>
  </si>
  <si>
    <t>https://web.telegram.org/#/im?p=@1268734773</t>
  </si>
  <si>
    <t>Раствор для внутривенного и внутримышечного введения Alfa Wassermann "ВЕССЕЛ ДУЭ Ф"</t>
  </si>
  <si>
    <t>https://otzovik.com/reviews/ampuli_vessel_due_f</t>
  </si>
  <si>
    <t>Первый Стол</t>
  </si>
  <si>
    <t>http://vk.com/club219212745</t>
  </si>
  <si>
    <t>Вессел Дуэ Ф р-р д/ин.</t>
  </si>
  <si>
    <t>https://market.yandex.ru/product/1778173803</t>
  </si>
  <si>
    <t>https://medum.ru/tromboliks-pro-otzyvy</t>
  </si>
  <si>
    <t>Просто Ольга</t>
  </si>
  <si>
    <t>https://dzen.ru/id/62c842a6dfc4571c72d12933</t>
  </si>
  <si>
    <t>Планирование беременности</t>
  </si>
  <si>
    <t>https://mom.life/channel/56f8222d8439832c128b4567</t>
  </si>
  <si>
    <t>Дагестан республика</t>
  </si>
  <si>
    <t>Кизилюрт</t>
  </si>
  <si>
    <t>ВЕССЕЛ ДУЭ Ф ЦЕНА инструкция по применению - отзыв</t>
  </si>
  <si>
    <t>https://otzyv.pro/category/lekarstvennyie-sredstva/756151-vessel-due-f-cena.html</t>
  </si>
  <si>
    <t>Кардиочат кардиокота</t>
  </si>
  <si>
    <t>https://web.telegram.org/#/im?p=@dnevnikdoctorachat</t>
  </si>
  <si>
    <t>Тромболикс Про - отзыв</t>
  </si>
  <si>
    <t>https://otzyv.pro/category/lekarstvennyie-sredstva/821439-tromboliks-pro.html</t>
  </si>
  <si>
    <t>Галина Симоненко</t>
  </si>
  <si>
    <t>https://threads.com/@znaika121</t>
  </si>
  <si>
    <t>Чат Беременных РФ | Беременность</t>
  </si>
  <si>
    <t>https://web.telegram.org/#/im?p=@beremennost_pregnancy</t>
  </si>
  <si>
    <t>Юлия</t>
  </si>
  <si>
    <t>https://forum.baby.ru/u/usr598918</t>
  </si>
  <si>
    <t>Ростовская область</t>
  </si>
  <si>
    <t>Новочеркасск</t>
  </si>
  <si>
    <t>sssevorobeva</t>
  </si>
  <si>
    <t>https://threads.com/@sssevorobeva</t>
  </si>
  <si>
    <t>Актуальная флебология для врачей</t>
  </si>
  <si>
    <t>http://vk.com/club227216729</t>
  </si>
  <si>
    <t>https://sprosivracha.com/questions/4308352-prolezhni-na-pyatke</t>
  </si>
  <si>
    <t>Алсу Зиннатуллина</t>
  </si>
  <si>
    <t>https://www.babyblog.ru/user/zinnatullinainzilya</t>
  </si>
  <si>
    <t>Ростов-на-Дону</t>
  </si>
  <si>
    <t>Ольга Денисова</t>
  </si>
  <si>
    <t>https://threads.com/@itreva741</t>
  </si>
  <si>
    <t>Лика Майорова</t>
  </si>
  <si>
    <t>https://threads.com/@kuroskinam</t>
  </si>
  <si>
    <t>Федеральный округ</t>
  </si>
  <si>
    <t>ЦФО</t>
  </si>
  <si>
    <t>ПФО</t>
  </si>
  <si>
    <t>Без округа</t>
  </si>
  <si>
    <t>СЗФО</t>
  </si>
  <si>
    <t>ЮФО</t>
  </si>
  <si>
    <t>УФО</t>
  </si>
  <si>
    <t>СФО</t>
  </si>
  <si>
    <t>СКФО</t>
  </si>
  <si>
    <t>ДФО</t>
  </si>
  <si>
    <t>9 округов определены у 76,6% (85) сообщений</t>
  </si>
  <si>
    <t>Пол</t>
  </si>
  <si>
    <t>Доля</t>
  </si>
  <si>
    <t>Мужчина</t>
  </si>
  <si>
    <t>Женщина</t>
  </si>
  <si>
    <t>Данные по полу имеются у 59,6 % авторов</t>
  </si>
  <si>
    <t>Возраст</t>
  </si>
  <si>
    <t>≤ 17</t>
  </si>
  <si>
    <t>18 - 24</t>
  </si>
  <si>
    <t>25 - 39</t>
  </si>
  <si>
    <t>40 - 59</t>
  </si>
  <si>
    <t>≥ 60</t>
  </si>
  <si>
    <t>Данные по возрасту имеются у 22,1 % авторов</t>
  </si>
  <si>
    <t>Семейный статус</t>
  </si>
  <si>
    <t>В браке</t>
  </si>
  <si>
    <t>Холостые</t>
  </si>
  <si>
    <t>Данные по семейному положению имеются у 5,9 % авторов</t>
  </si>
  <si>
    <t>Высшее</t>
  </si>
  <si>
    <t>Среднее</t>
  </si>
  <si>
    <t>Неоконченное</t>
  </si>
  <si>
    <t>Данные по образованию имеются у 1,5 % авторов</t>
  </si>
  <si>
    <t>Подписчики</t>
  </si>
  <si>
    <t>≤ 99</t>
  </si>
  <si>
    <t>100 - 499</t>
  </si>
  <si>
    <t>500 - 999</t>
  </si>
  <si>
    <t>1000 - 4999</t>
  </si>
  <si>
    <t>5000 - 9999</t>
  </si>
  <si>
    <t>≥ 10000</t>
  </si>
  <si>
    <t>Данные по аудитории имеются у 100,0 % авторов</t>
  </si>
  <si>
    <t>Интересы</t>
  </si>
  <si>
    <t>Музыка</t>
  </si>
  <si>
    <t>Фильмы</t>
  </si>
  <si>
    <t>Телешоу</t>
  </si>
  <si>
    <t>Книги</t>
  </si>
  <si>
    <t>Игры</t>
  </si>
  <si>
    <t>Другие</t>
  </si>
  <si>
    <t>Данные по интересам имеются у 3,7 % авторов</t>
  </si>
  <si>
    <t>Данные по странам имеются у 21,3 % авторов</t>
  </si>
  <si>
    <t>Регионы</t>
  </si>
  <si>
    <t>Данные по регионам имеются у 16,9 % авторов</t>
  </si>
  <si>
    <t>Города</t>
  </si>
  <si>
    <t>Краснодар</t>
  </si>
  <si>
    <t>Нижний Новгород</t>
  </si>
  <si>
    <t>Сочи</t>
  </si>
  <si>
    <t>Данные по городам имеются у 16,9 % авторов</t>
  </si>
  <si>
    <t>Регион РФ</t>
  </si>
  <si>
    <t>Без региона</t>
  </si>
  <si>
    <t>Удмуртская Республика</t>
  </si>
  <si>
    <t>Республика Марий Эл</t>
  </si>
  <si>
    <t>31 регион определена у 76,6% (85) сообщений</t>
  </si>
  <si>
    <t>Метрики</t>
  </si>
  <si>
    <t>Типы сообщений</t>
  </si>
  <si>
    <t>Посты</t>
  </si>
  <si>
    <t>Репосты с дополнением</t>
  </si>
  <si>
    <t>Сторис</t>
  </si>
  <si>
    <t>Публикации СМИ</t>
  </si>
  <si>
    <t>Ответы</t>
  </si>
  <si>
    <t>Вопросы</t>
  </si>
  <si>
    <t>Источники сообщений</t>
  </si>
  <si>
    <t>Сообщения по авторам</t>
  </si>
  <si>
    <t>Автор</t>
  </si>
  <si>
    <t>Аудитория автора</t>
  </si>
  <si>
    <t>Аудитория блога</t>
  </si>
  <si>
    <t>Семейное положение</t>
  </si>
  <si>
    <t>Аристарх Феофилактович Онлайнов</t>
  </si>
  <si>
    <t>https://web.telegram.org/#/im?p=@af_patientbot</t>
  </si>
  <si>
    <t>М</t>
  </si>
  <si>
    <t>Марина Пепельная</t>
  </si>
  <si>
    <t>http://vk.com/id1072092712</t>
  </si>
  <si>
    <t>Ж</t>
  </si>
  <si>
    <t>Слава Горцева</t>
  </si>
  <si>
    <t>http://vk.com/id1083057434</t>
  </si>
  <si>
    <t>Наталья Прилягина</t>
  </si>
  <si>
    <t>https://dzen.ru/user/rfl58ladvq_ppa-kwlgrzold4no</t>
  </si>
  <si>
    <t>Жумасия Жаналиева</t>
  </si>
  <si>
    <t>https://sprosivracha.com/authors/Жумасия Жаналиева</t>
  </si>
  <si>
    <t>Анастасия Киселева</t>
  </si>
  <si>
    <t>http://vk.com/id1110218210</t>
  </si>
  <si>
    <t>Холост</t>
  </si>
  <si>
    <t>Евгения Власова</t>
  </si>
  <si>
    <t>http://vk.com/id1110219570</t>
  </si>
  <si>
    <t>Ника Коннева</t>
  </si>
  <si>
    <t>http://vk.com/id1111392168</t>
  </si>
  <si>
    <t>Ольга Лесси</t>
  </si>
  <si>
    <t>http://vk.com/id612772983</t>
  </si>
  <si>
    <t>Ульяна Левчик</t>
  </si>
  <si>
    <t>http://vk.com/id744099322</t>
  </si>
  <si>
    <t>Карина Старцева</t>
  </si>
  <si>
    <t>http://vk.com/id1082474662</t>
  </si>
  <si>
    <t>Инна Миронова</t>
  </si>
  <si>
    <t>http://vk.com/id1110220150</t>
  </si>
  <si>
    <t>Алена Колокольникова</t>
  </si>
  <si>
    <t>http://vk.com/id1111260863</t>
  </si>
  <si>
    <t>Зоя Роявицина</t>
  </si>
  <si>
    <t>http://vk.com/id1114259735</t>
  </si>
  <si>
    <t>Анна Хорошева</t>
  </si>
  <si>
    <t>http://vk.com/id275256519</t>
  </si>
  <si>
    <t>Татьяна Данилова</t>
  </si>
  <si>
    <t>http://vk.com/id383835053</t>
  </si>
  <si>
    <t>Daniela Bialik</t>
  </si>
  <si>
    <t>https://web.telegram.org/#/im?p=@danielabialik</t>
  </si>
  <si>
    <t>Мария Монахова</t>
  </si>
  <si>
    <t>http://vk.com/id568725896</t>
  </si>
  <si>
    <t>Зоя</t>
  </si>
  <si>
    <t>https://sprosivracha.com/authors/Зоя</t>
  </si>
  <si>
    <t>Людмила Тимофеенко</t>
  </si>
  <si>
    <t>http://vk.com/id851767110</t>
  </si>
  <si>
    <t>Алеся Самсонова</t>
  </si>
  <si>
    <t>http://vk.com/id855401331</t>
  </si>
  <si>
    <t>Ульяна Лаппо</t>
  </si>
  <si>
    <t>http://vk.com/id880724074</t>
  </si>
  <si>
    <t>Людмила Рсфср</t>
  </si>
  <si>
    <t>http://vk.com/id788574328</t>
  </si>
  <si>
    <t>Марьяна Носикова</t>
  </si>
  <si>
    <t>http://vk.com/id1108851059</t>
  </si>
  <si>
    <t>Инна Викторовна</t>
  </si>
  <si>
    <t>https://dzen.ru/user/a2z_dp-q6s0e0c-xb3tho5wsmqg</t>
  </si>
  <si>
    <t>Tata Slavnaya</t>
  </si>
  <si>
    <t>https://dzen.ru/user/vf8tak0kxzfoslbsoumaseybksg</t>
  </si>
  <si>
    <t>Инна Романова</t>
  </si>
  <si>
    <t>http://vk.com/id141197373</t>
  </si>
  <si>
    <t>Мария Одинцова</t>
  </si>
  <si>
    <t>http://vk.com/id78727646</t>
  </si>
  <si>
    <t>Лена Петухова</t>
  </si>
  <si>
    <t>http://vk.com/id69795047</t>
  </si>
  <si>
    <t>Ольга Жуланова</t>
  </si>
  <si>
    <t>http://vk.com/id267144897</t>
  </si>
  <si>
    <t>Раиса Маринец</t>
  </si>
  <si>
    <t>http://vk.com/id51000347</t>
  </si>
  <si>
    <t>@жанна севастьянова</t>
  </si>
  <si>
    <t>https://instagram.com/zsevastianova</t>
  </si>
  <si>
    <t>Саида Ильясова</t>
  </si>
  <si>
    <t>http://vk.com/id388891844</t>
  </si>
  <si>
    <t>Евгения Чернышева</t>
  </si>
  <si>
    <t>http://vk.com/id6705830</t>
  </si>
  <si>
    <t>Елена Топоркова</t>
  </si>
  <si>
    <t>http://vk.com/id516390091</t>
  </si>
  <si>
    <t>Светлана Андрейченко</t>
  </si>
  <si>
    <t>http://vk.com/id530200276</t>
  </si>
  <si>
    <t>Светлана</t>
  </si>
  <si>
    <t>https://www.medcentre24.ru/authors/Светлана</t>
  </si>
  <si>
    <t>Ирина Волгина</t>
  </si>
  <si>
    <t>http://vk.com/id628724076</t>
  </si>
  <si>
    <t>raulka</t>
  </si>
  <si>
    <t>https://www.sports.ru/profile/6162031</t>
  </si>
  <si>
    <t>Наталья</t>
  </si>
  <si>
    <t>https://medum.ru/authors/Наталья</t>
  </si>
  <si>
    <t>Диана</t>
  </si>
  <si>
    <t>https://www.vashe-mnenie.com/authors/Диана</t>
  </si>
  <si>
    <t>Снежана</t>
  </si>
  <si>
    <t>https://www.vashe-mnenie.com/authors/Снежана</t>
  </si>
  <si>
    <t>Гуля Чистовский</t>
  </si>
  <si>
    <t>http://vk.com/id673867691</t>
  </si>
  <si>
    <t>https://www.otzyvru.com/authors/Диана</t>
  </si>
  <si>
    <t>https://www.otzyvru.com/authors/Снежана</t>
  </si>
  <si>
    <t>Ирина</t>
  </si>
  <si>
    <t>https://web.telegram.org/#/im?p=@Ирина</t>
  </si>
  <si>
    <t>A</t>
  </si>
  <si>
    <t>https://web.telegram.org/#/im?p=@5148404132</t>
  </si>
  <si>
    <t>Наталья Войтус</t>
  </si>
  <si>
    <t>http://vk.com/id721803152</t>
  </si>
  <si>
    <t>Валентина Самсончик</t>
  </si>
  <si>
    <t>http://vk.com/id734929608</t>
  </si>
  <si>
    <t>https://sprosivracha.com/authors/Наталья</t>
  </si>
  <si>
    <t>Вера</t>
  </si>
  <si>
    <t>https://sprosivracha.com/authors/Вера</t>
  </si>
  <si>
    <t>Клава</t>
  </si>
  <si>
    <t>https://dzen.ru/id/63b464865ba1321f078fbed7</t>
  </si>
  <si>
    <t>Мария Великая</t>
  </si>
  <si>
    <t>https://web.telegram.org/#/im?p=@mvelikaya</t>
  </si>
  <si>
    <t>Жанна Медведева</t>
  </si>
  <si>
    <t>http://vk.com/id813766710</t>
  </si>
  <si>
    <t>Елена Чайка</t>
  </si>
  <si>
    <t>https://web.telegram.org/#/im?p=@aetolena</t>
  </si>
  <si>
    <t>@Чолпон Дабаевм</t>
  </si>
  <si>
    <t>https://instagram.com/dabaevm</t>
  </si>
  <si>
    <t>Кристина</t>
  </si>
  <si>
    <t>https://mom.life/user/5dcac65f375c755c874888aa</t>
  </si>
  <si>
    <t>Мария</t>
  </si>
  <si>
    <t>https://www.babyblog.ru/user/msimchik</t>
  </si>
  <si>
    <t>ЭЛькин</t>
  </si>
  <si>
    <t>https://mom.life/user/5a096a0e17699c031b653d75</t>
  </si>
  <si>
    <t>Маргарита</t>
  </si>
  <si>
    <t>https://mom.life/user/643a23244bf7ec52aa5d6427</t>
  </si>
  <si>
    <t>Земная</t>
  </si>
  <si>
    <t>https://forum.baby.ru/u/usr958074</t>
  </si>
  <si>
    <t>Xavitara</t>
  </si>
  <si>
    <t>https://otzovik.com/profile/Xavitara</t>
  </si>
  <si>
    <t>Вероника Михайлова</t>
  </si>
  <si>
    <t>http://vk.com/id870911079</t>
  </si>
  <si>
    <t>Ирина Громова</t>
  </si>
  <si>
    <t>http://vk.com/id880432507</t>
  </si>
  <si>
    <t>Дарья</t>
  </si>
  <si>
    <t>https://mom.life/user/63dc744a8a79a255a34c142d</t>
  </si>
  <si>
    <t>Наталья Солосина</t>
  </si>
  <si>
    <t>https://dzen.ru/user/10000000619591296</t>
  </si>
  <si>
    <t>Егор</t>
  </si>
  <si>
    <t>https://web.telegram.org/#/im?p=@egort125</t>
  </si>
  <si>
    <t>Nevinardel</t>
  </si>
  <si>
    <t>https://otzovik.com/profile/Nevinardel</t>
  </si>
  <si>
    <t>Пользователь предпочёл скрыть свои данные</t>
  </si>
  <si>
    <t>https://www.ozon.ru/context/client_opinion/ClientGuid/00000000-0000-0000-0000-000000000000#Пользователь предпочёл скрыть свои данные</t>
  </si>
  <si>
    <t>Андрей К.</t>
  </si>
  <si>
    <t>https://www.ozon.ru/context/client_opinion/ClientGuid/00000000-0000-0000-0000-000000000000#Андрей К.</t>
  </si>
  <si>
    <t>Евгений С.</t>
  </si>
  <si>
    <t>https://www.ozon.ru/context/client_opinion/ClientGuid/00000000-0000-0000-0000-000000000000#Евгений С.</t>
  </si>
  <si>
    <t>Наталия П.</t>
  </si>
  <si>
    <t>https://www.ozon.ru/context/client_opinion/ClientGuid/00000000-0000-0000-0000-000000000000#Наталия П.</t>
  </si>
  <si>
    <t>Леонид З.</t>
  </si>
  <si>
    <t>https://www.ozon.ru/context/client_opinion/ClientGuid/00000000-0000-0000-0000-000000000000#Леонид З.</t>
  </si>
  <si>
    <t>Татьяна Козлова</t>
  </si>
  <si>
    <t>https://dzen.ru/user/j8uxeszc3lrg5deshbbkefkjkxc</t>
  </si>
  <si>
    <t>Елена Курочкина</t>
  </si>
  <si>
    <t>https://dzen.ru/user/_bhpegrneaisss9rhcv19fecxto</t>
  </si>
  <si>
    <t>Владислав Казаков</t>
  </si>
  <si>
    <t>https://sprosivracha.com/authors/Владислав Казаков</t>
  </si>
  <si>
    <t>https://mom.life/user/6938570a5f655a40e20c04ad</t>
  </si>
  <si>
    <t>Полина Матросова</t>
  </si>
  <si>
    <t>http://vk.com/id1089131922</t>
  </si>
  <si>
    <t>Наталья Грозовая</t>
  </si>
  <si>
    <t>http://ok.ru/profile/910157872241</t>
  </si>
  <si>
    <t>Беларусь</t>
  </si>
  <si>
    <t>Карина Добелева</t>
  </si>
  <si>
    <t>http://vk.com/id1102001942</t>
  </si>
  <si>
    <t>Katarianka</t>
  </si>
  <si>
    <t>https://otzovik.com/profile/Katarianka</t>
  </si>
  <si>
    <t>Алиса Еселко</t>
  </si>
  <si>
    <t>http://vk.com/id1104573797</t>
  </si>
  <si>
    <t>Екатерина Михеева</t>
  </si>
  <si>
    <t>https://dzen.ru/user/1aizypi03h3m3iudcxtcesigzgc</t>
  </si>
  <si>
    <t>Ольга Олегова</t>
  </si>
  <si>
    <t>https://dzen.ru/user/f31w7dydatlm126z-_f-7ziqxek</t>
  </si>
  <si>
    <t>Алиса Постнова</t>
  </si>
  <si>
    <t>https://dzen.ru/user/cigvvu3wczjxhpejt_7e7truozm</t>
  </si>
  <si>
    <t>Кристина Поданев</t>
  </si>
  <si>
    <t>https://otzovik.com/profile/Кристина+Поданев</t>
  </si>
  <si>
    <t>Валентина Книгина</t>
  </si>
  <si>
    <t>http://vk.com/id1109330634</t>
  </si>
  <si>
    <t>Фатима</t>
  </si>
  <si>
    <t>https://mom.life/user/69eba7f785a7f42e770f5d4d</t>
  </si>
  <si>
    <t>https://dzen.ru/user/2360994008</t>
  </si>
  <si>
    <t>Лия Л</t>
  </si>
  <si>
    <t>https://dzen.ru/user/dhia3dpnnk5n9emsdaq_rz7jbmm</t>
  </si>
  <si>
    <t>olgaradina</t>
  </si>
  <si>
    <t>https://otzovik.com/profile/olgaradina</t>
  </si>
  <si>
    <t>tata225</t>
  </si>
  <si>
    <t>https://otzyv.pro/user/tata225</t>
  </si>
  <si>
    <t>Нина Нина</t>
  </si>
  <si>
    <t>https://market.yandex.ru/user/c10jjgx2b7etrdb4qfva3zpq7m</t>
  </si>
  <si>
    <t>Даяна Озар</t>
  </si>
  <si>
    <t>https://dzen.ru/user/grgfitidzfc2yyoeg_9dzbsltj0</t>
  </si>
  <si>
    <t>marylozov88</t>
  </si>
  <si>
    <t>https://otzovik.com/profile/marylozov88</t>
  </si>
  <si>
    <t>igorruinovа</t>
  </si>
  <si>
    <t>https://irecommend.ru/users/igorruinova</t>
  </si>
  <si>
    <t>Аноним7215859</t>
  </si>
  <si>
    <t>https://otzovik.com/profile/Аноним7215859</t>
  </si>
  <si>
    <t>https://dzen.ru/user/uyzdk9mawshux5qs5vnmxxyuo2m</t>
  </si>
  <si>
    <t>Наталья Скворцова</t>
  </si>
  <si>
    <t>https://dzen.ru/user/1541034028</t>
  </si>
  <si>
    <t>Гость [3028007619]</t>
  </si>
  <si>
    <t>https://www.woman.ru/authors/Гость [3028007619]</t>
  </si>
  <si>
    <t>Клава [3833012333]</t>
  </si>
  <si>
    <t>https://www.woman.ru/authors/Клава [3833012333]</t>
  </si>
  <si>
    <t>https://dzen.ru/user/2370083782</t>
  </si>
  <si>
    <t>Дарина Морякова</t>
  </si>
  <si>
    <t>http://vk.com/id1116260947</t>
  </si>
  <si>
    <t>Карина Величко</t>
  </si>
  <si>
    <t>http://vk.com/id1116386313</t>
  </si>
  <si>
    <t>Арина Макарова</t>
  </si>
  <si>
    <t>http://vk.com/id1115976524</t>
  </si>
  <si>
    <t>bastarda</t>
  </si>
  <si>
    <t>https://otzyv.pro/user/bastarda</t>
  </si>
  <si>
    <t>Влада Макарова</t>
  </si>
  <si>
    <t>http://vk.com/id1114749370</t>
  </si>
  <si>
    <t>channel25742999</t>
  </si>
  <si>
    <t>https://rutube.ru/video/person/25742999</t>
  </si>
  <si>
    <t>Город РФ</t>
  </si>
  <si>
    <t>Без города</t>
  </si>
  <si>
    <t>41 город определена у 76,6% (85) сообщений</t>
  </si>
  <si>
    <t>Количество реакции</t>
  </si>
  <si>
    <t>❤</t>
  </si>
  <si>
    <t>🔥</t>
  </si>
  <si>
    <t>👍</t>
  </si>
  <si>
    <t>🙏</t>
  </si>
  <si>
    <t>❤‍🔥</t>
  </si>
  <si>
    <t>🥰</t>
  </si>
  <si>
    <t>✍</t>
  </si>
  <si>
    <t>🤯</t>
  </si>
  <si>
    <t>#диабет</t>
  </si>
  <si>
    <t>#эндокринология</t>
  </si>
  <si>
    <t>#женскоездоровье</t>
  </si>
  <si>
    <t>#память</t>
  </si>
  <si>
    <t>#мозг</t>
  </si>
  <si>
    <t>#эндокринолог</t>
  </si>
  <si>
    <t>#планированиебеременности</t>
  </si>
  <si>
    <t>#акушерство</t>
  </si>
  <si>
    <t>#концентрация</t>
  </si>
  <si>
    <t>#ноотроп</t>
  </si>
  <si>
    <t>#цир</t>
  </si>
  <si>
    <t>#ноотропы</t>
  </si>
  <si>
    <t>#гармоны</t>
  </si>
  <si>
    <t>#клексан</t>
  </si>
  <si>
    <t>#тимофееваов</t>
  </si>
  <si>
    <t>#кикина_отвечает</t>
  </si>
  <si>
    <t>#кикина_пропрепараты</t>
  </si>
  <si>
    <t>#кикина_неудобные_вопросы</t>
  </si>
  <si>
    <t>вессел</t>
  </si>
  <si>
    <t>дуэ</t>
  </si>
  <si>
    <t>нога</t>
  </si>
  <si>
    <t>врач</t>
  </si>
  <si>
    <t>препарат</t>
  </si>
  <si>
    <t>курс</t>
  </si>
  <si>
    <t>тромболикс</t>
  </si>
  <si>
    <t>кровь</t>
  </si>
  <si>
    <t>посол</t>
  </si>
  <si>
    <t>сосуд</t>
  </si>
  <si>
    <t>варикоз</t>
  </si>
  <si>
    <t>лечение</t>
  </si>
  <si>
    <t>вено</t>
  </si>
  <si>
    <t>тромб</t>
  </si>
  <si>
    <t>день</t>
  </si>
  <si>
    <t>антикоагулянт</t>
  </si>
  <si>
    <t>раз</t>
  </si>
  <si>
    <t>тромбоз</t>
  </si>
  <si>
    <t>сулодексид</t>
  </si>
  <si>
    <t>год</t>
  </si>
  <si>
    <t>оценка</t>
  </si>
  <si>
    <t>риск</t>
  </si>
  <si>
    <t>отзыв</t>
  </si>
  <si>
    <t>эндокринолог</t>
  </si>
  <si>
    <t>вопрос</t>
  </si>
  <si>
    <t>проблема</t>
  </si>
  <si>
    <t>неделя</t>
  </si>
  <si>
    <t>укол</t>
  </si>
  <si>
    <t>боль</t>
  </si>
  <si>
    <t>витамин</t>
  </si>
  <si>
    <t>беременность</t>
  </si>
  <si>
    <t>контроль</t>
  </si>
  <si>
    <t>мама</t>
  </si>
  <si>
    <t>месяц</t>
  </si>
  <si>
    <t>назначение</t>
  </si>
  <si>
    <t>стопа</t>
  </si>
  <si>
    <t>время</t>
  </si>
  <si>
    <t>заболевание</t>
  </si>
  <si>
    <t>образование</t>
  </si>
  <si>
    <t>пациент</t>
  </si>
  <si>
    <t>полгода</t>
  </si>
  <si>
    <t>эффект</t>
  </si>
  <si>
    <t>medium</t>
  </si>
  <si>
    <t>source</t>
  </si>
  <si>
    <t>применение</t>
  </si>
  <si>
    <t>профилактика</t>
  </si>
  <si>
    <t>результат</t>
  </si>
  <si>
    <t>рекомендация</t>
  </si>
  <si>
    <t>utm</t>
  </si>
  <si>
    <t>анализ</t>
  </si>
  <si>
    <t>дедушка</t>
  </si>
  <si>
    <t>операция</t>
  </si>
  <si>
    <t>прием</t>
  </si>
  <si>
    <t>симптом</t>
  </si>
  <si>
    <t>бабушка</t>
  </si>
  <si>
    <t>группа</t>
  </si>
  <si>
    <t>доктор</t>
  </si>
  <si>
    <t>исследование</t>
  </si>
  <si>
    <t>тяжесть</t>
  </si>
  <si>
    <t>риска</t>
  </si>
  <si>
    <t>дуэф</t>
  </si>
  <si>
    <t>болезнь</t>
  </si>
  <si>
    <t>весло</t>
  </si>
  <si>
    <t>диабет</t>
  </si>
  <si>
    <t>капсула</t>
  </si>
  <si>
    <t>состояние</t>
  </si>
  <si>
    <t>судорога</t>
  </si>
  <si>
    <t>тема</t>
  </si>
  <si>
    <t>хирург</t>
  </si>
  <si>
    <t>article</t>
  </si>
  <si>
    <t>campaign</t>
  </si>
  <si>
    <t>материал</t>
  </si>
  <si>
    <t>ночь</t>
  </si>
  <si>
    <t>ответ</t>
  </si>
  <si>
    <t>случай</t>
  </si>
  <si>
    <t>улучшение</t>
  </si>
  <si>
    <t>чулок</t>
  </si>
  <si>
    <t>patient</t>
  </si>
  <si>
    <t>actual</t>
  </si>
  <si>
    <t>разжижение</t>
  </si>
  <si>
    <t>фон</t>
  </si>
  <si>
    <t>vessel</t>
  </si>
  <si>
    <t>сахара</t>
  </si>
  <si>
    <t>phlebology</t>
  </si>
  <si>
    <t>bot</t>
  </si>
  <si>
    <t>due</t>
  </si>
  <si>
    <t>стр</t>
  </si>
  <si>
    <t>sulodeksida</t>
  </si>
  <si>
    <t>вена</t>
  </si>
  <si>
    <t>диагноз</t>
  </si>
  <si>
    <t>жизнь</t>
  </si>
  <si>
    <t>нарушение</t>
  </si>
  <si>
    <t>осложнение</t>
  </si>
  <si>
    <t>таблетка</t>
  </si>
  <si>
    <t>уровень</t>
  </si>
  <si>
    <t>эффективность</t>
  </si>
  <si>
    <t>терапия</t>
  </si>
  <si>
    <t>детралекс</t>
  </si>
  <si>
    <t>лета</t>
  </si>
  <si>
    <t>действие</t>
  </si>
  <si>
    <t>Время публикации</t>
  </si>
  <si>
    <t>Заголовок</t>
  </si>
  <si>
    <t>Распознанный текст</t>
  </si>
  <si>
    <t>Ссылка на сообщение</t>
  </si>
  <si>
    <t>Кто пишет</t>
  </si>
  <si>
    <t>Ссылка на автора</t>
  </si>
  <si>
    <t>Где пишет</t>
  </si>
  <si>
    <t>Ссылка на блог</t>
  </si>
  <si>
    <t>Оценка от 1 до 5</t>
  </si>
  <si>
    <t>Количество дублей</t>
  </si>
  <si>
    <t>Тип площадки</t>
  </si>
  <si>
    <t>Тип блога</t>
  </si>
  <si>
    <t>Тип автора</t>
  </si>
  <si>
    <t>Статус на площадке</t>
  </si>
  <si>
    <t>Обработано</t>
  </si>
  <si>
    <t>Примечание</t>
  </si>
  <si>
    <t>Язык</t>
  </si>
  <si>
    <t>WOM</t>
  </si>
  <si>
    <t>Спам</t>
  </si>
  <si>
    <t>Объявления</t>
  </si>
  <si>
    <t>Категории</t>
  </si>
  <si>
    <t>Токсичность</t>
  </si>
  <si>
    <t>Избранное</t>
  </si>
  <si>
    <t>Объекты</t>
  </si>
  <si>
    <t>Id сообщения</t>
  </si>
  <si>
    <t>31.05.2026 19:03</t>
  </si>
  <si>
    <t>✅ Евгений Круглов
Найдены материалы по теме: 20 (стр. 1 из 7)
ЛЕЧЕН, ОСЛОЖНЕН, ДЛИТЕЛЬНОСТ, ПРЕПАРАТ, РИСК, ГЕМОРР, ГЕМОРРАГИЧЕСК
🌐 1: Эффективен ли сулодексид (Вессел® Дуэ Ф) при начальных формах и стадиях ХЗВ?Сулодексид (Вессел® Дуэ Ф) эффективен у пациентов с начальными формами ХЗВ (классы C1-C3), улучшая качество жизни, значительно уменьшая отеки, боли, …
🌐 2: 10 масок — заболеваний, похожих на тромбозОпытный хирург не всегда может установить диагноз тромбоз. Проблем много. И течение не всегда яркое, и анамнез неоднозначный. С Маркиным Сергей Михай…
🌐 3: Пандемия коронавируса и тромбозов. Изменились рекомендации по антикоагулянтной профилактике!Количество заболевших коронавирусом более 50000 в сутки, более 100 погибли. Тромбозов больше. Минздрав обновил рекомендации, уделил особое внимание, … https://actual-phlebology.ru/kakova-klinicheskaya-effektivnost-primeneniya-sulodeksida-vessel-due-f-pri-nachalnyh-formah-hzv-klassy-s1-s3/?utm_source=af-patients-tg&amp;utm_medium=bot&amp;utm_campaign=articles https://actual-phlebology.ru/afpatient/10-masok-zabolevaniy-pohozhih-na-tromboz/?utm_source=af-patients-tg&amp;utm_medium=bot&amp;utm_campaign=articles https://actual-phlebology.ru/afpatient/pandemiya-koronavirusa-i-trombozov-izmenilis-rekomendatsii-po-antikoagulyantnoy-profilaktike/?utm_source=af-patients-tg&amp;utm_medium=bot&amp;utm_campaign=articles</t>
  </si>
  <si>
    <t>https://telegram.me/ap_patient/110573</t>
  </si>
  <si>
    <t>https://telegram.me/af_patientbot</t>
  </si>
  <si>
    <t>https://telegram.me/ap_patient</t>
  </si>
  <si>
    <t>Пост</t>
  </si>
  <si>
    <t>нейтральная</t>
  </si>
  <si>
    <t>Удалено</t>
  </si>
  <si>
    <t>Русский</t>
  </si>
  <si>
    <t>Вессел</t>
  </si>
  <si>
    <t>31.05.2026 17:18</t>
  </si>
  <si>
    <t>✅ Юлия Лаврентьева
Найдены материалы по теме: 20 (стр. 1 из 7)
БОЛЬ, БОЛИ, КСАРЕЛТ
🌐 1: Клиническая эффективность сулодексида (Вессел® Дуэ Ф) при хронической венозной недостаточности (классы С3-С4)Сулодексид (Вессел® Дуэ Ф) эффективно купирует симптомы у пациентов с ХВН классов C3-C4. Исследования подтверждают его высокую эффективность в уменьш…
🌐 2: Венозная язва на ноге: как правильно вылечить?Обсуждаем тонкости лечения венозной язвы на ноге. Приглашенный эксперт — авторитетный российский флеболог из Москвы Якушкин Сергей Николаевич. Местно…
🌐 3: Сколько пить кроверазжижающие после ковида — рекомендации врачейПоговорим о том, сколько пить кроверазжижающие препараты после ковида. Разберем факторы, влияющие на длительность антикоагулянтной терапии (разжижени… https://actual-phlebology.ru/kakova-klinicheskaya-effektivnost-primeneniya-sulodeksida-vessel-due-f-pri-hronicheskoy-venoznoy-nedostatochnosti-klassy-s3-s4/?utm_source=af-patients-tg&amp;utm_medium=bot&amp;utm_campaign=articles https://actual-phlebology.ru/afpatient/venoznaja-jazva-na-noge-kak-pravilno-vylechit/?utm_source=af-patients-tg&amp;utm_medium=bot&amp;utm_campaign=articles https://actual-phlebology.ru/afpatient/skolko-pit-kroverazzhizhajushhie-posle-kovida-rekomendacii-vrachej/?utm_source=af-patients-tg&amp;utm_medium=bot&amp;utm_campaign=articles</t>
  </si>
  <si>
    <t>https://telegram.me/ap_patient/110565</t>
  </si>
  <si>
    <t>31.05.2026 01:25</t>
  </si>
  <si>
    <t>Дуэ весь матч дно, Барколя пропал но оно и понятно всадник без головы</t>
  </si>
  <si>
    <t>https://www.sports.ru/football/1117226769-liga-chempionov-final-pszh-safonova-protiv-arsenala-onlajn-translyaczi.html?comment_id=22141524¦news¦1117226769</t>
  </si>
  <si>
    <t>Комментарий</t>
  </si>
  <si>
    <t>да</t>
  </si>
  <si>
    <t>31.05.2026 00:16</t>
  </si>
  <si>
    <t>Кому назначали Вессел Дуэ Ф при беременности?</t>
  </si>
  <si>
    <t>Кто-нибудь принимал вессел дуэ Ф
И для чего вам его назначали?</t>
  </si>
  <si>
    <t>https://mom.life/post/6a1b1b65c78c0db71a01fa09</t>
  </si>
  <si>
    <t>Дагестан</t>
  </si>
  <si>
    <t>30.05.2026 22:27</t>
  </si>
  <si>
    <t>@ievgenia, на этапе планирования уже клексан колола. Утрожестан по 8 штук что ли. Витаминов разных. Вессел дуэ ф. Все назначала генетик от а до я. Каждые две недели коалулограмму сдавала. По ней добавляли препараты либо убавляли. Сходите к Сангизовой. Благодаря ней вот выносила. Пережила несколько сильных кровотечение и много чего было. Но выносила</t>
  </si>
  <si>
    <t>https://mom.life/post/6a1adb75a496a5f9b00bfe37#6a1aff6dda4435cbda010e02#6a1b01e344ce8a22210504e8</t>
  </si>
  <si>
    <t>30.05.2026 20:18</t>
  </si>
  <si>
    <t>#ноотропы #ноотроп #мозг #память #концентрация
оригинальный звук - Ripsime_pro_food'</t>
  </si>
  <si>
    <t xml:space="preserve">Тексты с изображений_x000d_
вессел забота о мозге так*же 000 ле/2 лого in 10 омпул важна, как забота о теле alfasigmad 10 мл церебролизин инъекций нооцил раствор для цитиколин 100 мг/мл сородоводной нетункам бара по 10 мл 5 ампул vinganano б флакон элг мл гозации сторов 240 rabactka поль!! соводовались woretit. #подоводовой о#помной @nocob_x000d_
Расшифровки_x000d_
заказ большой на препараты все для поддержки работы мозга и сосудов цитиколин, церебролизин,элтацин , Фезам, кортексин, мексидол и вессел дуэ_x000d_
</t>
  </si>
  <si>
    <t>https://www.tiktok.com/@ripsime_pro_food/video/7645673605015162132</t>
  </si>
  <si>
    <t>30.05.2026 19:39</t>
  </si>
  <si>
    <t>По таким вопросам общаются с гематологом. Ну платно, конечно, у нас бесплатных не предлагают, например. Я три беременности с гематологом. Ддимер всегда мониторила. Но у меня тромбофилия, смерть ребенка в анамнезе, хоть точно и не установлена причина антенатальной гибели. Уколы колола всего пару недель. Мне не пошли, кровь переразжижилась. Пила всякое: Курантил, Кардиомагнил, вессел дуэ и прочее. Первые две беременности с истеричной гематологшей, которая меня запичкала. Третья с гематологом мужиком, там почти не разжижали. Тормы ддимера у беременных выше в разные семестры.</t>
  </si>
  <si>
    <t>https://forum.baby.ru/blogs/post/2635552189-142290119/#comment2635557736</t>
  </si>
  <si>
    <t>Ростовская</t>
  </si>
  <si>
    <t>30.05.2026 14:18</t>
  </si>
  <si>
    <t>[id788551359|Добрый], ВСЕГДА.Хороший препарат Вессел дуэ-да стоит как четвертая часть моей хорошей(!) пенсии</t>
  </si>
  <si>
    <t>http://vk.com/wall-29445319_705170?reply=705191&amp;thread=705185</t>
  </si>
  <si>
    <t>позитивная</t>
  </si>
  <si>
    <t>29.05.2026 20:32</t>
  </si>
  <si>
    <t>✅ Денис Баурин
Найдены материалы по теме: 20 (стр. 1 из 7)
ЛЕЧЕН, СОСУДИСТ, ФЛЕБОЛОГ, ХИРУРГ, ОПЕРАТИВН
🌐 1: Сулодексид (Вессел® Дуэ Ф) в российских клинических рекомендацияхСулодексид (Вессел® Дуэ Ф) рекомендован к применению российскими клиническими рекомендациями для лечения ХЗВ любой степени тяжести, а также в качеств…
🌐 2: 10 масок — заболеваний, похожих на тромбозОпытный хирург не всегда может установить диагноз тромбоз. Проблем много. И течение не всегда яркое, и анамнез неоднозначный. С Маркиным Сергей Михай…
🌐 3: Как заподозрить тромбоз. 3 основные признака!В данном эфире вы подробнее узнаете об одном из самых грозных заболеваний вен. Как заподозрить тромбоз, что делать и на что обратить внимание. Для по… https://actual-phlebology.ru/kakovo-mesto-v-sulodeksida-vessel-due-f-v-klinicheskih-rekomendatsiyah-rf/?utm_source=af-patients-tg&amp;utm_medium=bot&amp;utm_campaign=articles https://actual-phlebology.ru/afpatient/10-masok-zabolevaniy-pohozhih-na-tromboz/?utm_source=af-patients-tg&amp;utm_medium=bot&amp;utm_campaign=articles https://actual-phlebology.ru/afpatient/kak-zapodozrit-tromboz-3-osnovnye-priznaka/?utm_source=af-patients-tg&amp;utm_medium=bot&amp;utm_campaign=articles</t>
  </si>
  <si>
    <t>https://telegram.me/ap_patient/110528</t>
  </si>
  <si>
    <t>29.05.2026 19:44</t>
  </si>
  <si>
    <t>Отзыв о Вессел Дуэ Ф капсулы 250ЛЕ 60шт</t>
  </si>
  <si>
    <t>Оценка 5 из 5
постоянно заказываю.</t>
  </si>
  <si>
    <t>https://www.ozon.ru/product/754249148/reviews?ruuid=019e73c4-0a4a-7d4d-81fb-9abe5d61d5e5</t>
  </si>
  <si>
    <t>Отзыв</t>
  </si>
  <si>
    <t>5</t>
  </si>
  <si>
    <t>29.05.2026 18:47</t>
  </si>
  <si>
    <t>Оценка 4 из 5</t>
  </si>
  <si>
    <t>https://www.ozon.ru/product/754249148/reviews?ruuid=019e738f-6d1d-78a6-8307-994b94425c0c</t>
  </si>
  <si>
    <t>4</t>
  </si>
  <si>
    <t>28.05.2026 21:00</t>
  </si>
  <si>
    <t>Врач назначил 3 кроворазжижающих препарата при полиморфизме PAI-1 4G4G. Правильно ли это?</t>
  </si>
  <si>
    <t>Запишитесь на консультацию в ЦИР https://clck.ru/3T3j82
Вступайте в наш чат в Телеграме https://t.me/+oMLMs1FrWzliMzFi
​
В этом видео врач акушер-гинеколог ЦИР, Тимофеева Оксана Валерьевна, отвечает на вопрос:
Назначили Клексан, аспирин кардио и метилфолат. По гемостазу нарушение PAI 4G4G, то есть это поломка в двух вариантах и нарушение всех фолатных циклов. Ещё назначили Вессел Дуэ Ф, Суперлимф месяц до планирования. Правильно ли это?
Вы же ничего не рассказываете о себе. Не то, что есть поломка 4G4G, нужно смотреть ваш возраст, ваш вес, ваш анамнез. Самостоятельно планируете беременность или это ЭКО, какая гормональная нагрузка,
Что с вами было до этого всего? Потому что
сами по себе мутации, они не требуют лечения и нарушения генов, которые предрасполагают к микротромбообразованию, и даже Лейденская мутация, и мутация протромбина, и мутация PAI-1, они сами по себе не требуют лечения. Когда мы принимаем во внимание факт мутации? Если пациентка начинает принимать комбинированные оральные контрацептивы, если пациентка начинает принимать заместительную гормонотерапию, пациентка готовится к операции, у пациентки менопауза и нужно подобрать какие-то препараты: Дюфастон или эстрогены. Вот те состояния, при которых мы смотрим на мутации. Просто так, в обычной жизни, мы не профилактируем ничего, потому что были проведены исследования и было выявлено, что даже с Лейденской мутацией, если пациенты просто принимают кроворазжижающие препараты, риск геморрагических инсультов выше, чем риск проблем у тех пациентов, которые ничего не принимают.
Досмотрите это видео до конца!
​Мы во Вконтакте https://vk.com/socialnetcir
Наш Рутуб https://rutube.ru/channel/23913594/
Наш Яндекс Дзен https://vk.cc/cc19Fc
​Центр иммунологии и репродукции (ЦИР) - cеть клиник фертильности, акушерства и пренатальной диагностики с собственной лабораторией медицинских анализов "Лаборатории ЦИР". Работаем с 1996 года.
Основные направления деятельности:
диагностика и лечение бесплодия и невынашивания беременности
подготовка к ЭКО
планирование беременности и ведение беременности
урология и андрология
помощь и профилактика тяжелых осложнений беременности, преэклампсии, АФС, тромбофилии
все виды анализов.
Мы помогаем людям стать родителями даже в самых сложных случаях!
Наш канал посвящён акушерству, гинекологии и репродуктивной медицине. Мы публикуем видео о новостях медицины, обзоры статей из зарубежных научных журналов, разборы сложных клинических случаев, а также отвечаем в наших видео на вопросы подписчиков.
Наши видео будут полезны как для врачей разных специальностей, чья работа связана с репродуктивной медициной, так и для пациентов и для широкого круга людей интересующихся акушерством и гинекологией и ищущих ответы на свои вопросы.
На нашем канале проходят прямые трансляции с кандидатом медицинских наук, врачом акушером-гинекологом, Гузовым Игорем Ивановичем, в которых он рассказывает о новостях медицины и отвечает на ваши вопросы.
Подпишитесь на наш канал, чтоб не пропустить трансляции и выход новых видео!
Это видео • Врач назначил 3 кроворазжижающих препарата...
Другие видео про лекарства при беременности https://vk.cc/9hlfBa
Полиморфизмы генов гемостаза https://vk.cc/a58vty
Гемостаз https://vk.cc/9jV4Qn
​Много интересных видео https://goo.gl/64X3c1
​
#ЦИР​ #ТимофееваОВ #клексан #планированиебеременности #акушерство #женскоездоровье</t>
  </si>
  <si>
    <t xml:space="preserve">Тексты с изображений_x000d_
(цир кроворазжижающие препараты при pa1*1_x000d_
</t>
  </si>
  <si>
    <t>http://www.youtube.com/watch?v=g0PEh9F7iQ8</t>
  </si>
  <si>
    <t>28.05.2026 15:10</t>
  </si>
  <si>
    <t>Я и не игнорировала никогда, сразу стала пить вессел дуэ ф для укрепления стенок сосудов, в итоге варикоз больше не прогрессировать</t>
  </si>
  <si>
    <t>http://vk.com/wall-213047982_46097?reply=46412</t>
  </si>
  <si>
    <t>28.05.2026 15:07</t>
  </si>
  <si>
    <t>Да,на варикоз похоже, у меня так начиналось и я сразу стала пить вессел дуэ ф, он сосуды восстанавливает и варикоз перестает развиваться</t>
  </si>
  <si>
    <t>http://vk.com/wall-170066150_61530?reply=61548</t>
  </si>
  <si>
    <t>Воронежская</t>
  </si>
  <si>
    <t>28.05.2026 14:42</t>
  </si>
  <si>
    <t>Отзыв: Раствор для внутривенного и внутримышечного введения Alfa Wassermann "ВЕССЕЛ ДУЭ Ф" - Помог на начальной стадии варикоза</t>
  </si>
  <si>
    <t>Оценка: 5 из 5
Раствор для внутривенного и внутримышечного введения Alfa Wassermann "ВЕССЕЛ ДУЭ Ф"
Достоинства: ощутимый результат после месяца приема
Недостатки: с ними не сталкивалась
Я очень внимательно отношусь к своему здоровью, поэтому когда у меня начали болеть и отекать ноги, я сразу пошла к флебологу. Полюс еще судороги по ночам начались. А я знаю, что так может проявляться варикоз. У моей мамы и бабушки он был, поэтому симптомы мне хорошо знакомы.
Врач подтвердил мои опасения - у меня начальная стадия варикоза. Дал стандартные рекомендации и назначил вессел дуэ ф курсом на один месяц.
Как и у любого другого препарата, препарат имеет ряд противопоказаний. Побочные эффекты тоже возможны, но у меня обошлось без них.
В упаковке три блистера, а также подробная инструкция. Даны рекомендации по применению.
Я принимала капсулы так, как мне сказал врач - по две штуки два раза в день до еды.
Результат есть, и меня он вполне устраивает. Судороги и боль прошли. Ноги выглядят стройнее, потому что ушли отеки. Некоторые венки даже побледнели. Такого эффекта я и ожидала. Сейчас буду стараться поддерживать результат соблюдая рекомендации врача. Уж их то мне теперь нужно придерживаться постоянно, ну и планово принимать вессел дуэ ф дважды в год. Всем желаю здоровья и благодарю за то, что дочитали мой отзыв до конца
Год выпуска/покупки2026Общее впечатлениеПомог на начальной стадии варикозаМоя оценка5Рекомендую друзьямДА</t>
  </si>
  <si>
    <t xml:space="preserve">Тексты с изображений_x000d_
с цветов ses тте 10 листов вессел 100 дуэ qd сулодексид 250 ле листов 60 капсул alfasigma о)отзовик_x000d_
цветов о r( alfasigma вессел дуэ в капсулы с(и отзовик_x000d_
чаш все 1(( 60 капсул сулодексид 250 вессел ma ле дуэ alfasigma не g a csa co. nvo unu мал o(z4le) )йда) vinali!! daldor )dэnиw 9го oty madipi roy jw iscun vinaloga nr 48(e8 шма m пр@шозомоиря oe*e юonowdoo) oniuulis д#mgk #ulanэty родиому смадися вийму alinita)qu тивонидорф з)имешокомиен гиллити "ewaoф вемнаяд)dемо(р яvд.o) :atau cw дониеводи@1риди kepa : vu «шардад» вондоd пизнайсойу? idjobpzion u нодуон райневойдшием иранной ереджнича aobojdol склыж@ш 3 ект иэ)дэ8 оjонноваздежэи ойнакашиdц випука1дни ашохэнипиtаw ou 7ф (оосдийосо #винэнудхоонуdйе ов1дdэ1диним 2jew19 2322074 "1de отзовик_x000d_
эя 80.г 7. цветов a 10 ad листов вессел дуэ 250 ле сулодексид 60 капсул alfasigma отзовик_x000d_
</t>
  </si>
  <si>
    <t>https://otzovik.com/review_18382308.html</t>
  </si>
  <si>
    <t>28.05.2026 14:38</t>
  </si>
  <si>
    <t>Узи сосудов ног делала - есть варикоз, сейчас принимаю вессел дуэ ф, ношу компрессионные чулки, мажу ноги по вечерам гепарином, стало получше</t>
  </si>
  <si>
    <t>http://ok.ru/group/59240543158337/topic/157974466286913#QUFBQm5tMkZOK3M4M1E9PToxNTc5NzQ0NjYyODY5MTM6MQ==</t>
  </si>
  <si>
    <t>28.05.2026 13:45</t>
  </si>
  <si>
    <t>Уход очень важен, но кроме этих мер, моему папе прописывают раз в полгода прокалывать курс тромболикс про, это антикоагулянт, нужен, чтобы кровь проходила по сосудам хорошо. Еще витамины группы В он пьет на постоянной основе</t>
  </si>
  <si>
    <t>http://vk.com/wall-38982223_266259?reply=266342</t>
  </si>
  <si>
    <t>Мордовия</t>
  </si>
  <si>
    <t>Тромболикс</t>
  </si>
  <si>
    <t>28.05.2026 05:00</t>
  </si>
  <si>
    <t>[id744099322|Ульяна], подскажите, весел дух ф можно принимать только при варикозе глубоких вен? У меня поверхностная вена просто вылезла. И помогает ли весел дуэ ф улучшить внешний вид вены или только боль снимает/тяжесть?</t>
  </si>
  <si>
    <t>http://vk.com/wall-131931112_1550465?reply=1552214&amp;thread=1550789</t>
  </si>
  <si>
    <t>Отредактировано</t>
  </si>
  <si>
    <t>Владимирская</t>
  </si>
  <si>
    <t>28.05.2026 00:16</t>
  </si>
  <si>
    <t>Онемение не значит ампутация. Сделайте дуплексное исследование вен нижних конечностей и к хирургу. Назначат вам весел Ду эф, Актовегин или что то подобное. Главное не тянуть с этим.</t>
  </si>
  <si>
    <t>http://vk.com/wall-149047382_3170626?reply=3171872</t>
  </si>
  <si>
    <t>Саратовская</t>
  </si>
  <si>
    <t>27.05.2026 13:31</t>
  </si>
  <si>
    <t>У дедушки диабетическая стопа, ему назначают курс уколов тромболикс про по 20 дней каждые полгода. Еще витамины В. Регулярный осмотр и обработка стоп, если есть повреждения. Ну а контроль сахара- это основа основ! Вам к эндокринологу нужно</t>
  </si>
  <si>
    <t>http://vk.com/wall-37094416_1422966?reply=1423138</t>
  </si>
  <si>
    <t>Тромболикс, Тромбообразование и полинейропатия нижних конечностей</t>
  </si>
  <si>
    <t>27.05.2026 03:41</t>
  </si>
  <si>
    <t>Здравствуйте Ксения Сергеевна, у меня мама пожилой человек, последнее время стоят жаркие дни, и она говорит, что нет сил, голова не болит, но гудит, это возможно после перенесенного инсульта. Наверное так и будет. Чем можно поддержать сосуды, если Детралекс подделка, Вессел Дуэ ф, на него отреагировала отеком, больше не рискну.
Эскузан, принимаю сама, довольно противная штука, мама такое пить не будет.
Чем тогда укреплять сосуды и чтобы были силы?
Благодарю Вас!</t>
  </si>
  <si>
    <t>http://vk.com/wall-211243521_28447?reply=28514</t>
  </si>
  <si>
    <t>негативная</t>
  </si>
  <si>
    <t>Татарстан</t>
  </si>
  <si>
    <t>26.05.2026 23:20</t>
  </si>
  <si>
    <t>У меня тоже работа на ногах, помогает компрессионное белье, прием вессел дуэ ф для поддержки вен и контрасный душ ногам после работы. Это работает, так и держусь</t>
  </si>
  <si>
    <t>http://vk.com/wall-110697272_639639?reply=639683</t>
  </si>
  <si>
    <t>26.05.2026 22:38</t>
  </si>
  <si>
    <t>От вессел дуэф такое было 1в1
Допивать не стала
От кардиомагнила никаких побочек не было</t>
  </si>
  <si>
    <t>https://mom.life/post/6a15bbf2766114bef2060ad9#6a15be79c949f7c1200d9cb0</t>
  </si>
  <si>
    <t>26.05.2026 22:27</t>
  </si>
  <si>
    <t>Болит живот и диарея от Весел Дуэф и Кардиомагнил: что делать?</t>
  </si>
  <si>
    <t>Кто пил Весел дуэф и кардиомагнил живот не болел? А то у меня как начала пить это , болит живот и диарея</t>
  </si>
  <si>
    <t>https://mom.life/post/6a15bbf2766114bef2060ad9</t>
  </si>
  <si>
    <t>Свердловская</t>
  </si>
  <si>
    <t>26.05.2026 20:19</t>
  </si>
  <si>
    <t>✅ Галина
Найдены материалы по теме: 20 (стр. 1 из 7)
ВАРИКОЗ, БОЛЕЗН, ВЕН, МЕСТН, ТРОМБ, ВЕРХН, ФЛЕБОЛОГ, ХИРУРГ, ПОВЯЗК, ФЛЕБИТ, ВЕНОТОНИК
🌐 1: Современные подходы к терапии хронических заболеваний венЛечение ХЗВ включает фармакотерапию, компрессионные и хирургические методы. Фармакопрепараты, в том числе сулодексид, играют важную роль, помогая пов…
🌐 2: Клиническая эффективность сулодексида (Вессел® Дуэ Ф) при хронической венозной недостаточности (классы С3-С4)Сулодексид (Вессел® Дуэ Ф) эффективно купирует симптомы у пациентов с ХВН классов C3-C4. Исследования подтверждают его высокую эффективность в уменьш…
🌐 3: Варикозные вены — всегда ли будет тромбоз?На каком месте стоит варикозная болезнь среди факторов риска возникновения тромбоза. Всегда ли нужно оперироваться по поводу варикозной болезни. В ка… https://actual-phlebology.ru/kakovy-sovremennye-podhody-k-terapii-hronicheskih-zabolevaniy-ven/?utm_source=af-patients-tg&amp;utm_medium=bot&amp;utm_campaign=articles https://actual-phlebology.ru/kakova-klinicheskaya-effektivnost-primeneniya-sulodeksida-vessel-due-f-pri-hronicheskoy-venoznoy-nedostatochnosti-klassy-s3-s4/?utm_source=af-patients-tg&amp;utm_medium=bot&amp;utm_campaign=articles https://actual-phlebology.ru/afpatient/varikoznye-veny-vsegda-li-budet-tromboz/?utm_source=af-patients-tg&amp;utm_medium=bot&amp;utm_campaign=articles</t>
  </si>
  <si>
    <t>https://telegram.me/ap_patient/110422</t>
  </si>
  <si>
    <t>26.05.2026 19:00</t>
  </si>
  <si>
    <t>Очень хороший пост.У меня в 53 года как раз и начали проявляться проблемы с ногами и позвоночником.И это первое, что проявляется у человека который не нарастил хороший мышечный каркас.Связки уже стареют и не так хорошо держат скелет. Мышц толком нет.Кости тоже не той плотностью обладают.Я стала пить для плотности костей такой состав.Кальций, витамин Д, витамин К2( чтоб кальций шел в кости а не в сосуды)Собираюсь сделать камельницу с золедроновой кислотой. Ее можно делать только после анализов на Кальций. Гонит кальций в кости, уплотняя их. Женщинам в климакс необходимо против остеопороза.Поеятно что для связок коллаген в доступных формах. И что то для улучшения кровообращения в сосудах. Я пью Вессел дуе Ф. На постонной основе.</t>
  </si>
  <si>
    <t>https://telegram.me/immortaldrops/942?comment=12189</t>
  </si>
  <si>
    <t>https://telegram.me/Ирина</t>
  </si>
  <si>
    <t>https://telegram.me/immortaldrops</t>
  </si>
  <si>
    <t>26.05.2026 18:57</t>
  </si>
  <si>
    <t>✅ Галина
Найдены материалы по теме: 20 (стр. 1 из 7)
ВАРИКОЗ, БОЛЕЗН, ВЕН, ТРОФИЧЕСК, ВЕРХН, ПРОБЛЕМ, ФЛЕБОЛОГ, ЯЗВ, ХИРУРГ, ПОВЯЗК, ВЕНОТОНИК
🌐 1: Сулодексид (Вессел® Дуэ Ф) в российских клинических рекомендацияхСулодексид (Вессел® Дуэ Ф) рекомендован к применению российскими клиническими рекомендациями для лечения ХЗВ любой степени тяжести, а также в качеств…
🌐 2: Варикоз после операции: как избежать рецидив болезни?При каком хирургическом методе лечения, варикоз после операции исключен? Мы рассмотрим основные современные вмешательства и определим частоту рецидив…
🌐 3: Как избежать тромбоза при авиаперелете?Длительные авиаперелеты сопряжены с повышенным риском развития венозных тромбозов. Это связано с вынужденной временной обездвиженностью нижних конечн… https://actual-phlebology.ru/kakovo-mesto-v-sulodeksida-vessel-due-f-v-klinicheskih-rekomendatsiyah-rf/?utm_source=af-patients-tg&amp;utm_medium=bot&amp;utm_campaign=articles https://actual-phlebology.ru/afpatient/varikoz-posle-operacii-kak-izbezhat-recidiv-bolezni/?utm_source=af-patients-tg&amp;utm_medium=bot&amp;utm_campaign=articles https://actual-phlebology.ru/afpatient/kak-izbezhat-tromboza-pri-aviaperelete/?utm_source=af-patients-tg&amp;utm_medium=bot&amp;utm_campaign=articles</t>
  </si>
  <si>
    <t>https://telegram.me/ap_patient/110416</t>
  </si>
  <si>
    <t>26.05.2026 16:51</t>
  </si>
  <si>
    <t>Ксения Сергеевна,можно ли принимать вессел дуэ если есть забитость сосудов и атероскоероз? Не `зацементирует`ли он сосуды,если они и так узкие?</t>
  </si>
  <si>
    <t>http://vk.com/wall-211243521_28447?reply=28478</t>
  </si>
  <si>
    <t>26.05.2026 14:42</t>
  </si>
  <si>
    <t>Мой опыт применения при варикозе. ВЕССЕЛ ДУЭ Ф ЦЕНА инструкция по применению</t>
  </si>
  <si>
    <t>Оценка: 5 из 5
ВЕССЕЛ ДУЭ Ф ЦЕНА инструкция по применению - отзыв
Я принимаю Вессел Дуэ Ф уже достаточно долго и могу отметить его положительное влияние на организм. Препарат помогает поддерживать здоровье вен и улучшает кровоток, что ощущается в повседневной жизни. Раньше меня часто мучили ночные судороги, появлялись отеки и чувство тяжести в ногах, но после курса эти проблемы ушли.
Теперь я просыпаюсь без неприятных ощущений, ноги стали легче, исчезла боль и усталость даже после насыщенного дня.
Кроме того, общее самочувствие стало лучше: появилась энергия, стало проще заниматься привычными делами, больше двигаться и не бояться длительных нагрузок. Для меня важно, что средство работает мягко и не вызывает побочных эффектов, поэтому его можно использовать в профилактических целях.
Вессел Дуэ Ф оправдал мои ожидания и доказал свою эффективность.
Перед применением обязательно проконсультируйтесь со специалистом
Достоинства: улучшает состояние вен
Недостатки: нет
РКН: сайт youtube.com нарушает закон РФ
Стоимость: 3650 руб.
Общее впечатление: Мой опыт применения при варикозе</t>
  </si>
  <si>
    <t>https://otzyv.pro/reviews/otzyvy-vessel-due-f-cena-515498.html</t>
  </si>
  <si>
    <t>26.05.2026 14:16</t>
  </si>
  <si>
    <t>Можно к своему эндокринологу обратиться, возможно полинейропатия это. У мамы была, ей прописывали тромболикс про курсом 20 дней, чтобы кровь проходила по сосудам лучше. Еще витамины группы в. Но все лечение должен врач назначать, он знает своего пациента.</t>
  </si>
  <si>
    <t>http://vk.com/wall-60212615_5257311?reply=5257415</t>
  </si>
  <si>
    <t>Ивановская</t>
  </si>
  <si>
    <t>26.05.2026 12:13</t>
  </si>
  <si>
    <t>Да, это мне знакомо. Я еще сначала думала, что просто усталость. Потом начала пить Вессел Дуэ Ф курсом, ноги перстали гудеть и отекать даже после длительного дня на ногах</t>
  </si>
  <si>
    <t>http://vk.com/wall-114905525_2072506?reply=2072581</t>
  </si>
  <si>
    <t>Нижегородская</t>
  </si>
  <si>
    <t>26.05.2026 12:11</t>
  </si>
  <si>
    <t>Главное, не затягивать это дело! Я сначала игнорировала, потом сосудистая сетка полезла. Сейчас тоже пью Вессел Дуэ Ф + контрастный душ для ног делаю, стало легче.</t>
  </si>
  <si>
    <t>http://vk.com/wall-80942402_297593?reply=297605</t>
  </si>
  <si>
    <t>Московская</t>
  </si>
  <si>
    <t>26.05.2026 11:52</t>
  </si>
  <si>
    <t>весел ДуэФ (сулодексид) _yu_pfksa10_Лечение–Сборник БРТ Программа сайт Матрицы-Гаряева.рф 2026 Март Новые Оригинал</t>
  </si>
  <si>
    <t xml:space="preserve">Тексты с изображений_x000d_
биорезонанс брт 2026 саит гаряев—матрицы рф_x000d_
</t>
  </si>
  <si>
    <t>https://ok.ru/video/14345272494646</t>
  </si>
  <si>
    <t>весел ДуэФ (сулодексид) _yu_pfda10_Лечение–Сборник БРТ Программа сайт Матрицы-Гаряева.рф 2026 Март Новые Оригинал</t>
  </si>
  <si>
    <t>https://ok.ru/video/14345272035894</t>
  </si>
  <si>
    <t>26.05.2026 11:29</t>
  </si>
  <si>
    <t>https://ok.ru/video/14344948025910</t>
  </si>
  <si>
    <t>https://ok.ru/video/14344947173942</t>
  </si>
  <si>
    <t>26.05.2026 09:35</t>
  </si>
  <si>
    <t>Здравствуйте, доктор. Зовут меня Дмитрий, я из Биробиджана. Можно ли принимать одновременно Сотрет 10мг с Детралекс 1000мг+Вессел Дуэ Ф?</t>
  </si>
  <si>
    <t>https://rutube.ru/video/beb37f6e2550e9db4eab02f34413fdec/#1779762931674921354</t>
  </si>
  <si>
    <t>26.05.2026 07:03</t>
  </si>
  <si>
    <t>Это варикоз скорее всего, с ним лучше не тянуть. Мне помогли чулки и лечение у флеболога, в том числе Вессел Дуэ Ф, с таким лечением уже через несколько дней стало легче</t>
  </si>
  <si>
    <t>http://vk.com/wall-114905525_2072506?reply=2072571</t>
  </si>
  <si>
    <t>26.05.2026 06:52</t>
  </si>
  <si>
    <t>У меня так же было, особенно после работы, а она у меня 10-часовая и преимущественно на ногах. Флеболог назначал компрессию и Вессел Дуэ Ф курсом, с ним реально меньше тяжести стало.</t>
  </si>
  <si>
    <t>http://vk.com/wall-80942402_297593?reply=297604</t>
  </si>
  <si>
    <t>25.05.2026 22:58</t>
  </si>
  <si>
    <t>Лия Л, вы верно подмечаете важность движения — это действительно базовая и самая эффективная мера. Но давайте разберем на примере вашего совета, почему здесь не всё однозначно.
🩺 Разбор по существу
Движение — это базовая, неотъемлемая и самая эффективная профилактика венозного застоя и тромбозов. Физическая активность работает безотказно.
Вессел Дуэ Ф (сулодексид) — препарат, который действительно не входит в актуальные российские и международные клинические рекомендации (например, NICE 2023) для первичной профилактики тромбозов у людей из группы риска. Его применение в этом качестве не имеет доказательной базы и не рекомендуется стандартами лечения. Его назначение может рассматриваться только врачом в очень узких случаях, например, при лечении уже перенесенного тромбоза.
Венотоники (например, диосмин) — они хорошо работают для облегчения симптомов хронической венозной недостаточности: убирают тяжесть, отеки и судороги в ногах. Но они не предназначены для профилактики образования тромбов в глубоких венах.
Таким образом, ваш совет про движение абсолютно верен, но прием препаратов для профилактики тромбоза должен основываться на доказательной базе и назначаться врачом. Самолечение в таких вопросах недопустимо.
Если вас беспокоит риск тромбоза, лучший совет — это консультация с врачом и соблюдение проверенных мер, о которых мы говорили в статье: поддержание водного баланса, ношение компрессионного трикотажа во время длительных перелетов и, как вы верно заметили, регулярная физическая активность.☝️😇</t>
  </si>
  <si>
    <t>https://dzen.ru/a/ag5APRCFLmItYCco?comment-request=1#comment_3327763383</t>
  </si>
  <si>
    <t>25.05.2026 16:51</t>
  </si>
  <si>
    <t>Вессел дуе ф</t>
  </si>
  <si>
    <t>https://www.threads.com/@znaika121/post/DYwdvGHCP0x</t>
  </si>
  <si>
    <t>25.05.2026 13:30</t>
  </si>
  <si>
    <t>Он же наблюдается у эндокринолога? вот к нему идти нужно. У бабушки диабетическая стопа, она колит тромболикс про для разжижения крови, чтоб тромбов не возникало. Пьет витамины группы В, постоянно осматривает и если нужно- обрабатывает раны на стопах.</t>
  </si>
  <si>
    <t>http://vk.com/wall-185317296_413191?reply=413682</t>
  </si>
  <si>
    <t>25.05.2026 03:59</t>
  </si>
  <si>
    <t>Забота о ногах - Отзывы о Вессел Дуэ Ф</t>
  </si>
  <si>
    <t>Оценка: 5 из 5
Вессел Дуэ Ф
Назначил сосудистый хирург после удаления варикоза, мне делали операцию. Доктор сказал, что в моем случае этот препарат стоит пропивать курсами несколько раз в год в качестве профилактики, чтобы избежать осложнений и повторений варикоза. Так и делаю, плюс слежу за нагрузкой и ношу исключительно удобную одежду и обувь.</t>
  </si>
  <si>
    <t>https://www.otzyvru.com/vessel-due-f/review-2256705#comment2256705</t>
  </si>
  <si>
    <t>25.05.2026 01:07</t>
  </si>
  <si>
    <t>Вессел Дуэ Ф - отзывы</t>
  </si>
  <si>
    <t>https://www.vashe-mnenie.com/reviews.php?name=vessel-due-f#date=2026-05-24 21:07:34</t>
  </si>
  <si>
    <t>24.05.2026 22:22</t>
  </si>
  <si>
    <t>Я каждые полгода принимаю вессел дуэ ф, мне он помогает, т.к восстанавливает сосуды изнутри. Отёков и судорог по ночам уже давно не было, отёки прошли. И побочек от него никаких (хотя, вообще они не исключены, как и у любого другого препарата)</t>
  </si>
  <si>
    <t>https://www.woman.ru/health/woman-health/thread-varikoz-chto-prinimaete-id6426253/#m104079984</t>
  </si>
  <si>
    <t>24.05.2026 22:19</t>
  </si>
  <si>
    <t>Давать ногам отдых, делать ванночки, убрать сдавливающую одежду и тесную обувь. Вессел дуэ ф ещё можно пропивать курсами, но это только по назначению врача. Как к флебологу попадете, спросите про этот препарат. Мне он хорошо помог избавиться от боли и тяжести в ногах</t>
  </si>
  <si>
    <t>http://vk.com/wall-155019350_73103?reply=73172</t>
  </si>
  <si>
    <t>Кировская</t>
  </si>
  <si>
    <t>24.05.2026 19:23</t>
  </si>
  <si>
    <t>Оценка 5 из 5</t>
  </si>
  <si>
    <t>https://www.ozon.ru/product/754249148/reviews?ruuid=019e59f0-69df-72d7-ae2a-8970bfc26c60</t>
  </si>
  <si>
    <t>24.05.2026 17:36</t>
  </si>
  <si>
    <t>Вессел дуэ Ф, по назначению врача, под контролем коагулограммы..
узи правда давно не делала. Плюс сама - бады для поддержки сосудов и кровообращения, курсами.</t>
  </si>
  <si>
    <t>https://telegram.me/alopecia_info/744786</t>
  </si>
  <si>
    <t>https://telegram.me/danielabialik</t>
  </si>
  <si>
    <t>https://telegram.me/alopecia_info</t>
  </si>
  <si>
    <t>23.05.2026 21:16</t>
  </si>
  <si>
    <t>ПРЯМОЙ ЭФИР КАРДИОЛОГА И АНГИОХИРУРГА
Тадевосян Рубен Эдуардович
Ютуб: https://youtube.com/@dr.tadevosan?si=gKsbMTq36t02817S
ВК: https://vk.com/drtadevosan
Тг: https://t.me/tadevosan
ЧТО ОБСУЖДАЛИ:
00:00 Начало трансляции и приветствие зрителей
01:45 Удовлетворение от профессии врача и ценность обратной связи от пациентов
04:37 Комбинированная терапия: правильный подход к назначению статина и эзетимиба
06:22 Почему колеблется холестерин после АКШ и важность достижения ЛПНП ниже 1.4
07:53 Разоблачение мифа: можно ли делать перерывы в приеме статинов для «отдыха печени»
08:15 Оправдан ли прием кардиомагнила при бляшке 50-56%
10:25 Как эффективно бросить курить: препараты и рабочие методы
13:01 Что такое ротаблация: когда врачи «просверливают» кальцинированные бляшки
14:32 Почему нельзя хирургически «почистить» все сосуды и зачем нужны статины
16:11 Бляшка 75% в правой коронарной артерии: показания к стентированию и тактика наблюдения
18:12 Двойная антиагрегантная терапия после инфаркта: сколько лет принимать клопидогрел
20:04 Скрининговые методы поиска атеросклероза: УЗИ сосудов шеи и ног
20:40 Гипердиагностика ИБС при чистых сосудах и зачем назначают лишние препараты
23:51 Агрессивная антитромботическая терапия и добавление Ксарелто после инфаркта
24:51 Миф о противопоказаниях к приему статинов при гипотиреозе
27:58 Чем опасна отмена статинов после инфаркта ради проверки уровня КФК
29:54 Бляшка 50% в сонной артерии: почему критически важна ее локализация
32:29 Тромбоз шунтов на ногах после операции и подход к повторным вмешательствам
34:04 Стеноз артерий ноги до 75% после инфаркта: дистанция ходьбы как главный критерий для операции
35:47 Особенности лечения атеросклероза при системных воспалительных заболеваниях
37:46 Применение Ксарелто и амиодарона при фибрилляции предсердий
38:58 Компрессионный трикотаж при атеросклерозе и варикозе: безопасность и правила выбора
41:04 Нужно ли отменять варфарин, если тромб в левом желудочке рассосался
44:58 Риски инсульта у пациентов 86 лет: почему не стоит бояться операций при бляшке 75%
47:48 Бляшка 30% в 35 лет и высокий ЛПНП: необходимость переоценки УЗИ
49:17 Индапамид и возможное повышение уровня мочевой кислоты
50:27 Опасность совместного приема антикоагулянтов и Вессел Дуэ Ф
52:43 Стенозы по 50% в сонных артериях: оценка риска и показания к операции по NASCET
53:36 Варикозная болезнь при сахарном диабете 2 типа: обязательность ультразвукового контроля
55:32 ЛПНП 5.0: почему начальных дозировок препаратов недостаточно
56:42 Кто должен подбирать статиновую терапию: кардиолог, эндокринолог или терапевт
58:34 Как лечится микроваскулярная стенокардия
01:00:13 Диссекция аорты: когда показано хирургическое вмешательство
01:02:51 Протез митрального клапана и расширение левого предсердия: зачем назначают ЧПЭХО
01:05:38 Резкая потеря веса на фоне Ливазо: почему статины ни при чем и когда нужна онконастороженность
01:07:20 Белое пятно на варикозной вене: как отличить нарушение питания кожи от тромба
01:08:51 Для чего кардиологи назначают статины при аневризме аорты
01:10:42 Безопасен ли перелет при ХСН, стентировании и фибрилляции предсердий
01:11:15 Главный «побочный эффект» Ксарелто и статинов: как дожить до пенсии без инфарктов
01:14:36 Симвастатин: почему устаревшему препарату больше не место в современной медицине
01:15:24 Завершение эфира, анонсы новых роликов и прощание со зрителями</t>
  </si>
  <si>
    <t xml:space="preserve">Тексты с изображений_x000d_
промой изировий атеросклероз убивает мали_x000d_
</t>
  </si>
  <si>
    <t>http://vk.com/wall569170044_3616</t>
  </si>
  <si>
    <t>Репост</t>
  </si>
  <si>
    <t>Пермский</t>
  </si>
  <si>
    <t>23.05.2026 15:13</t>
  </si>
  <si>
    <t>Добрый день, подскажите пожалуйста, препарат для сосудов Вессел Дуэ ф может снижать давление?</t>
  </si>
  <si>
    <t>https://telegram.me/dnevnikdoctorachat/263042</t>
  </si>
  <si>
    <t>https://telegram.me/5148404132</t>
  </si>
  <si>
    <t>https://telegram.me/dnevnikdoctorachat</t>
  </si>
  <si>
    <t>23.05.2026 13:23</t>
  </si>
  <si>
    <t>Вот я принимаю Ксарелто (крово-разжижающее лекарство) и выходит, что Вессел Дуэф принимать нельзя. Надо учитывать все принимаемые лекарства, а потом рекомендовать.</t>
  </si>
  <si>
    <t>http://vk.com/wall-211243521_27672?reply=28341</t>
  </si>
  <si>
    <t>23.05.2026 04:45</t>
  </si>
  <si>
    <t>Я делала, но через некоторые время вены снова вылезают. Если у вас проблема не столько в уродливых венах, сколько в тяжести и усталости, это снимается многими средствами : весел дуэ ф, цикло 3 форт, детралекс в суспензии лучше, эскузан, аппликатор Альсария на ноги. Это то, что я пробовала сама, если за ногами следить, операций можно избежать, сейчас огромный выбор средств.</t>
  </si>
  <si>
    <t>http://vk.com/wall-183105257_588357?reply=588410</t>
  </si>
  <si>
    <t>23.05.2026 00:17</t>
  </si>
  <si>
    <t>Как распределить прием Метипреда, Плаквенила, Весел Дуэф и Кардиомагнила пр</t>
  </si>
  <si>
    <t>Девочки, помогите, мне распределить
Метипред плаквенил с утра
Весел дуэф 2 раза в день
Кардиомагнил 1 раз в день
Плюс витамины.
Весел с кардиомагнилом как распределяли ?</t>
  </si>
  <si>
    <t>https://mom.life/post/6a108fb5ca3d63b46c0af556</t>
  </si>
  <si>
    <t>22.05.2026 22:29</t>
  </si>
  <si>
    <t>Работает только регулярное движение, еще для профилактики хорошо принимать бы вессел дуэ ф и венотоник, они вместе восстанавливают сосуды, улучшабт их структуру и тромбы не образуются</t>
  </si>
  <si>
    <t>https://dzen.ru/a/ag5APRCFLmItYCco?comment-request=1#comment_3322917323</t>
  </si>
  <si>
    <t>22.05.2026 22:27</t>
  </si>
  <si>
    <t>Удалила на правой вену, внешне стало лучше. Но ноги все равно периодами болят. Еще заметила, что хорошо помогают венотоники, вессел дуэ ф и компрессионное белье в рабочие часы</t>
  </si>
  <si>
    <t>https://www.threads.com/@kuroskinam/post/DYpV2qyDTUw</t>
  </si>
  <si>
    <t>22.05.2026 20:40</t>
  </si>
  <si>
    <t>Сеточку лазером можно удалить, еще можно вессел дуэ ф пропить, он сосуды изнутри восстанавливает и не дает появлется новой сеточке)</t>
  </si>
  <si>
    <t>http://vk.com/wall-153326278_568730?reply=568820</t>
  </si>
  <si>
    <t>Смоленская</t>
  </si>
  <si>
    <t>22.05.2026 18:49</t>
  </si>
  <si>
    <t>Если нога опухла, то приема эндокринолога не ждите, а езжайте в неотложку, нужно тромбоз исключить. Вообще при полинейропатии нужны антикоагулянты, я папе колола тромболикс про, он кровь разжижает и это препятствует образованию тромбов. Но назначает их врач, езжайте в больницу</t>
  </si>
  <si>
    <t>http://vk.com/wall-185317296_413191?reply=413332</t>
  </si>
  <si>
    <t>22.05.2026 18:02</t>
  </si>
  <si>
    <t>Злата Тихонова, 20 дней ежедневно прокалывает уколы Тромболиксом Про. Перерыв. И ещё 20 дней также. Т.е. 40 дней в году колоть Тромбликс Про.</t>
  </si>
  <si>
    <t>https://dzen.ru/a/ad199P2J91RovP8v?comment-request=1#comment_3322524583</t>
  </si>
  <si>
    <t>22.05.2026 17:55</t>
  </si>
  <si>
    <t>Девушки, кому-то назначали Сулодексид или Вессел Дуэ Ф для разжижения крови?</t>
  </si>
  <si>
    <t>https://telegram.me/beremennost_pregnancy/2320682</t>
  </si>
  <si>
    <t>https://telegram.me/mvelikaya</t>
  </si>
  <si>
    <t>https://telegram.me/beremennost_pregnancy</t>
  </si>
  <si>
    <t>22.05.2026 03:59</t>
  </si>
  <si>
    <t>Отзыв: Таблетки Alfa Wassermann Вессел ДУЭ Ф - Я чувствую себя гораздо лучше, могу дольше стоять на ногах</t>
  </si>
  <si>
    <t>Оценка: 5 из 5
Таблетки Alfa Wassermann Вессел ДУЭ Ф
Достоинства: Эффективность
Недостатки: Нет
С варикозом столкнулась во время беременности, потом после родов беспокоил. Пока кормила ничего не делала, после начала активно лечиться.
Испробовала много всего: мази, гели, компрессионное белье. Что-то давало временное облегчение, что-то вообще не помогало. Но вот с Вессел Дуэ Ф я почувствовала реальное улучшение. Во-первых, ушла тяжесть в ногах, которая меня просто изводила к вечеру. Потом стали менее заметными эти противные синие вены. Даже мелкая сеточка, которая раньше была, как-то уплотнилась и бледнела. Мне правда пришлось обратиться к врачу, потому что понимала, что сама уже не справляюсь и именно доктор прописал мне эти капсулы.
Принимала я их по инструкции – по одной капсуле два раза в день, утром и вечером, во время еды. Курс был довольно продолжительный, несколько месяцев, но я старалась не пропускать. Главное, что побочных эффектов никаких не почувствовала, это тоже большой плюс.
Пока вижу явные улучшения и надеюсь, что варикоз меня отпустить. Однозначно, Вессел Дуэ Ф помогает контролировать состояние, снимает неприятные симптомы и улучшает внешний вид и состояние вен - это факт. Я чувствую себя гораздо увереннее, могу дольше стоять на ногах, и даже юбки стала носить чаще. Если у вас похожая проблема, очень советую присмотреться к этим капсулам и проконсультироваться с врачом.
Год выпуска/покупки2026Общее впечатлениеЯ чувствую себя гораздо лучше, могу дольше стоять на ногахМоя оценка5Рекомендую друзьямДА</t>
  </si>
  <si>
    <t xml:space="preserve">Тексты с изображений_x000d_
вессел дуэ ф сулодексид 260 ле 6q кэпсул alfasigma ортвовик_x000d_
лолтоиlя нар)шений zo стороны репрдоуктивной clkmicmi инвизвестюю прохичием ли суподексид(или егометаволиты мслочьяхос гонитдани вдрудно@ молома пиззоод кекгостка полименорая, qlek нел)на исключить гиил all реоенка кайода унася cd зруте ris гениталий заодения! (руеном всха/мливании cquilf нарушения (мыди mbcilis препард1 дес(ел дуз it съкдучт примснать пчстияд 4всто) пери@ерические отрий bore inyum состовались nml innk «idgion» ralerstiv fs грудл верее моогомы исследования #ивотяск he ykalidedot ad примфа передо)ировка фозникнул «гровотечение» косвекное шегати@мол по.д@йствия i мутскую)й срро перевозировае можсу исо)кодиво насдения женскую фертильность oni*toe paza арофотеченю пяч3н40 проядмытму сульфата, применяющегося при snocob применения дозы троеопсчений lыa (зла(жном гl 1%2 rungyaid! oksyuid рви гд2нь бо inpin(svej пекарственными пре тейение 3% cz вусей. оопа*но c10ac аругими npenapata пекарственной teret дста@лает собой пепчоймого: inn tfve ашмо(о шного #hikbajivarmince лq уwптете irri)la neinu балола #roto fisn!!!!!!!! це r200 #comina пюлиц#! су)рас #o)ou*t poc re@fi в завреимостиог(р обупирающийна necci дозиуропания резжеланул@и #c762151 miety сседзауе!!! с сему vessict lомута вессел дуэ ad сулодексид 250 ле 60 капсул марта к1кон пс hd, alfasigma vдc.to пялого с(тиj суаоро чэfтd( minisilin jxxm нарушения 8 стаоом: оркока и(s #ruasomcika идру выслан дрсипа лабирижте унь дахаха ciplie hapyliewza cq спк(рочи уловия otinycka vdct9 лоломоко) соконность отпуссают епэ гонцелту! (moooril изухошог (inayistnehie haf! нелжести. /нэ лiqqe произвоайтель мастоте cn49 ui каталхк wizhu) сла итетса vutatlinf нериш(иют с краси knty: км 2%, 1с8 24011 хпррипил) 1lbb17611 fellt часто(д шсидеестна шужил систксыв, oproiod bja кетту k(floo tcr 04011 agflizb umnoootc20 роглого djo rol (@mee лма netivnenso нарушенкля liolo) срхосклие! (аервидчал упаелехаl ульдкоощек llf 2pjidw200 клете fop*o зо*естевних фл(овщий диаай утаассяю) сыпу(хлаюта? 43.510td нсизшест(4 мар/чкожа (аотре@иу ewezny: обоскам ллас писребом 10764116 #пиполе корингноту шуэрся (й9уш3 nnesyall (viisa шуглето!! (r)eckopal италите чняю п*таконног@ мро плукение лиооккос)ар us020 липринс всс 1.cx—10 nionota мсягорними #llexcy) @9рми osazo .alanno гахасагош res 4m—tolib tepio jo)lu01e ллогный fsnilill п#лето#полку trpwwioor.ru дисдску gitioronive fil senwa псогловинь 1ан#ил пришим дар*пскойя jigp)ilininil?? го олfшами алсз, vryssay 10153104 lumenia @#ny sin(sin @amin э)рмпидиний п(инб дритесу 090 sirea nmx.004 ellggif to #akiov ти #сстха дигириевролический (aily зилоосудораче( отсят 112181 a1161745049, el c*lp b.883 1faq ра@кублять л5х4пс1и оула прини зпрас anilali!! пульно po no*tca "мсх#ряй2 всохшие такуриа 1@т es7 la95) 1500123 ze pep))t co amqpo ciftiod мочкиого гуубра, 4dctov@ наридуестрад 2200d121 alfasigma отгзовик_x000d_
вессел дуэ 8 сулодексид 250 ле капсулы маждая налсула colaqikan: но применять nocho истечския срока дойствующей исицество сугодямска zev ле годности уклаанного нз упаковке 3 состав всломо тельных inikalc.cit? воалочи sailisyala пи(ов dimго.родиженость#нохат прои)водитель на)рряя грогитперегидромгивенков хылриа кадалемт итэли сла дноя un татто)нное, ko z0. 10 приима вкутрь 04011 атсилиз (latau)l йталин пстил использова пилие.ru прочтипе фасойщик инс)рукцию по притьянножию! (ворвичная упекра@), упдловщик (шторичная (потребительская) хранить nfx темпсратуре ne nawo 30 с упасо(кили дыпускающий жо#троль пачестви: хранить недоступнога дла дстсн mocial апар bk*vo fus па отпусе заа ферми 18020 a1509 ппоскара). по роцепту италин cnosob примононияс по ia с псугы e риа дfimb ilo приома пvчл телени@ ij zq диши, cthremugideillir2? eiedifitilin.tet #ful одтзовик_x000d_
</t>
  </si>
  <si>
    <t>https://otzovik.com/review_18367077.html</t>
  </si>
  <si>
    <t>22.05.2026 00:41</t>
  </si>
  <si>
    <t>Отзыв о ВЕССЕЛ ДУЭ Ф</t>
  </si>
  <si>
    <t>Оценка: 5 из 5
ВЕССЕЛ ДУЭ Ф
Уже второй раз пропиваю курсом вессел дуэ ф, и могу сказать, что результат действительно есть. Ногам легче, прекратились судороги по ночам, ушли отёки. Мне даже по лестнице легче подниматься, хотя ещё год назад для меня это был практически подвиг)</t>
  </si>
  <si>
    <t>https://www.medcentre24.ru/review/46562</t>
  </si>
  <si>
    <t>21.05.2026 23:42</t>
  </si>
  <si>
    <t>Весел дуэ ф. У меня даже привычные венотоники лучше работают с ним. Отёков нет, сосудистые звёздочки стали бледнее, боль прошла. Вообще главное варикоз контролировать и не допускать осложнений. Во всём слушайте своего врача и следуйте его рекомендациям</t>
  </si>
  <si>
    <t>https://www.woman.ru/health/woman-health/thread-varikoz-chto-prinimaete-id6426253/#m104044507</t>
  </si>
  <si>
    <t>21.05.2026 16:32</t>
  </si>
  <si>
    <t>У меня плохая генетика в этом плане тоже и ничего… контролю коагулограмму, пью Вессел дуэ ф по назначению. Но у меня выбора нет…..</t>
  </si>
  <si>
    <t>https://telegram.me/alopecia_info/744197</t>
  </si>
  <si>
    <t>21.05.2026 15:08</t>
  </si>
  <si>
    <t>Вот уже 4 месяца страдаю полинейропатией, крутит и горят ступни, жжет бедра, кружится голова, появилась шаткость походки( прокапала Тиоктицид, Актовегин, Цитофлавин, сделала уколы Вессел ду эф, мильгамму, Брэйнмакс( никаких улучшений! Плачу ежедневно( от болей и жжения помогает Габапентин (Тебантин)! Неужели это навсегда останется!?</t>
  </si>
  <si>
    <t>http://vk.com/wall-116010319_1102411?reply=1102427</t>
  </si>
  <si>
    <t>21.05.2026 14:33</t>
  </si>
  <si>
    <t>Пациентам с сахарным диабетом с подтвержденным заболеванием артерий нижних конечностей показано назначение
1) актовегина
2) вессел дуэ ф
3) пентоксифиллина
4) статинов
.
.
.
.
.
.
.
.
.
.
Правильный ответ: статинов 😉
#Эндокринолог #гармоны #Эндокринология #диабет
Купить тесты с ответами в PDF:
medik-otvet.ru/product/endokrinologiya/ ✅</t>
  </si>
  <si>
    <t>http://vk.com/wall-226299499_1040</t>
  </si>
  <si>
    <t>Вессел, Пентоксифиллин</t>
  </si>
  <si>
    <t>21.05.2026 14:08</t>
  </si>
  <si>
    <t>Язвы могут быть связаны с застоем крови, у дедушки была такая проблема, ему назначали антикоагулянты, чтобы кровь разжижать и улучшать ее циркуляцию. Мы ему покупали тромболикс про, кололи его внутримышечно 20 дней, реально язва заживала на глазах. Но про местную обработку тоже забывать нельзя. А вообще все лечение должен прописывать врач, тем более такие препараты.</t>
  </si>
  <si>
    <t>http://vk.com/wall-146361880_3875883?reply=3876417</t>
  </si>
  <si>
    <t>21.05.2026 00:59</t>
  </si>
  <si>
    <t>[id755657895|Валентина], Я от давления пью телзап 80 и норваск 10. Два раза в год вессел дуэ ф. Про юперио еще не слышала.</t>
  </si>
  <si>
    <t>http://vk.com/wall-210934520_168549?reply=170454&amp;thread=168566</t>
  </si>
  <si>
    <t>20.05.2026 22:28</t>
  </si>
  <si>
    <t>Мне нравится как действует вессел дуэ ф - Отзывы о Вессел Дуэ Ф</t>
  </si>
  <si>
    <t>Оценка: 5 из 5
Вессел Дуэ Ф
Побочек не вызывает, и результат ощутим. В ногах чувствуется лёгкость и даже как будто силы стало больше. Мне легче ходить, стоять, подниматься по лестнице. Конечно, это всё в комплексе с компрессионным трикотажем и умеренной физической активностью (хожу в бассейн 3 раза в неделю). Как говорит мой доктор - комплексный подход лушче всего</t>
  </si>
  <si>
    <t>https://www.otzyvru.com/vessel-due-f/review-2254677#comment2254677</t>
  </si>
  <si>
    <t>20.05.2026 21:17</t>
  </si>
  <si>
    <t>Мама делала, стала полегче, сейчас носит компрессионные чулки, принимает вессел дуэ ф для восстановления сосудов. Ну и ноги бережет)</t>
  </si>
  <si>
    <t>https://www.threads.com/@sssevorobeva/post/DYkELwliF3O</t>
  </si>
  <si>
    <t>20.05.2026 21:01</t>
  </si>
  <si>
    <t>Маме тоже предлагали операцию, но удалось ее избежать потому что вессел дуэ ф стала принимать, он сосуды восстанавливает и варикоз перестает прогрессировать</t>
  </si>
  <si>
    <t>http://vk.com/wall-153846848_68027?reply=68109</t>
  </si>
  <si>
    <t>20.05.2026 20:44</t>
  </si>
  <si>
    <t>[id275256519|Анна], да, вессел дуэ не плохой. Тоже его принимаю курсами, он сосуды изнутри восстанавливает. Ноги стали выглядеть лучше, да и по ощущениям мне легче</t>
  </si>
  <si>
    <t>http://vk.com/wall-55884956_245503?reply=245534&amp;thread=245505</t>
  </si>
  <si>
    <t>20.05.2026 20:27</t>
  </si>
  <si>
    <t>Вот, я тоже думала, что у меня СБН, а оказался варикоз. Стала носить компрессионные гольфы, принимаю крсами вессел дуэ ф , магний, ходжу в бассейн - ноги гораздо меньшше болят</t>
  </si>
  <si>
    <t>https://dzen.ru/a/agtsDfFeEG_lwRbW?comment-request=1#comment_3319627913</t>
  </si>
  <si>
    <t>20.05.2026 20:26</t>
  </si>
  <si>
    <t>С варикозом идите к хирургу, он дальше должен сказать куда идти. Я сама всю жизнь с варикозом, удаляла даже вены на одной ноге, сейчас принимаю вессел дуэ ф, детралекс, ношу компрессионные чулки - варикоз перестал прогрессировать. Сил вам в поиске своего врача</t>
  </si>
  <si>
    <t>http://vk.com/wall-115360655_1251938?reply=1252097</t>
  </si>
  <si>
    <t>20.05.2026 20:20</t>
  </si>
  <si>
    <t>У меня варикоз перестал прогрессировать потому что вессел дуэ ф стала пить, он сосуды восстанавливает и болезнь не развивается</t>
  </si>
  <si>
    <t>http://vk.com/wall-55884956_245366?reply=245531</t>
  </si>
  <si>
    <t>20.05.2026 17:59</t>
  </si>
  <si>
    <t>Отзыв: Таблетки Alfa Wassermann Вессел ДУЭ Ф - В ногах появилась легкость, хочется больше гулять</t>
  </si>
  <si>
    <t>Оценка: 5 из 5
Таблетки Alfa Wassermann Вессел ДУЭ Ф
Достоинства: отличный результат, отсутствие побочек
Недостатки: не обнаружено
По роду своей деятельности я много времени провожу на ногах. И, естественно, со временем начались проблемы - стало тяжело стоять и ходить, появилась отечность и тяжесть в ногах. Первое время я пробовала покупать какие-то гели в аптеке, но они давали лишь временное облегчение. Тогда я пошла к врачу, чтобы не довести ситуацию до осложнений.
Врач выписал вессел дуэ ф и дал рекомендации, которые мне необходимо соблюдать постоянно.
А еще немного поругал меня за попытку самолечения) и я тоже хочу лишний раз напомнить о том, что если начинают беспокоить ноги, лучше не терять время зря и сразу идти к специалисту.
Все предписания своего доктора я полностью соблюдала. Лекарство принимала в течение месяца и результат меня радует. В ногах появилась легкость, прошли отеки и дискомфорт. Исчезла синюшность, которая меня особенно пугала. Я стала больше гулять! Это вообще огромный прогресс для меня!
Ну и теперь моя ежедневная рутина - умеренная физическая активность (у меня это ходьба), ношение компрессионного трикотажа, соблюдение питания и т. д. Без этого теперь никак, к сожалению
Год выпуска/покупки2026Общее впечатлениеВ ногах появилась легкость, хочется больше гулятьМоя оценка5Рекомендую друзьямДА</t>
  </si>
  <si>
    <t xml:space="preserve">Тексты с изображений_x000d_
ot дуэ seta wpf (oyu :e чел судг5о)ле de ays соверовались лсул ссел af шатем: mllimalis министерство здравоохранения российской федерации инструкция по медичинскому применению лекарственного препарата вессел" дуэ e регистрационный номер: п №12490/01 всех видов аействия, которые суподексид оказывоет вессел ау a на сосудистую стенку (энгиоп/оотекторжок: азмствые), торгово! наименованис: (профиоринолитическое рействие! all!! международное непатентованное маимехование: фиорихоли) тромбоцитов сулодексил гибкрование адгезий лекарственная форма: капсуль! фармакокинетика послепри шитоми ксудескоывадися bjohkom kiweyyykk eve внутрь сарание чисирого препарата першей пик сулодексида состав плезме кроши наблюдается чcppj mjca, оторой от4 каждая капсула содержит: 250 ле* до часой, после чего препират больше не оокаружи действующее вещество: лаурилсаркозинат катриа вдется плдзмс концентрация воестакавливается м*рээ вспомогательные вещества! к со триацетин приблизительно 12 44(q8. s.itgm остается постоянной 330 ms, кремнин диоксид коллоидный желатин ro 53.1s примерно до 43 «го часа постоянный уровень плавме 83 87 компоненты оболочки капсулы: обнаруживается через 122 часов, всроятно и jj smle этилпэрагидроксибензоат натрия кроши погло mj, глицерол пропилларагидроксибензову 22 07 маг натрия 0.13 мг, медленного высвобождения преларата оргоиеми 0.26 мг красный шения и масткости, эндотелием сосудов сулодексид диоксид (e171) 0.29 mг железа оксиа эндотелии сосудои концентрации титанд распределяется концентрацию друdих tin@ (e172) 086 mj единица a 30 раз превышающей липопротеинлипазная отровик_x000d_
</t>
  </si>
  <si>
    <t>https://otzovik.com/review_18363188.html</t>
  </si>
  <si>
    <t>20.05.2026 17:34</t>
  </si>
  <si>
    <t>Отек ног по вечерам не спутать с отеком при тромбозе. Я видела его своими глазами,зрелище пугающее. Бабушку госпитализировали сразу,а потом еще дома мы ее долечивали,кололи Тромболикс про,чтобы не допустить образования новых тромбов. Отеки отекам рознь</t>
  </si>
  <si>
    <t>https://dzen.ru/a/agxlKPFeEG_lqjBo?comment-request=1#comment_3306119831</t>
  </si>
  <si>
    <t>20.05.2026 17:32</t>
  </si>
  <si>
    <t>У моего дедушки диабетическая стопа,первое что нужно делать-контролировать сахар! Еще ему прописывали тромболикс про для разжижения крови,чтобы застоев не было. Витамины группы В. Ежедневный осмотр стоп,нет ли ран и мозолей,если есть-лечение и обработка. Но все препараты и всю схему лечения вам сможет прописать только врач</t>
  </si>
  <si>
    <t>http://vk.com/wall-123403112_3698381?reply=3698464</t>
  </si>
  <si>
    <t>20.05.2026 16:03</t>
  </si>
  <si>
    <t>[id880724074|Ульяна], вы венотоники одновременно с вессел дуэ принимаете?</t>
  </si>
  <si>
    <t>http://vk.com/wall-121964063_1897601?reply=1897688&amp;thread=1897666</t>
  </si>
  <si>
    <t>Липецкая</t>
  </si>
  <si>
    <t>20.05.2026 14:56</t>
  </si>
  <si>
    <t>https://www.vashe-mnenie.com/reviews.php?name=vessel-due-f#date=2026-05-20 10:56:37</t>
  </si>
  <si>
    <t>20.05.2026 13:30</t>
  </si>
  <si>
    <t>Вессел дуэ ф для укрепления вен. Мне хорошо помогает, тоже на ногах постоянно. Отёки и боль прошли, ноги меньше устают вечером. Но я ещё чулки компрессионные ношу, ванночки делаю, и купила ортопедическую подушку для ног. Вечерами ноги на ней) в комплексе всё прекрасно работает</t>
  </si>
  <si>
    <t>http://vk.com/wall-102968436_1625772?reply=1625788</t>
  </si>
  <si>
    <t>Кемеровская</t>
  </si>
  <si>
    <t>20.05.2026 13:29</t>
  </si>
  <si>
    <t>Прежде всего - комплексно подойти к решению проблемы. Компрессионные чулки носить, удобную одежду и обувь. За питанием следить, стараться больше двигаться. Препараты принимать только по назначению врача! Мне, например, вессел дуэ ф хорошо помогает. Ноги с ним перестали болеть и отекать, это прям счастье для меня)</t>
  </si>
  <si>
    <t>http://vk.com/wall-55884956_245503?reply=245505</t>
  </si>
  <si>
    <t>20.05.2026 13:25</t>
  </si>
  <si>
    <t>Венотоники лучше использовать с весел дуэ ф, он усиливает их действие, и восстанавливает сосуды изнутри. Я при подтвержденом варикозе его принимаю, обострения нет (ттт)</t>
  </si>
  <si>
    <t>http://vk.com/wall-121964063_1897601?reply=1897666</t>
  </si>
  <si>
    <t>20.05.2026 03:37</t>
  </si>
  <si>
    <t>Жидкая кровь при беременности, риск кровотечений</t>
  </si>
  <si>
    <t>Девочки, тут много пишут про густую кровь, а я хочу для разнообразия и для расширения кругозора читающих масс написать про жидкую кровь. Такое явление тоже существует в природе, но ему уделяется очень мало внимания. Поэтому женщинам, не обследованным на особенности гемостаза, или обследованным с выявленной жидкой кровью нужно самим отслеживать эти моменты и вникать. Особенно сейчас, когда врачи назначают аспирин и гепарин всем подряд, а потом не понимают сами и не объясняют, почему у части беременных возникают кровотечения, в том числе с печальным исходом. А потом говорят, ой, так бывает (типа, сама виновата), беременейте ещё. Часто врачи не то что не предупреждают о рисках кровотечений на кроворазжижающих, а, что ещё хуже, говорят, что от кроворазжижающих не бывает кровотечений. Это вообще кошмар.
Какие проявления есть у жидкой крови? Тяжёлые проявления заметны уже с детства, и их выявляют очень быстро. Но у большинства людей эти проявления слабые (или вы не придаете им значение) или они дремлют, но могут проснуться от кроворазжижающих (так было у меня).
Эти проявления могут сочетаться между собой, а может быть что-то одно из этого.
Бытовые длительные кровотечения (носовые просто так и на фоне кроворазжижающих, желудочные на фоне кроворазжижающих, обильные ежемесячные, синяки, плохо останавливается кровь из ссадин).
Вы не принимаете кроворазжижающие, сдали коагулограмму и видите, что у вас повышено протромбиновое время, МНО. То есть ваша кровь сворачивается дольше, чем предусматривают референсы.
Вы сдали анализ на полиморфизмы генов гемостаза (лучше сдавать расширенную панель, а не только риски тромбозов F2 и F5), и там есть такой результат по F7, как G/A или A/A, и/или выявлены полиморфизмы по FXIII и написано, что эта особенность связана с гипокоагуляцией. Вы пугаетесь и не понимаете, о чём это.
Уточню, что гипокоагуляция - патологический процесс, характеризующийся нарушением работы свертывающей системы крови и приводящий к повышенной кровоточивости.
Вы идете к гематологу, гинекологу, репродуктологу, на сайт СпросиВрача или сюда,
показываете коагулограмму с повышенным протромбиновым временем
Или бланк результатов анализа мутаций генов гемостаза с особенностями по F7 и/или FXIII
и вам какие-нибудь безграмотные врачи или другие люди (сектанты клексана) будут говорить и писать
"ой, у вас повышен показатель, это же густая кровь" или
"у вас тромбофилия/тромбофлибия/поломка,
надо с // колоть Клексан".
Помните, что эта рекомендация несёт угрозу вашей беременности. При таких врождённых особенностях гемостаза гепарин и аспирин и другие кроворазжижающие препараты, даже слабые типа Курантила и Вессел Дуэ, даже в так называемых профилактических дозах или назначенные по баллам рисков тромбозов могут смыть вашу беременность прямо сразу на раннем сроке (в зависимости от яркости проявления этой мутации и от наличия других мутаций, потому что теоретически разнонаправленные мутации могут друг друга компенсировать).
Вот тут в табличке хорошо расписаны эти риски
Вот тут пример грамотной консультации пациентки с мутацией по F7
Также для пущей убедительности привожу ссылку на авторитетного врача Гузова, руководителя ЦИРа, его ответ на вопрос, может ли Клексан и аспирин вызывать кровотечение во время беременности. Да, может.
И ещё для общего развития полезный вебинар гематолога Марии Виноградовой про анализы гемостаза при беременности
И ещё вот тут крайне важная мысль: на 28й минуте Виноградова говорит о том, что нельзя гематомы лечить кроворазжижающими
Добавлю ещё полезное видео от ЦИР - гематома на фоне 0,4 Клексана прервала беременность, и здесь врач тоже обращает внимание на риски на Клексане , особенно при мутациях по фактору 7
А вот тут статья Куваева про жидкую кровь во время беременности, но нужно регистрироваться, чтобы прочитать
Изложила может быть слегка коряво или упрощённо, но постаралась доходчиво. Девочки, берегите себя, вникайте в назначения, которые вам делают врачи, в том числе так называемые звёздные.</t>
  </si>
  <si>
    <t>https://www.babyblog.ru/user/nastyaeta/74704</t>
  </si>
  <si>
    <t>19.05.2026 16:52</t>
  </si>
  <si>
    <t>Мне пиявки не помогли. Лучше стало от вессел дуэ ф, я его совместно с детралексом пропиваю</t>
  </si>
  <si>
    <t>http://vk.com/wall-86403806_2171912?reply=2172655</t>
  </si>
  <si>
    <t>19.05.2026 16:51</t>
  </si>
  <si>
    <t>Мне врач выписал вессел дуэ ф - он вены изнутри восстанавливает, также обязательно нужна разумная двигательная активность, еще бы компрессионные чулки хорошо бы носить, но я летом не могу - мне очень жарко. Еще вечером могу ноги на возвышение закинуть. Иногда мажу кремом с гепарином. Все вместе притормозило варикоз, пока хуже не становится</t>
  </si>
  <si>
    <t>http://vk.com/wall-201625372_10224?reply=10233</t>
  </si>
  <si>
    <t>19.05.2026 16:40</t>
  </si>
  <si>
    <t>Отзыв: Тромболикс Про - Один курс Тромболикс про и ноги перестали быть «чугунными»</t>
  </si>
  <si>
    <t>Оценка: 5 из 5
Тромболикс Про
Достоинства: Быстро действует, не болезненные уколы, доступная цена
Недостатки: нет
Мой дедушка курильщик со стажем 40 лет и хоть он избавился от этой вредной привычки уже 3 года назад, последствия ее теперь необратимы. Он гипертоник, к тому же годами анализы показывали высокий холестерин, но делать с эти он ничего не хотел, пока его состояние не ухудшилось на столько, что не пойти к врачу уже было нельзя.
Ноги болели, двигаться становилось все сложнее, мерзли стопы, к тому же поменялся цвет кожи на ногах. Терапевт направил деда к сосудистому хирургу, а тот уже определил, что сосуды по всему организму очень повреждены, поставил диагноз- ангиопатия с высоким риском тромбообразования.
Курс лечения включает в себя множество препаратов, Тромболикс Про в нем отвечал за улучшение кровотока по сосудам. Этот препарат разжижает кровь и риск образования тромбов исчезает. Так же врач нам объяснил, что Тромболикс Про восстанавливает сосуды изнутри. Курс состоит из 20 уколов внутримышечно, по 1 в день, ставили их мы самостоятельно, удобно, что нет необходимости делать это в стационаре.
Дед говорит, что уколы не больные, а эффект от них от стал чувствовать почти сразу, исчезла отдышка. В результате он стал больше двигаться, меньше уставать, с его слов- ноги перестали быть чугунными. Будем повторять курс каждые полгода, весной и осенью, как рекомендовал врач.
Год выпуска/покупки2025Общее впечатлениеОдин курс Тромболикс про и ноги перестали быть «чугунными»Моя оценка5Рекомендую друзьямДА</t>
  </si>
  <si>
    <t xml:space="preserve">Тексты с изображений_x000d_
тромболикс про 600 леl 10 ампул.по vi and fa мл ромболике про отзовик_x000d_
тромболикс про сотекс сулодексид sulodexide раствор для внутривенного s внутримышечного введения 600 ле/2 мл 10 ампул по2мл отзовик_x000d_
тромболикс tp сулодексид sulodexide раствор для внутривенного и внутримышечного введения одна ампула содержит действующее вещество. сулодексид 600 ле вспомогательные вещества: натрия хлорид 18 мг вода для инъекций до c.r мл применять по назначению врача ондускают по рецепту. способ применения: cm. листок—вкладыш не храните при температуре хранить выше 25 #c в недоступном для детей месте держатель зао рег. удостоверения: сотекс тел.: «фармфирма «сотекс» россия t7 (495) 956 29% 30 отзовик_x000d_
(romloona тромбо .ликс соворованной раствор сулодексид/и 600 для bib иви an лег2 мл мл 01esks отзовик_x000d_
</t>
  </si>
  <si>
    <t>https://otzovik.com/review_18360598.html</t>
  </si>
  <si>
    <t>19.05.2026 14:48</t>
  </si>
  <si>
    <t>Хорошая статья, полезная. Я могу дополнить, что если уж вдруг наступила высокая вероятность образования тромбов (может такое случиться по ряду причин), то есть антикоагулянты, которые снимают этот риск за счет быстрого разжижения крови, я колола себе тромболикс про, когда была в группе риска. Но их прописывает врач, самолечением заниматься не стоит.</t>
  </si>
  <si>
    <t>https://dzen.ru/a/agr717vYsnpEgNpK?comment-request=1#comment_3308071292</t>
  </si>
  <si>
    <t>19.05.2026 14:43</t>
  </si>
  <si>
    <t>Сталкивалась, у бабушки такая проблема. Перво на перво нужен жесткий контроль сахара. Из медикаментов дополнительно эндокринолог ей прописывал тромболикс про, это антикоагулянты, которые разжижают кровь и не дают образоваться тромбам. Еще витамины группы В. Так же нужен регулярный осмотр стоп на предмет ссадин, мозолей, ран. Если что-то обнаружили- местная их обработка. А точный план лечения, конечно, вам распишет врач.</t>
  </si>
  <si>
    <t>http://vk.com/wall-126850514_1340118?reply=1340138</t>
  </si>
  <si>
    <t>19.05.2026 03:31</t>
  </si>
  <si>
    <t>http://vk.com/wall466341803_5147</t>
  </si>
  <si>
    <t>19.05.2026 01:58</t>
  </si>
  <si>
    <t>У меня так варикоз проявлялся - пила вессел дуэ ф, стало легче, сейчас после родов перешла на весвейн - тот же производитель, но цена поменьше эффект тоже хороший</t>
  </si>
  <si>
    <t>https://www.threads.com/@itreva741/post/DYfavYCDNlf</t>
  </si>
  <si>
    <t>19.05.2026 01:51</t>
  </si>
  <si>
    <t>страхов перед терапией:
[00:00] Начало трансляции и приветствие зрителей
[01:45] Удовлетворение от профессии врача и ценность обратной связи от пациентов
[04:37] Комбинированная терапия: правильный подход к назначению статина и эзетимиба
[06:22] Почему колеблется холестерин после АКШ и важность достижения ЛПНП ниже 1.4
[07:53] Разоблачение мифа: можно ли делать перерывы в приеме статинов для «отдыха печени»
[08:15] Оправдан ли прием кардиомагнила при бляшке 50-56%
[10:25] Как эффективно бросить курить: препараты (Чампикс, Табекс) и рабочие методы
[13:01] Что такое ротаблация: когда врачи «просверливают» кальцинированные бляшки
[14:32] Почему нельзя хирургически «почистить» все сосуды и зачем нужны статины для капилляров
[16:11] Бляшка 75% в правой коронарной артерии: показания к стентированию и тактика наблюдения
[18:12] Двойная антиагрегантная терапия после инфаркта: сколько лет принимать клопидогрел
[20:04] Скрининговые методы поиска атеросклероза: УЗИ сосудов шеи и ног
[20:40] Гипердиагностика ИБС при чистых сосудах и зачем назначают лишние препараты
[23:51] Агрессивная антитромботическая терапия и добавление Ксарелто после инфаркта
[24:51] Развеиваем миф о противопоказаниях к приему статинов при гипотиреозе
[27:58] Чем опасна отмена статинов после инфаркта ради проверки уровня КФК
[29:54] Бляшка 50% в сонной артерии: почему критически важна ее локализация
[32:29] Тромбоз шунтов на ногах после операции и подход к повторным вмешательствам
[34:04] Стеноз артерий ноги до 75% после инфаркта: дистанция ходьбы как главный критерий для операции
[35:47] Особенности лечения атеросклероза при системных воспалительных заболеваниях (ревматоидный артрит)
[37:46] Применение Ксарелто и Амиодарона при фибрилляции предсердий и сопутствующих патологиях
[38:58] Компрессионный трикотаж при атеросклерозе и варикозе: безопасность и правила выбора
[41:04] Нужно ли отменять Варфарин, если тромб в левом желудочке успешно рассосался
[44:58] Риски инсульта у возрастных пациентов (86 лет): почему не стоит бояться операций при бляшке 75%
[47:48] Бляшка 30% в молодом возрасте (35 лет) и высокий ЛПНП: необходимость переоценки УЗИ
[49:17] Индапамид и возможное повышение уровня мочевой кислоты
[50:27] Опасность совместного приема антикоагулянтов (Ксарелто) и Вессел Дуэ Ф
[52:43] Стенозы по 50% в сонных артериях: оценка риска и показания к операции по шкале NASCET
[53:36] Варикозная болезнь при сахарном диабете второго типа: обязательность ультразвукового контроля
[55:32] Высокий холестерин (ЛПНП 5.0): почему начальных дозировок препаратов недостаточно
[56:42] Какой специалист должен подбирать статиновую терапию: кардиолог, эндокринолог или терапевт
[58:34] Как лечится микроваскулярная стенокардия
[01:00:13] Диссекция аорты: в каких случаях показано хирургическое вмешательство
[01:02:51] Протез митрального клапана и расширение левого предсердия: зачем назначают ЧПЭХО
[01:05:38] Резкая потеря веса на фоне Ливазо: почему статины ни при чем и когда нужна онконастороженность
[01:07:20] Белое пятно на варикозной вене: как отличить нарушение питания кожи от тромба
[01:08:51] Для чего кардиологи назначают статины при аневризме аорты
[01:10:42] Безопасен ли перелет при сердечной недостаточности, стентировании и фибрилляции предсердий
[01:11:15] Главный «побочный эффект» Ксарелто и статинов: как дожить до пенсии без инфарктов
[01:14:36] Симвастатин: почему этому устаревшему препарату больше не место в современной медицине
[01:15:24] Завершение эфира, анонсы новых полезных роликов и прощание со зрителями</t>
  </si>
  <si>
    <t>http://www.youtube.com/watch?v=5oyXmsXueDM&amp;lc=Ugw9SV-BO2JIHMt_KEZ4AaABAg</t>
  </si>
  <si>
    <t>18.05.2026 16:11</t>
  </si>
  <si>
    <t>Страшное дело этот тромбоз. Был у бабушке, боялись, что врачи не смогут спасти, т.к. когда ее привезли в больницу нам сказали- если тромб оторвется, даже мы не поможем. Слава Богу, обошлось, оказали ей всю необходимую помощь в стационаре и отправили домой долечиваться. Дома мы ей кололи тромболикс про внутримышечно по 1 уколу в день. Это нужно было, чтобы новых тромбов не образовывалось. Сейчас уже прошло 4 месяца, бабушка чувствует себя хорошо, но повторный курс уколов ей предстоит уже скоро, теперь кровь нужно периодически разжижать, чтобы снова история не повторилась</t>
  </si>
  <si>
    <t>https://dzen.ru/a/agiG6PaAw3Vs2cdb?comment-request=1#comment_3306628032</t>
  </si>
  <si>
    <t>18.05.2026 13:43</t>
  </si>
  <si>
    <t>Хорошо помогает на начальной стадии варикоза</t>
  </si>
  <si>
    <t>Оценка: 4 из 5
Антикоагулянт Alfasigma Вессел Дуэ Ф капс. 250 ЛЕ №50— отзыв
Оценка: 4
Вессел дуэ ф мне прописал флеболог. Дело в том, что после родов у меня появился варикоз. И я прекрасно знаю чем он грозит, так как у моих родственников тоже он был. Тем более учитывая, что работаю я на удаленке за компом, то дело может дойти и до операции, и до тромбоза. Поэтому очень важно укреплять вены, и заниматься профилактикой.
вессел дуэ ф
Как мне сказал врач, вессел дуэ ф делает внутренние стенки вен крепче, улучшает циркуляцию крови и снижает риск образования тромбов. Это как раз то, что нужно в моем случае!
Вессел Дуэ Ф — это ангиопротекторное и антитромботическое средство. Основное действующее вещество — сулодексид, представляющий собой натуральный гепариноид. Препарат разжижает кровь, восстанавливает внутренний слой сосудов (эндотелий) и уменьшает воспаления
вессел дуэ ф
Я перед применением рекомендую проконсультироваться с врачом, чтобы понять подходит ли этот препарат.
вессел дуэ ф вид сбоку
вессел дуэ ф вид сбоку
Принимала я по одной капсуле два раза в день.
вессел дуэ ф таблетки
Уже через месяц у меня значительно улучшилось состояние ног. Прекратились судороги по ночам (хоть они у меня были не часто, но после вессел дуэ ф прошли совсем). Ноги перестали болеть и отекать, исчезла тяжесть при ходьбе.
вессел дуэ ф
Капсулы я планирую пропивать курсом 2-3 раза в год.
вессел дуэ ф
Мне понравился результат, который они дают. Конечно, венотоники и компрессия тоже есть в моем арсенале, но я понимаю, что только этого недостаточно.
Нужен именно комплексный подход, а не соблюдение лишь некоторых рекомендаций.
Заботьтесь о своем здоровье и не бойтесь ходить к врачу!
Достоинства
Помогает
Удобно принимать
Недостатки
Дороговат</t>
  </si>
  <si>
    <t xml:space="preserve">Тексты с изображений_x000d_
вессел дуэ ф igorruinova вессел дуэ ad cyлoдekcud/sulodexide 250 ле 60 капсул alfasigma cis reco/mmende ruj_x000d_
вессел дуэ ф aigorruinova вессел дуэ q cyлoдekcид/sulodexide 250 ле капсулы каждая капсула содержит: способ применения: вещество сулодексид 250 ле по 1.2 капсулы #ch раза в день до приема лищи состав вспомогательных вешеств оболочки 8 течение 30.40 дней. капсулы входят этилпарагидроксибензоат не применять после истечения срока натрия и пропилпарагидроксибензоат натрия годности, указанного на упаковке для приема внутрь. производитель: италия. прочтите каталент итали с n.a перед использованием ру, выпускающий контроль листок*! вкладыш. держатель температуре не выше 30 "c качества: хранить при альфасигма с.п.а. италия хранить в недоступном для детей месте! отпуск по рецепту. 1.recomminni.ru_x000d_
вессел дуэ ф вид сбоку igorruinova регистрационный номер: jit.n#(010845)apf—ru) вессело дуэ ф капсулы oo 020030" 101180 recommend.ru_x000d_
вессел дуэ ф вид сбоку igorruinova вессел дуэ 8 alfasigma капсулы recommend.ru_x000d_
вессел дуэ ф таблетки igorruinova cyлogekcud/sulodexide вессел дуэ 60 капсул 250 ле dd пюследиий день pahhoro alfasigma длобить истечения срока годчоям являстся при темпер)туре на сыше 30 сарани уточните работника interl выбрасыва rlm прелург хакализдцию оклужающую (p@ay к шитипь буется. васо зооки прочи( спедения рессел дуэ содержимое beccla ду? о содср*ат сулодсксил арепарат вешеством #f10 ксила 250лле супол коллойдный. тридц k5wждda nsyad con сдиница катриа кремнир диоксид пропилпарагиароксибензоат 16.6 ротсикл ествами авлаютса: лаурилсаркозичат )тилпэрагидро: ксvюеизоат натрия, вспо мо ржит желатин гийцерол: оболочка хапсулы coll (c1tr2): х1леза ок@й( красньй ду с содержимое ynnwor долуска*тся розоватый илу розовато внешний виа преларата begcra сублензию бело*сррого ub410 кирпично: "крисно» ашие 20 калсуш или капзулья: капсулы прозрачного пвдх: по 6листера ло обальнсс cole #kuscoro kang) основа слоем*покрытием кремовый kancya суристсре: vu слистко картона по io или n0 zs милсуи bbligtc по 2или олистор4 уа@стоверер держатель регистрацио inhoro италия альфасигма сл 40133, band) вид р@гацци дель 9j9 439 0s теле m*siy os 6489s фак@а по*та 1в10 ccnt эл производитель и@ли @na катала(т итали tha неттуненс@у фасовщик mitiranial anladeco виз pcn россий осо дал pф6 1505f тел 14195) ээль почтзе into.( патан!!!!!!!! республика lad pharmagate дпия 0018 (арм 9061 (сл. 37419 зл, гом@ pecrygnika 7амст(( (ос сона #@aphiekc олвжег захога safety@eastp фо)нь 744 imexim.com, no4ta madina meksu эл пересмотрек: hitp//eeceaeuniofiorg? листок—#кладыш информации содержатся на veб.caltte союза ld) lv lircalezin 4(zhqun прочие исто чники одда k4 м препарате подробные сведения nepso@ vequndqn mokliyfizri «2009641» alfasigma t pecommaend. ru_x000d_
вессел дуэ ф iigorruinova листок вкладыш информация для пациента вессел* дуэ @i 250 ле, капсулы действующее вещество: сулодексид рамите препа рата полностью листок*вкладыш! возможно прочитайте листок* вкладыш 7.р вас возникли дополнительные вам потребуется прочитать поскольку нем содержатся важные upau значен: именно вопросы, обратитесь sго еще pat аля bac сведения. вас lion baml не передавайте к*лечащему врэчу тательные какис лифа нежела 2го другим людям. ox #можс(т хавредить редкции, тол хисле телоные реакции! обратитесь дэка если симптомы indu листка вкледыша нд не пере числемные лечащему врачу дакидя рекомендация их заболевания совпадают вашими: сеое предст@ шляст разделе листка вкладыша. распространяется пеаует знать препдрат вессел fd любые возможные спари vil вессел перра приемом препдрата дуэ e и для чего его применяют. тельные дур э вессел дуэ о #olo #liclin препа pdtd blcc@ реакции сологолическими тегоного солов #tlagne???? упаковки про чие сведения tci en4g)) бя представляет 538 (lalazan веществом препарата препарат вессел дуэ e и #oncva )щих образованию вессел дуэ id аля чего его применяют тромбов (антитромботические является сулодексид, который ссел применению средства группа геларина), относится. классу препаратов, дуэ о применяется снижающих. свертываемость ла шяя повышенным взрослых 8 возрасте от, 18лет: крови ении мозгового риском тромбообразования. атии, обусловленной кровообращения включая острый том числе vл после перенесенного ионных поражениях периферических атеросклерозом, сахарным диабетом, период ишемического инсульга и период инфаркта миокарда, их вен, тромбозах глубоких артерий как гипертонической болезнью раннего восстаковления: при нгиопатиях (нефропатия, вен: атеросклеротического, тдки диабетического при сосудистой деменции: дисциркуляторной ali ретинопатия, нейропатия) происхождения: )илических состояниях, антифосролитидномсиндроме макроангиопатиях при сахарном диасете (синдром дидбетич( гепарина мазна чают cobmegiho сацетилсалициловой индучированной тромботической тромбоцитопении, кислотой*а таюке вследза низкомолекулярных: тия препа рата вессел дуэ поскол рбладает. множественным a действием: усугубляет be повреждения и восстанавливает структуру )воток 3d счет снижения уровня и целостность ловре растворению тромбов, предотвращает. триглицеридов (разновидность he наступило, вы образование рост тро или чувствуете ухудшение необходимо знать переа обра 1ия приемом препарата вессел дуэ о репарат вессел дуэ э если у вас лодексиа или любые другие компоненты преларата (перь парин или гепаринойды (препараты, которые агноз геморрагический уменьшают и срок вашей беременности диатез илиу вас есть заболевани! не превышает триместр, меры предосторожности препарата beegen дуэ. с препаратами. препятствующими проконсультируйтесь слечащи zd телям свертывания свертыванию крови: крови, 1p@l beccea ауэ с артямм подрястка сологовались or 28 аростков ие установлены. данные 161 грскольку реголяь препарат вессел дуэ в отсутствуют. ордчунди/работнику а(тэки том, что вы chinnm) лойр силивать антикоагулянтный принимаете недавно принимали или можетенача эффект препаратов основе геларина других антикоагулянтов при одновреме( recommend.ru_x000d_
вессел дуэ ф igorruinova вессел дуэ cd cynogekcud/sulodexide 250 ле 60 капсул alfasigma recommend.ru_x000d_
</t>
  </si>
  <si>
    <t>https://irecommend.ru/content/khorosho-pomogaet-na-nachalnoi-stadii-varikoza</t>
  </si>
  <si>
    <t>18.05.2026 12:07</t>
  </si>
  <si>
    <t>Безопасная беременность с разжижающими кровь препаратами.
Много вопросов с этим связанных, вы задаете.
Поэтому 👇
Составил для вас краткий чек-лист, который поможет вам понять, когда терапия действительно нужна, и избежать ненужных назначений.
Давайте сразу к целям, которые мы преследуем изучая разжижение кровь препаратами:
Цель 1: Забеременеть (естественно или через ЭКО).
Цель 2: Выносить беременность (при невынашивании).
Цель 3: Профилактика тромбозов.
Цель 4: Профилактика преэклампсии.
Важно!
Препараты НЕ ПОМОГАЮТ забеременеть и НЕ ПОМОГАЮТ выносить беременность при наследственной тромбофилии или «на всякий случай».
Их главная роль — лечение АФС и профилактика тромбозов.
ШАГ 2: ПРОВЕРЬТЕ СВОИ ДИАГНОЗЫ И РИСКИ
От этого зависит вся дальнейшая тактика.
Есть ли у вас диагностированный Антифосфолипидный синдром (АФС) ?
Это основное показание для терапии во время беременности.
Проверялись ли вы на наследственные тромбофилии?
Помните: значимы только мутации FV Leiden и FII G20210A.
И дефицит антитромбина, протеина С и S.
Остальные — чаще вариант нормы.
Оценили ли вы свой риск тромбозов по шкале RCOG? (Это должен сделать врач). От количества баллов зависит необходимость и сроки профилактики.
Оценили ли вы риск преэклампсии?
Это важно для всех беременных, но разжижающие препараты для ее профилактики не эффективны.
А также первые планирующиеся роды после 35 лет или первые планирующиеся роды, когда беременность наступила с помощью ЭКО - это уже высокий риск
ШАГ 3:
ЗАПОМНИТЕ «КРАСНЫЕ ФЛАГИ» — ЧЕГО ДЕЛАТЬ НЕ НУЖНО
Это убережет вас от неэффективного лечения и лишних трат.
НЕ принимать Дипиридамол (Курантил) и Сулодексид (Вессел Дуэ Ф) при беременности и для вынашивания.
Они не эффективны в этом контексте.
НЕ сдавать коагулограмму и д-димер для прогноза невынашивания или риска тромбоза.
Эти показатели не работают для предсказаний.
НЕ обследоваться на тромбофилию сразу после потери беременности или тромбоза. Нужно подождать 6-8 недель.
НЕ сдавать анализ на протеин S во время беременности — его уровень в этот период физиологически низкий.
ШАГ 4: ПРАВИЛЬНОЕ ОБСЛЕДОВАНИЕ — КЛЮЧ К ПРАВИЛЬНОМУ ЛЕЧЕНИЮ
Для диагностики АФС нужен правильный набор анализов: Волчаночный антикоагулянт, антитела к кардиолипину и b-гликопротеину-1. Результат должен быть положительным дважды с интервалом 12 недель.
Игнорируйте нестандартные тесты на АФС, такие как иммуноблоттинг, ЭЛИ-тест или «суммарные антитела». Они не рекомендованы.
ШАГ 5: КОГДА ТЕРАПИЯ ДЕЙСТВИТЕЛЬНО НУЖНА — ВАШ ПЛАН ДЕЙСТВИЙ
Если у вас АФС: Низкие дозы аспирина + низкомолекулярные гепарины (НМГ) — это стандарт лечения. Обсудите схему с врачом.
Если высокий риск тромбозов по шкале RCOG (≥4 балла): Вам показана тромбопрофилактика НМГ на протяжении всей беременности и после родов.
Если был Синдром гиперстимуляции яичников (СГЯ) в протоколе ЭКО: Тромбопрофилактика НМГ необходима.
Пользуйтесь чек-листом, пересылайте его тем, кому актуально!
И главное, будьте здоровы, дорогие!</t>
  </si>
  <si>
    <t>https://telegram.me/drvkuvaev/1093</t>
  </si>
  <si>
    <t>https://telegram.me/drvkuvaev</t>
  </si>
  <si>
    <t>15.05.2026 22:35</t>
  </si>
  <si>
    <t>Упражнения упражнениями, но еще хорошо пить вессел дуэ ф, чтобы сосуды поддерживать, тогда варикоз перестает прогрессировать.</t>
  </si>
  <si>
    <t>https://dzen.ru/a/agU7n1U4_3gzPUNc?comment-request=1#comment_3299055421</t>
  </si>
  <si>
    <t>15.05.2026 22:20</t>
  </si>
  <si>
    <t>Мне лимфодренажный массаж делали, плюс еще по назначению врача пила вессел дуэ ф, как-то и ноги получше были, но тут я и варикоза-то не вижу</t>
  </si>
  <si>
    <t>http://vk.com/wall-85415124_157727?reply=157840</t>
  </si>
  <si>
    <t>15.05.2026 22:17</t>
  </si>
  <si>
    <t>Я детралекс предпочитаю, а еще его неплохо чередовать с вессел дуэ ф, последний сосуды изнутри восстанавливает. И такое комбо реально дает хороший эффект</t>
  </si>
  <si>
    <t>http://vk.com/wall-219212745_20076?reply=20286</t>
  </si>
  <si>
    <t>15.05.2026 22:13</t>
  </si>
  <si>
    <t>У меня особо и побочек не было, только варикоз, но тут не факт, что от гормонов, у меня он у всех по женской линии. Сейчас принимаю вессел дуэ ф, ношу компрессионные чулки и как-то норм, не беспокоит</t>
  </si>
  <si>
    <t>http://vk.com/wall-131931112_1550465?reply=1550789</t>
  </si>
  <si>
    <t>15.05.2026 22:06</t>
  </si>
  <si>
    <t>У меня мама делала, чисто внешне стало получше, сейчас еще для поддержки вен принимает вессел дуэ ф, ну и желательно носить компрессионные чулки</t>
  </si>
  <si>
    <t>http://vk.com/wall-12670685_347124?reply=347175</t>
  </si>
  <si>
    <t>15.05.2026 19:21</t>
  </si>
  <si>
    <t>Здравствуйте уважаемый доктор, пишу вам второй раз, ответьте мне пожалуйста очень нравится слушать вас , и хочу вам задать вопрос. По узи поставили диагноз : стихший варикотромбофлебит БПВ менее 3 см, без перехода на бедренную вену. Без признаков флотации. Назначили на 3 месяца эликвис и Вессел ДУЭ, ( этот препарат меня смутил) , получается два препарата почти одного действия, я боюсь кровотечения, Детралекс. Скажите пожалуйста, антикоагулянты обязательно пить в фазе стихания или только в период обострения? Очень жду вашего ответа. Татьяна , 63 года, Самара. И еще вопрос, врач сказал, что тромб не оторвется, он как бы закоксовался, а эликвис может его уменьшить, рассосать? Спасибо!</t>
  </si>
  <si>
    <t>http://vk.com/wall-171736200_5723?reply=5724</t>
  </si>
  <si>
    <t>15.05.2026 18:13</t>
  </si>
  <si>
    <t>А еще при малоподвижном образе жизни возрастает вероятность наступления тромбоза. Это страшно, потому что события могут развиваться очень стремительно...Тромбоз был у моей бабушке, ее увезли по скорой, госпитализировали, а после мы долечивали ее дома самостоятельно. Я лично колола ей уколы тромболикс про, чтобы кровь разжижать и снимать риск образования новых тромбов. Слава богу все позади, но теперь мы колем ей этот препарат раз в полгода по 20 дней, чтобы не допустить подобного снова.</t>
  </si>
  <si>
    <t>http://vk.com/wall-138737375_1547123?reply=1547208</t>
  </si>
  <si>
    <t>15.05.2026 18:06</t>
  </si>
  <si>
    <t>У дедушки перемежающаяся хромота на фоне сахарного диабета, я своими глазами наблюдаю как сложно с этим жить. Вы абсолютно правы, главное тут- контроль сахара. Еще он ставит курсами, раз в полгода, тромболикс про, антикоагулянт, чтобы не допускать образования тромбов. С его слов, ему он очень помогает, уже через неделю уколов боль становиться значительно меньше. Ну и лфк, в обязательном порядке, присутствует в его жизни.</t>
  </si>
  <si>
    <t>https://dzen.ru/a/agVZD_36HAtpIHpu?comment-request=1#comment_3311975083</t>
  </si>
  <si>
    <t>15.05.2026 18:01</t>
  </si>
  <si>
    <t>Отличный результат. Мама продавец, у нее тоже сильный варикоз, ей флеболог назначает курсами тромболикс про, чтобы кровь разжижать и не допускать образования застоев. Мама говорит, что ей даже ходить становится легче после курса. Пока справляется такими методами поддержания себя.</t>
  </si>
  <si>
    <t>http://vk.com/wall-180149085_4495?reply=4496</t>
  </si>
  <si>
    <t>Крым</t>
  </si>
  <si>
    <t>15.05.2026 15:53</t>
  </si>
  <si>
    <t>Отзыв: Таблетки Alfa Wassermann Вессел ДУЭ Ф - Мой опыт лечения сосудов ног</t>
  </si>
  <si>
    <t>Оценка: 5 из 5
Таблетки Alfa Wassermann Вессел ДУЭ Ф
Достоинства: Эффективность, отсутствие побочных эффектов
Недостатки: Нет
По молодости, когда я начинала пить оральные контрацептивы, я мало думала о том, что могут быть последствия. Меня больше интересовал тот момент, чтобы я не забеременела. Шли годы и в итоге прием таблеток начал аукаться. Оказывается, такие препараты могут спровоцировать развитие проблем с венами, если к варикозу есть предрасположенность, я к нему и пришла, к сожалению.
Вначале появилась тяжесть в ногах и сводить ноги стало, особенно в ночное время. Потом стала обращать внимание, что и вены на ногах стали выглядеть как-то не здорово. Ну и во время очередного визита к терапевту (а это было летом) доктор сама настояла на моем визите к флебологу, когда увидела мои ноги. Доктор мне назначил по одной капсуле вессел дуэ ф дважды в день.
Спустя несколько недель приема я почувствовала облегчение: головные боли и боли в ногах практически прекратились. Побочных эффектов я не заметила. Главное не забывать принимать препарат регулярно. Врач посоветовала курс приема в полгода с последующим перерывом. При этом, по ее словам, эффект будет накапливаться и надолго сохраняться. Однако, стоит помнить, что все индивидуально. Препарат явно эффективен, но будьте готовы, что принимать его теперь придется периодически, чтобы поддерживать вены и не давать болезни прогрессировать. И, к сожалению, не его одного. Но про другие способы лечения этой болячки может напишу отдельные отзывы.
Год выпуска/покупки2026Общее впечатлениеМой опыт лечения сосудов ногМоя оценка5Рекомендую друзьямДА</t>
  </si>
  <si>
    <t xml:space="preserve">Тексты с изображений_x000d_
вессел дуэ (d сулодексид иuооех)dе 250 ле 60 капсул alfasigma отзовик_x000d_
дуэ po вессел сулодексид/sulodexide 250 ле 60 капсул alfasigma ф)отзовик_x000d_
листок—акладыш информация дня пациента вессел" дуэ @ 250 ле, капсулы действующее вещество: сулодексид nepca прирном dofnapata полмостью прочетайте листой: сораните хипом оклудыш возможна vra вотребускса прочитать дилаямш, посхольку ина (едержатся оайнь1? ffw выс ввддения tяли ex lizhainana :0n0 1161457 с10 adi pli jinczna(da поливай сосъпитное чаданка now услл ivina4901id41ce r: alit#jiuчvit в*коо #filyveam людеми 0. очнг @o про vesotiler #1167772 @кр11хр кеосналти рал о*ми ссли сывьети**тигг ик зыболоедния совгидног( artuinomon пот nз*bulss( 00.55m дачица генеллест рехлио 1.00 №1216710 паречислеенней раздился p#knixktpameftca и лоса гаргимпо)ат содсрждейс писстху сил*лк лопосопки салияся!! чrэ ав@а д11379 4xm ((012d4 nextupav вахсел rys тг чил тго с(((лестеенул 1о #190951 й100448524001 #enceraputa этсеса дуэ@ь гоолик) пуссухл свесско муг мр inp@inanfyin i*c@w лу болиг ff.noy прочис лессехое что л7зя продстайлт?? akcactiv)yawirie. lo(ima 4110001 прс7у)муа гр*дмра? begzan дг limucooop ana lyens gro npuwcha.#t првадину zoxyluwure lwkcnn zif n@anitaza су2даника осра)ния inpostylix)on linncai777 cotidkecconzz as эрыл ornoanica пыйсту #sti(nioulizithtion пояк1114781 nom @piostiinsi го/ппэ гру ссечи) потпасля стриция цессев д) прихенястся прохо(лово при молятич! волосками 8 18.we. in. #linainaq расти урфлкарофодьзофние при порушойуl 6% if кропооору 11.0 пососов лос гергчн(е эмц@оалопатии niwo @octpinia прода gam тинго(ки #gaooca оналюзжомные wit anrno uill (джусное 11668 укола гиледтомическ)и ooil прф сомо тромоован ирисножа ma anpoox м1. унь(ком( #rycoan м3% милоола #jiclarwai #stimingnatha, нейролленой maision tontamiana #mandal (winnanon claivalina примл uk101 1prarittur ayu 60 cyлogekcidsslodexide капсул вессело alfasigmad дуэ ф 250 ле тоймиц!!! чи na usvir пчостич vinnto# лfa одчокрожниом лизивает отзовик_x000d_
</t>
  </si>
  <si>
    <t>https://otzovik.com/review_18352378.html</t>
  </si>
  <si>
    <t>15.05.2026 13:08</t>
  </si>
  <si>
    <t>нина константинова, форсига,берлитион,мильгамма,тиогамма,вессел дуэ.....а от нейропатии с жуткими болями спасает только нуклео,но в России курс на 3 месяца стоит 44000,я год не могла купить,потом дочка договорилась с друзьями,они привезли .....в Грузии они стоят в 4 раза дешевле....</t>
  </si>
  <si>
    <t>https://dzen.ru/a/agM-XlcMLUTZ-DRY?comment-request=1#comment_3311538003</t>
  </si>
  <si>
    <t>14.05.2026 21:56</t>
  </si>
  <si>
    <t>[id6705830|Евгения], в моём понимании вессел дуэ при заболеваниях периферических сосудов</t>
  </si>
  <si>
    <t>http://vk.com/wall-166736387_49566?reply=49573&amp;thread=49570</t>
  </si>
  <si>
    <t>Краснодарский</t>
  </si>
  <si>
    <t>14.05.2026 21:53</t>
  </si>
  <si>
    <t>[id267144897|Ольга], вессел дуэ рулит!</t>
  </si>
  <si>
    <t>http://vk.com/wall-166736387_49566?reply=49572&amp;thread=49570</t>
  </si>
  <si>
    <t>14.05.2026 19:43</t>
  </si>
  <si>
    <t>@andreevna01.10 я уже не помню точно. Всё медикаментозно с разные капли и таблетки, контроль УЗИ каждую неделю. Кажется один из препаратов был Вессел дуэ ф</t>
  </si>
  <si>
    <t>https://mom.life/post/6a05ad3d6c5e2767f30bd6a2#6a05b370b70e3336060da543#6a05c373f77c45979b08ce1c</t>
  </si>
  <si>
    <t>14.05.2026 15:14</t>
  </si>
  <si>
    <t>[id826846573|Тупицина], у меня год уже экзема побочка от препарата весел дуэф. Аналогичная история, сейчас пользуюсь нафтодерм, трещины фукарцином. А ещё на ночь любой крем с мочевиной.</t>
  </si>
  <si>
    <t>http://vk.com/wall-223318821_158181?reply=158751&amp;thread=158187</t>
  </si>
  <si>
    <t>14.05.2026 14:51</t>
  </si>
  <si>
    <t>Вам бы у врача всю эту информацию получить, не здесь. Перво на перво надо брать под контроль сахар, это первопричина. Кровоток в венах нарушен, отсюда и язвы, нужны антикоагулянты. Я колола маме тромболикс про, чтобы кровь разжижать и улучшать проходимость крови. На язвы- антисептики и ранозаживляющие мази. Но все это врач прописывает, сходите к своему эндокринологу.</t>
  </si>
  <si>
    <t>http://vk.com/wall-121511206_557279?reply=557311</t>
  </si>
  <si>
    <t>Забайкальский</t>
  </si>
  <si>
    <t>14.05.2026 14:47</t>
  </si>
  <si>
    <t>Полезная статья. Я сама сталкивалась с тромбозом, когда у мамы нога опухла за одну ночи и посинела, жуткое зрелище! Госпитализировали, сняли высокий риск и отправили домой долечиваться. Я колола ей тромболикс про 20 дней дома, внутримышечно. Он разжижает кровь и не дает образоваться новым тромбам. Теперь каждые полгода надо его прокалывать, потому что она в зоне риска, т.к. прецедент уже был((</t>
  </si>
  <si>
    <t>http://vk.com/wall-177688766_487001?reply=487022</t>
  </si>
  <si>
    <t>13.05.2026 22:55</t>
  </si>
  <si>
    <t>Когда появились судороги, врач назначил мне Вессел Дуэ Ф. Я также стала больше двигаться и начала ходить в бассейн. Сейчас варикоз, насколько вижу, не прогрессирует.</t>
  </si>
  <si>
    <t>https://dzen.ru/a/aft_QRadCT2fhAjU?comment-request=1#comment_3295912281</t>
  </si>
  <si>
    <t>13.05.2026 21:40</t>
  </si>
  <si>
    <t>Я бы легла для перестраховки. В моем случае тоже были отеки из-за варикоза, пила вессел дуэ ф, по ощущениям помогал, но окончательно только после родов все прошло</t>
  </si>
  <si>
    <t>http://vk.com/wall-115360655_1251359?reply=1251448</t>
  </si>
  <si>
    <t>13.05.2026 21:26</t>
  </si>
  <si>
    <t>[id225206013|Надежда], есть его заменитель подешевле советский только а уколах. Тромболикс.</t>
  </si>
  <si>
    <t>http://vk.com/wall-210934520_126704?reply=169523&amp;thread=127679</t>
  </si>
  <si>
    <t>13.05.2026 16:16</t>
  </si>
  <si>
    <t>Скажите пожалуйста вессел дуэ эф как лучше ставить внутривенно или внутримышечно</t>
  </si>
  <si>
    <t>http://vk.com/wall-211243521_27672?reply=27743</t>
  </si>
  <si>
    <t>13.05.2026 15:11</t>
  </si>
  <si>
    <t>У мамы был тромбоз, нога отекла, стала иссиня-красной, болела. Ее госпитализировали сразу же. Когда опасность миновала, ее выписали долечиваться дома, я сама ей ставила уколы тромболикс про внутримышечно 20 дней. Они нужны чтобы кровь разжижать и препятствовать образованию новых тромбов. Теперь нужно каждые полгода курс прокалывать, т.к. если раз был тромбоз, то высока вероятность его повторения</t>
  </si>
  <si>
    <t>https://dzen.ru/a/agEJNS4Qk27DAgGR?comment-request=1#comment_3303063204</t>
  </si>
  <si>
    <t>13.05.2026 14:47</t>
  </si>
  <si>
    <t>Если диабет, то к эндокринологу. У бабушки полинейропатия, я колю ей уколы тромболикс про каждые полгода курсом по 20 дней. Это антикоагулянты, они нужны чтобы кровь разжижать и не допускать образования тромбов. Но лечение индивидуально, его должен назначать врач. Витамины и лфк тоже точно пропишут</t>
  </si>
  <si>
    <t>http://vk.com/wall-162456827_122523?reply=122558</t>
  </si>
  <si>
    <t>13.05.2026 14:40</t>
  </si>
  <si>
    <t>Наталья Соломоненко, да, лечение и поддержание здоровья при СД очень изматывающе, сил вам и здоровья! У бабушки СД, ты тоже делаем все возможное, чтобы помочь ей, но она живет в деревне, отдельно от нас, поэтому возим лекарства и звоним регулярно.У нее тоже диабетическая стопа, нужно напоминать осматривать ноги ежедневно. Кстати, в последний раз ей врач назначил курс уколов тромболикс про, она говорит, что они очень хорошо помогают. Пить таблетки тяжело постоянно, а уколы достаточно проставлять 20 дней по 1 в день раз в полгода. Но их, конечно, врач назначает.</t>
  </si>
  <si>
    <t>https://dzen.ru/a/agMfuVU4_3gzOoyZ?comment-request=1#comment_3303016074</t>
  </si>
  <si>
    <t>13.05.2026 12:10</t>
  </si>
  <si>
    <t>Спасибо, про падения не знала, расскажу родным. Вопрос- маме 80, флеболог назначил вессел- дуэ-ф. Для профилактики тромбоза. Гемоглобин у неё совсем низкий. Врач анализы видел, а я опасаюсь ей давать это.</t>
  </si>
  <si>
    <t>https://dzen.ru/a/af4wWvfNMSTrry7B?comment-request=1#comment_3302797964</t>
  </si>
  <si>
    <t>13.05.2026 11:25</t>
  </si>
  <si>
    <t>Недавно в комментариях кто-то поделился:
«Пришла к терапевту с анализом на гомоцистеин — он повышен. А врач только отмахнулся: „Да что вы все с этим гомоцистеином носитесь? Ничего страшного, показатель в рамках нормы!“»
Давайте разбираться, действительно ли можно не обращать внимания на гомоцистеин — или тут есть о чем волноваться.
Что такое гомоцистеин и почему он важен?
Гомоцистеин — это серосодержащая аминокислота, которая образуется внутри организма.
Норма в крови: 5–7 мкмоль/л.
От 7 до 10 — относительно пограничный уровень, нужно уже обратить на него внимание.
Если уровень выше 10, то это уже повод серьёзно заняться своим здоровьем!
Высокий гомоцистеин повреждает сосудистую стенку (эндотелий), а это приводит к:
▪ Риску тромбозов
▪ Вероятности инсультов и инфарктов
▪ Нарушениям кровотока в мозге — в том числе при мигрени
▪ Проблемам с вынашиванием беременности
Связь гомоцистеина и мигрени
Исследования показывают, что повышенный гомоцистеин часто встречается у людей с мигренью.
Логично предположить: если его снизить — головные боли станут реже.
Но! В исследованиях, где пробовали лечить мигрень с помощью витаминов группы B, эффекта почти не было.
❕А теперь внимание: использовали не те формы витаминов!
Пробовали снижать гомоцистеин обычной фолиевой кислотой (B9) и цианокобаламином (B12), но они работают далеко не у всех.
Очень многим нужны активные, метильные формы витаминов — метилфолат (B9) и метилкобаламин (B12).
Они усваиваются даже у тех, у кого есть генетические особенности фолатного цикла.
Как снизить гомоцистеин?
▫ Если у вас гомоцистеин выше 7, важно принимать метил-B9 и метил-B12 (курс 1–3 месяца, в зависимости от уровня). В некоторых случаях нужен B6, так как он тоже участвует в процессе.
▫ Если гомоцистеин выше 10 и есть риск тромбоза, нужен препарат Вессел Дуэ Ф — он защищает сосуды и «латает» эндотелий.
Где взять правильные формы витаминов?
— Метилфолат (B9) — лучше всего Метафолин Solgar (ищите в аптеках).
— Метилкобаламин (B12) — отличные отзывы у турецкой фирмы Orzax (доступен на маркетплейсах).
А что ещё важно знать?
Гомоцистеин не только маркер тромбозов. Он отражает работу метилирования — важного биохимического процесса в организме.
Что такое метилирование и почему оно важно? Об этом расскажу в следующем посте — дайте мне знать, если вам интересно ❤
💬 А вы сдавали гомоцистеин? Какой у вас был уровень?
***
Ваш Соло Массажист</t>
  </si>
  <si>
    <t xml:space="preserve">Тексты с изображений_x000d_
гомоцистеин v мигрень_x000d_
</t>
  </si>
  <si>
    <t>http://vk.com/wall530424871_2284</t>
  </si>
  <si>
    <t>Ленинградская</t>
  </si>
  <si>
    <t>12.05.2026 17:06</t>
  </si>
  <si>
    <t>Если есть сахарный диабет, то к эндокринологу. Полинейропатия была у дедушки, ему прописывали витамины группы Б, лфк и антикоагулянты. Мы кололи ему тромболикс про 20 дней, по 1 уколу в день внутримышечно. Дедушка сказал, что уже через неделю боль и онемение в ногах стали проходить. Но нам все препараты выписывал врач, вам нужно к своему обратиться.</t>
  </si>
  <si>
    <t>http://vk.com/wall-155019350_72844?reply=72858</t>
  </si>
  <si>
    <t>12.05.2026 16:54</t>
  </si>
  <si>
    <t>У дедушки СД и он постоянно жалуется на потливость во сне и на то, что не знает куда деть свои ноги (это и есть синдром беспокойных ног). Ему очень помогает курс тромболикс про, он ставит его по 20 дней раз полгода. Говорит, что чувствует себя лучше после этого препарата, судороги по ночам прекращаются и легче засыпать, когда нет этого синдрома. Дедушке лекарства прописывает эндокринолог.</t>
  </si>
  <si>
    <t>https://dzen.ru/a/agEE7D-R5kMHO3qf?comment-request=1#comment_3301639114</t>
  </si>
  <si>
    <t>11.05.2026 23:01</t>
  </si>
  <si>
    <t>При заражении хантавирусом (ГЛПС), поражаются почки и сосуды. Это очень сложное заболевание, довольно тяжело протекающее с осложнениями .
При заражении Andes virus, поражаются еще и лёгкие . Чаще всего люди попадают на ИВЛ.
По данным ВОЗ специфического лечения нет, вакцины нет, только поддерживающая терапия.
И сейчас предлагаю испытать глубокую благодарность и гордость за наше советское наследие 🙏 . Если у всего мира ничего против хантавирусов нет, то у нас ЕСТЬ 💪 .
ЭНДОТЕЛИЙ - КЛЮЧЕВАЯ МИШЕНЬ ВИРУСА!
Поэтому первым в аптечку идёт:
ВЕССЕЛ ДУЭ Ф (СУЛОДЕКСИД 25О ЛЕ) - аптека
Так как хантавирус характеризуются:
▪️ Деградацией гликокаликса
▪️ Повышением сосудистой проницаемости
▪️ Нарушением барьерной функции эндотелия
▪️ Активацией воспалительных путей
Применение эндотелиопротекторов крайне обосновано!
СУЛОДЕКСИД:
✔️ Восстанавливает гликокаликс (поврежденный при хантавирусе)
✔️ Может тормозить деградацию адгезионных молекул
✔️ Модулирует NF-кВ сигнализацию (ключевой путь при иммунной дисфункции)
Второй по значимости адресный препарат, проявляющий активность против хантавирусов:
ЙОДАНТИПИРИН (йодофеназон) - аптека
Это противовирусное средство, которое обладает противовоспалительными, иммуностимулирующими и интерфероногенными свойствами.
🔄 Препарат должен быть назначен в течение 5 дней от начала заболевания хантавирусом.
Его также применяют для лечения и профилактики клещевого энцефалита!
Препарат создан советскими учеными. По результатам тестов йодантипирин показал эффективность, достигающую 99,35% .
Что ещё стоит держать под рукой:
💊 Метиленовый Синий
(комплексная антивирусная активность)
💊 Тимоген (противовирусный спрей).
💊 Тимозин альфа (противовирусный пептид)
💊 Лактоферрин
Согласно данным исследования от 2001 года: двукратное введение лактоферрина в высокой дозе показало выживаемость 94% (лучше, чем рибавирин в монотерапии).
💊 Уролитин
Показал себя как один из наиболее эффективных ингибиторов инфекции Andes virus. Способствует восстановлению нормального клеточного функционирования. То есть помогает клетке не переходить в патологический режим под давлением вируса, снижает воспалительное "перевозбуждение" эндотелия.
💊 Ивермектин.
Комментировать не буду. Кто знает, тот знает.
⚠️ ВНИМАНИЕ! ⚠️
Публикация носит ознакомительный характер. Не является рекомендацией и/или руководством к действию. Обращение к врачу обязательно!
Как можно меня отблагодарить:
🫶 Защитить свою семью руководством " СТОП, КЛЕЩИ! ". Потому как хантавирус где-то на горизонте, а эпидемия Болезни Лайма (боррелиоз) и клещевого энцефалита уже ЗДЕСЬ! Порой вы даже можете не заметить укус клеща.
В руководстве не только как обезопасить себя и свою семью, но и как действовать, если укус был.
Берегите себя и своих близких ❤️
Какие из средств берёте себе на вооружение против хантавируса?
Всегда ваша @izbamolodilnya</t>
  </si>
  <si>
    <t xml:space="preserve">Тексты с изображений_x000d_
хантавирус @izbamolocilnya аптечка 57 часть_x000d_
</t>
  </si>
  <si>
    <t>https://telegram.me/izbamolodilnya/3316</t>
  </si>
  <si>
    <t>https://telegram.me/izbamolodilnya</t>
  </si>
  <si>
    <t>10.05.2026 20:51</t>
  </si>
  <si>
    <t>Елена Курочкина, А так Павел Воробьёв лечил в медбюро на ютубе, но сейчас у меня нет ютуба. Ну, Вессел Дуэф обычно всем идет, даже диабетикам хорошо, но цена кусается, уже давно брала было 4тыш, щас не знаю. Это на месяц было.</t>
  </si>
  <si>
    <t>https://dzen.ru/a/af-MJFrEqxFxwH-m?comment-request=1#comment_3291303731</t>
  </si>
  <si>
    <t>10.05.2026 20:44</t>
  </si>
  <si>
    <t>❓ Вопрос:
Здравствуйте, кому нибудь назначали вессел дуэф в таблетках при планировании?Если назначили сколько времени принимали ? Назначили при подготовке и до наступления беременности
Пока беременность не наступила . уже 5 месяцев пью. Никакой тромбофилии нет назначили из за двух потерь на раннем сроке в анамнезе после двух полосок переходить на клексан
Начинаю задумываться вдруг из за таблеток беременность не наступает
💬 Ответ:
Здравствуйте, мне назначал этот препарат гематолог (НЕ мой), к кому ходила, так как формально нужно было получить бумажку, что у меня нет дефицита фактора свертываемости. В общем, не суть)
Мой врач сказала, что они этот препарат не рекомендуют, но если пропить, хуже не будет, вот только не длительно. 1-3 мес.
Я не стала.
Не думаю, что может влиять на то, что беременность не наступает.
Но 5 месяцев – достаточно как будто, зачем еще?
✉️ Задать свой анонимный вопрос → @AskSecretlyBot</t>
  </si>
  <si>
    <t>https://telegram.me/aleksatru/441</t>
  </si>
  <si>
    <t>https://telegram.me/aleksatru</t>
  </si>
  <si>
    <t>10.05.2026 19:08</t>
  </si>
  <si>
    <t>Инна Викторовна, у меня он был Весселдуэф, а я его отдала подруге. Ну ни чего, куплю еще, спасибо за совет.</t>
  </si>
  <si>
    <t>https://dzen.ru/a/af-MJFrEqxFxwH-m?comment-request=1#comment_3291176551</t>
  </si>
  <si>
    <t>10.05.2026 18:22</t>
  </si>
  <si>
    <t>А что был отменен , кроме ВЕССЕЛ ДуЭ Ф и препаратов железа?</t>
  </si>
  <si>
    <t>https://sprosivracha.com/questions/4324170-gematolog-ubral-vse-vitaminy-pochemu#a27652352</t>
  </si>
  <si>
    <t>Ответ</t>
  </si>
  <si>
    <t>10.05.2026 18:20</t>
  </si>
  <si>
    <t>Добрый день!
В итоге у Вас остались какие препараты ?
Был отменен АНГИОВИТ , Фемибион и ВЕССЕЛ ДУЭ Ф?
Ферритин -41 мкг/л для беременности низковат и лучше продолжить прием препаратов
И если есть анализы какие либо, приложите пожалуйста</t>
  </si>
  <si>
    <t>https://sprosivracha.com/questions/4324170-gematolog-ubral-vse-vitaminy-pochemu#a27652310</t>
  </si>
  <si>
    <t>10.05.2026 18:13</t>
  </si>
  <si>
    <t>Гематолог убрал все витамины, почему?</t>
  </si>
  <si>
    <t>Сейчас гематолог отменила мне все витамины, по анализам ферритин уже 41, сейчас сильная слабость и усталость. По какой причине были отменены все витамины? Не упаду ли я в дефициты? Было 2 выкидыша. На мои вопросы гематолог не ответила. Ниже написала назначение и диагноз. Дз: Носитель генов тромбофилии высокого тромбогенного риска: F2 G\A, FGB GIA, MTHFR CT, MTR Asp\Gly, MTRR MerlMet, PAI-1 5G|5G Терапия НМГ с 2.05.26 Беременность 5 нед. рек-но 1. фибриноген, ачтв, пти, тв, пв через 2 нед 2 - Folio Acid Solgar или метилфолат 400 мг\сут утро - фемибион 1 или ангиовит 1 таб обед - вессел дуэ ф отмена - клексан 0,4 мл пк ежедн</t>
  </si>
  <si>
    <t>Вопрос</t>
  </si>
  <si>
    <t>10.05.2026 17:02</t>
  </si>
  <si>
    <t>✅ Anton
Найдены материалы по теме: 20 (стр. 1 из 7)
ЛЕЧЕН, ИШЕМ
🌐 1: Насколько безопасен сулодексид (Вессел® Дуэ Ф)?Вессел® Дуэ Ф – безопасный препарат для лечения ХЗВ, отличающийся низким риском геморрагических и других осложнений. Эффективность и безопасность док…
🌐 2: Медико-социальные проблемы хронических заболеваний вен в мире и в РФХроническим заболеваниям вен (ХЗВ) подвержены 30–50% женщин и 10–30% мужчин. В России их выявляют у 69,3% взрослых людей. В предупреждении осложнений…
🌐 3: Клиническая эффективность сулодексида (Вессел® Дуэ Ф) при хронической венозной недостаточности (классы С3-С4)Сулодексид (Вессел® Дуэ Ф) эффективно купирует симптомы у пациентов с ХВН классов C3-C4. Исследования подтверждают его высокую эффективность в уменьш… https://actual-phlebology.ru/kakova-bezopasnost-sulodeksida-vessel-due-f/?utm_source=af-patients-tg&amp;utm_medium=bot&amp;utm_campaign=articles https://actual-phlebology.ru/kakovo-bremya-hronicheskih-zabolevaniy-ven-v-mire-i-v-rossii/?utm_source=af-patients-tg&amp;utm_medium=bot&amp;utm_campaign=articles https://actual-phlebology.ru/kakova-klinicheskaya-effektivnost-primeneniya-sulodeksida-vessel-due-f-pri-hronicheskoy-venoznoy-nedostatochnosti-klassy-s3-s4/?utm_source=af-patients-tg&amp;utm_medium=bot&amp;utm_campaign=articles</t>
  </si>
  <si>
    <t>https://telegram.me/ap_patient/109995</t>
  </si>
  <si>
    <t>10.05.2026 16:22</t>
  </si>
  <si>
    <t>Елена Курочкина, Попробуйте полечиться по методу Павла Воробьёва, постковид, он говорил что все врачи сажают на антибиотики АД, а они совершенно не нужны многим, так как болезни не надуманные, а физиологические. Хорошо ВесселДуеф, а так он ещё рекомендует антикоагулянты, но это уже под контролем, а вот ВесселДуэф, почти безобидный, он латает сосуды, а кровь он не разжижает, разжижает только если в уколах. Я пью курсами, но у меня ещё варикоз вен ног.</t>
  </si>
  <si>
    <t>https://dzen.ru/a/af-MJFrEqxFxwH-m?comment-request=1#comment_3290968831</t>
  </si>
  <si>
    <t>10.05.2026 15:22</t>
  </si>
  <si>
    <t>⚡️ Сауна против тромбоза: признайтесь, вы же запрещали ее пациентам? 🌀
Майские праздники, вы же нашли время попариться? А пациентам, вероятно, запретили! Как не стыдно!
Но в плане профилактики ВТЭО крутые исследования преподнесли сюрприз. Итак, KIHD (Kuopio Ischemic Heart Disease) доказало: сауна - мощный инструмент защиты от венозных тромбоэмболий (ВТЭ).
Статистика и факты: 👇
👤 25 лет под наблюдением
Наши коллеги наблюдали 2242 мужчин в течение 24,9 года. Результаты после корректировки на возраст, ИМТ и курение:
2-3 раза в неделю: риск ВТЭ ниже на 33% (HR 0.67)!
≥ 4 раз: эффект сохраняется, но «золотая середина» - 2-3 раза.
(Источник: Kunutsor S.K. et al., 2019)
Как это работает? 🧬
✅ Снижение системного воспаления
Парилка подавляет системное воспаление, к этому выводу пришли коллеги по результатам анализа уровня С-реактивного белка - главного маркера.
(Laukkanen J.A. et al., 2018)
✅ Улучшение липидного обмена
Регулярный прогрев снижает общий холестерин и ЛПНП, работая как умеренная кардионагрузка, аторвастатин на минималках.
(Gryka D. et al., 2014)
✅ Пресловутая вязкость крови
Тепло увеличивает объем плазмы, снижая вязкость крови и ускоряя венозный возврат.
(Stanley J. et al., 2015)
✅ Здоровье эндотелия
Выработка оксида азота (NO) растет, сосуды расслабляются и восстанавливают эластичность. Здоровый эндотелий - и далее про Вессел Дуэ Ф! (примечание от СМ) лучшая защита от тромба.
(Brunt V.E. et al., 2016)
Как не стать жертвой парилочки? 👨‍⚕️
✅ Алгоритм: регулярность важнее экстрима (15-20 мин), обязательный водный баланс и фокус на комфорте.
Когда мы заменяем страхи доказательными данными, работа становится спокойнее, а жизнь пациентов - качественнее.
С ув СМ, место для лайка 👇</t>
  </si>
  <si>
    <t xml:space="preserve">Тексты с изображений_x000d_
???? )натомика актуальная флебология сауна актуальная флебология_x000d_
</t>
  </si>
  <si>
    <t>http://vk.com/wall-227216729_40</t>
  </si>
  <si>
    <t>Бьюти</t>
  </si>
  <si>
    <t>10.05.2026 15:16</t>
  </si>
  <si>
    <t>⚡️ Сауна против тромбоза: признайтесь, вы же запрещали ее пациентам? 🌀
Майские праздники, вы же нашли время попариться? А пациентам, вероятно, запретили! Как не стыдно!
Но в плане профилактики ВТЭО крутые исследования преподнесли сюрприз. Итак, KIHD (Kuopio Ischemic Heart Disease) доказало: сауна - мощный инструмент защиты от венозных тромбоэмболий (ВТЭ).
Статистика и факты: 👇
👤 25 лет под наблюдением
Наши коллеги наблюдали 2242 мужчин в течение 24,9 года. Результаты после корректировки на возраст, ИМТ и курение:
2–3 раза в неделю: риск ВТЭ ниже на 33% (HR 0.67)!
≥ 4 раз: эффект сохраняется, но «золотая середина» - 2-3 раза.
(Источник: Kunutsor S.K. et al., 2019)
Как это работает? 🧬
✅ Снижение системного воспаления
Парилка подавляет системное воспаление, к этому выводу пришли коллеги по результатам анализа уровня С-реактивного белка - главного маркера .
(Laukkanen J.A. et al., 2018)
✅ Улучшение липидного обмена
Регулярный прогрев снижает общий холестерин и ЛПНП, работая как умеренная кардионагрузка, оторвастин на минималках.
(Gryka D. et al., 2014)
✅ Пресловутая вязкость крови
Тепло увеличивает объем плазмы, снижая вязкость крови и ускоряя венозный возврат.
(Stanley J. et al., 2015)
✅ Здоровье эндотелия
Выработка оксида азота (NO) растет, сосуды расслабляются и восстанавливают эластичность. Здоровый эндотелий - и далее про Вессел Дуэ Ф! ( примечание от СМ ) лучшая защита от тромба.
(Brunt V.E. et al., 2016)
Как не стать жертвой парилочки? 👨‍⚕️
✅ Алгоритм: регулярность важнее экстрима (15-20 мин), обязательный водный баланс и фокус на комфорте.
Когда мы заменяем страхи доказательными данными, работа становится спокойнее, а жизнь пациентов - качественнее.
С ув СМ, место для лайка 👇</t>
  </si>
  <si>
    <t>https://telegram.me/actual_phlebology_ru/1047</t>
  </si>
  <si>
    <t>https://telegram.me/actual_phlebology_ru</t>
  </si>
  <si>
    <t>10.05.2026 15:13</t>
  </si>
  <si>
    <t>✅ Sergey Markin
Найдены материалы по теме: 20 (стр. 1 из 7)
ВЕН, СЕРДЕЧН, СОСУДИСТ, ОПАСНО, КЛИНИЧЕСК, РИСК, ВЕРХН, РЕКОМЕНДАЦ, ЦИФР, НАГРУЗК, АРИТМ, ТРЕНИРОВК
🌐 1: Клиническая эффективность сулодексида (Вессел® Дуэ Ф) при хронической венозной недостаточности (классы С3-С4)Сулодексид (Вессел® Дуэ Ф) эффективно купирует симптомы у пациентов с ХВН классов C3-C4. Исследования подтверждают его высокую эффективность в уменьш…
🌐 2: Пандемия коронавируса и тромбозов. Изменились рекомендации по антикоагулянтной профилактике!Количество заболевших коронавирусом более 50000 в сутки, более 100 погибли. Тромбозов больше. Минздрав обновил рекомендации, уделил особое внимание, …
🌐 3: Варикозные вены — всегда ли будет тромбоз?На каком месте стоит варикозная болезнь среди факторов риска возникновения тромбоза. Всегда ли нужно оперироваться по поводу варикозной болезни. В ка… https://actual-phlebology.ru/kakova-klinicheskaya-effektivnost-primeneniya-sulodeksida-vessel-due-f-pri-hronicheskoy-venoznoy-nedostatochnosti-klassy-s3-s4/?utm_source=af-patients-tg&amp;utm_medium=bot&amp;utm_campaign=articles https://actual-phlebology.ru/afpatient/pandemiya-koronavirusa-i-trombozov-izmenilis-rekomendatsii-po-antikoagulyantnoy-profilaktike/?utm_source=af-patients-tg&amp;utm_medium=bot&amp;utm_campaign=articles https://actual-phlebology.ru/afpatient/varikoznye-veny-vsegda-li-budet-tromboz/?utm_source=af-patients-tg&amp;utm_medium=bot&amp;utm_campaign=articles</t>
  </si>
  <si>
    <t>https://telegram.me/ap_patient/109987</t>
  </si>
  <si>
    <t>10.05.2026 02:39</t>
  </si>
  <si>
    <t>Мне до 34 недель сказали пить. Потом в 36 иду повторно сдавать тромбодинамику, чтобы понимать как реагирует организм. И там уже врач скажет пить ещё что-то или нет.
В прошлую беременность после отмены тромбоасса пила вессел дуэф до родов. Опять же это мой гемостазиолог назначала.</t>
  </si>
  <si>
    <t>https://www.babyblog.ru/user/zinnatullinainzilya/9840?go_comment_id=71402</t>
  </si>
  <si>
    <t>10.05.2026 01:34</t>
  </si>
  <si>
    <t>Весселдуэф кто- то продавал... Напишите, если ещё не продали.</t>
  </si>
  <si>
    <t>http://vk.com/wall-47981464_2782925</t>
  </si>
  <si>
    <t>09.05.2026 22:50</t>
  </si>
  <si>
    <t>ЕЩЕ ДВЕ АМПУЛЫ УШЛИ В СТОП
Кокарнит и Вессел Дуэ Ф в ампулах теперь в приостановке. Новость из тех, после которых снова придется быстро сверять остатки и думать, что говорить покупателю у окна.
Под приостановку попали Кокарнит - лиофилизат для раствора для внутримышечного введения, и Вессел Дуэ Ф - раствор для внутривенного и внутримышечного введения 600 МЕ/2 мл.
Ранее в этот же список уже ушли Гелмодол-ВМ, Верклав и Кетоаминол. Так что история уже не про один случай, а про заметный ряд позиций, которые многие привыкли видеть в наличии.
Самое неприятное тут даже не в самой новости. А в том, что покупатель узнает об этом у первого стола - и смотрит на вас так, будто вы сейчас обязаны за минуту решить все сразу.
И кажется, это только начало.
Читайте далее без ввода пароля https://www.smartpharma.ru/publication/single/32443?utm_source=vk&amp;utm_medium=social&amp;utm_content=smartpharma 👉</t>
  </si>
  <si>
    <t>http://vk.com/wall-35402404_91243</t>
  </si>
  <si>
    <t>ЕЩЕ ДВЕ АМПУЛЫ УШЛИ В СТОП Кокарнит и Вессел Дуэ Ф в ампулах теперь в приостановке. Новость из тех, после которых снова придется быстро сверять остатки и думать, что говорить покупателю у окна.</t>
  </si>
  <si>
    <t>ЕЩЕ ДВЕ АМПУЛЫ УШЛИ В СТОП
Кокарнит и Вессел Дуэ Ф в ампулах теперь в приостановке. Новость из тех, после которых снова придется быстро сверять остатки и думать, что говорить покупателю у окна.
Под приостановку попали Кокарнит - лиофилизат для раствора для внутримышечного введения, и Вессел Дуэ Ф - раствор для внутривенного и внутримышечного введения 600 МЕ/2 мл.
Ранее в этот же список уже ушли Гелмодол-ВМ, Верклав и Кетоаминол. Так что история уже не про один случай, а про заметный ряд позиций, которые многие привыкли видеть в наличии.
Самое неприятное тут даже не в самой новости. А в том, что покупатель узнает об этом у первого стола - и смотрит на вас так, будто вы сейчас обязаны за минуту решить все сразу.
И кажется, это только начало.
Читайте далее без ввода пароля https://www.smartpharma.ru/publication/single/32443?utm_source=ok&amp;utm_medium=social&amp;utm_content=smartpharma 👉
Первое профессиональное сообщество для сотрудников аптек «Смартфарма» объединяет в себе пользователей для обмена опытом и дружеского общения
Смартфарма — профессиональная сеть для провизоров и фармацевтов
https://www.smartpharma.ru/publication/single/32443?utm_source=ok&amp;utm_medium=social&amp;utm_content=smartpharma</t>
  </si>
  <si>
    <t>http://ok.ru/group/52161146519625/topic/158340056001353</t>
  </si>
  <si>
    <t>09.05.2026 14:06</t>
  </si>
  <si>
    <t>Здравствуйте уважаемый доктор, очень нравится слушать вас , и хочу вам задать вопрос. По узи поставили диагноз : стихший варикотромбофлебит БПВ менее 3 см, без перехода на бедренную вену. Без признаков флотации. Назначили на 3 месяца эликвис и Вессел ДУЭ, ( этот препарат меня смутил) , получается два препарата почти одного действия, я боюсь кровотечения, Детралекс. Скажите пожалуйста, антикоагулянты обязательно пить в фазе стихания или только в период обострения? Очень жду вашего ответа. Татьяна , 63 года, Самара.</t>
  </si>
  <si>
    <t>http://vk.com/wall-171736200_5702?reply=5703</t>
  </si>
  <si>
    <t>09.05.2026 09:12</t>
  </si>
  <si>
    <t>ЕЩЕ ДВЕ АМПУЛЫ УШЛИ В СТОП
Кокарнит и Вессел Дуэ Ф в ампулах теперь в приостановке. Новость из тех, после которых снова придется быстро сверять остатки и думать, что говорить покупателю у окна.
Под приостановку попали Кокарнит - лиофилизат для раствора для внутримышечного введения, и Вессел Дуэ Ф - раствор для внутривенного и внутримышечного введения 600 МЕ/2 мл.
Ранее в этот же список уже ушли Гелмодол-ВМ, Верклав и Кетоаминол. Так что история уже не про один случай, а про заметный ряд позиций, которые многие привыкли видеть в наличии.
Самое неприятное тут даже не в самой новости. А в том, что покупатель узнает об этом у первого стола - и смотрит на вас так, будто вы сейчас обязаны за минуту решить все сразу.
И кажется, это только начало.
Читайте далее без ввода пароля https://www.smartpharma.ru/publication/single/32443?utm_source=vk&amp;utm_medium=social&amp;utm_content=tipichnype 👉</t>
  </si>
  <si>
    <t>http://vk.com/wall-61570233_115207</t>
  </si>
  <si>
    <t>09.05.2026 09:11</t>
  </si>
  <si>
    <t>ЕЩЕ ДВЕ АМПУЛЫ УШЛИ В СТОП
Кокарнит и Вессел Дуэ Ф в ампулах теперь в приостановке. Новость из тех, после которых снова придется быстро сверять остатки и думать, что говорить покупателю у окна.
Под приостановку попали Кокарнит - лиофилизат для раствора для внутримышечного введения, и Вессел Дуэ Ф - раствор для внутривенного и внутримышечного введения 600 МЕ/2 мл.
Ранее в этот же список уже ушли Гелмодол-ВМ, Верклав и Кетоаминол. Так что история уже не про один случай, а про заметный ряд позиций, которые многие привыкли видеть в наличии.
Самое неприятное тут даже не в самой новости. А в том, что покупатель узнает об этом у первого стола - и смотрит на вас так, будто вы сейчас обязаны за минуту решить все сразу.
И кажется, это только начало.
Читайте далее без ввода пароля https://www.smartpharma.ru/publication/single/32443?utm_source=ok&amp;utm_medium=social&amp;utm_content=tipichnype 👉
Первое профессиональное сообщество для сотрудников аптек «Смартфарма» объединяет в себе пользователей для обмена опытом и дружеского общения
Смартфарма — профессиональная сеть для провизоров и фармацевтов
https://www.smartpharma.ru/publication/single/32443?utm_source=ok&amp;utm_medium=social&amp;utm_content=tipichnype</t>
  </si>
  <si>
    <t>http://ok.ru/group/52171764269129/topic/158338791811913</t>
  </si>
  <si>
    <t>08.05.2026 22:50</t>
  </si>
  <si>
    <t>Конечно могут. У меня еще вечерами и крутили сильно, боль была изнуряющая. Однако после начала делать контрастный душ для ног и принимать вессел дуэ ф, после лечения я забыла про отеки и боли по вечерам.</t>
  </si>
  <si>
    <t>http://vk.com/wall-48183890_1779997?reply=1780046</t>
  </si>
  <si>
    <t>Красноярский</t>
  </si>
  <si>
    <t>08.05.2026 22:46</t>
  </si>
  <si>
    <t>Сходите к флебологу, что он скажет, ну или к сосудистому хирургу. У меня такая была, доктор посоветовал полечиться капсулами вессел дуэ ф, после них лучше и визуально, и по ощущениям. От слова операция я просто в обморок падала, поэтому готова была пробовать все варианты и вроде получилось.</t>
  </si>
  <si>
    <t>http://vk.com/wall-110697191_748283?reply=748303</t>
  </si>
  <si>
    <t>08.05.2026 21:40</t>
  </si>
  <si>
    <t>Вессел Дуэ ф</t>
  </si>
  <si>
    <t>https://www.instagram.com/p/DYEcS1RorP6/c/18096833860887732</t>
  </si>
  <si>
    <t>@dabaevm / Чолпон Дабаевм</t>
  </si>
  <si>
    <t>@aizana.stambulova / Айз✨</t>
  </si>
  <si>
    <t>08.05.2026 18:03</t>
  </si>
  <si>
    <t>В моем случае удалось избежать операции, так как я стала пить вессел дуэ ф курсами, он сосудистую стенку восстанавливает изнутри и не дает венам разрушаться. Кроме этого пользовалась мазью с гепарином, носила компрессионное белье. В итоге операцию не пришлось делать</t>
  </si>
  <si>
    <t>http://vk.com/wall-157831435_46556?reply=46585</t>
  </si>
  <si>
    <t>08.05.2026 18:02</t>
  </si>
  <si>
    <t>Да, скорее всего. Я с первых симптомов стала пить вессел дуэ ф от отеков и судорог, в итоге стало лучше, неприятные симптомы прошли</t>
  </si>
  <si>
    <t>http://vk.com/wall-158881136_1010102?reply=1010174</t>
  </si>
  <si>
    <t>08.05.2026 16:07</t>
  </si>
  <si>
    <t>Не так страшно само заболевание, как не знание о нем. У папы атеросклероз, он каждые пол года прокалывает курс антикоагулянтов тромболикс про, чтобы избежать образования тромбов. Предупрежден- вооружен!</t>
  </si>
  <si>
    <t>https://dzen.ru/a/afveb1U4_3gzMYYi?comment-request=1#comment_3291783372</t>
  </si>
  <si>
    <t>08.05.2026 15:58</t>
  </si>
  <si>
    <t>При дс человек теряет чувствительность в стопе, поэтому не замечает никаких ран, мозолей, дискомфорта от обуви и т.д. Опасно тем, что без лечения и постоянного осмотра стоп, он может получить загноение этих ранений и т.д. У бабушки дс, мы колем ей тромболикс про каждые полгода, чтобы кровь лучше циркулировала и чувствительность восстанавливалась. Но его только врач выписывает.</t>
  </si>
  <si>
    <t>http://vk.com/wall-113506584_2490715?reply=2490794</t>
  </si>
  <si>
    <t>08.05.2026 15:52</t>
  </si>
  <si>
    <t>Тромбоз с варикозом сложно спутать, я видела своими глазами и одно и другое. Когда у мамы случился тромбоз у нее нога вся опухла и посинела, тут уже показана незамедлительная госпитализация. После того как высокая опасность миновала, она уже дома пролечивалась, колола антикоагулянты тромболикс про, чтобы кровь разжижать и не давать образоваться новым застоям. С варикозом тоже не шутят, но тромбоз проблема посерьезнее.</t>
  </si>
  <si>
    <t>http://vk.com/wall-29487103_192880?reply=192890</t>
  </si>
  <si>
    <t>08.05.2026 15:47</t>
  </si>
  <si>
    <t>Тромболикс Про
Мне тоже довелось узнать этот препарат, когда у мамы случился высокий риск образования тромбов. Врач назначил тромболикс про, чтобы разжижать кровь и дать образоваться застоям. К счастью, опасения не оправдались, я думаю препарат помог, сделал свое дело.</t>
  </si>
  <si>
    <t>https://otzovik.com/review_18333385.html#107796577</t>
  </si>
  <si>
    <t>08.05.2026 02:02</t>
  </si>
  <si>
    <t>Мне назначили цитофлавин капельницы и уколы вессел ду эф,затем таблетки цитофлавин и фезам,стало лучше намного.</t>
  </si>
  <si>
    <t>http://vk.com/wall-88570414_284324?reply=284345</t>
  </si>
  <si>
    <t>07.05.2026 20:50</t>
  </si>
  <si>
    <t>Здравствуйте,нет . Это не аналог Вессел дуэф,это другое средство</t>
  </si>
  <si>
    <t>https://telegram.me/doctor_alina_chat/21390</t>
  </si>
  <si>
    <t>https://telegram.me/doctor_alina_chat</t>
  </si>
  <si>
    <t>07.05.2026 20:43</t>
  </si>
  <si>
    <t>Подскажите пожалуйста, иммортал веселс это не аналог вессел дуэ ф?а то у меня аллергия на гепарин</t>
  </si>
  <si>
    <t>https://telegram.me/doctor_alina_chat/21389</t>
  </si>
  <si>
    <t>https://telegram.me/aetolena</t>
  </si>
  <si>
    <t>07.05.2026 19:15</t>
  </si>
  <si>
    <t>Я пользуюсь гепариновой мазью и пью вессел дуэ ф для восстановления сосудов. Мне помогает, ногам гораздо легче стало, боль и отеки ушли</t>
  </si>
  <si>
    <t>http://vk.com/wall-155019350_72738?reply=72765</t>
  </si>
  <si>
    <t>07.05.2026 19:14</t>
  </si>
  <si>
    <t>http://vk.com/wall-158881136_1010102?reply=1010152</t>
  </si>
  <si>
    <t>07.05.2026 16:42</t>
  </si>
  <si>
    <t>Отзыв: Тромболикс Про - Тромболикс Про- уберег от серьезных последствий диабетической стопы</t>
  </si>
  <si>
    <t>Оценка: 5 из 5
Тромболикс Про
Достоинства: Быстро помог, не болезненные уколы
Недостатки: нет
Тромболикс Про прописал эндокринолог моему папе, т. к. на фоне сахарного диабета у него возник синдром диабетической стопы. Сразу скажу, препарат помог, уже в середине курса лечения папа почувствовал облегчение, перестал испытывать судороги в ногах по ночам.
Мы не сразу поняли, что возникло такое осложнение, так как папа военный в отставке и жаловаться не привык. Только позже, на приеме у врача, он рассказал о судорогах икр по ночам и о том, что ноги часто немеют, словно становятся ватными.
Врач пояснил, что это последствия СД, что чувствительность в ногах снижена, поставил диагноз: диабетическая стопа начальная стадия. К счастью, до тяжелых последствий в виде гниющих ран не дошло, чувствительность в ногах еще сохранялась, но была уже снижена.
Конечно, основой основ является контроль уровня сахара, но помимо этого был выписан препарат Тромболикс Про, который направлен на то, чтобы разжижать кровь, чтобы она не застаивалась и циркулировала по всем сосудам. Курс лечения составил 20 дней, колола уколы мама сама внутримышечно по 1 в день. На 10 день папа сказал, что онемение ног по ночам прошло, что в целом ему стало легче двигаться. Курс уколов нужно повторять каждые полгода, чтобы не допустить еще больших осложнений.
Время использования20Год выпуска/покупки2025Общее впечатлениеТромболикс Про- уберег от серьезных последствий диабетической стопыМоя оценка5Рекомендую друзьямДА</t>
  </si>
  <si>
    <t xml:space="preserve">Тексты с изображений_x000d_
тромболикс про сотехс сулодексид sulodexide раствор 42 вмутривеннуго анутриму 94()ll «веди» 600 лег мл 10 amityn no2m) отзовик_x000d_
тромболикс cottrc "ромбол" "#boonna" oo леп отзовик_x000d_
антой чехов остров сахалин стерильно тромболикс про 10 ампул no 2мл сулодексид sulodexide #pactboo 7f9 #berles анногой analana витчикового boclimen oar amaya сова@м #ballover anucima) 600лл c)nevinona (lizinomani аранктоу галэла мигеа ap 2cn 6014 яль кинащал nwstoa пиладии anaali.narwal cu 6 ig спо9оо эсмпратур) гмил nocvo chq. модмите недост)тмса cd! an azjeda храките доркатель wodi удостошерений dcofemgon роедил "013545 зууо санармамская (4f5) 9хв*глу fo 605964 cotukc тол. ot отзовик_x000d_
ромболикс* уюдексид/5uloda phia inchi)r соловительной сий лег екал стерильно 10 амдул мл по 1 отзовик_x000d_
</t>
  </si>
  <si>
    <t>https://otzovik.com/review_18333385.html</t>
  </si>
  <si>
    <t>Самарская</t>
  </si>
  <si>
    <t>07.05.2026 16:30</t>
  </si>
  <si>
    <t>Очень важно как можно скорее обратиться за мед.помощью! У мамы был тромбоз, ее госпитализировали сразу же. Когда самая большая опасность миновала, ей прописали лечение на дому. Антикоагулянты Тромболикс Про в/м 20 дней по 1 уколу. Они нужны были, чтобы кровь разжижать и не допускать образования новых тромбов. Еще она в компрессионных чулках долго потом ходила.</t>
  </si>
  <si>
    <t>http://vk.com/wall-177688766_486415?reply=486509</t>
  </si>
  <si>
    <t>07.05.2026 16:24</t>
  </si>
  <si>
    <t>У дедушки диабетическая нейропатия, ему очень сложно ходить было. Врач прописал курс лечения: уколы тромболикс про 20 дней внутримышечно по 1 в день. Они кровь разжижают, чтобы ее циркуляция не нарушалась и тромбы не образовывались. Еще витамины Б ему прописывали, лфк и массаж.</t>
  </si>
  <si>
    <t>https://dzen.ru/a/afrjzm1eWjQzPQnC?comment-request=1#comment_3286264181</t>
  </si>
  <si>
    <t>07.05.2026 16:20</t>
  </si>
  <si>
    <t>Отзыв о Тромболикс Про — Тромболикс Про</t>
  </si>
  <si>
    <t>Оценка: 5 из 5
Тромболикс Про
Комментарий: Тромболикс Про прокалывали курсом 20 дней моей маме после того, как она перенесла операцию на ногу. Его назначил врач, т.к. после операции возник риск тромбообразования. Препарат колется 1 раз в день внутримышечно, не болезненно. К счастью, тяжелых последствий после операции не наступило.</t>
  </si>
  <si>
    <t>https://medum.ru/r23520#23520</t>
  </si>
  <si>
    <t>07.05.2026 16:17</t>
  </si>
  <si>
    <t>Возможно это полинейропатия, идите к своему эндокринологу, он вас направит если нужно будет. Дедушке при полинейропатии назначали тромболикс про в/м курсом 20 дней. Уже через 10 дней он стал отмечать улучшение состояния. Но, повторюсь, лечение прописывает врач</t>
  </si>
  <si>
    <t>http://vk.com/wall-132664992_1283413?reply=1283474</t>
  </si>
  <si>
    <t>07.05.2026 14:59</t>
  </si>
  <si>
    <t>✅ Евгений Круглов
Найдены материалы по теме: 20 (стр. 1 из 7)
СОСУДИСТ, КЛИНИЧЕСК, РЕКОМЕНДАЦ, ХИРУРГ
🌐 1: Современные представления о патогенезе хронических заболеваний венХронические заболевания вен (ХЗВ) развиваются из-за дисфункции эндотелия, воспаления и нарушения кровотока. Повреждение эндотелия является первым зве…
🌐 2: Каков механизм действия сулодексида (Вессел® Дуэ Ф)?Сулодексид (Вессел® Дуэ Ф) – гликозаминогликан с антитромботическими и профибринолитическими свойствами. Он слабо влияет на свертываемость, эффективн…
🌐 3: Коагулограмма и Д-димер при коронавирусе: когда нужно проверять свертываемость?Кому следует проверять Д-димер при коронавирусе? Как оценивать свертываемость при ковиде? Нужна ли коагулограмма при коронавирусе? Разберем с позиций… https://actual-phlebology.ru/kakovy-sovremennye-predstavleniya-o-patogeneze-hronicheskih-zabolevaniy-ven/?utm_source=af-patients-tg&amp;utm_medium=bot&amp;utm_campaign=articles https://actual-phlebology.ru/kakov-mehanizm-deystviya-sulodeksida-vessel-due-f/?utm_source=af-patients-tg&amp;utm_medium=bot&amp;utm_campaign=articles https://actual-phlebology.ru/afpatient/komu-proverjat-svertyvaemost-pri-koronaviruse-d-dimer-koagulogramma/?utm_source=af-patients-tg&amp;utm_medium=bot&amp;utm_campaign=articles</t>
  </si>
  <si>
    <t>https://telegram.me/ap_patient/109884</t>
  </si>
  <si>
    <t>07.05.2026 14:32</t>
  </si>
  <si>
    <t>✅ Евгений Круглов
Найдены материалы по теме: 20 (стр. 1 из 7)
ТРОМБ, ТРОМБОЗ, АНТИКОАГУЛЯНТ, КОАГУЛ, РЕЦИДИВ
🌐 1: Сулодексид (Вессел® Дуэ Ф) в российских клинических рекомендацияхСулодексид (Вессел® Дуэ Ф) рекомендован к применению российскими клиническими рекомендациями для лечения ХЗВ любой степени тяжести, а также в качеств…
🌐 2: Причины и факторы риска ХЗВ?Хронические заболевания вен (ХЗВ) могут быть врожденными, первичными или вторичными. Факторы риска включают ожирение, беременность, малоподвижный обр…
🌐 3: Варикозное расширение вен нижних конечностей у пожилых людейВарикозная болезнь для пожилых людей опаснее, чем для молодых — выше риски осложнений, меньше подходящих для лечения методов. Мы рассмотрим основные … https://actual-phlebology.ru/kakovo-mesto-v-sulodeksida-vessel-due-f-v-klinicheskih-rekomendatsiyah-rf/?utm_source=af-patients-tg&amp;utm_medium=bot&amp;utm_campaign=articles https://actual-phlebology.ru/kakovy-prichiny-i-faktory-riska-hronicheskih-zabolevaniy-ven/?utm_source=af-patients-tg&amp;utm_medium=bot&amp;utm_campaign=articles https://actual-phlebology.ru/afpatient/varikoznoe-rasshirenie-ven-nizhnih-konechnostej-u-pozhilyh-ljudej/?utm_source=af-patients-tg&amp;utm_medium=bot&amp;utm_campaign=articles</t>
  </si>
  <si>
    <t>https://telegram.me/ap_patient/109876</t>
  </si>
  <si>
    <t>07.05.2026 14:10</t>
  </si>
  <si>
    <t>Добрый день, Наталья !
По результатам прикрепленных анализов у Вас нет генетической тромбофилии , так как имеют значения только наличие мутаций в факторах FII и FV . Остальные встречаются до 80% случаев и имеют крайне низкий риск
Поэтому в назначении Клексана и Вессел Дуэ ф нет необходимости
Также для полной картины можно сдать ниже анализы
Протеин С
Протеин S
Антитромбин III
Антитела к кардиолипину lgM и lgG ( НЕ суммарные)
Антитела к бета -2 гликопротеину lgM и lgG ( НЕ суммарные)
Волчаночный антикоагулянт
Гомоцистеин</t>
  </si>
  <si>
    <t>https://sprosivracha.com/questions/4317017-giperplaziya-endometriyanorkoluttrombofiliyakleksan#a27599557</t>
  </si>
  <si>
    <t>07.05.2026 04:04</t>
  </si>
  <si>
    <t>Да, похоже, сходите к врачу, чего гадать. Я когда-то с таким же вопросом ходила. Доктор сказала, что это варикоз, но мне повезло, я вовремя обратилась и она мне прописала пить вессел дуэ и мазать ноги гелем от варикоза. Знаете, стало гораздо лучше.</t>
  </si>
  <si>
    <t>http://vk.com/wall-155019350_72744?reply=72747</t>
  </si>
  <si>
    <t>07.05.2026 03:33</t>
  </si>
  <si>
    <t>Одна обводка Дуэ &gt; весь вчерашний матч</t>
  </si>
  <si>
    <t>https://telegram.me/c/1268734773/1918299</t>
  </si>
  <si>
    <t>https://telegram.me/egort125</t>
  </si>
  <si>
    <t>https://telegram.me/1268734773</t>
  </si>
  <si>
    <t>07.05.2026 02:35</t>
  </si>
  <si>
    <t>Гиперплазия эндометрия/норколут/тромбофилия/клексан</t>
  </si>
  <si>
    <t>Тема: Вопрос о профилактике тромбозов на фоне приёма Норколута при наследственной тромбофилии О себе (кратко) · Возраст: 35 лет · Вес: 58 кг · Диагнозы: Привычное невынашивание. · Наследственная тромбофилия (носительство мутантных генов, высокий риск тромбозов) · Хронический эндометрит (подтверждён гистологически) · Аденомиоз, спаечный процесс малого таза (трубы проходимы) · Гиперандрогения (сейчас в ремиссии) · Гиперпролактинемия (пролактин 913, мономерный 634) · Гипотиреоз исключён (ТТГ в норме) Третья беременность на клексане/роды в 2019 году/кесарево Д-димер сдавала примерно три месяца назад, в норме был Текущая ситуация · Готовлюсь к криопереносу (ориентировочно июль). · Репродуктолог назначил Норколут (норэтистерон) 5 мг × 2 раза/день с 5 по 25 день цикла для подготовки эндометрия. · У меня наследственная тромбофилия, поэтому меня беспокоит риск тромбозов на фоне прогестагенов. · Я принимала антикоагулянты ранее (Клексан, Вессел Дуэ Ф). Мои вопросы к вам (гематологу) 1. Нужно ли мне принимать Клексан (эноксапарин) и Вессел Дуэ Ф (сулодексид) во время приёма Норколута? 2. Если да, то в какой дозировке (Клексан 0,2 мл или 0,4 мл подкожно? Вессел по 1 капс 2 раза в день?)? 3. Как долго принимать антикоагулянты – только в дни приёма Норколута (с 5 по 25 ДЦ) или всё время, включая дни менструации? 4. Нужно ли сдавать Д-димер до начала и на фоне приёма? С какой периодичностью? 5. Нет ли противопоказаний к комбинации Норколут + Клексан + Вессел Дуэ Ф с другими моими препаратами (Урсосан, омега-3, метилфолат, витамин Д)? 6. Есть ли ограничения по питанию (например, витамин К) или физической активности?</t>
  </si>
  <si>
    <t>06.05.2026 23:05</t>
  </si>
  <si>
    <t>К флебологу, конечно. Мне назначили вессел дуэ ф пить для восстановление сосудистых стенок изнутри и гепариновой мазью ноги мазать, в итоге состояние вен улучшилось</t>
  </si>
  <si>
    <t>http://vk.com/wall-74631162_1265660?reply=1265848</t>
  </si>
  <si>
    <t>Коми</t>
  </si>
  <si>
    <t>06.05.2026 19:48</t>
  </si>
  <si>
    <t>Детралекс и вессел дуэ ф чередую курсы. Ноги реально стали получше и устают в разы меньше</t>
  </si>
  <si>
    <t>http://vk.com/wall-146414683_2901744?reply=2902056</t>
  </si>
  <si>
    <t>Брянская</t>
  </si>
  <si>
    <t>06.05.2026 16:53</t>
  </si>
  <si>
    <t>У папы была перемежающаяся хромота, он не мог 300 метров до магазина дойти без отдыха, так сильно уставали и болели ноги при малейшей нагрузке. Врач прописал тромболикс про для разжижения крови, чтобы она свободно проходила по всем сосудам и не образовывалось тромбов. Ему очень помог препарат, говорил, что онемение и слабость в ногах прошли уже в середине курса лечения</t>
  </si>
  <si>
    <t>https://dzen.ru/a/afWqipjNCwKgmwfm?comment-request=1#comment_3284744731</t>
  </si>
  <si>
    <t>06.05.2026 16:37</t>
  </si>
  <si>
    <t>Ну вы же чувствуете динамику при лечении, прописанным неврологом? говорите, что онемение то есть, то нет. Антикоагулянты колете? Бабушке прописывали тромболикс про курсом 20 дней, она уже через неделю отмечала улучшение состояния.</t>
  </si>
  <si>
    <t>http://vk.com/wall-66100600_241132?reply=241148</t>
  </si>
  <si>
    <t>06.05.2026 16:33</t>
  </si>
  <si>
    <t>Мы в Смоленске к врачу обращались, не вспомню уже фамилию(( У бабушки диабетическая стопа была, ей эндокринолог назначал тромболикс про, для разжижения крови и лучшей ее циркуляции, внутримышечно курсом 20 дней по 1 уколу в день. Уже в середине курса онемение стало проходить. Так же нужно внимательно осматривать стопы на наличие ранок, мозолей. Ну и самое главное- контроль сахара, это первопричина.</t>
  </si>
  <si>
    <t>http://vk.com/wall-127033373_73213?reply=73258</t>
  </si>
  <si>
    <t>06.05.2026 16:27</t>
  </si>
  <si>
    <t>У дедушки в деревне нет невролога, он долго занимался самолечением, самочувствие ухудшалось. Когда он все-же обратился к врачу в областную больницу, ему поставили диагноз полинейропатия. Прописали антикоагулянты тромболикс про, чтобы кровь стала жиже и не образовывалось застоев, сказали, что так и до тромбов не далеко...Еще выписали витамины группы Б, он их длительно пил. Массаж и лфк. Кажется все. Обращайтесь за медицинской помощью, это может спасти жизнь!</t>
  </si>
  <si>
    <t>https://dzen.ru/a/afiuExFy5VS5UEaJ?comment-request=1#comment_3297728343</t>
  </si>
  <si>
    <t>06.05.2026 14:53</t>
  </si>
  <si>
    <t>Вопрос про Вессел Дуэ Ф 💊
Юлия Алексеевна,здравствуйте.
Подскажите пожалуйста ваше мнение относительно эффективности препарата ВЕССЕЛ ДУ Ф.
У меня 26-я неделя беременности.
ВОПРОС:на уколы НМГ(3 варианта пробовали)- аллергическая реакция,как альтернативу попробрвали терапию ВЕССЕЛ ДУ. 250/2 р.день.Принимаю в течении месяца.Побочных явлений и аллергии нет.
•можно ли продолжать принимать до конца 3-ого триместра?
•нужно ли после 28 недели увеличить дозировку до 1000 в сутки(сейчас 500)
•достатачно ли такой профилактики(вессел+тромбо асс 150)
Заранее спасибо.
Здравствуйте!
Вессел Дуэ Ф - хороший противосвертывающий препарат и на этом сроке беременности он не противопоказан, но применять его желательно под очным контролем врача гематолога ☝️
#Кикина_неудобные_вопросы
#Кикина_отвечает
#Кикина_пропрепараты</t>
  </si>
  <si>
    <t>https://telegram.me/dr_kikina/664</t>
  </si>
  <si>
    <t>https://telegram.me/dr_kikina</t>
  </si>
  <si>
    <t>06.05.2026 12:50</t>
  </si>
  <si>
    <t>Помог вернуть чувствительность ногам. Тромболикс Про</t>
  </si>
  <si>
    <t>Оценка: 5 из 5
Тромболикс Про - отзыв
У дедушки полинейропатия нижних конечностей на фоне сахарного диабета 2 типа. Это такое состояние, когда человек не чувствует свои стопы так, как должно быть в норме. Опасность состоит в том, что можно получить ранку или мозоль и не заметить этого, повреждение может загноиться и привести к самым неприятным последствиям.
Так же это состояние называют диабетической стопой. Основой лечения является контроль сахара в крови, прием витаминов группы Б и курс антикоагулянтов, для улучшения проходимости крови по сосудам. Как раз Тромболикс Про- это препарат, который помог дедушке вернуть чувствительность в ногах, за счет того, что он разжижает кровь, она не застаивается и доходит до нижних конечностей так, как это должно быть. Курс уколов рассчитан на 20 дней, но уже на 7-10 день дедушка отметил, что ему стало проще двигаться, ушло состояние страха, когда он встает с постели, ведь раньше он боялся, что ноги подведут, говорил, что они ватные. Так же его перестали мучать судороги по ночам и ощущения мурашек в стопах. Пройдя полный курс дедушка стал вести более активный образ жизни, что при сахарном диабете просто необходимо, нельзя допускать застоя крови.
Перед применением обязательно проконсультируйтесь со специалистом
Достоинства: разжижает кровь, препятствует образованию тромбов
Недостатки: нет
РКН: сайт youtube.com нарушает закон РФ
Время использования: 20 дней
Стоимость: 2200 руб.
Год выпуска/покупки: 2025
Общее впечатление: Помог вернуть чувствительность ногам</t>
  </si>
  <si>
    <t>https://otzyv.pro/reviews/otzyvy-tromboliks-pro-514868.html</t>
  </si>
  <si>
    <t>05.05.2026 22:41</t>
  </si>
  <si>
    <t>Риск ПЭ был 1:5, ничего кроворазжижающего не принимала из-за постоянных кровотечений, Клексан сразу же отменили, давление скакало с первого триместра, и 140/100 было, а если магнитные бури то и до 150/100 доходило, принимала 10 таблеток допегита, Амлодипин и беталок зок)) недель в 15 назначали Вессел дуэ ф, с ним всё было отлично 👌
Всё хорошо, слава Богу 🙏, постоянно вела дневник давления, постоянно делала тест-полоски на белок, на 33ей неделе положили в роддом, белок повышен был, выписали через две недели 👍 отпустили дохаживать до 38ой недели)) в 38,5 прокесарили, не понравилось ктг доктору, по итогу ПЭ не было)) давление подержалось ещё несколько месяцев, потом в норму более менее вошло))</t>
  </si>
  <si>
    <t>https://mom.life/post/69fa0a7d1e3c84073702aba8#69fa0f97ace9e33b8404cef6</t>
  </si>
  <si>
    <t>Оренбургская</t>
  </si>
  <si>
    <t>05.05.2026 22:19</t>
  </si>
  <si>
    <t>Давление во втором триместре: риск преэклампсии, опыт мам</t>
  </si>
  <si>
    <t>Поделитесь опытом у кого было давление с начала второго триместра. Как выносили?
По 1 скринингу высокий риск преэклампсии.
Давление постоянно скачет, а в пасмурную погоду вообще качели.
Сегодня поставили СМАД, параллельно сама измеряю что бы знать когда пить таблетки, на удивление весь день давление до 127/80, а к вечеру началось… 134/85
Принимала тромбо асс, на нем начиналась мазня, сдала кровь на свертываемость а там есть повышения по образованию тромбов, те кровь густая, начну принимать вессел дуэ ф, может на нем не будет мазни…
Поделитесь историями у кого все хорошо закончилось, я что-то морально добита</t>
  </si>
  <si>
    <t xml:space="preserve">Тексты с изображений_x000d_
19:29 gu—unknown готово валерьевна 40732430 оборудование pd сходные ma териалы sysmexcs2000i результаты лабораторных исследований дата показатель значение ед. изм. референтный рdг—представление подп оригинальный подлиса! подписано исью ceorudumay 1f489245799 crbabe2a7452055f2211a umrrie.comauturods.ru #comporiacamanov rousum 19.84.20 kikureuredmi.ru #mophin протоко лабораторного исследования 186.56.26.05.025891467 страница изз диапазон отдельные ла борато рные тесты 05, 05. 2026 12.04 протромбин овое 10.2 безразм. ед. 9.9*11.8 время бедной тромбоцитами плазме 0s 05, 2026 12.04 протромбиновый 104.9 70.0.130.0 индекс бедной тромбоцитами плазме 0s 0s 2026 12.04 международное 90 у.с 0.85—1.15 нормализованно отноше ние венозной крови методами прикроватной диагностики 05, 05. 2026 12.04 фибриноген 09 г/л 1.843.5 иммун ологическ им методом бедной тромбо цитами плазме 05 05, 2026 12.04 активи ованное 20.4 безразм. ед. 22.1*28.1 частич hoe тромбопластинов время венозной крови мето дами при роватной диагностики оказанные услуги a1z. 30.014 опре, деление международного нормализованного отношения (mho) от 05 05 2026 a12. 05. 027 определение протромбинового (тромбопластинового) времени крови или роб.одесствельние пороис) электронной подписью подлисан следуюшими_x000d_
</t>
  </si>
  <si>
    <t>https://mom.life/post/69fa0a7d1e3c84073702aba8</t>
  </si>
  <si>
    <t>05.05.2026 20:30</t>
  </si>
  <si>
    <t>Мне лиотон нравится - он не липкий, но еще к нему врач сказал принимать курсами вессел дуэ ф, так как должна быть поддержка изнутри, с ним ногам реально легче - не так быстро устают</t>
  </si>
  <si>
    <t>http://vk.com/wall-159559335_80764?reply=80794</t>
  </si>
  <si>
    <t>Пензенская</t>
  </si>
  <si>
    <t>05.05.2026 20:29</t>
  </si>
  <si>
    <t>Мне еще со второго триместра вессел дуэ ф назначали, он вены поддерживает и восстанавливает, норм продержалась до родов без особых проблем с венами</t>
  </si>
  <si>
    <t>http://vk.com/wall-143027530_287028?reply=287155</t>
  </si>
  <si>
    <t>05.05.2026 20:28</t>
  </si>
  <si>
    <t>Мне врач при варикозе назначил вессел дуэ ф курсами, так как он восстапнавливает внутреннюю стенку сосудов. Пью, стало полегче, ноги не так сильно уже болят</t>
  </si>
  <si>
    <t>http://vk.com/wall-193354828_48319?reply=48735</t>
  </si>
  <si>
    <t>05.05.2026 20:24</t>
  </si>
  <si>
    <t>Кога ноги сильно устают - делаю контрастный душ, сразу легче становится. А вобще от варикоза мне врач вессел дуэ ф выписал, пью курсами, заметила, что ноги гораздо меньше устают и не так отекают</t>
  </si>
  <si>
    <t>http://vk.com/wall-163661411_465377?reply=465510</t>
  </si>
  <si>
    <t>05.05.2026 19:17</t>
  </si>
  <si>
    <t>Чулки обязательно, хоть и тяжело, еще я пила вессел дуэ ф, начиная со второго триместра. После родов как-то все нормализовалось</t>
  </si>
  <si>
    <t>http://vk.com/wall-112011819_2779043?reply=2780748</t>
  </si>
  <si>
    <t>05.05.2026 19:12</t>
  </si>
  <si>
    <t>Можно еще вессел дуэ ф пропить, он сосуды изнутри восстанавливает, мне после его курса стало значительно легче</t>
  </si>
  <si>
    <t>http://vk.com/wall-55122354_1523000?reply=1523599</t>
  </si>
  <si>
    <t>05.05.2026 16:18</t>
  </si>
  <si>
    <t>Нет синдрома диабетической стопы? Если да, то нужно к врачу, он пропишет антикоагулянты и местное лечение. Дедушке при дс эндокринолог назначал тромболикс про, он нужен чтобы кровь разжижать и чувствительность ногам возвращать, дабы не допускать подобного... Обработку раны тоже он должен прописать или направить к нужному специалисту</t>
  </si>
  <si>
    <t>http://vk.com/wall-78602257_8214?reply=8237</t>
  </si>
  <si>
    <t>05.05.2026 16:13</t>
  </si>
  <si>
    <t>У брата нет СД? если нет, то к флебологу или сосудистому хирургу. У дедушки она на фоне сд, поэтому лечит эндокринолог. Последнее назначение было : тромболикс про внутримышечно курсом 20 дней, для разжижения крови и лучшего питания нервов кислородом. Витамины Б, физио и массаж. Но вам лучше взять все рекомендации у своего врача</t>
  </si>
  <si>
    <t>http://vk.com/wall-163661733_473149?reply=473162</t>
  </si>
  <si>
    <t>05.05.2026 16:07</t>
  </si>
  <si>
    <t>Спасибо, интересная статья. Заинтересовала меня, т.к. у папы полинейропатия на фоне СД. Ему эндокринолог назначает курс тромболикс про по 20 уколов каждые полгода. Папа говорит, что ему этот препарат очень помогает, примерно на 10 день начинает возвращаться чувствительность ногам,а к концу курса полностью проходит боль и онемение.</t>
  </si>
  <si>
    <t>https://dzen.ru/a/afYkzUn31mdwB6hm?comment-request=1#comment_3295948573</t>
  </si>
  <si>
    <t>05.05.2026 15:58</t>
  </si>
  <si>
    <t>У дедушки полинейропатия на фоне сд, вы описываете похожие симптомы. Но его лечит эндокринолог, поэтому с флеболога не подскажу..Могу только сказать, что с этими состояниями ему прописывают тромболикс про, это антикоагулянт, который разжижает кровь и улучшает тем самым ее циркуляцию. Еще назначают витамины группы Б, физиотерапию и массаж. Но все это вам пропишет врач.</t>
  </si>
  <si>
    <t>http://vk.com/wall-164931876_313142?reply=313149</t>
  </si>
  <si>
    <t>05.05.2026 15:27</t>
  </si>
  <si>
    <t>Вы описываете симптомы полинейропатии, я сталкивалась с ней, т.к. у бабушки сд. Конечно основа основ это контроль сахара. Еще эндокринолог прописывал ей курс препарата тромболикс про, для разжижения крови и улучшения ее проходимости ко всем нервам. Уже через неделю бабушка отмечала улучшение состояния, а весь курс составил 20 дней. Но его прописывает врач, поэтому лучше обратитесь со своими жалобами к своему эндокринологу</t>
  </si>
  <si>
    <t>http://vk.com/wall-60212615_5255437?reply=5255488</t>
  </si>
  <si>
    <t>05.05.2026 15:01</t>
  </si>
  <si>
    <t>✅ Sergey Markin
Найдены материалы по теме: 20 (стр. 1 из 7)
ОТЕК, ВЕНОЗН, ВЕН, ИССЛЕДОВАН, ВОЗРАСТ, БОЛЬ, ЭФФЕКТ, ЛЕТОМ, ЛЕТО, РИСК, ПРОБЛЕМ, ЖАРА, ЖАРК, ЦИФР, КЛАПАН, ПОЖИЛ
🌐 1: Каков механизм действия сулодексида (Вессел® Дуэ Ф)?Сулодексид (Вессел® Дуэ Ф) – гликозаминогликан с антитромботическими и профибринолитическими свойствами. Он слабо влияет на свертываемость, эффективн…
🌐 2: Лечение трофических язвЛечение трофических язв очень непростой процесс. Но это совсем не проблема для врачей, которые этим занимаются и разбираются в этом. Главное в лечени…
🌐 3: Можно ли избежать рецидива после удаления варикозно расширенных венЧто после операции по поводу варикоза. Все ли симптомы уходят, есть ли шанс предотвратить рецидив. Какие советы полезны, а какие вредны после операци… https://actual-phlebology.ru/kakov-mehanizm-deystviya-sulodeksida-vessel-due-f/?utm_source=af-patients-tg&amp;utm_medium=bot&amp;utm_campaign=articles https://actual-phlebology.ru/afpatient/lechenie-troficheskih-yazv/?utm_source=af-patients-tg&amp;utm_medium=bot&amp;utm_campaign=articles https://actual-phlebology.ru/afpatient/zhizn-posle-udalenija-ven-recidiv-vozmozhen-kak-ego-izbezhat/?utm_source=af-patients-tg&amp;utm_medium=bot&amp;utm_campaign=articles</t>
  </si>
  <si>
    <t>https://telegram.me/ap_patient/109812</t>
  </si>
  <si>
    <t>05.05.2026 04:43</t>
  </si>
  <si>
    <t>Отзыв о Вессел Дуэ Ф р-р д/ин.</t>
  </si>
  <si>
    <t>Оценка 5 из 5
Очень помог
Бренд: Alfasigma S.p.A.</t>
  </si>
  <si>
    <t>https://market.yandex.ru/user/c10jjgx2b7etrdb4qfva3zpq7m/reviews#T4ocL_laAznWB7IxiB0kYA_4od8U1s</t>
  </si>
  <si>
    <t>04.05.2026 19:52</t>
  </si>
  <si>
    <t>Да, пилкой тут делу точно не поможешь...Про тромболикс про писали выше, я тоже его бабушке ставлю, чувствительность к ногам возвращается быстро, уже через неделю становится лучше.</t>
  </si>
  <si>
    <t>http://vk.com/wall-135703188_1361784?reply=1362217</t>
  </si>
  <si>
    <t>04.05.2026 18:55</t>
  </si>
  <si>
    <t>https://www.ozon.ru/product/754249148/reviews?ruuid=019df2d8-0f4b-778a-ba0e-09c3023d1153</t>
  </si>
  <si>
    <t>04.05.2026 17:11</t>
  </si>
  <si>
    <t>Жумасия Нуралиевна, подскажите у вессела ду эф есть эффект разжижения крови?</t>
  </si>
  <si>
    <t>https://sprosivracha.com/questions/4310948-terapiya-pri-beremennosti#a27547827</t>
  </si>
  <si>
    <t>04.05.2026 16:19</t>
  </si>
  <si>
    <t>Добрый день, Зоя!
по анализам есть незначительное разжижение крови .
Назначение ВЕССЕЛ ДУЭ Ф и других препаратов назначается при наличие оснований
Риск тромбозов оценивается комплексно исходя из анализов и других факторов , можете ниже ознакомиться и отметить , что есть в Вашем случае
Риск тромбозов во время беременности определяется по сочетанию следующих факторов:
- Наличие ранее у женщины тромбоза и/или тромбоэмболии;
- Подтвержденное наличие тромбофилии (мутации генов F2, F5, дефицит антитромбина III, протеина С, протеина S);
- Сопутствующие заболевания, например, онкологическое заболевание; протезированные клапаны, сердечная недостаточность; активная системная красная волчанка; сахарный диабет I типа с нефропатией; серповидноклеточная анемия; наркомания с внутривенным введением наркотиков в настоящее время;
- Тромбоз у родственника первой степени родства в возрасте до 50 лет;
- Возраст (&gt;35 лет);
- Ожирение;
- 3 родов;
- Курение;
- Варикозное расширение вен нижних конечностей тяжелой степени;
- Преэклампсия во время текущей беременности
- ЭКО;
- Многоплодная беременность;
- Любая хирургическая процедура во время беременности или послеродового периода, (за исключением наложения швов на промежность сразу после родов), например, аппендэктомия, послеродовая стерилизация;
- Неукротимая рвота
- синдром гиперстимуляции яичников (только первый триместр);
- Системная инфекция в настоящее время;
- Ограничение подвижности, обезвоживание.</t>
  </si>
  <si>
    <t>https://sprosivracha.com/questions/4310948-terapiya-pri-beremennosti#a27546801</t>
  </si>
  <si>
    <t>04.05.2026 16:13</t>
  </si>
  <si>
    <t>Добрый день! Беременность 6 недель, ранее были потери на раннем сроке, Коагулограмма прилагаю, принимаю вессел ду эф 2 капсулы в день, подскажите какие рекомендации еще добавить , очень переживаю .</t>
  </si>
  <si>
    <t>04.05.2026 14:35</t>
  </si>
  <si>
    <t>У папы диабетическая стопа, но до такого состояния не доходило.. Нужен ведь регулярный осмотр и уход за ногами, в таком состоянии человек просто не чувствует мозолей и ран. Кроме этого он раз в полгода ставит курс антикоагулянтов тромболикс про, они улучшают кровообращение и чувствительность улучшается. Ну и за состоянием сахара следить нужно очень внимательно, чтобы до таких пяток не доводить себя.</t>
  </si>
  <si>
    <t>http://vk.com/wall-135703188_1361784?reply=1362155</t>
  </si>
  <si>
    <t>04.05.2026 12:51</t>
  </si>
  <si>
    <t>https://www.ozon.ru/product/754249148/reviews?ruuid=019df18a-3a0f-706b-b713-6d8e63ab0f43</t>
  </si>
  <si>
    <t>03.05.2026 23:23</t>
  </si>
  <si>
    <t>Здравствуйте.У меня такой вопрос.у меня диабет 1 тип 17 лет стаж.сахара в 5-6 утра бывают низкими 3-4 хотя перед сном я всегда стабильно кушаю.например 2 яйца и два куска хлеба,но за ночь бывают сильные перепады вниз сахара.за пару недель у меня набралась вода во мне +8кг.с данным вопросом я сразу легла в больницу.по анализам у меня все отлично и почки,моча,сердце,щитовидная железа и все остальное.вода копится во мне именно в верхней части тела.в ногах нет отека и лицо не отекает.живот,спина.за счёт чего такой набор воды сдавливает органы,сложно кушать в итоге и появляется небольшая отдышка.мой рост 166,а вес до набора был 67кг,поэтому лишней массы тела особо не имею.сахар да бывает днём повышается,но тогда я короткий колю чтоб снизить.а так бывало что даже,если сладкое выпью или съем сахар падал и я в кому впадала.вопрос такой может у кого проблема с набором воды тоже была такая и кто-то подскажет что ещё можно проверить из органов,потому что в больнице мне сказали мы не знаем что с тобой и почему вода копится.сбросить воду мне сложно,потому что мочегонные Фуросемид,тарасемид, Канефрон,верашпирон меня просто вообще не берут и действия ровно ноль от них моему организму.соль я почти не добавляю в еду,потому что например в хлебе она и так имеется и стараюсь минимализировать соль в своем рационе,за счёт этого почки точно не должны задерживать воду в организме и тем более УЗИ и все анализы показали с почками все хорошо.в больнице для почек мне капали вессел Дуэ и эуфилин для укрепления.
[https://vk.com/wall-116010319_1099549|Вступить в Диабетический клуб покупателей]</t>
  </si>
  <si>
    <t>http://vk.com/wall-116010319_1099731</t>
  </si>
  <si>
    <t>03.05.2026 21:22</t>
  </si>
  <si>
    <t>лецитин подсолн 2400 мг вечер длительно
﻿﻿﻿омега ЗНК 1000 мг 2раазв день длительно
5.
• Коэнзим Q10 100 мг
﻿﻿﻿МСМ 2000 мг длительно
﻿﻿﻿серропетаза 60 000 ед
﻿﻿﻿наттокиназа 2000 ед длительно
﻿﻿﻿вессел дуо 250 ЛЕ 2 раазв день длительно
﻿﻿﻿﻿ривароксабан 2,5 мг ??? при необходимости назначения дексаметазона (эндокринолог), тромбодинамика через
﻿﻿﻿﻿Джароу комплекс для снижения гомоцистеина длительно 1 таб
﻿﻿﻿﻿Урсодезоксихолиевая кислота 250 мг утро и 500 мг на ночь на 12 месяцев.
﻿﻿﻿﻿гимекромон 200 мг 2 таб 3 раазв день на 1 месяц
﻿﻿﻿﻿артишок 500 мг 3 разв день на 2 месяца.
﻿﻿﻿﻿витамин Е 200 МЕ
﻿﻿﻿﻿Д манноза 500 мг 2 раазв день на 2 месяца
18. полисорб 1 дес лока 3 рааз в день через 1 час после еды на 1 месяц особенно после отхождения желчи
﻿﻿﻿Корень белого пиона 600 мг 3 раза в день в первую фазу цикла
﻿﻿﻿Витамин Д 5000 Ме утром после еды
Детралекс 1000 мг утром 3-4 месяца
Весселдуэ 1 в день
Аспирин 50 мг раз в сутки
Индинол форто (индолкарбинол 0,2 г) 2 раза в сутки
Утрожестан с 14 по 27 день цикла 200 мг
Ливазо 2 мг раз в сутки
Глицин
Креатин 5 грамм раз в день
Урсосан 500 мг
NAC 600 мг
Цинк, медь
Магний глицинат 400 мг на ночь</t>
  </si>
  <si>
    <t>https://telegram.me/tamzdes/5459</t>
  </si>
  <si>
    <t>https://telegram.me/tamzdes</t>
  </si>
  <si>
    <t>03.05.2026 12:12</t>
  </si>
  <si>
    <t>Здравствуйте
По фото имеется пролежень без признаков воспаления
Сейчас хирургической обработки там не требуется
Вам рекомендуется: избегать нагрузки на пятку, возвышенное положение ноги, чтобы пятка была на весу
Перевязка с мазью офломелид или стелланин Пэг раз в сутки
Для улучшения кровообращения вессел дуэ ф 250ле раз в сутки 3 мес
Заживать будет не быстро, так что терпения Вам
Будьте здоровы!</t>
  </si>
  <si>
    <t>https://sprosivracha.com/questions/4308352-prolezhni-na-pyatke#a27527325</t>
  </si>
  <si>
    <t>02.05.2026 15:34</t>
  </si>
  <si>
    <t>✅ Анна
Найдены материалы по теме: 20 (стр. 1 из 7)
ИССЛЕДОВАН, АНТИКОАГУЛЯНТ, КОАГУЛ, ТАЗ, ГЕМОСТАЗ
🌐 1: Современные представления о патогенезе хронических заболеваний венХронические заболевания вен (ХЗВ) развиваются из-за дисфункции эндотелия, воспаления и нарушения кровотока. Повреждение эндотелия является первым зве…
🌐 2: Клиническая эффективность сулодексида (Вессел® Дуэ Ф) при хронической венозной недостаточности (классы С3-С4)Сулодексид (Вессел® Дуэ Ф) эффективно купирует симптомы у пациентов с ХВН классов C3-C4. Исследования подтверждают его высокую эффективность в уменьш…
🌐 3: Медико-социальные проблемы хронических заболеваний вен в мире и в РФХроническим заболеваниям вен (ХЗВ) подвержены 30–50% женщин и 10–30% мужчин. В России их выявляют у 69,3% взрослых людей. В предупреждении осложнений… https://actual-phlebology.ru/kakovy-sovremennye-predstavleniya-o-patogeneze-hronicheskih-zabolevaniy-ven/?utm_source=af-patients-tg&amp;utm_medium=bot&amp;utm_campaign=articles https://actual-phlebology.ru/kakova-klinicheskaya-effektivnost-primeneniya-sulodeksida-vessel-due-f-pri-hronicheskoy-venoznoy-nedostatochnosti-klassy-s3-s4/?utm_source=af-patients-tg&amp;utm_medium=bot&amp;utm_campaign=articles https://actual-phlebology.ru/kakovo-bremya-hronicheskih-zabolevaniy-ven-v-mire-i-v-rossii/?utm_source=af-patients-tg&amp;utm_medium=bot&amp;utm_campaign=articles</t>
  </si>
  <si>
    <t>https://telegram.me/ap_patient/109729</t>
  </si>
  <si>
    <t>01.05.2026 20:25</t>
  </si>
  <si>
    <t>И еще я сдавала генетический тест на тромбофелию или как правильно не помню и у меня там еще показало с витамин В9 проблема. Поэтому выписали фемостон и вессел дуэ ф пить на постоянной основе гематолог сказал.</t>
  </si>
  <si>
    <t>https://www.instagram.com/p/DXy_plDsML5/c/17875272075603580</t>
  </si>
  <si>
    <t>@zsevastianova / жанна севастьянова</t>
  </si>
  <si>
    <t>@iri.levchuk / Irina Levchuk</t>
  </si>
  <si>
    <t>Название отчета:</t>
  </si>
  <si>
    <t>Тромболикс, Трентал</t>
  </si>
  <si>
    <t>Период:</t>
  </si>
  <si>
    <t>01 - 31 мая 2026</t>
  </si>
  <si>
    <t>Контекст:</t>
  </si>
  <si>
    <t>Объекты:</t>
  </si>
  <si>
    <t>Тромболикс, Вессел, Трентал, Вазонит, Пентоксифиллин, Тромбообразование и полинейропатия нижних конечностей, Пиаскледин</t>
  </si>
  <si>
    <t>Область поиска:</t>
  </si>
  <si>
    <t>Тексты сообщений, Расшифровки видео Youtube</t>
  </si>
  <si>
    <t>Язык:</t>
  </si>
  <si>
    <t>Неизвестный, Русский</t>
  </si>
  <si>
    <t>Дополнительно:</t>
  </si>
  <si>
    <t>исключены спам и объявления</t>
  </si>
  <si>
    <t>Всего сообщений в отчёте:</t>
  </si>
  <si>
    <t>3 006 (экспортировано:201)</t>
  </si>
  <si>
    <t>Дата подготовки:</t>
  </si>
  <si>
    <t>10 июня 2026</t>
  </si>
  <si>
    <t>✅</t>
  </si>
  <si>
    <t>🌐</t>
  </si>
  <si>
    <t>👇</t>
  </si>
  <si>
    <t>☝</t>
  </si>
  <si>
    <t>💊</t>
  </si>
  <si>
    <t>👉</t>
  </si>
  <si>
    <t>⚡</t>
  </si>
  <si>
    <t>🌀</t>
  </si>
  <si>
    <t>💬</t>
  </si>
  <si>
    <t>👤</t>
  </si>
  <si>
    <t>🧬</t>
  </si>
  <si>
    <t>👨‍⚕</t>
  </si>
  <si>
    <t>👌</t>
  </si>
  <si>
    <t>✉</t>
  </si>
  <si>
    <t>❓</t>
  </si>
  <si>
    <t>✔</t>
  </si>
  <si>
    <t>⚠</t>
  </si>
  <si>
    <t>💪</t>
  </si>
  <si>
    <t>🫶</t>
  </si>
  <si>
    <t>🔄</t>
  </si>
  <si>
    <t>❕</t>
  </si>
  <si>
    <t>😉</t>
  </si>
  <si>
    <t>😇</t>
  </si>
  <si>
    <t>🩺</t>
  </si>
</sst>
</file>

<file path=xl/styles.xml><?xml version="1.0" encoding="utf-8"?>
<styleSheet xmlns="http://schemas.openxmlformats.org/spreadsheetml/2006/main">
  <numFmts count="6">
    <numFmt numFmtId="177" formatCode="dd MMMM yyyy"/>
    <numFmt numFmtId="178" formatCode="dd.MM.yyyy HH:mm"/>
    <numFmt numFmtId="179" formatCode="0.00%"/>
    <numFmt numFmtId="180" formatCode="0.0%"/>
    <numFmt numFmtId="181" formatCode="dd.MM.yyyy"/>
    <numFmt numFmtId="182" formatCode="#,##0.00"/>
  </numFmts>
  <fonts count="12">
    <font>
      <sz val="10"/>
      <color theme="1"/>
      <name val="Arial"/>
      <family val="2"/>
    </font>
    <font>
      <u val="single"/>
      <sz val="10"/>
      <color rgb="FF0000FF"/>
      <name val="Arial"/>
      <family val="2"/>
    </font>
    <font>
      <u val="single"/>
      <sz val="10"/>
      <color rgb="FF005061"/>
      <name val="Arial"/>
      <family val="2"/>
    </font>
    <font>
      <sz val="11"/>
      <color rgb="FF585A5D"/>
      <name val="Arial"/>
      <family val="2"/>
    </font>
    <font>
      <b/>
      <sz val="11"/>
      <color rgb="FF585A5D"/>
      <name val="Arial"/>
      <family val="2"/>
    </font>
    <font>
      <sz val="10"/>
      <color rgb="FF585A5D"/>
      <name val="Arial"/>
      <family val="2"/>
    </font>
    <font>
      <u val="single"/>
      <sz val="10"/>
      <color rgb="FF585A5D"/>
      <name val="Arial"/>
      <family val="2"/>
    </font>
    <font>
      <b/>
      <sz val="12"/>
      <color rgb="FF044654"/>
      <name val="Arial"/>
      <family val="2"/>
    </font>
    <font>
      <b/>
      <u val="single"/>
      <sz val="11"/>
      <color rgb="FFFFFFFF"/>
      <name val="Arial"/>
      <family val="2"/>
    </font>
    <font>
      <b/>
      <sz val="18"/>
      <color rgb="FF585A5D"/>
      <name val="Arial"/>
      <family val="2"/>
    </font>
    <font>
      <b/>
      <sz val="11"/>
      <color rgb="FFFFFFFF"/>
      <name val="Arial"/>
      <family val="2"/>
    </font>
    <font>
      <sz val="10"/>
      <color rgb="FF447F8B"/>
      <name val="Arial"/>
      <family val="2"/>
    </font>
  </fonts>
  <fills count="4">
    <fill>
      <patternFill patternType="none"/>
    </fill>
    <fill>
      <patternFill patternType="gray125"/>
    </fill>
    <fill>
      <patternFill patternType="solid">
        <fgColor rgb="FFE4EDEE"/>
        <bgColor indexed="64"/>
      </patternFill>
    </fill>
    <fill>
      <patternFill patternType="solid">
        <fgColor rgb="FF005061"/>
        <bgColor indexed="64"/>
      </patternFill>
    </fill>
  </fills>
  <borders count="4">
    <border>
      <left/>
      <right/>
      <top/>
      <bottom/>
      <diagonal/>
    </border>
    <border>
      <left style="thin">
        <color rgb="FFCCD3DB"/>
      </left>
      <right style="thin">
        <color rgb="FFCCD3DB"/>
      </right>
      <top style="thin">
        <color rgb="FFCCD3DB"/>
      </top>
      <bottom style="thin">
        <color rgb="FFCCD3DB"/>
      </bottom>
    </border>
    <border>
      <left/>
      <right/>
      <top/>
      <bottom style="thin">
        <color rgb="FFCCD3DB"/>
      </bottom>
    </border>
    <border>
      <left/>
      <right/>
      <top style="thin">
        <color rgb="FFCCD3DB"/>
      </top>
      <bottom/>
    </border>
  </borders>
  <cellStyleXfs count="21">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xf numFmtId="0" fontId="1" fillId="0" borderId="0">
      <alignment/>
      <protection/>
    </xf>
  </cellStyleXfs>
  <cellXfs count="41">
    <xf numFmtId="0" fontId="0" fillId="0" borderId="0" xfId="0"/>
    <xf numFmtId="0" fontId="11" fillId="2" borderId="0" xfId="0" applyFill="1" applyAlignment="1">
      <alignment horizontal="left"/>
    </xf>
    <xf numFmtId="0" fontId="9" fillId="0" borderId="0" xfId="0" applyFont="1"/>
    <xf numFmtId="0" fontId="2" fillId="2" borderId="0" xfId="0" applyFont="1" applyFill="1" applyAlignment="1">
      <alignment horizontal="left"/>
    </xf>
    <xf numFmtId="0" fontId="1" fillId="2" borderId="0" xfId="20" applyFont="1" applyFill="1" applyAlignment="1">
      <alignment horizontal="left"/>
      <protection/>
    </xf>
    <xf numFmtId="0" fontId="10" fillId="3" borderId="0" xfId="0" applyFont="1" applyFill="1" applyAlignment="1">
      <alignment horizontal="left" vertical="center" wrapText="1"/>
    </xf>
    <xf numFmtId="0" fontId="10" fillId="3" borderId="0" xfId="0" applyFont="1" applyFill="1" applyAlignment="1">
      <alignment horizontal="center" vertical="center" wrapText="1"/>
    </xf>
    <xf numFmtId="3" fontId="3" fillId="0" borderId="1" xfId="0" applyNumberFormat="1" applyFont="1" applyBorder="1" applyAlignment="1">
      <alignment horizontal="left" vertical="center"/>
    </xf>
    <xf numFmtId="3" fontId="3" fillId="0" borderId="1" xfId="0" applyNumberFormat="1" applyFont="1" applyBorder="1" applyAlignment="1">
      <alignment horizontal="center" vertical="center"/>
    </xf>
    <xf numFmtId="3" fontId="4" fillId="0" borderId="1" xfId="0" applyNumberFormat="1" applyFont="1" applyBorder="1" applyAlignment="1">
      <alignment horizontal="left" vertical="center"/>
    </xf>
    <xf numFmtId="3" fontId="4" fillId="0" borderId="1" xfId="0" applyNumberFormat="1" applyFont="1" applyBorder="1" applyAlignment="1">
      <alignment horizontal="center" vertical="center"/>
    </xf>
    <xf numFmtId="182" fontId="4" fillId="0" borderId="1" xfId="0" applyNumberFormat="1" applyFont="1" applyBorder="1" applyAlignment="1">
      <alignment horizontal="center" vertical="center"/>
    </xf>
    <xf numFmtId="0" fontId="9" fillId="0" borderId="0" xfId="0" applyFont="1" applyAlignment="1">
      <alignment/>
    </xf>
    <xf numFmtId="181" fontId="3" fillId="0" borderId="1" xfId="0" applyNumberFormat="1" applyFont="1" applyBorder="1" applyAlignment="1">
      <alignment horizontal="left" vertical="center"/>
    </xf>
    <xf numFmtId="182" fontId="3" fillId="0" borderId="1" xfId="0" applyNumberFormat="1" applyFont="1" applyBorder="1" applyAlignment="1">
      <alignment horizontal="center" vertical="center"/>
    </xf>
    <xf numFmtId="181" fontId="4" fillId="0" borderId="1" xfId="0" applyNumberFormat="1" applyFont="1" applyBorder="1" applyAlignment="1">
      <alignment horizontal="left" vertical="center"/>
    </xf>
    <xf numFmtId="0" fontId="3" fillId="0" borderId="1" xfId="0" applyNumberFormat="1" applyFont="1" applyBorder="1" applyAlignment="1">
      <alignment horizontal="left" vertical="center"/>
    </xf>
    <xf numFmtId="0" fontId="3" fillId="0" borderId="1" xfId="0" applyNumberFormat="1" applyFont="1" applyBorder="1" applyAlignment="1">
      <alignment horizontal="center" vertical="center"/>
    </xf>
    <xf numFmtId="0" fontId="1" fillId="3" borderId="0" xfId="20" applyFont="1" applyFill="1" applyAlignment="1">
      <alignment horizontal="center" vertical="center" wrapText="1"/>
      <protection/>
    </xf>
    <xf numFmtId="0" fontId="8" fillId="3" borderId="2" xfId="0" applyFont="1" applyFill="1" applyBorder="1" applyAlignment="1">
      <alignment horizontal="center" vertical="center" wrapText="1"/>
    </xf>
    <xf numFmtId="180" fontId="3" fillId="0" borderId="1" xfId="0" applyNumberFormat="1" applyFont="1" applyBorder="1" applyAlignment="1">
      <alignment horizontal="center" vertical="center"/>
    </xf>
    <xf numFmtId="180" fontId="4" fillId="0" borderId="1" xfId="0" applyNumberFormat="1" applyFont="1" applyBorder="1" applyAlignment="1">
      <alignment horizontal="center" vertical="center"/>
    </xf>
    <xf numFmtId="0" fontId="1" fillId="0" borderId="0" xfId="20">
      <alignment/>
      <protection/>
    </xf>
    <xf numFmtId="0" fontId="3" fillId="0" borderId="0" xfId="0" applyNumberFormat="1" applyFont="1" applyAlignment="1">
      <alignment horizontal="left" vertical="center"/>
    </xf>
    <xf numFmtId="1" fontId="3" fillId="0" borderId="1" xfId="0" applyNumberFormat="1" applyFont="1" applyBorder="1" applyAlignment="1">
      <alignment horizontal="center" vertical="center"/>
    </xf>
    <xf numFmtId="0" fontId="3" fillId="0" borderId="3" xfId="0" applyNumberFormat="1" applyFont="1" applyBorder="1" applyAlignment="1">
      <alignment horizontal="left" vertical="center"/>
    </xf>
    <xf numFmtId="179" fontId="3" fillId="0" borderId="1" xfId="0" applyNumberFormat="1" applyFont="1" applyBorder="1" applyAlignment="1">
      <alignment horizontal="center" vertical="center"/>
    </xf>
    <xf numFmtId="0" fontId="7" fillId="0" borderId="0" xfId="0" applyFont="1" applyAlignment="1">
      <alignment/>
    </xf>
    <xf numFmtId="3" fontId="5" fillId="0" borderId="1" xfId="0" applyNumberFormat="1" applyFont="1" applyBorder="1" applyAlignment="1">
      <alignment horizontal="left" vertical="center"/>
    </xf>
    <xf numFmtId="178" fontId="5" fillId="0" borderId="1" xfId="0" applyNumberFormat="1" applyFont="1" applyBorder="1" applyAlignment="1">
      <alignment horizontal="left" vertical="center"/>
    </xf>
    <xf numFmtId="0" fontId="5" fillId="0" borderId="1" xfId="0" applyNumberFormat="1" applyFont="1" applyBorder="1" applyAlignment="1">
      <alignment horizontal="left" vertical="center"/>
    </xf>
    <xf numFmtId="0" fontId="5" fillId="0" borderId="1" xfId="0" applyNumberFormat="1" applyFont="1" applyBorder="1" applyAlignment="1">
      <alignment horizontal="left" vertical="top" wrapText="1"/>
    </xf>
    <xf numFmtId="0" fontId="6" fillId="0" borderId="1" xfId="0" applyNumberFormat="1" applyFont="1" applyBorder="1" applyAlignment="1">
      <alignment horizontal="left"/>
    </xf>
    <xf numFmtId="3" fontId="5" fillId="0" borderId="1" xfId="0" applyNumberFormat="1" applyFont="1" applyBorder="1" applyAlignment="1">
      <alignment horizontal="center" vertical="center"/>
    </xf>
    <xf numFmtId="1" fontId="5" fillId="0" borderId="1" xfId="0" applyNumberFormat="1" applyFont="1" applyBorder="1" applyAlignment="1">
      <alignment horizontal="left" vertical="center"/>
    </xf>
    <xf numFmtId="0" fontId="0" fillId="0" borderId="0" xfId="0" quotePrefix="1"/>
    <xf numFmtId="0" fontId="4" fillId="0" borderId="0" xfId="0" applyFont="1" applyAlignment="1">
      <alignment horizontal="left" vertical="center"/>
    </xf>
    <xf numFmtId="0" fontId="3" fillId="0" borderId="0" xfId="0" applyFont="1" applyAlignment="1">
      <alignment horizontal="left" vertical="center"/>
    </xf>
    <xf numFmtId="177" fontId="3" fillId="0" borderId="0" xfId="0" applyNumberFormat="1" applyFont="1" applyAlignment="1">
      <alignment horizontal="left" vertical="center"/>
    </xf>
    <xf numFmtId="0" fontId="2" fillId="0" borderId="0" xfId="0" applyFont="1"/>
    <xf numFmtId="0" fontId="1" fillId="0" borderId="0" xfId="20" applyFont="1">
      <alignment/>
      <protection/>
    </xf>
  </cellXfs>
  <cellStyles count="7">
    <cellStyle name="Normal" xfId="0" builtinId="0"/>
    <cellStyle name="Percent" xfId="15" builtinId="5"/>
    <cellStyle name="Currency" xfId="16" builtinId="4"/>
    <cellStyle name="Currency [0]" xfId="17" builtinId="7"/>
    <cellStyle name="Comma" xfId="18" builtinId="3"/>
    <cellStyle name="Comma [0]" xfId="19" builtinId="6"/>
    <cellStyle name="Hyperlink" xfId="20" builtinId="8"/>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25" Type="http://schemas.openxmlformats.org/officeDocument/2006/relationships/worksheet" Target="worksheets/sheet23.xml" /><Relationship Id="rId19" Type="http://schemas.openxmlformats.org/officeDocument/2006/relationships/worksheet" Target="worksheets/sheet17.xml" /><Relationship Id="rId13" Type="http://schemas.openxmlformats.org/officeDocument/2006/relationships/worksheet" Target="worksheets/sheet11.xml" /><Relationship Id="rId24" Type="http://schemas.openxmlformats.org/officeDocument/2006/relationships/worksheet" Target="worksheets/sheet22.xml" /><Relationship Id="rId2" Type="http://schemas.openxmlformats.org/officeDocument/2006/relationships/styles" Target="styles.xml" /><Relationship Id="rId26" Type="http://schemas.openxmlformats.org/officeDocument/2006/relationships/worksheet" Target="worksheets/sheet24.xml" /><Relationship Id="rId8" Type="http://schemas.openxmlformats.org/officeDocument/2006/relationships/worksheet" Target="worksheets/sheet6.xml" /><Relationship Id="rId21" Type="http://schemas.openxmlformats.org/officeDocument/2006/relationships/worksheet" Target="worksheets/sheet19.xml" /><Relationship Id="rId10" Type="http://schemas.openxmlformats.org/officeDocument/2006/relationships/worksheet" Target="worksheets/sheet8.xml" /><Relationship Id="rId4" Type="http://schemas.openxmlformats.org/officeDocument/2006/relationships/worksheet" Target="worksheets/sheet2.xml" /><Relationship Id="rId14" Type="http://schemas.openxmlformats.org/officeDocument/2006/relationships/worksheet" Target="worksheets/sheet12.xml" /><Relationship Id="rId23" Type="http://schemas.openxmlformats.org/officeDocument/2006/relationships/worksheet" Target="worksheets/sheet21.xml" /><Relationship Id="rId22" Type="http://schemas.openxmlformats.org/officeDocument/2006/relationships/worksheet" Target="worksheets/sheet20.xml" /><Relationship Id="rId29" Type="http://schemas.openxmlformats.org/officeDocument/2006/relationships/calcChain" Target="calcChain.xml" /><Relationship Id="rId17" Type="http://schemas.openxmlformats.org/officeDocument/2006/relationships/worksheet" Target="worksheets/sheet15.xml" /><Relationship Id="rId5" Type="http://schemas.openxmlformats.org/officeDocument/2006/relationships/worksheet" Target="worksheets/sheet3.xml" /><Relationship Id="rId3" Type="http://schemas.openxmlformats.org/officeDocument/2006/relationships/worksheet" Target="worksheets/sheet1.xml" /><Relationship Id="rId6" Type="http://schemas.openxmlformats.org/officeDocument/2006/relationships/worksheet" Target="worksheets/sheet4.xml" /><Relationship Id="rId18" Type="http://schemas.openxmlformats.org/officeDocument/2006/relationships/worksheet" Target="worksheets/sheet16.xml" /><Relationship Id="rId11" Type="http://schemas.openxmlformats.org/officeDocument/2006/relationships/worksheet" Target="worksheets/sheet9.xml" /><Relationship Id="rId20" Type="http://schemas.openxmlformats.org/officeDocument/2006/relationships/worksheet" Target="worksheets/sheet18.xml" /><Relationship Id="rId28" Type="http://schemas.openxmlformats.org/officeDocument/2006/relationships/sharedStrings" Target="sharedStrings.xml" /><Relationship Id="rId27" Type="http://schemas.openxmlformats.org/officeDocument/2006/relationships/worksheet" Target="worksheets/sheet25.xml" /><Relationship Id="rId12" Type="http://schemas.openxmlformats.org/officeDocument/2006/relationships/worksheet" Target="worksheets/sheet10.xml" /><Relationship Id="rId7" Type="http://schemas.openxmlformats.org/officeDocument/2006/relationships/worksheet" Target="worksheets/sheet5.xml" /><Relationship Id="rId16" Type="http://schemas.openxmlformats.org/officeDocument/2006/relationships/worksheet" Target="worksheets/sheet14.xml" /><Relationship Id="rId9" Type="http://schemas.openxmlformats.org/officeDocument/2006/relationships/worksheet" Target="worksheets/sheet7.xml" /><Relationship Id="rId1" Type="http://schemas.openxmlformats.org/officeDocument/2006/relationships/theme" Target="theme/theme1.xml" /><Relationship Id="rId15" Type="http://schemas.openxmlformats.org/officeDocument/2006/relationships/worksheet" Target="worksheets/sheet13.xml" /></Relationships>
</file>

<file path=xl/charts/chart1.xml><?xml version="1.0" encoding="utf-8"?>
<c:chartSpace xmlns:c="http://schemas.openxmlformats.org/drawingml/2006/chart" xmlns:a="http://schemas.openxmlformats.org/drawingml/2006/main" xmlns:r="http://schemas.openxmlformats.org/officeDocument/2006/relationships">
  <c:roundedCorners val="0"/>
  <c:chart>
    <c:title>
      <c:tx>
        <c:rich>
          <a:bodyPr wrap="square"/>
          <a:lstStyle/>
          <a:p>
            <a:pPr>
              <a:defRPr lang="en-US" sz="1200" b="0" u="none" baseline="0">
                <a:latin typeface="Arial"/>
                <a:ea typeface="Arial"/>
              </a:defRPr>
            </a:pPr>
            <a:r>
              <a:rPr lang="en-US"/>
              <a:t>Сообщения</a:t>
            </a:r>
          </a:p>
        </c:rich>
      </c:tx>
      <c:layout/>
      <c:overlay val="0"/>
      <c:spPr>
        <a:noFill/>
        <a:ln>
          <a:noFill/>
        </a:ln>
      </c:spPr>
    </c:title>
    <c:autoTitleDeleted val="0"/>
    <c:plotArea>
      <c:layout/>
      <c:lineChart>
        <c:grouping val="standard"/>
        <c:varyColors val="0"/>
        <c:ser>
          <c:idx val="0"/>
          <c:order val="0"/>
          <c:spPr>
            <a:ln cap="rnd" cmpd="sng">
              <a:solidFill>
                <a:srgbClr val="297180"/>
              </a:solidFill>
              <a:prstDash val="solid"/>
              <a:round/>
            </a:ln>
          </c:spPr>
          <c:marker>
            <c:symbol val="circle"/>
            <c:size val="5"/>
            <c:spPr>
              <a:solidFill>
                <a:srgbClr val="297180"/>
              </a:solidFill>
              <a:ln>
                <a:noFill/>
              </a:ln>
            </c:spPr>
          </c:marker>
          <c:cat>
            <c:numRef>
              <c:f>Динамика!$B$7:$B$37</c:f>
              <c:numCache/>
            </c:numRef>
          </c:cat>
          <c:val>
            <c:numRef>
              <c:f>Динамика!$C$7:$C$37</c:f>
              <c:numCache/>
            </c:numRef>
          </c:val>
          <c:smooth val="1"/>
        </c:ser>
        <c:marker val="1"/>
        <c:axId val="49748238"/>
        <c:axId val="50382070"/>
      </c:lineChart>
      <c:catAx>
        <c:axId val="49748238"/>
        <c:scaling>
          <c:orientation val="minMax"/>
        </c:scaling>
        <c:delete val="0"/>
        <c:axPos val="b"/>
        <c:numFmt formatCode="General" sourceLinked="1"/>
        <c:majorTickMark val="out"/>
        <c:minorTickMark val="none"/>
        <c:tickLblPos val="nextTo"/>
        <c:crossAx val="50382070"/>
        <c:crosses val="autoZero"/>
        <c:lblOffset val="100"/>
        <c:noMultiLvlLbl val="0"/>
      </c:catAx>
      <c:valAx>
        <c:axId val="50382070"/>
        <c:scaling>
          <c:orientation val="minMax"/>
        </c:scaling>
        <c:delete val="0"/>
        <c:axPos val="l"/>
        <c:majorGridlines>
          <c:spPr>
            <a:ln/>
          </c:spPr>
        </c:majorGridlines>
        <c:numFmt formatCode="#,##0" sourceLinked="0"/>
        <c:majorTickMark val="out"/>
        <c:minorTickMark val="none"/>
        <c:tickLblPos val="nextTo"/>
        <c:crossAx val="49748238"/>
        <c:crosses val="autoZero"/>
        <c:crossBetween val="between"/>
      </c:valAx>
      <c:spPr>
        <a:solidFill>
          <a:srgbClr val="FFFFFF"/>
        </a:solidFill>
        <a:ln w="12700" cap="flat">
          <a:solidFill>
            <a:srgbClr val="CCD3DB"/>
          </a:solidFill>
          <a:round/>
        </a:ln>
      </c:spPr>
    </c:plotArea>
    <c:plotVisOnly val="1"/>
    <c:dispBlanksAs val="gap"/>
    <c:showDLblsOverMax val="0"/>
  </c:chart>
  <c:txPr>
    <a:bodyPr vert="horz" rot="0" wrap="square"/>
    <a:lstStyle/>
    <a:p>
      <a:pPr>
        <a:defRPr lang="en-US" sz="1100" u="none" baseline="0">
          <a:latin typeface="Arial"/>
          <a:ea typeface="Arial"/>
        </a:defRPr>
      </a:pPr>
      <a:endParaRPr lang="en-US"/>
    </a:p>
  </c:txPr>
</c:chartSpace>
</file>

<file path=xl/charts/chart2.xml><?xml version="1.0" encoding="utf-8"?>
<c:chartSpace xmlns:c="http://schemas.openxmlformats.org/drawingml/2006/chart" xmlns:a="http://schemas.openxmlformats.org/drawingml/2006/main" xmlns:r="http://schemas.openxmlformats.org/officeDocument/2006/relationships">
  <c:roundedCorners val="0"/>
  <c:chart>
    <c:title>
      <c:tx>
        <c:rich>
          <a:bodyPr wrap="square"/>
          <a:lstStyle/>
          <a:p>
            <a:pPr>
              <a:defRPr lang="en-US" sz="1200" b="0" u="none" baseline="0">
                <a:latin typeface="Arial"/>
                <a:ea typeface="Arial"/>
              </a:defRPr>
            </a:pPr>
            <a:r>
              <a:rPr lang="en-US"/>
              <a:t>СМ Индекс</a:t>
            </a:r>
          </a:p>
        </c:rich>
      </c:tx>
      <c:layout/>
      <c:overlay val="0"/>
      <c:spPr>
        <a:noFill/>
        <a:ln>
          <a:noFill/>
        </a:ln>
      </c:spPr>
    </c:title>
    <c:autoTitleDeleted val="0"/>
    <c:plotArea>
      <c:layout/>
      <c:lineChart>
        <c:grouping val="standard"/>
        <c:varyColors val="0"/>
        <c:ser>
          <c:idx val="0"/>
          <c:order val="0"/>
          <c:spPr>
            <a:ln cap="rnd" cmpd="sng">
              <a:solidFill>
                <a:srgbClr val="297180"/>
              </a:solidFill>
              <a:prstDash val="solid"/>
              <a:round/>
            </a:ln>
          </c:spPr>
          <c:marker>
            <c:symbol val="circle"/>
            <c:size val="5"/>
            <c:spPr>
              <a:solidFill>
                <a:srgbClr val="297180"/>
              </a:solidFill>
              <a:ln>
                <a:noFill/>
              </a:ln>
            </c:spPr>
          </c:marker>
          <c:cat>
            <c:numRef>
              <c:f>Динамика!$B$7:$B$37</c:f>
              <c:numCache/>
            </c:numRef>
          </c:cat>
          <c:val>
            <c:numRef>
              <c:f>Динамика!$D$7:$D$37</c:f>
              <c:numCache/>
            </c:numRef>
          </c:val>
          <c:smooth val="1"/>
        </c:ser>
        <c:marker val="1"/>
        <c:axId val="48205471"/>
        <c:axId val="54998399"/>
      </c:lineChart>
      <c:catAx>
        <c:axId val="48205471"/>
        <c:scaling>
          <c:orientation val="minMax"/>
        </c:scaling>
        <c:delete val="0"/>
        <c:axPos val="b"/>
        <c:numFmt formatCode="General" sourceLinked="1"/>
        <c:majorTickMark val="out"/>
        <c:minorTickMark val="none"/>
        <c:tickLblPos val="nextTo"/>
        <c:crossAx val="54998399"/>
        <c:crosses val="autoZero"/>
        <c:lblOffset val="100"/>
        <c:noMultiLvlLbl val="0"/>
      </c:catAx>
      <c:valAx>
        <c:axId val="54998399"/>
        <c:scaling>
          <c:orientation val="minMax"/>
        </c:scaling>
        <c:delete val="0"/>
        <c:axPos val="l"/>
        <c:majorGridlines>
          <c:spPr>
            <a:ln/>
          </c:spPr>
        </c:majorGridlines>
        <c:numFmt formatCode="#,##0" sourceLinked="0"/>
        <c:majorTickMark val="out"/>
        <c:minorTickMark val="none"/>
        <c:tickLblPos val="nextTo"/>
        <c:crossAx val="48205471"/>
        <c:crosses val="autoZero"/>
        <c:crossBetween val="between"/>
      </c:valAx>
      <c:spPr>
        <a:solidFill>
          <a:srgbClr val="FFFFFF"/>
        </a:solidFill>
        <a:ln w="12700" cap="flat">
          <a:solidFill>
            <a:srgbClr val="CCD3DB"/>
          </a:solidFill>
          <a:round/>
        </a:ln>
      </c:spPr>
    </c:plotArea>
    <c:plotVisOnly val="1"/>
    <c:dispBlanksAs val="gap"/>
    <c:showDLblsOverMax val="0"/>
  </c:chart>
  <c:txPr>
    <a:bodyPr vert="horz" rot="0" wrap="square"/>
    <a:lstStyle/>
    <a:p>
      <a:pPr>
        <a:defRPr lang="en-US" sz="1100" u="none" baseline="0">
          <a:latin typeface="Arial"/>
          <a:ea typeface="Arial"/>
        </a:defRPr>
      </a:pPr>
      <a:endParaRPr lang="en-US"/>
    </a:p>
  </c:txPr>
</c:chartSpace>
</file>

<file path=xl/charts/chart3.xml><?xml version="1.0" encoding="utf-8"?>
<c:chartSpace xmlns:c="http://schemas.openxmlformats.org/drawingml/2006/chart" xmlns:a="http://schemas.openxmlformats.org/drawingml/2006/main" xmlns:r="http://schemas.openxmlformats.org/officeDocument/2006/relationships">
  <c:roundedCorners val="0"/>
  <c:chart>
    <c:title>
      <c:tx>
        <c:rich>
          <a:bodyPr wrap="square"/>
          <a:lstStyle/>
          <a:p>
            <a:pPr>
              <a:defRPr lang="en-US" sz="1200" b="0" u="none" baseline="0">
                <a:latin typeface="Arial"/>
                <a:ea typeface="Arial"/>
              </a:defRPr>
            </a:pPr>
            <a:r>
              <a:rPr lang="en-US"/>
              <a:t>Аудитория</a:t>
            </a:r>
          </a:p>
        </c:rich>
      </c:tx>
      <c:layout/>
      <c:overlay val="0"/>
      <c:spPr>
        <a:noFill/>
        <a:ln>
          <a:noFill/>
        </a:ln>
      </c:spPr>
    </c:title>
    <c:autoTitleDeleted val="0"/>
    <c:plotArea>
      <c:layout/>
      <c:lineChart>
        <c:grouping val="standard"/>
        <c:varyColors val="0"/>
        <c:ser>
          <c:idx val="0"/>
          <c:order val="0"/>
          <c:spPr>
            <a:ln cap="rnd" cmpd="sng">
              <a:solidFill>
                <a:srgbClr val="297180"/>
              </a:solidFill>
              <a:prstDash val="solid"/>
              <a:round/>
            </a:ln>
          </c:spPr>
          <c:marker>
            <c:symbol val="circle"/>
            <c:size val="5"/>
            <c:spPr>
              <a:solidFill>
                <a:srgbClr val="297180"/>
              </a:solidFill>
              <a:ln>
                <a:noFill/>
              </a:ln>
            </c:spPr>
          </c:marker>
          <c:cat>
            <c:numRef>
              <c:f>Динамика!$B$7:$B$37</c:f>
              <c:numCache/>
            </c:numRef>
          </c:cat>
          <c:val>
            <c:numRef>
              <c:f>Динамика!$E$7:$E$37</c:f>
              <c:numCache/>
            </c:numRef>
          </c:val>
          <c:smooth val="1"/>
        </c:ser>
        <c:marker val="1"/>
        <c:axId val="30623810"/>
        <c:axId val="29122974"/>
      </c:lineChart>
      <c:catAx>
        <c:axId val="30623810"/>
        <c:scaling>
          <c:orientation val="minMax"/>
        </c:scaling>
        <c:delete val="0"/>
        <c:axPos val="b"/>
        <c:numFmt formatCode="General" sourceLinked="1"/>
        <c:majorTickMark val="out"/>
        <c:minorTickMark val="none"/>
        <c:tickLblPos val="nextTo"/>
        <c:crossAx val="29122974"/>
        <c:crosses val="autoZero"/>
        <c:lblOffset val="100"/>
        <c:noMultiLvlLbl val="0"/>
      </c:catAx>
      <c:valAx>
        <c:axId val="29122974"/>
        <c:scaling>
          <c:orientation val="minMax"/>
        </c:scaling>
        <c:delete val="0"/>
        <c:axPos val="l"/>
        <c:majorGridlines>
          <c:spPr>
            <a:ln/>
          </c:spPr>
        </c:majorGridlines>
        <c:numFmt formatCode="#,##0" sourceLinked="0"/>
        <c:majorTickMark val="out"/>
        <c:minorTickMark val="none"/>
        <c:tickLblPos val="nextTo"/>
        <c:crossAx val="30623810"/>
        <c:crosses val="autoZero"/>
        <c:crossBetween val="between"/>
      </c:valAx>
      <c:spPr>
        <a:solidFill>
          <a:srgbClr val="FFFFFF"/>
        </a:solidFill>
        <a:ln w="12700" cap="flat">
          <a:solidFill>
            <a:srgbClr val="CCD3DB"/>
          </a:solidFill>
          <a:round/>
        </a:ln>
      </c:spPr>
    </c:plotArea>
    <c:plotVisOnly val="1"/>
    <c:dispBlanksAs val="gap"/>
    <c:showDLblsOverMax val="0"/>
  </c:chart>
  <c:txPr>
    <a:bodyPr vert="horz" rot="0" wrap="square"/>
    <a:lstStyle/>
    <a:p>
      <a:pPr>
        <a:defRPr lang="en-US" sz="1100" u="none" baseline="0">
          <a:latin typeface="Arial"/>
          <a:ea typeface="Arial"/>
        </a:defRPr>
      </a:pPr>
      <a:endParaRPr lang="en-US"/>
    </a:p>
  </c:txPr>
</c:chartSpace>
</file>

<file path=xl/charts/chart4.xml><?xml version="1.0" encoding="utf-8"?>
<c:chartSpace xmlns:c="http://schemas.openxmlformats.org/drawingml/2006/chart" xmlns:a="http://schemas.openxmlformats.org/drawingml/2006/main" xmlns:r="http://schemas.openxmlformats.org/officeDocument/2006/relationships">
  <c:roundedCorners val="0"/>
  <c:chart>
    <c:title>
      <c:tx>
        <c:rich>
          <a:bodyPr wrap="square"/>
          <a:lstStyle/>
          <a:p>
            <a:pPr>
              <a:defRPr lang="en-US" sz="1200" b="0" u="none" baseline="0">
                <a:latin typeface="Arial"/>
                <a:ea typeface="Arial"/>
              </a:defRPr>
            </a:pPr>
            <a:r>
              <a:rPr lang="en-US"/>
              <a:t>Просмотры</a:t>
            </a:r>
          </a:p>
        </c:rich>
      </c:tx>
      <c:layout/>
      <c:overlay val="0"/>
      <c:spPr>
        <a:noFill/>
        <a:ln>
          <a:noFill/>
        </a:ln>
      </c:spPr>
    </c:title>
    <c:autoTitleDeleted val="0"/>
    <c:plotArea>
      <c:layout/>
      <c:lineChart>
        <c:grouping val="standard"/>
        <c:varyColors val="0"/>
        <c:ser>
          <c:idx val="0"/>
          <c:order val="0"/>
          <c:spPr>
            <a:ln cap="rnd" cmpd="sng">
              <a:solidFill>
                <a:srgbClr val="297180"/>
              </a:solidFill>
              <a:prstDash val="solid"/>
              <a:round/>
            </a:ln>
          </c:spPr>
          <c:marker>
            <c:symbol val="circle"/>
            <c:size val="5"/>
            <c:spPr>
              <a:solidFill>
                <a:srgbClr val="297180"/>
              </a:solidFill>
              <a:ln>
                <a:noFill/>
              </a:ln>
            </c:spPr>
          </c:marker>
          <c:cat>
            <c:numRef>
              <c:f>Динамика!$B$7:$B$37</c:f>
              <c:numCache/>
            </c:numRef>
          </c:cat>
          <c:val>
            <c:numRef>
              <c:f>Динамика!$F$7:$F$37</c:f>
              <c:numCache/>
            </c:numRef>
          </c:val>
          <c:smooth val="1"/>
        </c:ser>
        <c:marker val="1"/>
        <c:axId val="52770574"/>
        <c:axId val="19346090"/>
      </c:lineChart>
      <c:catAx>
        <c:axId val="52770574"/>
        <c:scaling>
          <c:orientation val="minMax"/>
        </c:scaling>
        <c:delete val="0"/>
        <c:axPos val="b"/>
        <c:numFmt formatCode="General" sourceLinked="1"/>
        <c:majorTickMark val="out"/>
        <c:minorTickMark val="none"/>
        <c:tickLblPos val="nextTo"/>
        <c:crossAx val="19346090"/>
        <c:crosses val="autoZero"/>
        <c:lblOffset val="100"/>
        <c:noMultiLvlLbl val="0"/>
      </c:catAx>
      <c:valAx>
        <c:axId val="19346090"/>
        <c:scaling>
          <c:orientation val="minMax"/>
        </c:scaling>
        <c:delete val="0"/>
        <c:axPos val="l"/>
        <c:majorGridlines>
          <c:spPr>
            <a:ln/>
          </c:spPr>
        </c:majorGridlines>
        <c:numFmt formatCode="#,##0" sourceLinked="0"/>
        <c:majorTickMark val="out"/>
        <c:minorTickMark val="none"/>
        <c:tickLblPos val="nextTo"/>
        <c:crossAx val="52770574"/>
        <c:crosses val="autoZero"/>
        <c:crossBetween val="between"/>
      </c:valAx>
      <c:spPr>
        <a:solidFill>
          <a:srgbClr val="FFFFFF"/>
        </a:solidFill>
        <a:ln w="12700" cap="flat">
          <a:solidFill>
            <a:srgbClr val="CCD3DB"/>
          </a:solidFill>
          <a:round/>
        </a:ln>
      </c:spPr>
    </c:plotArea>
    <c:plotVisOnly val="1"/>
    <c:dispBlanksAs val="gap"/>
    <c:showDLblsOverMax val="0"/>
  </c:chart>
  <c:txPr>
    <a:bodyPr vert="horz" rot="0" wrap="square"/>
    <a:lstStyle/>
    <a:p>
      <a:pPr>
        <a:defRPr lang="en-US" sz="1100" u="none" baseline="0">
          <a:latin typeface="Arial"/>
          <a:ea typeface="Arial"/>
        </a:defRPr>
      </a:pPr>
      <a:endParaRPr lang="en-US"/>
    </a:p>
  </c:txPr>
</c:chartSpace>
</file>

<file path=xl/charts/chart5.xml><?xml version="1.0" encoding="utf-8"?>
<c:chartSpace xmlns:c="http://schemas.openxmlformats.org/drawingml/2006/chart" xmlns:a="http://schemas.openxmlformats.org/drawingml/2006/main" xmlns:r="http://schemas.openxmlformats.org/officeDocument/2006/relationships">
  <c:roundedCorners val="0"/>
  <c:chart>
    <c:title>
      <c:tx>
        <c:rich>
          <a:bodyPr wrap="square"/>
          <a:lstStyle/>
          <a:p>
            <a:pPr>
              <a:defRPr lang="en-US" sz="1200" b="0" u="none" baseline="0">
                <a:latin typeface="Arial"/>
                <a:ea typeface="Arial"/>
              </a:defRPr>
            </a:pPr>
            <a:r>
              <a:rPr lang="en-US"/>
              <a:t>Вовлечённость</a:t>
            </a:r>
          </a:p>
        </c:rich>
      </c:tx>
      <c:layout/>
      <c:overlay val="0"/>
      <c:spPr>
        <a:noFill/>
        <a:ln>
          <a:noFill/>
        </a:ln>
      </c:spPr>
    </c:title>
    <c:autoTitleDeleted val="0"/>
    <c:plotArea>
      <c:layout/>
      <c:lineChart>
        <c:grouping val="standard"/>
        <c:varyColors val="0"/>
        <c:ser>
          <c:idx val="0"/>
          <c:order val="0"/>
          <c:spPr>
            <a:ln cap="rnd" cmpd="sng">
              <a:solidFill>
                <a:srgbClr val="297180"/>
              </a:solidFill>
              <a:prstDash val="solid"/>
              <a:round/>
            </a:ln>
          </c:spPr>
          <c:marker>
            <c:symbol val="circle"/>
            <c:size val="5"/>
            <c:spPr>
              <a:solidFill>
                <a:srgbClr val="297180"/>
              </a:solidFill>
              <a:ln>
                <a:noFill/>
              </a:ln>
            </c:spPr>
          </c:marker>
          <c:cat>
            <c:numRef>
              <c:f>Динамика!$B$7:$B$37</c:f>
              <c:numCache/>
            </c:numRef>
          </c:cat>
          <c:val>
            <c:numRef>
              <c:f>Динамика!$G$7:$G$37</c:f>
              <c:numCache/>
            </c:numRef>
          </c:val>
          <c:smooth val="1"/>
        </c:ser>
        <c:marker val="1"/>
        <c:axId val="190467"/>
        <c:axId val="65711212"/>
      </c:lineChart>
      <c:catAx>
        <c:axId val="190467"/>
        <c:scaling>
          <c:orientation val="minMax"/>
        </c:scaling>
        <c:delete val="0"/>
        <c:axPos val="b"/>
        <c:numFmt formatCode="General" sourceLinked="1"/>
        <c:majorTickMark val="out"/>
        <c:minorTickMark val="none"/>
        <c:tickLblPos val="nextTo"/>
        <c:crossAx val="65711212"/>
        <c:crosses val="autoZero"/>
        <c:lblOffset val="100"/>
        <c:noMultiLvlLbl val="0"/>
      </c:catAx>
      <c:valAx>
        <c:axId val="65711212"/>
        <c:scaling>
          <c:orientation val="minMax"/>
        </c:scaling>
        <c:delete val="0"/>
        <c:axPos val="l"/>
        <c:majorGridlines>
          <c:spPr>
            <a:ln/>
          </c:spPr>
        </c:majorGridlines>
        <c:numFmt formatCode="#,##0" sourceLinked="0"/>
        <c:majorTickMark val="out"/>
        <c:minorTickMark val="none"/>
        <c:tickLblPos val="nextTo"/>
        <c:crossAx val="190467"/>
        <c:crosses val="autoZero"/>
        <c:crossBetween val="between"/>
      </c:valAx>
      <c:spPr>
        <a:solidFill>
          <a:srgbClr val="FFFFFF"/>
        </a:solidFill>
        <a:ln w="12700" cap="flat">
          <a:solidFill>
            <a:srgbClr val="CCD3DB"/>
          </a:solidFill>
          <a:round/>
        </a:ln>
      </c:spPr>
    </c:plotArea>
    <c:plotVisOnly val="1"/>
    <c:dispBlanksAs val="gap"/>
    <c:showDLblsOverMax val="0"/>
  </c:chart>
  <c:txPr>
    <a:bodyPr vert="horz" rot="0" wrap="square"/>
    <a:lstStyle/>
    <a:p>
      <a:pPr>
        <a:defRPr lang="en-US" sz="1100" u="none" baseline="0">
          <a:latin typeface="Arial"/>
          <a:ea typeface="Arial"/>
        </a:defRPr>
      </a:pPr>
      <a:endParaRPr lang="en-US"/>
    </a:p>
  </c:txPr>
</c:chartSpace>
</file>

<file path=xl/charts/chart6.xml><?xml version="1.0" encoding="utf-8"?>
<c:chartSpace xmlns:c="http://schemas.openxmlformats.org/drawingml/2006/chart" xmlns:a="http://schemas.openxmlformats.org/drawingml/2006/main" xmlns:r="http://schemas.openxmlformats.org/officeDocument/2006/relationships">
  <c:roundedCorners val="0"/>
  <c:chart>
    <c:title>
      <c:tx>
        <c:rich>
          <a:bodyPr wrap="square"/>
          <a:lstStyle/>
          <a:p>
            <a:pPr>
              <a:defRPr lang="en-US" sz="1200" b="0" u="none" baseline="0">
                <a:latin typeface="Arial"/>
                <a:ea typeface="Arial"/>
              </a:defRPr>
            </a:pPr>
            <a:r>
              <a:rPr lang="en-US"/>
              <a:t>Тональность</a:t>
            </a:r>
          </a:p>
        </c:rich>
      </c:tx>
      <c:layout/>
      <c:overlay val="0"/>
      <c:spPr>
        <a:noFill/>
        <a:ln>
          <a:noFill/>
        </a:ln>
      </c:spPr>
    </c:title>
    <c:autoTitleDeleted val="0"/>
    <c:plotArea>
      <c:layout/>
      <c:doughnutChart>
        <c:varyColors val="1"/>
        <c:ser>
          <c:idx val="0"/>
          <c:order val="0"/>
          <c:explosion val="0"/>
          <c:dPt>
            <c:idx val="0"/>
            <c:spPr>
              <a:solidFill>
                <a:srgbClr val="98D497"/>
              </a:solidFill>
            </c:spPr>
          </c:dPt>
          <c:dPt>
            <c:idx val="1"/>
            <c:spPr>
              <a:solidFill>
                <a:srgbClr val="CCD3DB"/>
              </a:solidFill>
            </c:spPr>
          </c:dPt>
          <c:dPt>
            <c:idx val="2"/>
            <c:spPr>
              <a:solidFill>
                <a:srgbClr val="FC6C73"/>
              </a:solidFill>
            </c:spPr>
          </c:dPt>
          <c:dLbls>
            <c:numFmt formatCode="General" sourceLinked="1"/>
            <c:showLegendKey val="0"/>
            <c:showVal val="0"/>
            <c:showCatName val="0"/>
            <c:showSerName val="0"/>
            <c:showPercent val="1"/>
            <c:showBubbleSize val="0"/>
            <c:showLeaderLines val="1"/>
          </c:dLbls>
          <c:cat>
            <c:strRef>
              <c:f>Тональность!$C$66:$E$66</c:f>
              <c:strCache/>
            </c:strRef>
          </c:cat>
          <c:val>
            <c:numRef>
              <c:f>Тональность!$F$98:$H$98</c:f>
              <c:numCache/>
            </c:numRef>
          </c:val>
        </c:ser>
        <c:holeSize val="50"/>
      </c:doughnutChart>
      <c:spPr>
        <a:solidFill>
          <a:srgbClr val="FFFFFF"/>
        </a:solidFill>
        <a:ln w="12700">
          <a:noFill/>
        </a:ln>
      </c:spPr>
    </c:plotArea>
    <c:legend>
      <c:legendPos val="b"/>
      <c:layout/>
      <c:overlay val="0"/>
    </c:legend>
    <c:plotVisOnly val="1"/>
    <c:dispBlanksAs val="gap"/>
    <c:showDLblsOverMax val="0"/>
  </c:chart>
  <c:spPr>
    <a:ln>
      <a:solidFill>
        <a:srgbClr val="D9D9D9"/>
      </a:solidFill>
    </a:ln>
  </c:spPr>
  <c:txPr>
    <a:bodyPr vert="horz" rot="0" wrap="square"/>
    <a:lstStyle/>
    <a:p>
      <a:pPr>
        <a:defRPr lang="en-US" sz="900" u="none" baseline="0">
          <a:latin typeface="Arial"/>
          <a:ea typeface="Arial"/>
        </a:defRPr>
      </a:pPr>
      <a:endParaRPr lang="en-US"/>
    </a:p>
  </c:txPr>
</c:chartSpace>
</file>

<file path=xl/charts/chart7.xml><?xml version="1.0" encoding="utf-8"?>
<c:chartSpace xmlns:c="http://schemas.openxmlformats.org/drawingml/2006/chart" xmlns:a="http://schemas.openxmlformats.org/drawingml/2006/main" xmlns:r="http://schemas.openxmlformats.org/officeDocument/2006/relationships">
  <c:roundedCorners val="0"/>
  <c:chart>
    <c:title>
      <c:tx>
        <c:rich>
          <a:bodyPr wrap="square"/>
          <a:lstStyle/>
          <a:p>
            <a:pPr>
              <a:defRPr lang="en-US" sz="1200" b="0" u="none" baseline="0">
                <a:latin typeface="Arial"/>
                <a:ea typeface="Arial"/>
              </a:defRPr>
            </a:pPr>
            <a:r>
              <a:rPr lang="en-US"/>
              <a:t>Тональность - динамика</a:t>
            </a:r>
          </a:p>
        </c:rich>
      </c:tx>
      <c:layout/>
      <c:overlay val="0"/>
      <c:spPr>
        <a:noFill/>
        <a:ln>
          <a:noFill/>
        </a:ln>
      </c:spPr>
    </c:title>
    <c:autoTitleDeleted val="0"/>
    <c:plotArea>
      <c:layout/>
      <c:lineChart>
        <c:grouping val="standard"/>
        <c:varyColors val="0"/>
        <c:ser>
          <c:idx val="0"/>
          <c:order val="0"/>
          <c:tx>
            <c:strRef>
              <c:f>Тональность!$C$66</c:f>
            </c:strRef>
          </c:tx>
          <c:spPr>
            <a:ln cap="rnd" cmpd="sng">
              <a:solidFill>
                <a:srgbClr val="98D497"/>
              </a:solidFill>
              <a:prstDash val="solid"/>
              <a:round/>
            </a:ln>
          </c:spPr>
          <c:marker>
            <c:symbol val="circle"/>
            <c:size val="5"/>
            <c:spPr>
              <a:solidFill>
                <a:srgbClr val="98D497"/>
              </a:solidFill>
              <a:ln>
                <a:noFill/>
              </a:ln>
            </c:spPr>
          </c:marker>
          <c:cat>
            <c:numRef>
              <c:f>Тональность!$B$67:$B$97</c:f>
              <c:numCache/>
            </c:numRef>
          </c:cat>
          <c:val>
            <c:numRef>
              <c:f>Тональность!$C$67:$C$97</c:f>
              <c:numCache/>
            </c:numRef>
          </c:val>
          <c:smooth val="1"/>
        </c:ser>
        <c:ser>
          <c:idx val="1"/>
          <c:order val="1"/>
          <c:tx>
            <c:strRef>
              <c:f>Тональность!$D$66</c:f>
            </c:strRef>
          </c:tx>
          <c:spPr>
            <a:ln cap="rnd" cmpd="sng">
              <a:solidFill>
                <a:srgbClr val="CCD3DB"/>
              </a:solidFill>
              <a:prstDash val="solid"/>
              <a:round/>
            </a:ln>
          </c:spPr>
          <c:marker>
            <c:symbol val="circle"/>
            <c:size val="5"/>
            <c:spPr>
              <a:solidFill>
                <a:srgbClr val="CCD3DB"/>
              </a:solidFill>
              <a:ln>
                <a:noFill/>
              </a:ln>
            </c:spPr>
          </c:marker>
          <c:cat>
            <c:numRef>
              <c:f>Тональность!$B$67:$B$97</c:f>
              <c:numCache/>
            </c:numRef>
          </c:cat>
          <c:val>
            <c:numRef>
              <c:f>Тональность!$D$67:$D$97</c:f>
              <c:numCache/>
            </c:numRef>
          </c:val>
          <c:smooth val="1"/>
        </c:ser>
        <c:ser>
          <c:idx val="2"/>
          <c:order val="2"/>
          <c:tx>
            <c:strRef>
              <c:f>Тональность!$E$66</c:f>
            </c:strRef>
          </c:tx>
          <c:spPr>
            <a:ln cap="rnd" cmpd="sng">
              <a:solidFill>
                <a:srgbClr val="FC6C73"/>
              </a:solidFill>
              <a:prstDash val="solid"/>
              <a:round/>
            </a:ln>
          </c:spPr>
          <c:marker>
            <c:symbol val="circle"/>
            <c:size val="5"/>
            <c:spPr>
              <a:solidFill>
                <a:srgbClr val="FC6C73"/>
              </a:solidFill>
              <a:ln>
                <a:noFill/>
              </a:ln>
            </c:spPr>
          </c:marker>
          <c:cat>
            <c:numRef>
              <c:f>Тональность!$B$67:$B$97</c:f>
              <c:numCache/>
            </c:numRef>
          </c:cat>
          <c:val>
            <c:numRef>
              <c:f>Тональность!$E$67:$E$97</c:f>
              <c:numCache/>
            </c:numRef>
          </c:val>
          <c:smooth val="1"/>
        </c:ser>
        <c:marker val="1"/>
        <c:axId val="35404313"/>
        <c:axId val="674887"/>
      </c:lineChart>
      <c:catAx>
        <c:axId val="35404313"/>
        <c:scaling>
          <c:orientation val="minMax"/>
        </c:scaling>
        <c:delete val="0"/>
        <c:axPos val="b"/>
        <c:numFmt formatCode="General" sourceLinked="1"/>
        <c:majorTickMark val="out"/>
        <c:minorTickMark val="none"/>
        <c:tickLblPos val="nextTo"/>
        <c:spPr>
          <a:ln>
            <a:noFill/>
          </a:ln>
        </c:spPr>
        <c:crossAx val="674887"/>
        <c:crosses val="autoZero"/>
        <c:lblOffset val="100"/>
        <c:noMultiLvlLbl val="0"/>
      </c:catAx>
      <c:valAx>
        <c:axId val="674887"/>
        <c:scaling>
          <c:orientation val="minMax"/>
        </c:scaling>
        <c:delete val="0"/>
        <c:axPos val="l"/>
        <c:majorGridlines>
          <c:spPr>
            <a:ln/>
          </c:spPr>
        </c:majorGridlines>
        <c:numFmt formatCode="#,##0" sourceLinked="0"/>
        <c:majorTickMark val="out"/>
        <c:minorTickMark val="none"/>
        <c:tickLblPos val="nextTo"/>
        <c:spPr>
          <a:ln>
            <a:noFill/>
          </a:ln>
        </c:spPr>
        <c:crossAx val="35404313"/>
        <c:crosses val="autoZero"/>
        <c:crossBetween val="between"/>
      </c:valAx>
      <c:spPr>
        <a:solidFill>
          <a:srgbClr val="FFFFFF"/>
        </a:solidFill>
        <a:ln w="12700">
          <a:noFill/>
          <a:round/>
        </a:ln>
      </c:spPr>
    </c:plotArea>
    <c:legend>
      <c:legendPos val="b"/>
      <c:layout/>
      <c:overlay val="0"/>
    </c:legend>
    <c:plotVisOnly val="1"/>
    <c:dispBlanksAs val="gap"/>
    <c:showDLblsOverMax val="0"/>
  </c:chart>
  <c:spPr>
    <a:ln>
      <a:solidFill>
        <a:srgbClr val="D9D9D9"/>
      </a:solidFill>
    </a:ln>
  </c:spPr>
  <c:txPr>
    <a:bodyPr vert="horz" rot="0" wrap="square"/>
    <a:lstStyle/>
    <a:p>
      <a:pPr>
        <a:defRPr lang="en-US" sz="900" u="none" baseline="0">
          <a:latin typeface="Arial"/>
          <a:ea typeface="Arial"/>
        </a:defRPr>
      </a:pPr>
      <a:endParaRPr lang="en-US"/>
    </a:p>
  </c:txPr>
</c:chartSpace>
</file>

<file path=xl/charts/chart8.xml><?xml version="1.0" encoding="utf-8"?>
<c:chartSpace xmlns:c="http://schemas.openxmlformats.org/drawingml/2006/chart" xmlns:a="http://schemas.openxmlformats.org/drawingml/2006/main" xmlns:r="http://schemas.openxmlformats.org/officeDocument/2006/relationships">
  <c:roundedCorners val="0"/>
  <c:chart>
    <c:title>
      <c:tx>
        <c:rich>
          <a:bodyPr wrap="square"/>
          <a:lstStyle/>
          <a:p>
            <a:pPr>
              <a:defRPr lang="en-US" sz="1200" b="0" u="none" baseline="0">
                <a:latin typeface="Arial"/>
                <a:ea typeface="Arial"/>
              </a:defRPr>
            </a:pPr>
            <a:r>
              <a:rPr lang="en-US"/>
              <a:t>Тональность - динамика</a:t>
            </a:r>
          </a:p>
        </c:rich>
      </c:tx>
      <c:layout/>
      <c:overlay val="0"/>
      <c:spPr>
        <a:noFill/>
        <a:ln>
          <a:noFill/>
        </a:ln>
      </c:spPr>
    </c:title>
    <c:autoTitleDeleted val="0"/>
    <c:plotArea>
      <c:layout/>
      <c:barChart>
        <c:barDir val="col"/>
        <c:grouping val="stacked"/>
        <c:varyColors val="0"/>
        <c:ser>
          <c:idx val="0"/>
          <c:order val="0"/>
          <c:tx>
            <c:strRef>
              <c:f>Тональность!$C$66</c:f>
            </c:strRef>
          </c:tx>
          <c:spPr>
            <a:solidFill>
              <a:srgbClr val="98D497"/>
            </a:solidFill>
          </c:spPr>
          <c:invertIfNegative val="0"/>
          <c:cat>
            <c:numRef>
              <c:f>Тональность!$B$67:$B$97</c:f>
              <c:numCache/>
            </c:numRef>
          </c:cat>
          <c:val>
            <c:numRef>
              <c:f>Тональность!$C$67:$C$97</c:f>
              <c:numCache/>
            </c:numRef>
          </c:val>
        </c:ser>
        <c:ser>
          <c:idx val="1"/>
          <c:order val="1"/>
          <c:tx>
            <c:strRef>
              <c:f>Тональность!$D$66</c:f>
            </c:strRef>
          </c:tx>
          <c:spPr>
            <a:solidFill>
              <a:srgbClr val="CCD3DB"/>
            </a:solidFill>
          </c:spPr>
          <c:invertIfNegative val="0"/>
          <c:cat>
            <c:numRef>
              <c:f>Тональность!$B$67:$B$97</c:f>
              <c:numCache/>
            </c:numRef>
          </c:cat>
          <c:val>
            <c:numRef>
              <c:f>Тональность!$D$67:$D$97</c:f>
              <c:numCache/>
            </c:numRef>
          </c:val>
        </c:ser>
        <c:ser>
          <c:idx val="2"/>
          <c:order val="2"/>
          <c:tx>
            <c:strRef>
              <c:f>Тональность!$E$66</c:f>
            </c:strRef>
          </c:tx>
          <c:spPr>
            <a:solidFill>
              <a:srgbClr val="FC6C73"/>
            </a:solidFill>
          </c:spPr>
          <c:invertIfNegative val="0"/>
          <c:cat>
            <c:numRef>
              <c:f>Тональность!$B$67:$B$97</c:f>
              <c:numCache/>
            </c:numRef>
          </c:cat>
          <c:val>
            <c:numRef>
              <c:f>Тональность!$E$67:$E$97</c:f>
              <c:numCache/>
            </c:numRef>
          </c:val>
        </c:ser>
        <c:overlap val="100"/>
        <c:axId val="31509751"/>
        <c:axId val="66337282"/>
      </c:barChart>
      <c:catAx>
        <c:axId val="31509751"/>
        <c:scaling>
          <c:orientation val="minMax"/>
        </c:scaling>
        <c:delete val="0"/>
        <c:axPos val="b"/>
        <c:numFmt formatCode="General" sourceLinked="1"/>
        <c:majorTickMark val="none"/>
        <c:minorTickMark val="none"/>
        <c:tickLblPos val="nextTo"/>
        <c:crossAx val="66337282"/>
        <c:crosses val="autoZero"/>
        <c:lblOffset val="100"/>
        <c:tickLblSkip val="1"/>
        <c:noMultiLvlLbl val="0"/>
      </c:catAx>
      <c:valAx>
        <c:axId val="66337282"/>
        <c:scaling>
          <c:orientation val="minMax"/>
        </c:scaling>
        <c:delete val="1"/>
        <c:axPos val="l"/>
        <c:majorGridlines>
          <c:spPr>
            <a:ln>
              <a:noFill/>
            </a:ln>
          </c:spPr>
        </c:majorGridlines>
        <c:majorTickMark val="out"/>
        <c:minorTickMark val="none"/>
        <c:tickLblPos val="nextTo"/>
        <c:crossAx val="31509751"/>
        <c:crosses val="autoZero"/>
        <c:crossBetween val="between"/>
      </c:valAx>
      <c:spPr>
        <a:solidFill>
          <a:srgbClr val="FFFFFF"/>
        </a:solidFill>
      </c:spPr>
    </c:plotArea>
    <c:legend>
      <c:legendPos val="b"/>
      <c:layout/>
      <c:overlay val="0"/>
    </c:legend>
    <c:plotVisOnly val="1"/>
    <c:dispBlanksAs val="gap"/>
    <c:showDLblsOverMax val="0"/>
  </c:chart>
  <c:spPr>
    <a:ln>
      <a:solidFill>
        <a:srgbClr val="D9D9D9"/>
      </a:solidFill>
    </a:ln>
  </c:spPr>
  <c:txPr>
    <a:bodyPr vert="horz" rot="0" wrap="square"/>
    <a:lstStyle/>
    <a:p>
      <a:pPr>
        <a:defRPr lang="en-US" sz="900" u="none" baseline="0">
          <a:latin typeface="Arial"/>
          <a:ea typeface="Arial"/>
        </a:defRPr>
      </a:pPr>
      <a:endParaRPr lang="en-US"/>
    </a:p>
  </c:txPr>
</c:chartSpace>
</file>

<file path=xl/charts/chart9.xml><?xml version="1.0" encoding="utf-8"?>
<c:chartSpace xmlns:c="http://schemas.openxmlformats.org/drawingml/2006/chart" xmlns:a="http://schemas.openxmlformats.org/drawingml/2006/main" xmlns:r="http://schemas.openxmlformats.org/officeDocument/2006/relationships">
  <c:roundedCorners val="0"/>
  <c:chart>
    <c:title>
      <c:tx>
        <c:rich>
          <a:bodyPr wrap="square"/>
          <a:lstStyle/>
          <a:p>
            <a:pPr>
              <a:defRPr lang="en-US" sz="1200" b="0" u="none" baseline="0">
                <a:latin typeface="Arial"/>
                <a:ea typeface="Arial"/>
              </a:defRPr>
            </a:pPr>
            <a:r>
              <a:rPr lang="en-US"/>
              <a:t>Топ-10 мнений</a:t>
            </a:r>
          </a:p>
        </c:rich>
      </c:tx>
      <c:layout/>
      <c:overlay val="0"/>
      <c:spPr>
        <a:noFill/>
        <a:ln>
          <a:noFill/>
        </a:ln>
      </c:spPr>
    </c:title>
    <c:autoTitleDeleted val="0"/>
    <c:plotArea>
      <c:layout/>
      <c:barChart>
        <c:barDir val="bar"/>
        <c:grouping val="clustered"/>
        <c:varyColors val="0"/>
        <c:ser>
          <c:idx val="0"/>
          <c:order val="0"/>
          <c:spPr>
            <a:solidFill>
              <a:srgbClr val="297180"/>
            </a:solidFill>
          </c:spPr>
          <c:invertIfNegative val="0"/>
          <c:dLbls>
            <c:numFmt formatCode="General" sourceLinked="1"/>
            <c:dLblPos val="outEnd"/>
            <c:showLegendKey val="0"/>
            <c:showVal val="1"/>
            <c:showCatName val="0"/>
            <c:showSerName val="0"/>
            <c:showPercent val="0"/>
            <c:showBubbleSize val="0"/>
            <c:showLeaderLines val="0"/>
            <c:separator> </c:separator>
          </c:dLbls>
          <c:cat>
            <c:strRef>
              <c:f>Мнения!$B$20:$B$21</c:f>
              <c:strCache/>
            </c:strRef>
          </c:cat>
          <c:val>
            <c:numRef>
              <c:f>Мнения!$D$20:$D$21</c:f>
              <c:numCache/>
            </c:numRef>
          </c:val>
        </c:ser>
        <c:axId val="3011668"/>
        <c:axId val="32392683"/>
      </c:barChart>
      <c:catAx>
        <c:axId val="3011668"/>
        <c:scaling>
          <c:orientation val="maxMin"/>
        </c:scaling>
        <c:delete val="0"/>
        <c:axPos val="l"/>
        <c:numFmt formatCode="General" sourceLinked="1"/>
        <c:majorTickMark val="none"/>
        <c:minorTickMark val="none"/>
        <c:tickLblPos val="nextTo"/>
        <c:crossAx val="32392683"/>
        <c:crosses val="autoZero"/>
        <c:lblOffset val="100"/>
        <c:noMultiLvlLbl val="0"/>
      </c:catAx>
      <c:valAx>
        <c:axId val="32392683"/>
        <c:scaling>
          <c:orientation val="minMax"/>
        </c:scaling>
        <c:delete val="1"/>
        <c:axPos val="t"/>
        <c:majorGridlines>
          <c:spPr>
            <a:ln>
              <a:noFill/>
            </a:ln>
          </c:spPr>
        </c:majorGridlines>
        <c:majorTickMark val="out"/>
        <c:minorTickMark val="none"/>
        <c:tickLblPos val="nextTo"/>
        <c:crossAx val="3011668"/>
        <c:crosses val="autoZero"/>
        <c:crossBetween val="between"/>
      </c:valAx>
      <c:spPr>
        <a:solidFill>
          <a:srgbClr val="FFFFFF"/>
        </a:solidFill>
      </c:spPr>
    </c:plotArea>
    <c:plotVisOnly val="1"/>
    <c:dispBlanksAs val="gap"/>
    <c:showDLblsOverMax val="0"/>
  </c:chart>
  <c:spPr>
    <a:ln>
      <a:solidFill>
        <a:srgbClr val="D9D9D9"/>
      </a:solidFill>
    </a:ln>
  </c:spPr>
  <c:txPr>
    <a:bodyPr vert="horz" rot="0" wrap="square"/>
    <a:lstStyle/>
    <a:p>
      <a:pPr>
        <a:defRPr lang="en-US" sz="900" u="none" baseline="0">
          <a:latin typeface="Arial"/>
          <a:ea typeface="Arial"/>
        </a:defRPr>
      </a:pPr>
      <a:endParaRPr lang="en-US"/>
    </a:p>
  </c:txPr>
</c:chartSpace>
</file>

<file path=xl/charts/chart10.xml><?xml version="1.0" encoding="utf-8"?>
<c:chartSpace xmlns:c="http://schemas.openxmlformats.org/drawingml/2006/chart" xmlns:a="http://schemas.openxmlformats.org/drawingml/2006/main" xmlns:r="http://schemas.openxmlformats.org/officeDocument/2006/relationships">
  <c:roundedCorners val="0"/>
  <c:chart>
    <c:title>
      <c:tx>
        <c:rich>
          <a:bodyPr wrap="square"/>
          <a:lstStyle/>
          <a:p>
            <a:pPr>
              <a:defRPr lang="en-US" sz="1200" b="0" u="none" baseline="0">
                <a:latin typeface="Arial"/>
                <a:ea typeface="Arial"/>
              </a:defRPr>
            </a:pPr>
            <a:r>
              <a:rPr lang="en-US"/>
              <a:t>Тональность по тегам</a:t>
            </a:r>
          </a:p>
        </c:rich>
      </c:tx>
      <c:layout/>
      <c:overlay val="0"/>
      <c:spPr>
        <a:noFill/>
        <a:ln>
          <a:noFill/>
        </a:ln>
      </c:spPr>
    </c:title>
    <c:autoTitleDeleted val="0"/>
    <c:plotArea>
      <c:layout/>
      <c:barChart>
        <c:barDir val="bar"/>
        <c:grouping val="stacked"/>
        <c:varyColors val="0"/>
        <c:ser>
          <c:idx val="0"/>
          <c:order val="0"/>
          <c:tx>
            <c:strRef>
              <c:f>Теги!$D$24</c:f>
            </c:strRef>
          </c:tx>
          <c:spPr>
            <a:solidFill>
              <a:srgbClr val="98D497"/>
            </a:solidFill>
          </c:spPr>
          <c:invertIfNegative val="0"/>
          <c:dLbls>
            <c:numFmt formatCode="General" sourceLinked="1"/>
            <c:showLegendKey val="0"/>
            <c:showVal val="0"/>
            <c:showCatName val="0"/>
            <c:showSerName val="0"/>
            <c:showPercent val="0"/>
            <c:showBubbleSize val="0"/>
            <c:showLeaderLines val="0"/>
            <c:separator> </c:separator>
          </c:dLbls>
          <c:cat>
            <c:strRef>
              <c:f>Теги!$B$25:$B$28</c:f>
              <c:strCache/>
            </c:strRef>
          </c:cat>
          <c:val>
            <c:numRef>
              <c:f>Теги!$D$25:$D$28</c:f>
              <c:numCache/>
            </c:numRef>
          </c:val>
        </c:ser>
        <c:ser>
          <c:idx val="1"/>
          <c:order val="1"/>
          <c:tx>
            <c:strRef>
              <c:f>Теги!$E$24</c:f>
            </c:strRef>
          </c:tx>
          <c:spPr>
            <a:solidFill>
              <a:srgbClr val="CCD3DB"/>
            </a:solidFill>
          </c:spPr>
          <c:invertIfNegative val="0"/>
          <c:dLbls>
            <c:numFmt formatCode="General" sourceLinked="1"/>
            <c:showLegendKey val="0"/>
            <c:showVal val="0"/>
            <c:showCatName val="0"/>
            <c:showSerName val="0"/>
            <c:showPercent val="0"/>
            <c:showBubbleSize val="0"/>
            <c:showLeaderLines val="0"/>
            <c:separator> </c:separator>
          </c:dLbls>
          <c:cat>
            <c:strRef>
              <c:f>Теги!$B$25:$B$28</c:f>
              <c:strCache/>
            </c:strRef>
          </c:cat>
          <c:val>
            <c:numRef>
              <c:f>Теги!$E$25:$E$28</c:f>
              <c:numCache/>
            </c:numRef>
          </c:val>
        </c:ser>
        <c:ser>
          <c:idx val="2"/>
          <c:order val="2"/>
          <c:tx>
            <c:strRef>
              <c:f>Теги!$F$24</c:f>
            </c:strRef>
          </c:tx>
          <c:spPr>
            <a:solidFill>
              <a:srgbClr val="FC6C73"/>
            </a:solidFill>
          </c:spPr>
          <c:invertIfNegative val="0"/>
          <c:dLbls>
            <c:numFmt formatCode="General" sourceLinked="1"/>
            <c:showLegendKey val="0"/>
            <c:showVal val="0"/>
            <c:showCatName val="0"/>
            <c:showSerName val="0"/>
            <c:showPercent val="0"/>
            <c:showBubbleSize val="0"/>
            <c:showLeaderLines val="0"/>
            <c:separator> </c:separator>
          </c:dLbls>
          <c:cat>
            <c:strRef>
              <c:f>Теги!$B$25:$B$28</c:f>
              <c:strCache/>
            </c:strRef>
          </c:cat>
          <c:val>
            <c:numRef>
              <c:f>Теги!$F$25:$F$28</c:f>
              <c:numCache/>
            </c:numRef>
          </c:val>
        </c:ser>
        <c:overlap val="100"/>
        <c:axId val="17613787"/>
        <c:axId val="36959056"/>
      </c:barChart>
      <c:catAx>
        <c:axId val="17613787"/>
        <c:scaling>
          <c:orientation val="maxMin"/>
        </c:scaling>
        <c:delete val="0"/>
        <c:axPos val="l"/>
        <c:numFmt formatCode="General" sourceLinked="1"/>
        <c:majorTickMark val="none"/>
        <c:minorTickMark val="none"/>
        <c:tickLblPos val="nextTo"/>
        <c:crossAx val="36959056"/>
        <c:crosses val="autoZero"/>
        <c:lblOffset val="100"/>
        <c:noMultiLvlLbl val="0"/>
      </c:catAx>
      <c:valAx>
        <c:axId val="36959056"/>
        <c:scaling>
          <c:orientation val="minMax"/>
        </c:scaling>
        <c:delete val="0"/>
        <c:axPos val="t"/>
        <c:majorGridlines>
          <c:spPr>
            <a:ln>
              <a:noFill/>
            </a:ln>
          </c:spPr>
        </c:majorGridlines>
        <c:numFmt formatCode="General" sourceLinked="1"/>
        <c:majorTickMark val="out"/>
        <c:minorTickMark val="none"/>
        <c:tickLblPos val="nextTo"/>
        <c:crossAx val="17613787"/>
        <c:crosses val="autoZero"/>
        <c:crossBetween val="between"/>
      </c:valAx>
      <c:spPr>
        <a:solidFill>
          <a:srgbClr val="FFFFFF"/>
        </a:solidFill>
      </c:spPr>
    </c:plotArea>
    <c:legend>
      <c:legendPos val="b"/>
      <c:layout/>
      <c:overlay val="0"/>
    </c:legend>
    <c:plotVisOnly val="1"/>
    <c:dispBlanksAs val="gap"/>
    <c:showDLblsOverMax val="0"/>
  </c:chart>
  <c:spPr>
    <a:ln>
      <a:solidFill>
        <a:srgbClr val="D9D9D9"/>
      </a:solidFill>
    </a:ln>
  </c:spPr>
  <c:txPr>
    <a:bodyPr vert="horz" rot="0" wrap="square"/>
    <a:lstStyle/>
    <a:p>
      <a:pPr>
        <a:defRPr lang="en-US" sz="900" u="none" baseline="0">
          <a:latin typeface="Arial"/>
          <a:ea typeface="Arial"/>
        </a:defRPr>
      </a:pPr>
      <a:endParaRPr lang="en-US"/>
    </a:p>
  </c:txPr>
</c:chartSpace>
</file>

<file path=xl/charts/chart11.xml><?xml version="1.0" encoding="utf-8"?>
<c:chartSpace xmlns:c="http://schemas.openxmlformats.org/drawingml/2006/chart" xmlns:a="http://schemas.openxmlformats.org/drawingml/2006/main" xmlns:r="http://schemas.openxmlformats.org/officeDocument/2006/relationships">
  <c:roundedCorners val="0"/>
  <c:chart>
    <c:title>
      <c:tx>
        <c:rich>
          <a:bodyPr wrap="square"/>
          <a:lstStyle/>
          <a:p>
            <a:pPr>
              <a:defRPr lang="en-US" sz="1200" b="0" u="none" baseline="0">
                <a:latin typeface="Arial"/>
                <a:ea typeface="Arial"/>
              </a:defRPr>
            </a:pPr>
            <a:r>
              <a:rPr lang="en-US"/>
              <a:t>Динамика тегов</a:t>
            </a:r>
          </a:p>
        </c:rich>
      </c:tx>
      <c:layout/>
      <c:overlay val="0"/>
      <c:spPr>
        <a:noFill/>
        <a:ln>
          <a:noFill/>
        </a:ln>
      </c:spPr>
    </c:title>
    <c:autoTitleDeleted val="0"/>
    <c:plotArea>
      <c:layout/>
      <c:lineChart>
        <c:grouping val="standard"/>
        <c:varyColors val="0"/>
        <c:ser>
          <c:idx val="0"/>
          <c:order val="0"/>
          <c:tx>
            <c:strRef>
              <c:f>Теги!$C$45</c:f>
            </c:strRef>
          </c:tx>
          <c:spPr>
            <a:ln cap="rnd" cmpd="sng">
              <a:prstDash val="solid"/>
              <a:round/>
            </a:ln>
          </c:spPr>
          <c:marker>
            <c:symbol val="circle"/>
            <c:size val="5"/>
            <c:spPr>
              <a:ln>
                <a:noFill/>
              </a:ln>
            </c:spPr>
          </c:marker>
          <c:cat>
            <c:numRef>
              <c:f>Теги!$B$46:$B$76</c:f>
              <c:numCache/>
            </c:numRef>
          </c:cat>
          <c:val>
            <c:numRef>
              <c:f>Теги!$C$46:$C$76</c:f>
              <c:numCache/>
            </c:numRef>
          </c:val>
          <c:smooth val="1"/>
        </c:ser>
        <c:ser>
          <c:idx val="1"/>
          <c:order val="1"/>
          <c:tx>
            <c:strRef>
              <c:f>Теги!$D$45</c:f>
            </c:strRef>
          </c:tx>
          <c:spPr>
            <a:ln cap="rnd" cmpd="sng">
              <a:prstDash val="solid"/>
              <a:round/>
            </a:ln>
          </c:spPr>
          <c:marker>
            <c:symbol val="circle"/>
            <c:size val="5"/>
            <c:spPr>
              <a:ln>
                <a:noFill/>
              </a:ln>
            </c:spPr>
          </c:marker>
          <c:cat>
            <c:numRef>
              <c:f>Теги!$B$46:$B$76</c:f>
              <c:numCache/>
            </c:numRef>
          </c:cat>
          <c:val>
            <c:numRef>
              <c:f>Теги!$D$46:$D$76</c:f>
              <c:numCache/>
            </c:numRef>
          </c:val>
          <c:smooth val="1"/>
        </c:ser>
        <c:ser>
          <c:idx val="2"/>
          <c:order val="2"/>
          <c:tx>
            <c:strRef>
              <c:f>Теги!$E$45</c:f>
            </c:strRef>
          </c:tx>
          <c:spPr>
            <a:ln cap="rnd" cmpd="sng">
              <a:prstDash val="solid"/>
              <a:round/>
            </a:ln>
          </c:spPr>
          <c:marker>
            <c:symbol val="circle"/>
            <c:size val="5"/>
            <c:spPr>
              <a:ln>
                <a:noFill/>
              </a:ln>
            </c:spPr>
          </c:marker>
          <c:cat>
            <c:numRef>
              <c:f>Теги!$B$46:$B$76</c:f>
              <c:numCache/>
            </c:numRef>
          </c:cat>
          <c:val>
            <c:numRef>
              <c:f>Теги!$E$46:$E$76</c:f>
              <c:numCache/>
            </c:numRef>
          </c:val>
          <c:smooth val="1"/>
        </c:ser>
        <c:marker val="1"/>
        <c:axId val="63834501"/>
        <c:axId val="11195571"/>
      </c:lineChart>
      <c:catAx>
        <c:axId val="63834501"/>
        <c:scaling>
          <c:orientation val="minMax"/>
        </c:scaling>
        <c:delete val="0"/>
        <c:axPos val="b"/>
        <c:numFmt formatCode="General" sourceLinked="1"/>
        <c:majorTickMark val="out"/>
        <c:minorTickMark val="none"/>
        <c:tickLblPos val="nextTo"/>
        <c:spPr>
          <a:ln>
            <a:noFill/>
          </a:ln>
        </c:spPr>
        <c:crossAx val="11195571"/>
        <c:crosses val="autoZero"/>
        <c:lblOffset val="100"/>
        <c:noMultiLvlLbl val="0"/>
      </c:catAx>
      <c:valAx>
        <c:axId val="11195571"/>
        <c:scaling>
          <c:orientation val="minMax"/>
        </c:scaling>
        <c:delete val="0"/>
        <c:axPos val="l"/>
        <c:majorGridlines>
          <c:spPr>
            <a:ln/>
          </c:spPr>
        </c:majorGridlines>
        <c:numFmt formatCode="#,##0" sourceLinked="0"/>
        <c:majorTickMark val="out"/>
        <c:minorTickMark val="none"/>
        <c:tickLblPos val="nextTo"/>
        <c:spPr>
          <a:ln>
            <a:noFill/>
          </a:ln>
        </c:spPr>
        <c:crossAx val="63834501"/>
        <c:crosses val="autoZero"/>
        <c:crossBetween val="between"/>
      </c:valAx>
      <c:spPr>
        <a:solidFill>
          <a:srgbClr val="FFFFFF"/>
        </a:solidFill>
        <a:ln w="12700">
          <a:noFill/>
          <a:round/>
        </a:ln>
      </c:spPr>
    </c:plotArea>
    <c:legend>
      <c:legendPos val="b"/>
      <c:layout/>
      <c:overlay val="0"/>
    </c:legend>
    <c:plotVisOnly val="1"/>
    <c:dispBlanksAs val="gap"/>
    <c:showDLblsOverMax val="0"/>
  </c:chart>
  <c:spPr>
    <a:ln>
      <a:solidFill>
        <a:srgbClr val="D9D9D9"/>
      </a:solidFill>
    </a:ln>
  </c:spPr>
  <c:txPr>
    <a:bodyPr vert="horz" rot="0" wrap="square"/>
    <a:lstStyle/>
    <a:p>
      <a:pPr>
        <a:defRPr lang="en-US" sz="900" u="none" baseline="0">
          <a:latin typeface="Arial"/>
          <a:ea typeface="Arial"/>
        </a:defRPr>
      </a:pPr>
      <a:endParaRPr lang="en-US"/>
    </a:p>
  </c:txPr>
</c:chartSpace>
</file>

<file path=xl/charts/chart12.xml><?xml version="1.0" encoding="utf-8"?>
<c:chartSpace xmlns:c="http://schemas.openxmlformats.org/drawingml/2006/chart" xmlns:a="http://schemas.openxmlformats.org/drawingml/2006/main" xmlns:r="http://schemas.openxmlformats.org/officeDocument/2006/relationships">
  <c:roundedCorners val="0"/>
  <c:chart>
    <c:title>
      <c:tx>
        <c:rich>
          <a:bodyPr wrap="square"/>
          <a:lstStyle/>
          <a:p>
            <a:pPr>
              <a:defRPr lang="en-US" sz="1200" b="0" u="none" baseline="0">
                <a:latin typeface="Arial"/>
                <a:ea typeface="Arial"/>
              </a:defRPr>
            </a:pPr>
            <a:r>
              <a:rPr lang="en-US"/>
              <a:t>Оценки в отзывах</a:t>
            </a:r>
          </a:p>
        </c:rich>
      </c:tx>
      <c:layout/>
      <c:overlay val="0"/>
      <c:spPr>
        <a:noFill/>
        <a:ln>
          <a:noFill/>
        </a:ln>
      </c:spPr>
    </c:title>
    <c:autoTitleDeleted val="0"/>
    <c:plotArea>
      <c:layout/>
      <c:barChart>
        <c:barDir val="col"/>
        <c:grouping val="clustered"/>
        <c:varyColors val="0"/>
        <c:ser>
          <c:idx val="0"/>
          <c:order val="0"/>
          <c:tx>
            <c:strRef>
              <c:f>Оценки!$C$6</c:f>
            </c:strRef>
          </c:tx>
          <c:spPr>
            <a:solidFill>
              <a:srgbClr val="5B9BD5"/>
            </a:solidFill>
          </c:spPr>
          <c:invertIfNegative val="0"/>
          <c:dLbls>
            <c:numFmt formatCode="General" sourceLinked="1"/>
            <c:dLblPos val="outEnd"/>
            <c:showLegendKey val="0"/>
            <c:showVal val="1"/>
            <c:showCatName val="0"/>
            <c:showSerName val="0"/>
            <c:showPercent val="0"/>
            <c:showBubbleSize val="0"/>
            <c:showLeaderLines val="0"/>
          </c:dLbls>
          <c:cat>
            <c:strRef>
              <c:f>Оценки!$B$7:$B$11</c:f>
              <c:strCache/>
            </c:strRef>
          </c:cat>
          <c:val>
            <c:numRef>
              <c:f>Оценки!$C$7:$C$11</c:f>
              <c:numCache/>
            </c:numRef>
          </c:val>
        </c:ser>
        <c:axId val="6943836"/>
        <c:axId val="46813212"/>
      </c:barChart>
      <c:catAx>
        <c:axId val="6943836"/>
        <c:scaling>
          <c:orientation val="minMax"/>
        </c:scaling>
        <c:delete val="0"/>
        <c:axPos val="b"/>
        <c:numFmt formatCode="General" sourceLinked="1"/>
        <c:majorTickMark val="none"/>
        <c:minorTickMark val="none"/>
        <c:tickLblPos val="nextTo"/>
        <c:crossAx val="46813212"/>
        <c:crosses val="autoZero"/>
        <c:lblOffset val="100"/>
        <c:tickLblSkip val="1"/>
        <c:noMultiLvlLbl val="0"/>
      </c:catAx>
      <c:valAx>
        <c:axId val="46813212"/>
        <c:scaling>
          <c:orientation val="minMax"/>
        </c:scaling>
        <c:delete val="1"/>
        <c:axPos val="l"/>
        <c:majorGridlines>
          <c:spPr>
            <a:ln>
              <a:noFill/>
            </a:ln>
          </c:spPr>
        </c:majorGridlines>
        <c:majorTickMark val="out"/>
        <c:minorTickMark val="none"/>
        <c:tickLblPos val="nextTo"/>
        <c:crossAx val="6943836"/>
        <c:crosses val="autoZero"/>
        <c:crossBetween val="between"/>
      </c:valAx>
      <c:spPr>
        <a:solidFill>
          <a:srgbClr val="FFFFFF"/>
        </a:solidFill>
      </c:spPr>
    </c:plotArea>
    <c:legend>
      <c:legendPos val="b"/>
      <c:layout/>
      <c:overlay val="0"/>
    </c:legend>
    <c:plotVisOnly val="1"/>
    <c:dispBlanksAs val="gap"/>
    <c:showDLblsOverMax val="0"/>
  </c:chart>
  <c:spPr>
    <a:ln>
      <a:solidFill>
        <a:srgbClr val="D9D9D9"/>
      </a:solidFill>
    </a:ln>
  </c:spPr>
  <c:txPr>
    <a:bodyPr vert="horz" rot="0" wrap="square"/>
    <a:lstStyle/>
    <a:p>
      <a:pPr>
        <a:defRPr lang="en-US" sz="900" u="none" baseline="0">
          <a:latin typeface="Arial"/>
          <a:ea typeface="Arial"/>
        </a:defRPr>
      </a:pPr>
      <a:endParaRPr lang="en-US"/>
    </a:p>
  </c:txPr>
</c:chartSpace>
</file>

<file path=xl/charts/chart13.xml><?xml version="1.0" encoding="utf-8"?>
<c:chartSpace xmlns:c="http://schemas.openxmlformats.org/drawingml/2006/chart" xmlns:a="http://schemas.openxmlformats.org/drawingml/2006/main" xmlns:r="http://schemas.openxmlformats.org/officeDocument/2006/relationships">
  <c:roundedCorners val="0"/>
  <c:chart>
    <c:title>
      <c:tx>
        <c:rich>
          <a:bodyPr wrap="square"/>
          <a:lstStyle/>
          <a:p>
            <a:pPr>
              <a:defRPr lang="en-US" sz="1200" b="0" u="none" baseline="0">
                <a:latin typeface="Arial"/>
                <a:ea typeface="Arial"/>
              </a:defRPr>
            </a:pPr>
            <a:r>
              <a:rPr lang="en-US"/>
              <a:t>Оценка по дням</a:t>
            </a:r>
          </a:p>
        </c:rich>
      </c:tx>
      <c:layout/>
      <c:overlay val="0"/>
      <c:spPr>
        <a:noFill/>
        <a:ln>
          <a:noFill/>
        </a:ln>
      </c:spPr>
    </c:title>
    <c:autoTitleDeleted val="0"/>
    <c:plotArea>
      <c:layout/>
      <c:lineChart>
        <c:grouping val="standard"/>
        <c:varyColors val="0"/>
        <c:ser>
          <c:idx val="0"/>
          <c:order val="0"/>
          <c:tx>
            <c:strRef>
              <c:f>Оценки!$C$44</c:f>
            </c:strRef>
          </c:tx>
          <c:spPr>
            <a:ln cap="rnd" cmpd="sng">
              <a:prstDash val="solid"/>
              <a:round/>
            </a:ln>
          </c:spPr>
          <c:marker>
            <c:symbol val="circle"/>
            <c:size val="5"/>
            <c:spPr>
              <a:ln>
                <a:noFill/>
              </a:ln>
            </c:spPr>
          </c:marker>
          <c:cat>
            <c:numRef>
              <c:f>Оценки!$B$45:$B$75</c:f>
              <c:numCache/>
            </c:numRef>
          </c:cat>
          <c:val>
            <c:numRef>
              <c:f>Оценки!$C$45:$C$75</c:f>
              <c:numCache/>
            </c:numRef>
          </c:val>
          <c:smooth val="1"/>
        </c:ser>
        <c:ser>
          <c:idx val="1"/>
          <c:order val="1"/>
          <c:tx>
            <c:strRef>
              <c:f>Оценки!$D$44</c:f>
            </c:strRef>
          </c:tx>
          <c:spPr>
            <a:ln cap="rnd" cmpd="sng">
              <a:prstDash val="solid"/>
              <a:round/>
            </a:ln>
          </c:spPr>
          <c:marker>
            <c:symbol val="circle"/>
            <c:size val="5"/>
            <c:spPr>
              <a:ln>
                <a:noFill/>
              </a:ln>
            </c:spPr>
          </c:marker>
          <c:cat>
            <c:numRef>
              <c:f>Оценки!$B$45:$B$75</c:f>
              <c:numCache/>
            </c:numRef>
          </c:cat>
          <c:val>
            <c:numRef>
              <c:f>Оценки!$D$45:$D$75</c:f>
              <c:numCache/>
            </c:numRef>
          </c:val>
          <c:smooth val="1"/>
        </c:ser>
        <c:ser>
          <c:idx val="2"/>
          <c:order val="2"/>
          <c:tx>
            <c:strRef>
              <c:f>Оценки!$E$44</c:f>
            </c:strRef>
          </c:tx>
          <c:spPr>
            <a:ln cap="rnd" cmpd="sng">
              <a:prstDash val="solid"/>
              <a:round/>
            </a:ln>
          </c:spPr>
          <c:marker>
            <c:symbol val="circle"/>
            <c:size val="5"/>
            <c:spPr>
              <a:ln>
                <a:noFill/>
              </a:ln>
            </c:spPr>
          </c:marker>
          <c:cat>
            <c:numRef>
              <c:f>Оценки!$B$45:$B$75</c:f>
              <c:numCache/>
            </c:numRef>
          </c:cat>
          <c:val>
            <c:numRef>
              <c:f>Оценки!$E$45:$E$75</c:f>
              <c:numCache/>
            </c:numRef>
          </c:val>
          <c:smooth val="1"/>
        </c:ser>
        <c:ser>
          <c:idx val="3"/>
          <c:order val="3"/>
          <c:tx>
            <c:strRef>
              <c:f>Оценки!$F$44</c:f>
            </c:strRef>
          </c:tx>
          <c:spPr>
            <a:ln cap="rnd" cmpd="sng">
              <a:prstDash val="solid"/>
              <a:round/>
            </a:ln>
          </c:spPr>
          <c:marker>
            <c:symbol val="circle"/>
            <c:size val="5"/>
            <c:spPr>
              <a:ln>
                <a:noFill/>
              </a:ln>
            </c:spPr>
          </c:marker>
          <c:cat>
            <c:numRef>
              <c:f>Оценки!$B$45:$B$75</c:f>
              <c:numCache/>
            </c:numRef>
          </c:cat>
          <c:val>
            <c:numRef>
              <c:f>Оценки!$F$45:$F$75</c:f>
              <c:numCache/>
            </c:numRef>
          </c:val>
          <c:smooth val="1"/>
        </c:ser>
        <c:ser>
          <c:idx val="4"/>
          <c:order val="4"/>
          <c:tx>
            <c:strRef>
              <c:f>Оценки!$G$44</c:f>
            </c:strRef>
          </c:tx>
          <c:spPr>
            <a:ln cap="rnd" cmpd="sng">
              <a:prstDash val="solid"/>
              <a:round/>
            </a:ln>
          </c:spPr>
          <c:marker>
            <c:symbol val="circle"/>
            <c:size val="5"/>
            <c:spPr>
              <a:ln>
                <a:noFill/>
              </a:ln>
            </c:spPr>
          </c:marker>
          <c:cat>
            <c:numRef>
              <c:f>Оценки!$B$45:$B$75</c:f>
              <c:numCache/>
            </c:numRef>
          </c:cat>
          <c:val>
            <c:numRef>
              <c:f>Оценки!$G$45:$G$75</c:f>
              <c:numCache/>
            </c:numRef>
          </c:val>
          <c:smooth val="1"/>
        </c:ser>
        <c:marker val="1"/>
        <c:axId val="42803137"/>
        <c:axId val="3132422"/>
      </c:lineChart>
      <c:catAx>
        <c:axId val="42803137"/>
        <c:scaling>
          <c:orientation val="minMax"/>
        </c:scaling>
        <c:delete val="0"/>
        <c:axPos val="b"/>
        <c:numFmt formatCode="General" sourceLinked="1"/>
        <c:majorTickMark val="out"/>
        <c:minorTickMark val="none"/>
        <c:tickLblPos val="nextTo"/>
        <c:spPr>
          <a:ln>
            <a:noFill/>
          </a:ln>
        </c:spPr>
        <c:crossAx val="3132422"/>
        <c:crosses val="autoZero"/>
        <c:lblOffset val="100"/>
        <c:noMultiLvlLbl val="0"/>
      </c:catAx>
      <c:valAx>
        <c:axId val="3132422"/>
        <c:scaling>
          <c:orientation val="minMax"/>
        </c:scaling>
        <c:delete val="0"/>
        <c:axPos val="l"/>
        <c:majorGridlines>
          <c:spPr>
            <a:ln/>
          </c:spPr>
        </c:majorGridlines>
        <c:numFmt formatCode="#,##0" sourceLinked="0"/>
        <c:majorTickMark val="out"/>
        <c:minorTickMark val="none"/>
        <c:tickLblPos val="nextTo"/>
        <c:spPr>
          <a:ln>
            <a:noFill/>
          </a:ln>
        </c:spPr>
        <c:crossAx val="42803137"/>
        <c:crosses val="autoZero"/>
        <c:crossBetween val="between"/>
      </c:valAx>
      <c:spPr>
        <a:solidFill>
          <a:srgbClr val="FFFFFF"/>
        </a:solidFill>
        <a:ln w="12700">
          <a:noFill/>
          <a:round/>
        </a:ln>
      </c:spPr>
    </c:plotArea>
    <c:legend>
      <c:legendPos val="b"/>
      <c:layout/>
      <c:overlay val="0"/>
    </c:legend>
    <c:plotVisOnly val="1"/>
    <c:dispBlanksAs val="gap"/>
    <c:showDLblsOverMax val="0"/>
  </c:chart>
  <c:spPr>
    <a:ln>
      <a:solidFill>
        <a:srgbClr val="D9D9D9"/>
      </a:solidFill>
    </a:ln>
  </c:spPr>
  <c:txPr>
    <a:bodyPr vert="horz" rot="0" wrap="square"/>
    <a:lstStyle/>
    <a:p>
      <a:pPr>
        <a:defRPr lang="en-US" sz="900" u="none" baseline="0">
          <a:latin typeface="Arial"/>
          <a:ea typeface="Arial"/>
        </a:defRPr>
      </a:pPr>
      <a:endParaRPr lang="en-US"/>
    </a:p>
  </c:txPr>
</c:chartSpace>
</file>

<file path=xl/charts/chart14.xml><?xml version="1.0" encoding="utf-8"?>
<c:chartSpace xmlns:c="http://schemas.openxmlformats.org/drawingml/2006/chart" xmlns:a="http://schemas.openxmlformats.org/drawingml/2006/main" xmlns:r="http://schemas.openxmlformats.org/officeDocument/2006/relationships">
  <c:roundedCorners val="0"/>
  <c:chart>
    <c:title>
      <c:tx>
        <c:rich>
          <a:bodyPr wrap="square"/>
          <a:lstStyle/>
          <a:p>
            <a:pPr>
              <a:defRPr lang="en-US" sz="1200" b="0" u="none" baseline="0">
                <a:latin typeface="Arial"/>
                <a:ea typeface="Arial"/>
              </a:defRPr>
            </a:pPr>
            <a:r>
              <a:rPr lang="en-US"/>
              <a:t>Средняя оценка</a:t>
            </a:r>
          </a:p>
        </c:rich>
      </c:tx>
      <c:layout/>
      <c:overlay val="0"/>
      <c:spPr>
        <a:noFill/>
        <a:ln>
          <a:noFill/>
        </a:ln>
      </c:spPr>
    </c:title>
    <c:autoTitleDeleted val="0"/>
    <c:plotArea>
      <c:layout/>
      <c:lineChart>
        <c:grouping val="standard"/>
        <c:varyColors val="0"/>
        <c:ser>
          <c:idx val="0"/>
          <c:order val="0"/>
          <c:tx>
            <c:strRef>
              <c:f>Оценки!$H$44</c:f>
            </c:strRef>
          </c:tx>
          <c:spPr>
            <a:ln cap="rnd" cmpd="sng">
              <a:prstDash val="solid"/>
              <a:round/>
            </a:ln>
          </c:spPr>
          <c:marker>
            <c:symbol val="circle"/>
            <c:size val="5"/>
            <c:spPr>
              <a:ln>
                <a:noFill/>
              </a:ln>
            </c:spPr>
          </c:marker>
          <c:cat>
            <c:numRef>
              <c:f>Оценки!$B$45:$B$75</c:f>
              <c:numCache/>
            </c:numRef>
          </c:cat>
          <c:val>
            <c:numRef>
              <c:f>Оценки!$H$45:$H$75</c:f>
              <c:numCache/>
            </c:numRef>
          </c:val>
          <c:smooth val="1"/>
        </c:ser>
        <c:marker val="1"/>
        <c:axId val="56032384"/>
        <c:axId val="3819917"/>
      </c:lineChart>
      <c:catAx>
        <c:axId val="56032384"/>
        <c:scaling>
          <c:orientation val="minMax"/>
        </c:scaling>
        <c:delete val="0"/>
        <c:axPos val="b"/>
        <c:numFmt formatCode="General" sourceLinked="1"/>
        <c:majorTickMark val="out"/>
        <c:minorTickMark val="none"/>
        <c:tickLblPos val="nextTo"/>
        <c:spPr>
          <a:ln>
            <a:noFill/>
          </a:ln>
        </c:spPr>
        <c:crossAx val="3819917"/>
        <c:crosses val="autoZero"/>
        <c:lblOffset val="100"/>
        <c:noMultiLvlLbl val="0"/>
      </c:catAx>
      <c:valAx>
        <c:axId val="3819917"/>
        <c:scaling>
          <c:orientation val="minMax"/>
        </c:scaling>
        <c:delete val="0"/>
        <c:axPos val="l"/>
        <c:majorGridlines>
          <c:spPr>
            <a:ln/>
          </c:spPr>
        </c:majorGridlines>
        <c:numFmt formatCode="#,##0" sourceLinked="0"/>
        <c:majorTickMark val="out"/>
        <c:minorTickMark val="none"/>
        <c:tickLblPos val="nextTo"/>
        <c:spPr>
          <a:ln>
            <a:noFill/>
          </a:ln>
        </c:spPr>
        <c:crossAx val="56032384"/>
        <c:crosses val="autoZero"/>
        <c:crossBetween val="between"/>
      </c:valAx>
      <c:spPr>
        <a:solidFill>
          <a:srgbClr val="FFFFFF"/>
        </a:solidFill>
        <a:ln w="12700">
          <a:noFill/>
          <a:round/>
        </a:ln>
      </c:spPr>
    </c:plotArea>
    <c:legend>
      <c:legendPos val="b"/>
      <c:layout/>
      <c:overlay val="0"/>
    </c:legend>
    <c:plotVisOnly val="1"/>
    <c:dispBlanksAs val="gap"/>
    <c:showDLblsOverMax val="0"/>
  </c:chart>
  <c:spPr>
    <a:ln>
      <a:solidFill>
        <a:srgbClr val="D9D9D9"/>
      </a:solidFill>
    </a:ln>
  </c:spPr>
  <c:txPr>
    <a:bodyPr vert="horz" rot="0" wrap="square"/>
    <a:lstStyle/>
    <a:p>
      <a:pPr>
        <a:defRPr lang="en-US" sz="900" u="none" baseline="0">
          <a:latin typeface="Arial"/>
          <a:ea typeface="Arial"/>
        </a:defRPr>
      </a:pPr>
      <a:endParaRPr lang="en-US"/>
    </a:p>
  </c:txPr>
</c:chartSpace>
</file>

<file path=xl/charts/chart15.xml><?xml version="1.0" encoding="utf-8"?>
<c:chartSpace xmlns:c="http://schemas.openxmlformats.org/drawingml/2006/chart" xmlns:a="http://schemas.openxmlformats.org/drawingml/2006/main" xmlns:r="http://schemas.openxmlformats.org/officeDocument/2006/relationships">
  <c:roundedCorners val="0"/>
  <c:chart>
    <c:title>
      <c:tx>
        <c:rich>
          <a:bodyPr wrap="square"/>
          <a:lstStyle/>
          <a:p>
            <a:pPr>
              <a:defRPr lang="en-US" sz="1200" b="0" u="none" baseline="0">
                <a:latin typeface="Arial"/>
                <a:ea typeface="Arial"/>
              </a:defRPr>
            </a:pPr>
            <a:r>
              <a:rPr lang="en-US"/>
              <a:t>Типы площадок</a:t>
            </a:r>
          </a:p>
        </c:rich>
      </c:tx>
      <c:layout/>
      <c:overlay val="0"/>
      <c:spPr>
        <a:noFill/>
        <a:ln>
          <a:noFill/>
        </a:ln>
      </c:spPr>
    </c:title>
    <c:autoTitleDeleted val="0"/>
    <c:plotArea>
      <c:layout/>
      <c:pieChart>
        <c:varyColors val="1"/>
        <c:ser>
          <c:idx val="0"/>
          <c:order val="0"/>
          <c:explosion val="0"/>
          <c:dPt>
            <c:idx val="0"/>
            <c:spPr>
              <a:solidFill>
                <a:srgbClr val="5B9BD5"/>
              </a:solidFill>
            </c:spPr>
          </c:dPt>
          <c:dPt>
            <c:idx val="1"/>
            <c:spPr>
              <a:solidFill>
                <a:srgbClr val="70AD47"/>
              </a:solidFill>
            </c:spPr>
          </c:dPt>
          <c:dPt>
            <c:idx val="2"/>
            <c:spPr>
              <a:solidFill>
                <a:srgbClr val="BC13FE"/>
              </a:solidFill>
            </c:spPr>
          </c:dPt>
          <c:dPt>
            <c:idx val="3"/>
            <c:spPr>
              <a:solidFill>
                <a:srgbClr val="A5A5A5"/>
              </a:solidFill>
            </c:spPr>
          </c:dPt>
          <c:dPt>
            <c:idx val="4"/>
            <c:spPr>
              <a:solidFill>
                <a:srgbClr val="FFC000"/>
              </a:solidFill>
            </c:spPr>
          </c:dPt>
          <c:dPt>
            <c:idx val="5"/>
            <c:spPr>
              <a:solidFill>
                <a:srgbClr val="4472C4"/>
              </a:solidFill>
            </c:spPr>
          </c:dPt>
          <c:dPt>
            <c:idx val="6"/>
            <c:spPr>
              <a:solidFill>
                <a:srgbClr val="ED7D31"/>
              </a:solidFill>
            </c:spPr>
          </c:dPt>
          <c:dLbls>
            <c:numFmt formatCode="General" sourceLinked="1"/>
            <c:dLblPos val="bestFit"/>
            <c:showLegendKey val="0"/>
            <c:showVal val="0"/>
            <c:showCatName val="1"/>
            <c:showSerName val="0"/>
            <c:showPercent val="1"/>
            <c:showBubbleSize val="0"/>
            <c:showLeaderLines val="1"/>
          </c:dLbls>
          <c:cat>
            <c:strRef>
              <c:f>'Типы площадок'!$C$31:$I$31</c:f>
              <c:strCache/>
            </c:strRef>
          </c:cat>
          <c:val>
            <c:numRef>
              <c:f>'Типы площадок'!$C$32:$I$32</c:f>
              <c:numCache/>
            </c:numRef>
          </c:val>
        </c:ser>
      </c:pieChart>
      <c:spPr>
        <a:solidFill>
          <a:srgbClr val="FFFFFF"/>
        </a:solidFill>
        <a:ln w="12700">
          <a:noFill/>
        </a:ln>
      </c:spPr>
    </c:plotArea>
    <c:plotVisOnly val="1"/>
    <c:dispBlanksAs val="gap"/>
    <c:showDLblsOverMax val="0"/>
  </c:chart>
  <c:spPr>
    <a:ln>
      <a:solidFill>
        <a:srgbClr val="D9D9D9"/>
      </a:solidFill>
    </a:ln>
  </c:spPr>
  <c:txPr>
    <a:bodyPr vert="horz" rot="0" wrap="square"/>
    <a:lstStyle/>
    <a:p>
      <a:pPr>
        <a:defRPr lang="en-US" sz="900" u="none" baseline="0">
          <a:latin typeface="Arial"/>
          <a:ea typeface="Arial"/>
        </a:defRPr>
      </a:pPr>
      <a:endParaRPr lang="en-US"/>
    </a:p>
  </c:txPr>
</c:chartSpace>
</file>

<file path=xl/charts/chart16.xml><?xml version="1.0" encoding="utf-8"?>
<c:chartSpace xmlns:c="http://schemas.openxmlformats.org/drawingml/2006/chart" xmlns:a="http://schemas.openxmlformats.org/drawingml/2006/main" xmlns:r="http://schemas.openxmlformats.org/officeDocument/2006/relationships">
  <c:roundedCorners val="0"/>
  <c:chart>
    <c:title>
      <c:tx>
        <c:rich>
          <a:bodyPr wrap="square"/>
          <a:lstStyle/>
          <a:p>
            <a:pPr>
              <a:defRPr lang="en-US" sz="1200" b="0" u="none" baseline="0">
                <a:latin typeface="Arial"/>
                <a:ea typeface="Arial"/>
              </a:defRPr>
            </a:pPr>
            <a:r>
              <a:rPr lang="en-US"/>
              <a:t>Топ-10 площадок</a:t>
            </a:r>
          </a:p>
        </c:rich>
      </c:tx>
      <c:layout/>
      <c:overlay val="0"/>
      <c:spPr>
        <a:noFill/>
        <a:ln>
          <a:noFill/>
        </a:ln>
      </c:spPr>
    </c:title>
    <c:autoTitleDeleted val="0"/>
    <c:plotArea>
      <c:layout/>
      <c:barChart>
        <c:barDir val="bar"/>
        <c:grouping val="stacked"/>
        <c:varyColors val="0"/>
        <c:ser>
          <c:idx val="0"/>
          <c:order val="0"/>
          <c:tx>
            <c:strRef>
              <c:f>Площадки!$K$27</c:f>
            </c:strRef>
          </c:tx>
          <c:spPr>
            <a:solidFill>
              <a:srgbClr val="98D497"/>
            </a:solidFill>
          </c:spPr>
          <c:invertIfNegative val="0"/>
          <c:dLbls>
            <c:numFmt formatCode="General" sourceLinked="1"/>
            <c:showLegendKey val="0"/>
            <c:showVal val="0"/>
            <c:showCatName val="0"/>
            <c:showSerName val="0"/>
            <c:showPercent val="0"/>
            <c:showBubbleSize val="0"/>
            <c:showLeaderLines val="0"/>
            <c:separator> </c:separator>
          </c:dLbls>
          <c:cat>
            <c:strRef>
              <c:f>Площадки!$B$28:$B$38</c:f>
              <c:strCache/>
            </c:strRef>
          </c:cat>
          <c:val>
            <c:numRef>
              <c:f>Площадки!$K$28:$K$38</c:f>
              <c:numCache/>
            </c:numRef>
          </c:val>
        </c:ser>
        <c:ser>
          <c:idx val="1"/>
          <c:order val="1"/>
          <c:tx>
            <c:strRef>
              <c:f>Площадки!$L$27</c:f>
            </c:strRef>
          </c:tx>
          <c:spPr>
            <a:solidFill>
              <a:srgbClr val="CCD3DB"/>
            </a:solidFill>
          </c:spPr>
          <c:invertIfNegative val="0"/>
          <c:dLbls>
            <c:numFmt formatCode="General" sourceLinked="1"/>
            <c:showLegendKey val="0"/>
            <c:showVal val="0"/>
            <c:showCatName val="0"/>
            <c:showSerName val="0"/>
            <c:showPercent val="0"/>
            <c:showBubbleSize val="0"/>
            <c:showLeaderLines val="0"/>
            <c:separator> </c:separator>
          </c:dLbls>
          <c:cat>
            <c:strRef>
              <c:f>Площадки!$B$28:$B$38</c:f>
              <c:strCache/>
            </c:strRef>
          </c:cat>
          <c:val>
            <c:numRef>
              <c:f>Площадки!$L$28:$L$38</c:f>
              <c:numCache/>
            </c:numRef>
          </c:val>
        </c:ser>
        <c:ser>
          <c:idx val="2"/>
          <c:order val="2"/>
          <c:tx>
            <c:strRef>
              <c:f>Площадки!$M$27</c:f>
            </c:strRef>
          </c:tx>
          <c:spPr>
            <a:solidFill>
              <a:srgbClr val="FC6C73"/>
            </a:solidFill>
          </c:spPr>
          <c:invertIfNegative val="0"/>
          <c:dLbls>
            <c:numFmt formatCode="General" sourceLinked="1"/>
            <c:showLegendKey val="0"/>
            <c:showVal val="0"/>
            <c:showCatName val="0"/>
            <c:showSerName val="0"/>
            <c:showPercent val="0"/>
            <c:showBubbleSize val="0"/>
            <c:showLeaderLines val="0"/>
            <c:separator> </c:separator>
          </c:dLbls>
          <c:cat>
            <c:strRef>
              <c:f>Площадки!$B$28:$B$38</c:f>
              <c:strCache/>
            </c:strRef>
          </c:cat>
          <c:val>
            <c:numRef>
              <c:f>Площадки!$M$28:$M$38</c:f>
              <c:numCache/>
            </c:numRef>
          </c:val>
        </c:ser>
        <c:overlap val="100"/>
        <c:axId val="28391915"/>
        <c:axId val="64425556"/>
      </c:barChart>
      <c:catAx>
        <c:axId val="28391915"/>
        <c:scaling>
          <c:orientation val="maxMin"/>
        </c:scaling>
        <c:delete val="0"/>
        <c:axPos val="l"/>
        <c:numFmt formatCode="General" sourceLinked="1"/>
        <c:majorTickMark val="none"/>
        <c:minorTickMark val="none"/>
        <c:tickLblPos val="nextTo"/>
        <c:crossAx val="64425556"/>
        <c:crosses val="autoZero"/>
        <c:lblOffset val="100"/>
        <c:noMultiLvlLbl val="0"/>
      </c:catAx>
      <c:valAx>
        <c:axId val="64425556"/>
        <c:scaling>
          <c:orientation val="minMax"/>
        </c:scaling>
        <c:delete val="0"/>
        <c:axPos val="t"/>
        <c:majorGridlines>
          <c:spPr>
            <a:ln>
              <a:noFill/>
            </a:ln>
          </c:spPr>
        </c:majorGridlines>
        <c:numFmt formatCode="General" sourceLinked="1"/>
        <c:majorTickMark val="out"/>
        <c:minorTickMark val="none"/>
        <c:tickLblPos val="nextTo"/>
        <c:crossAx val="28391915"/>
        <c:crosses val="autoZero"/>
        <c:crossBetween val="between"/>
      </c:valAx>
      <c:spPr>
        <a:solidFill>
          <a:srgbClr val="FFFFFF"/>
        </a:solidFill>
      </c:spPr>
    </c:plotArea>
    <c:legend>
      <c:legendPos val="b"/>
      <c:layout/>
      <c:overlay val="0"/>
    </c:legend>
    <c:plotVisOnly val="1"/>
    <c:dispBlanksAs val="gap"/>
    <c:showDLblsOverMax val="0"/>
  </c:chart>
  <c:spPr>
    <a:ln>
      <a:solidFill>
        <a:srgbClr val="D9D9D9"/>
      </a:solidFill>
    </a:ln>
  </c:spPr>
  <c:txPr>
    <a:bodyPr vert="horz" rot="0" wrap="square"/>
    <a:lstStyle/>
    <a:p>
      <a:pPr>
        <a:defRPr lang="en-US" sz="900" u="none" baseline="0">
          <a:latin typeface="Arial"/>
          <a:ea typeface="Arial"/>
        </a:defRPr>
      </a:pPr>
      <a:endParaRPr lang="en-US"/>
    </a:p>
  </c:txPr>
</c:chartSpace>
</file>

<file path=xl/charts/chart17.xml><?xml version="1.0" encoding="utf-8"?>
<c:chartSpace xmlns:c="http://schemas.openxmlformats.org/drawingml/2006/chart" xmlns:a="http://schemas.openxmlformats.org/drawingml/2006/main" xmlns:r="http://schemas.openxmlformats.org/officeDocument/2006/relationships">
  <c:roundedCorners val="0"/>
  <c:chart>
    <c:title>
      <c:tx>
        <c:rich>
          <a:bodyPr wrap="square"/>
          <a:lstStyle/>
          <a:p>
            <a:pPr>
              <a:defRPr lang="en-US" sz="1200" b="0" u="none" baseline="0">
                <a:latin typeface="Arial"/>
                <a:ea typeface="Arial"/>
              </a:defRPr>
            </a:pPr>
            <a:r>
              <a:rPr lang="en-US"/>
              <a:t>Топ-10 групп</a:t>
            </a:r>
          </a:p>
        </c:rich>
      </c:tx>
      <c:layout/>
      <c:overlay val="0"/>
      <c:spPr>
        <a:noFill/>
        <a:ln>
          <a:noFill/>
        </a:ln>
      </c:spPr>
    </c:title>
    <c:autoTitleDeleted val="0"/>
    <c:plotArea>
      <c:layout/>
      <c:barChart>
        <c:barDir val="bar"/>
        <c:grouping val="clustered"/>
        <c:varyColors val="0"/>
        <c:ser>
          <c:idx val="0"/>
          <c:order val="0"/>
          <c:spPr>
            <a:solidFill>
              <a:srgbClr val="297180"/>
            </a:solidFill>
          </c:spPr>
          <c:invertIfNegative val="0"/>
          <c:dLbls>
            <c:numFmt formatCode="General" sourceLinked="1"/>
            <c:dLblPos val="outEnd"/>
            <c:showLegendKey val="0"/>
            <c:showVal val="1"/>
            <c:showCatName val="0"/>
            <c:showSerName val="0"/>
            <c:showPercent val="0"/>
            <c:showBubbleSize val="0"/>
            <c:showLeaderLines val="0"/>
            <c:separator> </c:separator>
          </c:dLbls>
          <c:cat>
            <c:strRef>
              <c:f>Группы!$B$28:$B$37</c:f>
              <c:strCache/>
            </c:strRef>
          </c:cat>
          <c:val>
            <c:numRef>
              <c:f>Группы!$G$28:$G$37</c:f>
              <c:numCache/>
            </c:numRef>
          </c:val>
        </c:ser>
        <c:axId val="57854535"/>
        <c:axId val="28481988"/>
      </c:barChart>
      <c:catAx>
        <c:axId val="57854535"/>
        <c:scaling>
          <c:orientation val="maxMin"/>
        </c:scaling>
        <c:delete val="0"/>
        <c:axPos val="l"/>
        <c:numFmt formatCode="General" sourceLinked="1"/>
        <c:majorTickMark val="none"/>
        <c:minorTickMark val="none"/>
        <c:tickLblPos val="nextTo"/>
        <c:crossAx val="28481988"/>
        <c:crosses val="autoZero"/>
        <c:lblOffset val="100"/>
        <c:noMultiLvlLbl val="0"/>
      </c:catAx>
      <c:valAx>
        <c:axId val="28481988"/>
        <c:scaling>
          <c:orientation val="minMax"/>
        </c:scaling>
        <c:delete val="1"/>
        <c:axPos val="t"/>
        <c:majorGridlines>
          <c:spPr>
            <a:ln>
              <a:noFill/>
            </a:ln>
          </c:spPr>
        </c:majorGridlines>
        <c:majorTickMark val="out"/>
        <c:minorTickMark val="none"/>
        <c:tickLblPos val="nextTo"/>
        <c:crossAx val="57854535"/>
        <c:crosses val="autoZero"/>
        <c:crossBetween val="between"/>
      </c:valAx>
      <c:spPr>
        <a:solidFill>
          <a:srgbClr val="FFFFFF"/>
        </a:solidFill>
      </c:spPr>
    </c:plotArea>
    <c:plotVisOnly val="1"/>
    <c:dispBlanksAs val="gap"/>
    <c:showDLblsOverMax val="0"/>
  </c:chart>
  <c:spPr>
    <a:ln>
      <a:solidFill>
        <a:srgbClr val="D9D9D9"/>
      </a:solidFill>
    </a:ln>
  </c:spPr>
  <c:txPr>
    <a:bodyPr vert="horz" rot="0" wrap="square"/>
    <a:lstStyle/>
    <a:p>
      <a:pPr>
        <a:defRPr lang="en-US" sz="900" u="none" baseline="0">
          <a:latin typeface="Arial"/>
          <a:ea typeface="Arial"/>
        </a:defRPr>
      </a:pPr>
      <a:endParaRPr lang="en-US"/>
    </a:p>
  </c:txPr>
</c:chartSpace>
</file>

<file path=xl/charts/chart18.xml><?xml version="1.0" encoding="utf-8"?>
<c:chartSpace xmlns:c="http://schemas.openxmlformats.org/drawingml/2006/chart" xmlns:a="http://schemas.openxmlformats.org/drawingml/2006/main" xmlns:r="http://schemas.openxmlformats.org/officeDocument/2006/relationships">
  <c:roundedCorners val="0"/>
  <c:chart>
    <c:title>
      <c:tx>
        <c:rich>
          <a:bodyPr wrap="square"/>
          <a:lstStyle/>
          <a:p>
            <a:pPr>
              <a:defRPr lang="en-US" sz="1200" b="0" u="none" baseline="0">
                <a:latin typeface="Arial"/>
                <a:ea typeface="Arial"/>
              </a:defRPr>
            </a:pPr>
            <a:r>
              <a:rPr lang="en-US"/>
              <a:t>Топ-10 авторов</a:t>
            </a:r>
          </a:p>
        </c:rich>
      </c:tx>
      <c:layout/>
      <c:overlay val="0"/>
      <c:spPr>
        <a:noFill/>
        <a:ln>
          <a:noFill/>
        </a:ln>
      </c:spPr>
    </c:title>
    <c:autoTitleDeleted val="0"/>
    <c:plotArea>
      <c:layout/>
      <c:barChart>
        <c:barDir val="bar"/>
        <c:grouping val="clustered"/>
        <c:varyColors val="0"/>
        <c:ser>
          <c:idx val="0"/>
          <c:order val="0"/>
          <c:spPr>
            <a:solidFill>
              <a:srgbClr val="297180"/>
            </a:solidFill>
          </c:spPr>
          <c:invertIfNegative val="0"/>
          <c:dLbls>
            <c:numFmt formatCode="General" sourceLinked="1"/>
            <c:dLblPos val="outEnd"/>
            <c:showLegendKey val="0"/>
            <c:showVal val="1"/>
            <c:showCatName val="0"/>
            <c:showSerName val="0"/>
            <c:showPercent val="0"/>
            <c:showBubbleSize val="0"/>
            <c:showLeaderLines val="0"/>
            <c:separator> </c:separator>
          </c:dLbls>
          <c:cat>
            <c:strRef>
              <c:f>Авторы!$B$28:$B$37</c:f>
              <c:strCache/>
            </c:strRef>
          </c:cat>
          <c:val>
            <c:numRef>
              <c:f>Авторы!$G$28:$G$37</c:f>
              <c:numCache/>
            </c:numRef>
          </c:val>
        </c:ser>
        <c:axId val="10681793"/>
        <c:axId val="61340123"/>
      </c:barChart>
      <c:catAx>
        <c:axId val="10681793"/>
        <c:scaling>
          <c:orientation val="maxMin"/>
        </c:scaling>
        <c:delete val="0"/>
        <c:axPos val="l"/>
        <c:numFmt formatCode="General" sourceLinked="1"/>
        <c:majorTickMark val="none"/>
        <c:minorTickMark val="none"/>
        <c:tickLblPos val="nextTo"/>
        <c:crossAx val="61340123"/>
        <c:crosses val="autoZero"/>
        <c:lblOffset val="100"/>
        <c:noMultiLvlLbl val="0"/>
      </c:catAx>
      <c:valAx>
        <c:axId val="61340123"/>
        <c:scaling>
          <c:orientation val="minMax"/>
        </c:scaling>
        <c:delete val="1"/>
        <c:axPos val="t"/>
        <c:majorGridlines>
          <c:spPr>
            <a:ln>
              <a:noFill/>
            </a:ln>
          </c:spPr>
        </c:majorGridlines>
        <c:majorTickMark val="out"/>
        <c:minorTickMark val="none"/>
        <c:tickLblPos val="nextTo"/>
        <c:crossAx val="10681793"/>
        <c:crosses val="autoZero"/>
        <c:crossBetween val="between"/>
      </c:valAx>
      <c:spPr>
        <a:solidFill>
          <a:srgbClr val="FFFFFF"/>
        </a:solidFill>
      </c:spPr>
    </c:plotArea>
    <c:plotVisOnly val="1"/>
    <c:dispBlanksAs val="gap"/>
    <c:showDLblsOverMax val="0"/>
  </c:chart>
  <c:spPr>
    <a:ln>
      <a:solidFill>
        <a:srgbClr val="D9D9D9"/>
      </a:solidFill>
    </a:ln>
  </c:spPr>
  <c:txPr>
    <a:bodyPr vert="horz" rot="0" wrap="square"/>
    <a:lstStyle/>
    <a:p>
      <a:pPr>
        <a:defRPr lang="en-US" sz="900" u="none" baseline="0">
          <a:latin typeface="Arial"/>
          <a:ea typeface="Arial"/>
        </a:defRPr>
      </a:pPr>
      <a:endParaRPr lang="en-US"/>
    </a:p>
  </c:txPr>
</c:chartSpace>
</file>

<file path=xl/charts/chart19.xml><?xml version="1.0" encoding="utf-8"?>
<c:chartSpace xmlns:c="http://schemas.openxmlformats.org/drawingml/2006/chart" xmlns:a="http://schemas.openxmlformats.org/drawingml/2006/main" xmlns:r="http://schemas.openxmlformats.org/officeDocument/2006/relationships">
  <c:roundedCorners val="0"/>
  <c:chart>
    <c:title>
      <c:tx>
        <c:rich>
          <a:bodyPr wrap="square"/>
          <a:lstStyle/>
          <a:p>
            <a:pPr>
              <a:defRPr lang="en-US" sz="1200" b="0" u="none" baseline="0">
                <a:latin typeface="Arial"/>
                <a:ea typeface="Arial"/>
              </a:defRPr>
            </a:pPr>
            <a:r>
              <a:rPr lang="en-US"/>
              <a:t>Пол авторов</a:t>
            </a:r>
          </a:p>
        </c:rich>
      </c:tx>
      <c:layout/>
      <c:overlay val="0"/>
      <c:spPr>
        <a:noFill/>
        <a:ln>
          <a:noFill/>
        </a:ln>
      </c:spPr>
    </c:title>
    <c:autoTitleDeleted val="0"/>
    <c:plotArea>
      <c:layout/>
      <c:doughnutChart>
        <c:varyColors val="1"/>
        <c:ser>
          <c:idx val="0"/>
          <c:order val="0"/>
          <c:explosion val="0"/>
          <c:dPt>
            <c:idx val="0"/>
            <c:spPr>
              <a:solidFill>
                <a:srgbClr val="FFC000"/>
              </a:solidFill>
            </c:spPr>
          </c:dPt>
          <c:dPt>
            <c:idx val="1"/>
            <c:spPr>
              <a:solidFill>
                <a:srgbClr val="297180"/>
              </a:solidFill>
            </c:spPr>
          </c:dPt>
          <c:dLbls>
            <c:numFmt formatCode="General" sourceLinked="1"/>
            <c:showLegendKey val="0"/>
            <c:showVal val="0"/>
            <c:showCatName val="0"/>
            <c:showSerName val="0"/>
            <c:showPercent val="1"/>
            <c:showBubbleSize val="0"/>
            <c:showLeaderLines val="1"/>
          </c:dLbls>
          <c:cat>
            <c:strRef>
              <c:f>'Соцдем авторов'!$B$7:$B$8</c:f>
              <c:strCache/>
            </c:strRef>
          </c:cat>
          <c:val>
            <c:numRef>
              <c:f>'Соцдем авторов'!$E$7:$E$8</c:f>
              <c:numCache/>
            </c:numRef>
          </c:val>
        </c:ser>
        <c:holeSize val="50"/>
      </c:doughnutChart>
      <c:spPr>
        <a:solidFill>
          <a:srgbClr val="FFFFFF"/>
        </a:solidFill>
        <a:ln w="12700">
          <a:noFill/>
        </a:ln>
      </c:spPr>
    </c:plotArea>
    <c:legend>
      <c:legendPos val="b"/>
      <c:layout/>
      <c:overlay val="0"/>
    </c:legend>
    <c:plotVisOnly val="1"/>
    <c:dispBlanksAs val="gap"/>
    <c:showDLblsOverMax val="0"/>
  </c:chart>
  <c:spPr>
    <a:ln>
      <a:solidFill>
        <a:srgbClr val="D9D9D9"/>
      </a:solidFill>
    </a:ln>
  </c:spPr>
  <c:txPr>
    <a:bodyPr vert="horz" rot="0" wrap="square"/>
    <a:lstStyle/>
    <a:p>
      <a:pPr>
        <a:defRPr lang="en-US" sz="900" u="none" baseline="0">
          <a:latin typeface="Arial"/>
          <a:ea typeface="Arial"/>
        </a:defRPr>
      </a:pPr>
      <a:endParaRPr lang="en-US"/>
    </a:p>
  </c:txPr>
</c:chartSpace>
</file>

<file path=xl/charts/chart20.xml><?xml version="1.0" encoding="utf-8"?>
<c:chartSpace xmlns:c="http://schemas.openxmlformats.org/drawingml/2006/chart" xmlns:a="http://schemas.openxmlformats.org/drawingml/2006/main" xmlns:r="http://schemas.openxmlformats.org/officeDocument/2006/relationships">
  <c:roundedCorners val="0"/>
  <c:chart>
    <c:title>
      <c:tx>
        <c:rich>
          <a:bodyPr wrap="square"/>
          <a:lstStyle/>
          <a:p>
            <a:pPr>
              <a:defRPr lang="en-US" sz="1200" b="0" u="none" baseline="0">
                <a:latin typeface="Arial"/>
                <a:ea typeface="Arial"/>
              </a:defRPr>
            </a:pPr>
            <a:r>
              <a:rPr lang="en-US"/>
              <a:t>Возраст авторов</a:t>
            </a:r>
          </a:p>
        </c:rich>
      </c:tx>
      <c:layout/>
      <c:overlay val="0"/>
      <c:spPr>
        <a:noFill/>
        <a:ln>
          <a:noFill/>
        </a:ln>
      </c:spPr>
    </c:title>
    <c:autoTitleDeleted val="0"/>
    <c:plotArea>
      <c:layout/>
      <c:barChart>
        <c:barDir val="bar"/>
        <c:grouping val="clustered"/>
        <c:varyColors val="0"/>
        <c:ser>
          <c:idx val="0"/>
          <c:order val="0"/>
          <c:spPr>
            <a:solidFill>
              <a:srgbClr val="297180"/>
            </a:solidFill>
          </c:spPr>
          <c:invertIfNegative val="0"/>
          <c:dLbls>
            <c:numFmt formatCode="General" sourceLinked="1"/>
            <c:dLblPos val="outEnd"/>
            <c:showLegendKey val="0"/>
            <c:showVal val="1"/>
            <c:showCatName val="0"/>
            <c:showSerName val="0"/>
            <c:showPercent val="0"/>
            <c:showBubbleSize val="0"/>
            <c:showLeaderLines val="0"/>
            <c:separator> </c:separator>
          </c:dLbls>
          <c:cat>
            <c:strRef>
              <c:f>'Соцдем авторов'!$B$12:$B$16</c:f>
              <c:strCache/>
            </c:strRef>
          </c:cat>
          <c:val>
            <c:numRef>
              <c:f>'Соцдем авторов'!$E$12:$E$16</c:f>
              <c:numCache/>
            </c:numRef>
          </c:val>
        </c:ser>
        <c:axId val="37266957"/>
        <c:axId val="39307227"/>
      </c:barChart>
      <c:catAx>
        <c:axId val="37266957"/>
        <c:scaling>
          <c:orientation val="maxMin"/>
        </c:scaling>
        <c:delete val="0"/>
        <c:axPos val="l"/>
        <c:numFmt formatCode="General" sourceLinked="1"/>
        <c:majorTickMark val="none"/>
        <c:minorTickMark val="none"/>
        <c:tickLblPos val="nextTo"/>
        <c:crossAx val="39307227"/>
        <c:crosses val="autoZero"/>
        <c:lblOffset val="100"/>
        <c:noMultiLvlLbl val="0"/>
      </c:catAx>
      <c:valAx>
        <c:axId val="39307227"/>
        <c:scaling>
          <c:orientation val="minMax"/>
        </c:scaling>
        <c:delete val="1"/>
        <c:axPos val="t"/>
        <c:majorGridlines>
          <c:spPr>
            <a:ln>
              <a:noFill/>
            </a:ln>
          </c:spPr>
        </c:majorGridlines>
        <c:majorTickMark val="out"/>
        <c:minorTickMark val="none"/>
        <c:tickLblPos val="nextTo"/>
        <c:crossAx val="37266957"/>
        <c:crosses val="autoZero"/>
        <c:crossBetween val="between"/>
      </c:valAx>
      <c:spPr>
        <a:solidFill>
          <a:srgbClr val="FFFFFF"/>
        </a:solidFill>
      </c:spPr>
    </c:plotArea>
    <c:plotVisOnly val="1"/>
    <c:dispBlanksAs val="gap"/>
    <c:showDLblsOverMax val="0"/>
  </c:chart>
  <c:spPr>
    <a:ln>
      <a:solidFill>
        <a:srgbClr val="D9D9D9"/>
      </a:solidFill>
    </a:ln>
  </c:spPr>
  <c:txPr>
    <a:bodyPr vert="horz" rot="0" wrap="square"/>
    <a:lstStyle/>
    <a:p>
      <a:pPr>
        <a:defRPr lang="en-US" sz="900" u="none" baseline="0">
          <a:latin typeface="Arial"/>
          <a:ea typeface="Arial"/>
        </a:defRPr>
      </a:pPr>
      <a:endParaRPr lang="en-US"/>
    </a:p>
  </c:txPr>
</c:chartSpace>
</file>

<file path=xl/charts/chart21.xml><?xml version="1.0" encoding="utf-8"?>
<c:chartSpace xmlns:c="http://schemas.openxmlformats.org/drawingml/2006/chart" xmlns:a="http://schemas.openxmlformats.org/drawingml/2006/main" xmlns:r="http://schemas.openxmlformats.org/officeDocument/2006/relationships">
  <c:roundedCorners val="0"/>
  <c:chart>
    <c:title>
      <c:tx>
        <c:rich>
          <a:bodyPr wrap="square"/>
          <a:lstStyle/>
          <a:p>
            <a:pPr>
              <a:defRPr lang="en-US" sz="1200" b="0" u="none" baseline="0">
                <a:latin typeface="Arial"/>
                <a:ea typeface="Arial"/>
              </a:defRPr>
            </a:pPr>
            <a:r>
              <a:rPr lang="en-US"/>
              <a:t>Семейное положение авторов</a:t>
            </a:r>
          </a:p>
        </c:rich>
      </c:tx>
      <c:layout/>
      <c:overlay val="0"/>
      <c:spPr>
        <a:noFill/>
        <a:ln>
          <a:noFill/>
        </a:ln>
      </c:spPr>
    </c:title>
    <c:autoTitleDeleted val="0"/>
    <c:plotArea>
      <c:layout/>
      <c:doughnutChart>
        <c:varyColors val="1"/>
        <c:ser>
          <c:idx val="0"/>
          <c:order val="0"/>
          <c:explosion val="0"/>
          <c:dPt>
            <c:idx val="0"/>
            <c:spPr>
              <a:solidFill>
                <a:srgbClr val="FFC000"/>
              </a:solidFill>
            </c:spPr>
          </c:dPt>
          <c:dPt>
            <c:idx val="1"/>
            <c:spPr>
              <a:solidFill>
                <a:srgbClr val="297180"/>
              </a:solidFill>
            </c:spPr>
          </c:dPt>
          <c:dLbls>
            <c:numFmt formatCode="General" sourceLinked="1"/>
            <c:showLegendKey val="0"/>
            <c:showVal val="0"/>
            <c:showCatName val="0"/>
            <c:showSerName val="0"/>
            <c:showPercent val="1"/>
            <c:showBubbleSize val="0"/>
            <c:showLeaderLines val="1"/>
          </c:dLbls>
          <c:cat>
            <c:strRef>
              <c:f>'Соцдем авторов'!$B$20:$B$21</c:f>
              <c:strCache/>
            </c:strRef>
          </c:cat>
          <c:val>
            <c:numRef>
              <c:f>'Соцдем авторов'!$E$20:$E$21</c:f>
              <c:numCache/>
            </c:numRef>
          </c:val>
        </c:ser>
        <c:holeSize val="50"/>
      </c:doughnutChart>
      <c:spPr>
        <a:solidFill>
          <a:srgbClr val="FFFFFF"/>
        </a:solidFill>
        <a:ln w="12700">
          <a:noFill/>
        </a:ln>
      </c:spPr>
    </c:plotArea>
    <c:legend>
      <c:legendPos val="b"/>
      <c:layout/>
      <c:overlay val="0"/>
    </c:legend>
    <c:plotVisOnly val="1"/>
    <c:dispBlanksAs val="gap"/>
    <c:showDLblsOverMax val="0"/>
  </c:chart>
  <c:spPr>
    <a:ln>
      <a:solidFill>
        <a:srgbClr val="D9D9D9"/>
      </a:solidFill>
    </a:ln>
  </c:spPr>
  <c:txPr>
    <a:bodyPr vert="horz" rot="0" wrap="square"/>
    <a:lstStyle/>
    <a:p>
      <a:pPr>
        <a:defRPr lang="en-US" sz="900" u="none" baseline="0">
          <a:latin typeface="Arial"/>
          <a:ea typeface="Arial"/>
        </a:defRPr>
      </a:pPr>
      <a:endParaRPr lang="en-US"/>
    </a:p>
  </c:txPr>
</c:chartSpace>
</file>

<file path=xl/charts/chart22.xml><?xml version="1.0" encoding="utf-8"?>
<c:chartSpace xmlns:c="http://schemas.openxmlformats.org/drawingml/2006/chart" xmlns:a="http://schemas.openxmlformats.org/drawingml/2006/main" xmlns:r="http://schemas.openxmlformats.org/officeDocument/2006/relationships">
  <c:roundedCorners val="0"/>
  <c:chart>
    <c:title>
      <c:tx>
        <c:rich>
          <a:bodyPr wrap="square"/>
          <a:lstStyle/>
          <a:p>
            <a:pPr>
              <a:defRPr lang="en-US" sz="1200" b="0" u="none" baseline="0">
                <a:latin typeface="Arial"/>
                <a:ea typeface="Arial"/>
              </a:defRPr>
            </a:pPr>
            <a:r>
              <a:rPr lang="en-US"/>
              <a:t>Образование авторов</a:t>
            </a:r>
          </a:p>
        </c:rich>
      </c:tx>
      <c:layout/>
      <c:overlay val="0"/>
      <c:spPr>
        <a:noFill/>
        <a:ln>
          <a:noFill/>
        </a:ln>
      </c:spPr>
    </c:title>
    <c:autoTitleDeleted val="0"/>
    <c:plotArea>
      <c:layout/>
      <c:barChart>
        <c:barDir val="bar"/>
        <c:grouping val="clustered"/>
        <c:varyColors val="0"/>
        <c:ser>
          <c:idx val="0"/>
          <c:order val="0"/>
          <c:spPr>
            <a:solidFill>
              <a:srgbClr val="297180"/>
            </a:solidFill>
          </c:spPr>
          <c:invertIfNegative val="0"/>
          <c:dLbls>
            <c:numFmt formatCode="General" sourceLinked="1"/>
            <c:dLblPos val="outEnd"/>
            <c:showLegendKey val="0"/>
            <c:showVal val="1"/>
            <c:showCatName val="0"/>
            <c:showSerName val="0"/>
            <c:showPercent val="0"/>
            <c:showBubbleSize val="0"/>
            <c:showLeaderLines val="0"/>
            <c:separator> </c:separator>
          </c:dLbls>
          <c:cat>
            <c:strRef>
              <c:f>'Соцдем авторов'!$B$25:$B$27</c:f>
              <c:strCache/>
            </c:strRef>
          </c:cat>
          <c:val>
            <c:numRef>
              <c:f>'Соцдем авторов'!$E$25:$E$27</c:f>
              <c:numCache/>
            </c:numRef>
          </c:val>
        </c:ser>
        <c:axId val="37711742"/>
        <c:axId val="58540561"/>
      </c:barChart>
      <c:catAx>
        <c:axId val="37711742"/>
        <c:scaling>
          <c:orientation val="maxMin"/>
        </c:scaling>
        <c:delete val="0"/>
        <c:axPos val="l"/>
        <c:numFmt formatCode="General" sourceLinked="1"/>
        <c:majorTickMark val="none"/>
        <c:minorTickMark val="none"/>
        <c:tickLblPos val="nextTo"/>
        <c:crossAx val="58540561"/>
        <c:crosses val="autoZero"/>
        <c:lblOffset val="100"/>
        <c:noMultiLvlLbl val="0"/>
      </c:catAx>
      <c:valAx>
        <c:axId val="58540561"/>
        <c:scaling>
          <c:orientation val="minMax"/>
        </c:scaling>
        <c:delete val="1"/>
        <c:axPos val="t"/>
        <c:majorGridlines>
          <c:spPr>
            <a:ln>
              <a:noFill/>
            </a:ln>
          </c:spPr>
        </c:majorGridlines>
        <c:majorTickMark val="out"/>
        <c:minorTickMark val="none"/>
        <c:tickLblPos val="nextTo"/>
        <c:crossAx val="37711742"/>
        <c:crosses val="autoZero"/>
        <c:crossBetween val="between"/>
      </c:valAx>
      <c:spPr>
        <a:solidFill>
          <a:srgbClr val="FFFFFF"/>
        </a:solidFill>
      </c:spPr>
    </c:plotArea>
    <c:plotVisOnly val="1"/>
    <c:dispBlanksAs val="gap"/>
    <c:showDLblsOverMax val="0"/>
  </c:chart>
  <c:spPr>
    <a:ln>
      <a:solidFill>
        <a:srgbClr val="D9D9D9"/>
      </a:solidFill>
    </a:ln>
  </c:spPr>
  <c:txPr>
    <a:bodyPr vert="horz" rot="0" wrap="square"/>
    <a:lstStyle/>
    <a:p>
      <a:pPr>
        <a:defRPr lang="en-US" sz="900" u="none" baseline="0">
          <a:latin typeface="Arial"/>
          <a:ea typeface="Arial"/>
        </a:defRPr>
      </a:pPr>
      <a:endParaRPr lang="en-US"/>
    </a:p>
  </c:txPr>
</c:chartSpace>
</file>

<file path=xl/charts/chart23.xml><?xml version="1.0" encoding="utf-8"?>
<c:chartSpace xmlns:c="http://schemas.openxmlformats.org/drawingml/2006/chart" xmlns:a="http://schemas.openxmlformats.org/drawingml/2006/main" xmlns:r="http://schemas.openxmlformats.org/officeDocument/2006/relationships">
  <c:roundedCorners val="0"/>
  <c:chart>
    <c:title>
      <c:tx>
        <c:rich>
          <a:bodyPr wrap="square"/>
          <a:lstStyle/>
          <a:p>
            <a:pPr>
              <a:defRPr lang="en-US" sz="1200" b="0" u="none" baseline="0">
                <a:latin typeface="Arial"/>
                <a:ea typeface="Arial"/>
              </a:defRPr>
            </a:pPr>
            <a:r>
              <a:rPr lang="en-US"/>
              <a:t>Интересы авторов</a:t>
            </a:r>
          </a:p>
        </c:rich>
      </c:tx>
      <c:layout/>
      <c:overlay val="0"/>
      <c:spPr>
        <a:noFill/>
        <a:ln>
          <a:noFill/>
        </a:ln>
      </c:spPr>
    </c:title>
    <c:autoTitleDeleted val="0"/>
    <c:plotArea>
      <c:layout/>
      <c:barChart>
        <c:barDir val="bar"/>
        <c:grouping val="clustered"/>
        <c:varyColors val="0"/>
        <c:ser>
          <c:idx val="0"/>
          <c:order val="0"/>
          <c:spPr>
            <a:solidFill>
              <a:srgbClr val="297180"/>
            </a:solidFill>
          </c:spPr>
          <c:invertIfNegative val="0"/>
          <c:dLbls>
            <c:numFmt formatCode="General" sourceLinked="1"/>
            <c:dLblPos val="outEnd"/>
            <c:showLegendKey val="0"/>
            <c:showVal val="1"/>
            <c:showCatName val="0"/>
            <c:showSerName val="0"/>
            <c:showPercent val="0"/>
            <c:showBubbleSize val="0"/>
            <c:showLeaderLines val="0"/>
            <c:separator> </c:separator>
          </c:dLbls>
          <c:cat>
            <c:strRef>
              <c:f>'Соцдем авторов'!$B$40:$B$45</c:f>
              <c:strCache/>
            </c:strRef>
          </c:cat>
          <c:val>
            <c:numRef>
              <c:f>'Соцдем авторов'!$D$40:$D$45</c:f>
              <c:numCache/>
            </c:numRef>
          </c:val>
        </c:ser>
        <c:axId val="34189330"/>
        <c:axId val="51267660"/>
      </c:barChart>
      <c:catAx>
        <c:axId val="34189330"/>
        <c:scaling>
          <c:orientation val="maxMin"/>
        </c:scaling>
        <c:delete val="0"/>
        <c:axPos val="l"/>
        <c:numFmt formatCode="General" sourceLinked="1"/>
        <c:majorTickMark val="none"/>
        <c:minorTickMark val="none"/>
        <c:tickLblPos val="nextTo"/>
        <c:crossAx val="51267660"/>
        <c:crosses val="autoZero"/>
        <c:lblOffset val="100"/>
        <c:noMultiLvlLbl val="0"/>
      </c:catAx>
      <c:valAx>
        <c:axId val="51267660"/>
        <c:scaling>
          <c:orientation val="minMax"/>
        </c:scaling>
        <c:delete val="1"/>
        <c:axPos val="t"/>
        <c:majorGridlines>
          <c:spPr>
            <a:ln>
              <a:noFill/>
            </a:ln>
          </c:spPr>
        </c:majorGridlines>
        <c:majorTickMark val="out"/>
        <c:minorTickMark val="none"/>
        <c:tickLblPos val="nextTo"/>
        <c:crossAx val="34189330"/>
        <c:crosses val="autoZero"/>
        <c:crossBetween val="between"/>
      </c:valAx>
      <c:spPr>
        <a:solidFill>
          <a:srgbClr val="FFFFFF"/>
        </a:solidFill>
      </c:spPr>
    </c:plotArea>
    <c:plotVisOnly val="1"/>
    <c:dispBlanksAs val="gap"/>
    <c:showDLblsOverMax val="0"/>
  </c:chart>
  <c:spPr>
    <a:ln>
      <a:solidFill>
        <a:srgbClr val="D9D9D9"/>
      </a:solidFill>
    </a:ln>
  </c:spPr>
  <c:txPr>
    <a:bodyPr vert="horz" rot="0" wrap="square"/>
    <a:lstStyle/>
    <a:p>
      <a:pPr>
        <a:defRPr lang="en-US" sz="900" u="none" baseline="0">
          <a:latin typeface="Arial"/>
          <a:ea typeface="Arial"/>
        </a:defRPr>
      </a:pPr>
      <a:endParaRPr lang="en-US"/>
    </a:p>
  </c:txPr>
</c:chartSpace>
</file>

<file path=xl/charts/chart24.xml><?xml version="1.0" encoding="utf-8"?>
<c:chartSpace xmlns:c="http://schemas.openxmlformats.org/drawingml/2006/chart" xmlns:a="http://schemas.openxmlformats.org/drawingml/2006/main" xmlns:r="http://schemas.openxmlformats.org/officeDocument/2006/relationships">
  <c:roundedCorners val="0"/>
  <c:chart>
    <c:title>
      <c:tx>
        <c:rich>
          <a:bodyPr wrap="square"/>
          <a:lstStyle/>
          <a:p>
            <a:pPr>
              <a:defRPr lang="en-US" sz="1200" b="0" u="none" baseline="0">
                <a:latin typeface="Arial"/>
                <a:ea typeface="Arial"/>
              </a:defRPr>
            </a:pPr>
            <a:r>
              <a:rPr lang="en-US"/>
              <a:t>Топ-10 стран авторов</a:t>
            </a:r>
          </a:p>
        </c:rich>
      </c:tx>
      <c:layout/>
      <c:overlay val="0"/>
      <c:spPr>
        <a:noFill/>
        <a:ln>
          <a:noFill/>
        </a:ln>
      </c:spPr>
    </c:title>
    <c:autoTitleDeleted val="0"/>
    <c:plotArea>
      <c:layout/>
      <c:barChart>
        <c:barDir val="bar"/>
        <c:grouping val="clustered"/>
        <c:varyColors val="0"/>
        <c:ser>
          <c:idx val="0"/>
          <c:order val="0"/>
          <c:spPr>
            <a:solidFill>
              <a:srgbClr val="297180"/>
            </a:solidFill>
          </c:spPr>
          <c:invertIfNegative val="0"/>
          <c:dLbls>
            <c:numFmt formatCode="General" sourceLinked="1"/>
            <c:dLblPos val="outEnd"/>
            <c:showLegendKey val="0"/>
            <c:showVal val="1"/>
            <c:showCatName val="0"/>
            <c:showSerName val="0"/>
            <c:showPercent val="0"/>
            <c:showBubbleSize val="0"/>
            <c:showLeaderLines val="0"/>
            <c:separator> </c:separator>
          </c:dLbls>
          <c:cat>
            <c:strRef>
              <c:f>'Соцдем авторов'!$B$49:$B$49</c:f>
              <c:strCache/>
            </c:strRef>
          </c:cat>
          <c:val>
            <c:numRef>
              <c:f>'Соцдем авторов'!$E$49:$E$49</c:f>
              <c:numCache/>
            </c:numRef>
          </c:val>
        </c:ser>
        <c:axId val="30327012"/>
        <c:axId val="60945467"/>
      </c:barChart>
      <c:catAx>
        <c:axId val="30327012"/>
        <c:scaling>
          <c:orientation val="maxMin"/>
        </c:scaling>
        <c:delete val="0"/>
        <c:axPos val="l"/>
        <c:numFmt formatCode="General" sourceLinked="1"/>
        <c:majorTickMark val="none"/>
        <c:minorTickMark val="none"/>
        <c:tickLblPos val="nextTo"/>
        <c:crossAx val="60945467"/>
        <c:crosses val="autoZero"/>
        <c:lblOffset val="100"/>
        <c:noMultiLvlLbl val="0"/>
      </c:catAx>
      <c:valAx>
        <c:axId val="60945467"/>
        <c:scaling>
          <c:orientation val="minMax"/>
        </c:scaling>
        <c:delete val="1"/>
        <c:axPos val="t"/>
        <c:majorGridlines>
          <c:spPr>
            <a:ln>
              <a:noFill/>
            </a:ln>
          </c:spPr>
        </c:majorGridlines>
        <c:majorTickMark val="out"/>
        <c:minorTickMark val="none"/>
        <c:tickLblPos val="nextTo"/>
        <c:crossAx val="30327012"/>
        <c:crosses val="autoZero"/>
        <c:crossBetween val="between"/>
      </c:valAx>
      <c:spPr>
        <a:solidFill>
          <a:srgbClr val="FFFFFF"/>
        </a:solidFill>
      </c:spPr>
    </c:plotArea>
    <c:plotVisOnly val="1"/>
    <c:dispBlanksAs val="gap"/>
    <c:showDLblsOverMax val="0"/>
  </c:chart>
  <c:spPr>
    <a:ln>
      <a:solidFill>
        <a:srgbClr val="D9D9D9"/>
      </a:solidFill>
    </a:ln>
  </c:spPr>
  <c:txPr>
    <a:bodyPr vert="horz" rot="0" wrap="square"/>
    <a:lstStyle/>
    <a:p>
      <a:pPr>
        <a:defRPr lang="en-US" sz="900" u="none" baseline="0">
          <a:latin typeface="Arial"/>
          <a:ea typeface="Arial"/>
        </a:defRPr>
      </a:pPr>
      <a:endParaRPr lang="en-US"/>
    </a:p>
  </c:txPr>
</c:chartSpace>
</file>

<file path=xl/charts/chart25.xml><?xml version="1.0" encoding="utf-8"?>
<c:chartSpace xmlns:c="http://schemas.openxmlformats.org/drawingml/2006/chart" xmlns:a="http://schemas.openxmlformats.org/drawingml/2006/main" xmlns:r="http://schemas.openxmlformats.org/officeDocument/2006/relationships">
  <c:roundedCorners val="0"/>
  <c:chart>
    <c:title>
      <c:tx>
        <c:rich>
          <a:bodyPr wrap="square"/>
          <a:lstStyle/>
          <a:p>
            <a:pPr>
              <a:defRPr lang="en-US" sz="1200" b="0" u="none" baseline="0">
                <a:latin typeface="Arial"/>
                <a:ea typeface="Arial"/>
              </a:defRPr>
            </a:pPr>
            <a:r>
              <a:rPr lang="en-US"/>
              <a:t>Топ-10 регионов авторов</a:t>
            </a:r>
          </a:p>
        </c:rich>
      </c:tx>
      <c:layout/>
      <c:overlay val="0"/>
      <c:spPr>
        <a:noFill/>
        <a:ln>
          <a:noFill/>
        </a:ln>
      </c:spPr>
    </c:title>
    <c:autoTitleDeleted val="0"/>
    <c:plotArea>
      <c:layout/>
      <c:barChart>
        <c:barDir val="bar"/>
        <c:grouping val="clustered"/>
        <c:varyColors val="0"/>
        <c:ser>
          <c:idx val="0"/>
          <c:order val="0"/>
          <c:spPr>
            <a:solidFill>
              <a:srgbClr val="297180"/>
            </a:solidFill>
          </c:spPr>
          <c:invertIfNegative val="0"/>
          <c:dLbls>
            <c:numFmt formatCode="General" sourceLinked="1"/>
            <c:dLblPos val="outEnd"/>
            <c:showLegendKey val="0"/>
            <c:showVal val="1"/>
            <c:showCatName val="0"/>
            <c:showSerName val="0"/>
            <c:showPercent val="0"/>
            <c:showBubbleSize val="0"/>
            <c:showLeaderLines val="0"/>
            <c:separator> </c:separator>
          </c:dLbls>
          <c:cat>
            <c:strRef>
              <c:f>'Соцдем авторов'!$B$53:$B$62</c:f>
              <c:strCache/>
            </c:strRef>
          </c:cat>
          <c:val>
            <c:numRef>
              <c:f>'Соцдем авторов'!$E$53:$E$62</c:f>
              <c:numCache/>
            </c:numRef>
          </c:val>
        </c:ser>
        <c:axId val="35629268"/>
        <c:axId val="11175455"/>
      </c:barChart>
      <c:catAx>
        <c:axId val="35629268"/>
        <c:scaling>
          <c:orientation val="maxMin"/>
        </c:scaling>
        <c:delete val="0"/>
        <c:axPos val="l"/>
        <c:numFmt formatCode="General" sourceLinked="1"/>
        <c:majorTickMark val="none"/>
        <c:minorTickMark val="none"/>
        <c:tickLblPos val="nextTo"/>
        <c:crossAx val="11175455"/>
        <c:crosses val="autoZero"/>
        <c:lblOffset val="100"/>
        <c:noMultiLvlLbl val="0"/>
      </c:catAx>
      <c:valAx>
        <c:axId val="11175455"/>
        <c:scaling>
          <c:orientation val="minMax"/>
        </c:scaling>
        <c:delete val="1"/>
        <c:axPos val="t"/>
        <c:majorGridlines>
          <c:spPr>
            <a:ln>
              <a:noFill/>
            </a:ln>
          </c:spPr>
        </c:majorGridlines>
        <c:majorTickMark val="out"/>
        <c:minorTickMark val="none"/>
        <c:tickLblPos val="nextTo"/>
        <c:crossAx val="35629268"/>
        <c:crosses val="autoZero"/>
        <c:crossBetween val="between"/>
      </c:valAx>
      <c:spPr>
        <a:solidFill>
          <a:srgbClr val="FFFFFF"/>
        </a:solidFill>
      </c:spPr>
    </c:plotArea>
    <c:plotVisOnly val="1"/>
    <c:dispBlanksAs val="gap"/>
    <c:showDLblsOverMax val="0"/>
  </c:chart>
  <c:spPr>
    <a:ln>
      <a:solidFill>
        <a:srgbClr val="D9D9D9"/>
      </a:solidFill>
    </a:ln>
  </c:spPr>
  <c:txPr>
    <a:bodyPr vert="horz" rot="0" wrap="square"/>
    <a:lstStyle/>
    <a:p>
      <a:pPr>
        <a:defRPr lang="en-US" sz="900" u="none" baseline="0">
          <a:latin typeface="Arial"/>
          <a:ea typeface="Arial"/>
        </a:defRPr>
      </a:pPr>
      <a:endParaRPr lang="en-US"/>
    </a:p>
  </c:txPr>
</c:chartSpace>
</file>

<file path=xl/charts/chart26.xml><?xml version="1.0" encoding="utf-8"?>
<c:chartSpace xmlns:c="http://schemas.openxmlformats.org/drawingml/2006/chart" xmlns:a="http://schemas.openxmlformats.org/drawingml/2006/main" xmlns:r="http://schemas.openxmlformats.org/officeDocument/2006/relationships">
  <c:roundedCorners val="0"/>
  <c:chart>
    <c:title>
      <c:tx>
        <c:rich>
          <a:bodyPr wrap="square"/>
          <a:lstStyle/>
          <a:p>
            <a:pPr>
              <a:defRPr lang="en-US" sz="1200" b="0" u="none" baseline="0">
                <a:latin typeface="Arial"/>
                <a:ea typeface="Arial"/>
              </a:defRPr>
            </a:pPr>
            <a:r>
              <a:rPr lang="en-US"/>
              <a:t>Топ-10 городов авторов</a:t>
            </a:r>
          </a:p>
        </c:rich>
      </c:tx>
      <c:layout/>
      <c:overlay val="0"/>
      <c:spPr>
        <a:noFill/>
        <a:ln>
          <a:noFill/>
        </a:ln>
      </c:spPr>
    </c:title>
    <c:autoTitleDeleted val="0"/>
    <c:plotArea>
      <c:layout/>
      <c:barChart>
        <c:barDir val="bar"/>
        <c:grouping val="clustered"/>
        <c:varyColors val="0"/>
        <c:ser>
          <c:idx val="0"/>
          <c:order val="0"/>
          <c:spPr>
            <a:solidFill>
              <a:srgbClr val="297180"/>
            </a:solidFill>
          </c:spPr>
          <c:invertIfNegative val="0"/>
          <c:dLbls>
            <c:numFmt formatCode="General" sourceLinked="1"/>
            <c:dLblPos val="outEnd"/>
            <c:showLegendKey val="0"/>
            <c:showVal val="1"/>
            <c:showCatName val="0"/>
            <c:showSerName val="0"/>
            <c:showPercent val="0"/>
            <c:showBubbleSize val="0"/>
            <c:showLeaderLines val="0"/>
            <c:separator> </c:separator>
          </c:dLbls>
          <c:cat>
            <c:strRef>
              <c:f>'Соцдем авторов'!$B$68:$B$77</c:f>
              <c:strCache/>
            </c:strRef>
          </c:cat>
          <c:val>
            <c:numRef>
              <c:f>'Соцдем авторов'!$E$68:$E$77</c:f>
              <c:numCache/>
            </c:numRef>
          </c:val>
        </c:ser>
        <c:axId val="8538813"/>
        <c:axId val="60209473"/>
      </c:barChart>
      <c:catAx>
        <c:axId val="8538813"/>
        <c:scaling>
          <c:orientation val="maxMin"/>
        </c:scaling>
        <c:delete val="0"/>
        <c:axPos val="l"/>
        <c:numFmt formatCode="General" sourceLinked="1"/>
        <c:majorTickMark val="none"/>
        <c:minorTickMark val="none"/>
        <c:tickLblPos val="nextTo"/>
        <c:crossAx val="60209473"/>
        <c:crosses val="autoZero"/>
        <c:lblOffset val="100"/>
        <c:noMultiLvlLbl val="0"/>
      </c:catAx>
      <c:valAx>
        <c:axId val="60209473"/>
        <c:scaling>
          <c:orientation val="minMax"/>
        </c:scaling>
        <c:delete val="1"/>
        <c:axPos val="t"/>
        <c:majorGridlines>
          <c:spPr>
            <a:ln>
              <a:noFill/>
            </a:ln>
          </c:spPr>
        </c:majorGridlines>
        <c:majorTickMark val="out"/>
        <c:minorTickMark val="none"/>
        <c:tickLblPos val="nextTo"/>
        <c:crossAx val="8538813"/>
        <c:crosses val="autoZero"/>
        <c:crossBetween val="between"/>
      </c:valAx>
      <c:spPr>
        <a:solidFill>
          <a:srgbClr val="FFFFFF"/>
        </a:solidFill>
      </c:spPr>
    </c:plotArea>
    <c:plotVisOnly val="1"/>
    <c:dispBlanksAs val="gap"/>
    <c:showDLblsOverMax val="0"/>
  </c:chart>
  <c:spPr>
    <a:ln>
      <a:solidFill>
        <a:srgbClr val="D9D9D9"/>
      </a:solidFill>
    </a:ln>
  </c:spPr>
  <c:txPr>
    <a:bodyPr vert="horz" rot="0" wrap="square"/>
    <a:lstStyle/>
    <a:p>
      <a:pPr>
        <a:defRPr lang="en-US" sz="900" u="none" baseline="0">
          <a:latin typeface="Arial"/>
          <a:ea typeface="Arial"/>
        </a:defRPr>
      </a:pPr>
      <a:endParaRPr lang="en-US"/>
    </a:p>
  </c:txPr>
</c:chartSpace>
</file>

<file path=xl/charts/chart27.xml><?xml version="1.0" encoding="utf-8"?>
<c:chartSpace xmlns:c="http://schemas.openxmlformats.org/drawingml/2006/chart" xmlns:a="http://schemas.openxmlformats.org/drawingml/2006/main" xmlns:r="http://schemas.openxmlformats.org/officeDocument/2006/relationships">
  <c:roundedCorners val="0"/>
  <c:chart>
    <c:title>
      <c:tx>
        <c:rich>
          <a:bodyPr wrap="square"/>
          <a:lstStyle/>
          <a:p>
            <a:pPr>
              <a:defRPr lang="en-US" sz="1200" b="0" u="none" baseline="0">
                <a:latin typeface="Arial"/>
                <a:ea typeface="Arial"/>
              </a:defRPr>
            </a:pPr>
            <a:r>
              <a:rPr lang="en-US"/>
              <a:t>Эмоции, топ 10</a:t>
            </a:r>
          </a:p>
        </c:rich>
      </c:tx>
      <c:layout/>
      <c:overlay val="0"/>
      <c:spPr>
        <a:noFill/>
        <a:ln>
          <a:noFill/>
        </a:ln>
      </c:spPr>
    </c:title>
    <c:autoTitleDeleted val="0"/>
    <c:plotArea>
      <c:layout/>
      <c:barChart>
        <c:barDir val="bar"/>
        <c:grouping val="clustered"/>
        <c:varyColors val="0"/>
        <c:ser>
          <c:idx val="0"/>
          <c:order val="0"/>
          <c:spPr>
            <a:solidFill>
              <a:srgbClr val="297180"/>
            </a:solidFill>
          </c:spPr>
          <c:invertIfNegative val="0"/>
          <c:dLbls>
            <c:numFmt formatCode="General" sourceLinked="1"/>
            <c:dLblPos val="outEnd"/>
            <c:showLegendKey val="0"/>
            <c:showVal val="1"/>
            <c:showCatName val="0"/>
            <c:showSerName val="0"/>
            <c:showPercent val="0"/>
            <c:showBubbleSize val="0"/>
            <c:showLeaderLines val="0"/>
            <c:separator> </c:separator>
          </c:dLbls>
          <c:cat>
            <c:strRef>
              <c:f>Эмоции!$B$25:$B$34</c:f>
              <c:strCache/>
            </c:strRef>
          </c:cat>
          <c:val>
            <c:numRef>
              <c:f>Эмоции!$C$25:$C$34</c:f>
              <c:numCache/>
            </c:numRef>
          </c:val>
        </c:ser>
        <c:axId val="21112022"/>
        <c:axId val="35890493"/>
      </c:barChart>
      <c:catAx>
        <c:axId val="21112022"/>
        <c:scaling>
          <c:orientation val="maxMin"/>
        </c:scaling>
        <c:delete val="0"/>
        <c:axPos val="l"/>
        <c:numFmt formatCode="General" sourceLinked="1"/>
        <c:majorTickMark val="none"/>
        <c:minorTickMark val="none"/>
        <c:tickLblPos val="nextTo"/>
        <c:crossAx val="35890493"/>
        <c:crosses val="autoZero"/>
        <c:lblOffset val="100"/>
        <c:noMultiLvlLbl val="0"/>
      </c:catAx>
      <c:valAx>
        <c:axId val="35890493"/>
        <c:scaling>
          <c:orientation val="minMax"/>
        </c:scaling>
        <c:delete val="1"/>
        <c:axPos val="t"/>
        <c:majorGridlines>
          <c:spPr>
            <a:ln>
              <a:noFill/>
            </a:ln>
          </c:spPr>
        </c:majorGridlines>
        <c:majorTickMark val="out"/>
        <c:minorTickMark val="none"/>
        <c:tickLblPos val="nextTo"/>
        <c:crossAx val="21112022"/>
        <c:crosses val="autoZero"/>
        <c:crossBetween val="between"/>
      </c:valAx>
      <c:spPr>
        <a:solidFill>
          <a:srgbClr val="FFFFFF"/>
        </a:solidFill>
      </c:spPr>
    </c:plotArea>
    <c:plotVisOnly val="1"/>
    <c:dispBlanksAs val="gap"/>
    <c:showDLblsOverMax val="0"/>
  </c:chart>
  <c:spPr>
    <a:ln>
      <a:solidFill>
        <a:srgbClr val="D9D9D9"/>
      </a:solidFill>
    </a:ln>
  </c:spPr>
  <c:txPr>
    <a:bodyPr vert="horz" rot="0" wrap="square"/>
    <a:lstStyle/>
    <a:p>
      <a:pPr>
        <a:defRPr lang="en-US" sz="900" u="none" baseline="0">
          <a:latin typeface="Arial"/>
          <a:ea typeface="Arial"/>
        </a:defRPr>
      </a:pPr>
      <a:endParaRPr lang="en-US"/>
    </a:p>
  </c:txPr>
</c:chartSpace>
</file>

<file path=xl/charts/chart28.xml><?xml version="1.0" encoding="utf-8"?>
<c:chartSpace xmlns:c="http://schemas.openxmlformats.org/drawingml/2006/chart" xmlns:a="http://schemas.openxmlformats.org/drawingml/2006/main" xmlns:r="http://schemas.openxmlformats.org/officeDocument/2006/relationships">
  <c:roundedCorners val="0"/>
  <c:chart>
    <c:title>
      <c:tx>
        <c:rich>
          <a:bodyPr wrap="square"/>
          <a:lstStyle/>
          <a:p>
            <a:pPr>
              <a:defRPr lang="en-US" sz="1200" b="0" u="none" baseline="0">
                <a:latin typeface="Arial"/>
                <a:ea typeface="Arial"/>
              </a:defRPr>
            </a:pPr>
            <a:r>
              <a:rPr lang="en-US"/>
              <a:t>Реакции, топ 5</a:t>
            </a:r>
          </a:p>
        </c:rich>
      </c:tx>
      <c:layout/>
      <c:overlay val="0"/>
      <c:spPr>
        <a:noFill/>
        <a:ln>
          <a:noFill/>
        </a:ln>
      </c:spPr>
    </c:title>
    <c:autoTitleDeleted val="0"/>
    <c:plotArea>
      <c:layout/>
      <c:barChart>
        <c:barDir val="bar"/>
        <c:grouping val="clustered"/>
        <c:varyColors val="0"/>
        <c:ser>
          <c:idx val="0"/>
          <c:order val="0"/>
          <c:spPr>
            <a:solidFill>
              <a:srgbClr val="297180"/>
            </a:solidFill>
          </c:spPr>
          <c:invertIfNegative val="0"/>
          <c:dLbls>
            <c:numFmt formatCode="General" sourceLinked="1"/>
            <c:dLblPos val="outEnd"/>
            <c:showLegendKey val="0"/>
            <c:showVal val="1"/>
            <c:showCatName val="0"/>
            <c:showSerName val="0"/>
            <c:showPercent val="0"/>
            <c:showBubbleSize val="0"/>
            <c:showLeaderLines val="0"/>
            <c:separator> </c:separator>
          </c:dLbls>
          <c:cat>
            <c:strRef>
              <c:f>Реакции!$B$25:$B$29</c:f>
              <c:strCache/>
            </c:strRef>
          </c:cat>
          <c:val>
            <c:numRef>
              <c:f>Реакции!$C$25:$C$29</c:f>
              <c:numCache/>
            </c:numRef>
          </c:val>
        </c:ser>
        <c:axId val="5002878"/>
        <c:axId val="48271536"/>
      </c:barChart>
      <c:catAx>
        <c:axId val="5002878"/>
        <c:scaling>
          <c:orientation val="maxMin"/>
        </c:scaling>
        <c:delete val="0"/>
        <c:axPos val="l"/>
        <c:numFmt formatCode="General" sourceLinked="1"/>
        <c:majorTickMark val="none"/>
        <c:minorTickMark val="none"/>
        <c:tickLblPos val="nextTo"/>
        <c:crossAx val="48271536"/>
        <c:crosses val="autoZero"/>
        <c:lblOffset val="100"/>
        <c:noMultiLvlLbl val="0"/>
      </c:catAx>
      <c:valAx>
        <c:axId val="48271536"/>
        <c:scaling>
          <c:orientation val="minMax"/>
        </c:scaling>
        <c:delete val="1"/>
        <c:axPos val="t"/>
        <c:majorGridlines>
          <c:spPr>
            <a:ln>
              <a:noFill/>
            </a:ln>
          </c:spPr>
        </c:majorGridlines>
        <c:majorTickMark val="out"/>
        <c:minorTickMark val="none"/>
        <c:tickLblPos val="nextTo"/>
        <c:crossAx val="5002878"/>
        <c:crosses val="autoZero"/>
        <c:crossBetween val="between"/>
      </c:valAx>
      <c:spPr>
        <a:solidFill>
          <a:srgbClr val="FFFFFF"/>
        </a:solidFill>
      </c:spPr>
    </c:plotArea>
    <c:plotVisOnly val="1"/>
    <c:dispBlanksAs val="gap"/>
    <c:showDLblsOverMax val="0"/>
  </c:chart>
  <c:spPr>
    <a:ln>
      <a:solidFill>
        <a:srgbClr val="D9D9D9"/>
      </a:solidFill>
    </a:ln>
  </c:spPr>
  <c:txPr>
    <a:bodyPr vert="horz" rot="0" wrap="square"/>
    <a:lstStyle/>
    <a:p>
      <a:pPr>
        <a:defRPr lang="en-US" sz="900" u="none" baseline="0">
          <a:latin typeface="Arial"/>
          <a:ea typeface="Arial"/>
        </a:defRPr>
      </a:pPr>
      <a:endParaRPr lang="en-US"/>
    </a:p>
  </c:txPr>
</c:chartSpace>
</file>

<file path=xl/charts/chart29.xml><?xml version="1.0" encoding="utf-8"?>
<c:chartSpace xmlns:c="http://schemas.openxmlformats.org/drawingml/2006/chart" xmlns:a="http://schemas.openxmlformats.org/drawingml/2006/main" xmlns:r="http://schemas.openxmlformats.org/officeDocument/2006/relationships">
  <c:roundedCorners val="0"/>
  <c:chart>
    <c:title>
      <c:tx>
        <c:rich>
          <a:bodyPr wrap="square"/>
          <a:lstStyle/>
          <a:p>
            <a:pPr>
              <a:defRPr lang="en-US" sz="1200" b="0" u="none" baseline="0">
                <a:latin typeface="Arial"/>
                <a:ea typeface="Arial"/>
              </a:defRPr>
            </a:pPr>
            <a:r>
              <a:rPr lang="en-US"/>
              <a:t>Топ-20 слов</a:t>
            </a:r>
          </a:p>
        </c:rich>
      </c:tx>
      <c:layout/>
      <c:overlay val="0"/>
      <c:spPr>
        <a:noFill/>
        <a:ln>
          <a:noFill/>
        </a:ln>
      </c:spPr>
    </c:title>
    <c:autoTitleDeleted val="0"/>
    <c:plotArea>
      <c:layout/>
      <c:barChart>
        <c:barDir val="bar"/>
        <c:grouping val="clustered"/>
        <c:varyColors val="0"/>
        <c:ser>
          <c:idx val="0"/>
          <c:order val="0"/>
          <c:spPr>
            <a:solidFill>
              <a:srgbClr val="297180"/>
            </a:solidFill>
          </c:spPr>
          <c:invertIfNegative val="0"/>
          <c:dLbls>
            <c:numFmt formatCode="General" sourceLinked="1"/>
            <c:dLblPos val="outEnd"/>
            <c:showLegendKey val="0"/>
            <c:showVal val="1"/>
            <c:showCatName val="0"/>
            <c:showSerName val="0"/>
            <c:showPercent val="0"/>
            <c:showBubbleSize val="0"/>
            <c:showLeaderLines val="0"/>
            <c:separator> </c:separator>
          </c:dLbls>
          <c:cat>
            <c:strRef>
              <c:f>Слова!$B$7:$B$26</c:f>
              <c:strCache/>
            </c:strRef>
          </c:cat>
          <c:val>
            <c:numRef>
              <c:f>Слова!$C$7:$C$26</c:f>
              <c:numCache/>
            </c:numRef>
          </c:val>
        </c:ser>
        <c:axId val="44430904"/>
        <c:axId val="27840888"/>
      </c:barChart>
      <c:catAx>
        <c:axId val="44430904"/>
        <c:scaling>
          <c:orientation val="maxMin"/>
        </c:scaling>
        <c:delete val="0"/>
        <c:axPos val="l"/>
        <c:numFmt formatCode="General" sourceLinked="1"/>
        <c:majorTickMark val="none"/>
        <c:minorTickMark val="none"/>
        <c:tickLblPos val="nextTo"/>
        <c:crossAx val="27840888"/>
        <c:crosses val="autoZero"/>
        <c:lblOffset val="100"/>
        <c:noMultiLvlLbl val="0"/>
      </c:catAx>
      <c:valAx>
        <c:axId val="27840888"/>
        <c:scaling>
          <c:orientation val="minMax"/>
        </c:scaling>
        <c:delete val="1"/>
        <c:axPos val="t"/>
        <c:majorGridlines>
          <c:spPr>
            <a:ln>
              <a:noFill/>
            </a:ln>
          </c:spPr>
        </c:majorGridlines>
        <c:majorTickMark val="out"/>
        <c:minorTickMark val="none"/>
        <c:tickLblPos val="nextTo"/>
        <c:crossAx val="44430904"/>
        <c:crosses val="autoZero"/>
        <c:crossBetween val="between"/>
      </c:valAx>
      <c:spPr>
        <a:solidFill>
          <a:srgbClr val="FFFFFF"/>
        </a:solidFill>
      </c:spPr>
    </c:plotArea>
    <c:plotVisOnly val="1"/>
    <c:dispBlanksAs val="gap"/>
    <c:showDLblsOverMax val="0"/>
  </c:chart>
  <c:spPr>
    <a:ln>
      <a:solidFill>
        <a:srgbClr val="D9D9D9"/>
      </a:solidFill>
    </a:ln>
  </c:spPr>
  <c:txPr>
    <a:bodyPr vert="horz" rot="0" wrap="square"/>
    <a:lstStyle/>
    <a:p>
      <a:pPr>
        <a:defRPr lang="en-US" sz="900" u="none" baseline="0">
          <a:latin typeface="Arial"/>
          <a:ea typeface="Arial"/>
        </a:defRPr>
      </a:pPr>
      <a:endParaRPr lang="en-US"/>
    </a:p>
  </c:txPr>
</c:chartSpace>
</file>

<file path=xl/charts/chart30.xml><?xml version="1.0" encoding="utf-8"?>
<c:chartSpace xmlns:c="http://schemas.openxmlformats.org/drawingml/2006/chart" xmlns:a="http://schemas.openxmlformats.org/drawingml/2006/main" xmlns:r="http://schemas.openxmlformats.org/officeDocument/2006/relationships">
  <c:roundedCorners val="0"/>
  <c:chart>
    <c:title>
      <c:tx>
        <c:rich>
          <a:bodyPr wrap="square"/>
          <a:lstStyle/>
          <a:p>
            <a:pPr>
              <a:defRPr lang="en-US" sz="1200" b="0" u="none" baseline="0">
                <a:latin typeface="Arial"/>
                <a:ea typeface="Arial"/>
              </a:defRPr>
            </a:pPr>
            <a:r>
              <a:rPr lang="en-US"/>
              <a:t>Топ-20 хэштегов</a:t>
            </a:r>
          </a:p>
        </c:rich>
      </c:tx>
      <c:layout/>
      <c:overlay val="0"/>
      <c:spPr>
        <a:noFill/>
        <a:ln>
          <a:noFill/>
        </a:ln>
      </c:spPr>
    </c:title>
    <c:autoTitleDeleted val="0"/>
    <c:plotArea>
      <c:layout/>
      <c:barChart>
        <c:barDir val="bar"/>
        <c:grouping val="clustered"/>
        <c:varyColors val="0"/>
        <c:ser>
          <c:idx val="0"/>
          <c:order val="0"/>
          <c:spPr>
            <a:solidFill>
              <a:srgbClr val="297180"/>
            </a:solidFill>
          </c:spPr>
          <c:invertIfNegative val="0"/>
          <c:dLbls>
            <c:numFmt formatCode="General" sourceLinked="1"/>
            <c:dLblPos val="outEnd"/>
            <c:showLegendKey val="0"/>
            <c:showVal val="1"/>
            <c:showCatName val="0"/>
            <c:showSerName val="0"/>
            <c:showPercent val="0"/>
            <c:showBubbleSize val="0"/>
            <c:showLeaderLines val="0"/>
            <c:separator> </c:separator>
          </c:dLbls>
          <c:cat>
            <c:strRef>
              <c:f>Хэштеги!$B$7:$B$24</c:f>
              <c:strCache/>
            </c:strRef>
          </c:cat>
          <c:val>
            <c:numRef>
              <c:f>Хэштеги!$C$7:$C$24</c:f>
              <c:numCache/>
            </c:numRef>
          </c:val>
        </c:ser>
        <c:axId val="13783089"/>
        <c:axId val="57545354"/>
      </c:barChart>
      <c:catAx>
        <c:axId val="13783089"/>
        <c:scaling>
          <c:orientation val="maxMin"/>
        </c:scaling>
        <c:delete val="0"/>
        <c:axPos val="l"/>
        <c:numFmt formatCode="General" sourceLinked="1"/>
        <c:majorTickMark val="none"/>
        <c:minorTickMark val="none"/>
        <c:tickLblPos val="nextTo"/>
        <c:crossAx val="57545354"/>
        <c:crosses val="autoZero"/>
        <c:lblOffset val="100"/>
        <c:noMultiLvlLbl val="0"/>
      </c:catAx>
      <c:valAx>
        <c:axId val="57545354"/>
        <c:scaling>
          <c:orientation val="minMax"/>
        </c:scaling>
        <c:delete val="1"/>
        <c:axPos val="t"/>
        <c:majorGridlines>
          <c:spPr>
            <a:ln>
              <a:noFill/>
            </a:ln>
          </c:spPr>
        </c:majorGridlines>
        <c:majorTickMark val="out"/>
        <c:minorTickMark val="none"/>
        <c:tickLblPos val="nextTo"/>
        <c:crossAx val="13783089"/>
        <c:crosses val="autoZero"/>
        <c:crossBetween val="between"/>
      </c:valAx>
      <c:spPr>
        <a:solidFill>
          <a:srgbClr val="FFFFFF"/>
        </a:solidFill>
      </c:spPr>
    </c:plotArea>
    <c:plotVisOnly val="1"/>
    <c:dispBlanksAs val="gap"/>
    <c:showDLblsOverMax val="0"/>
  </c:chart>
  <c:spPr>
    <a:ln>
      <a:solidFill>
        <a:srgbClr val="D9D9D9"/>
      </a:solidFill>
    </a:ln>
  </c:spPr>
  <c:txPr>
    <a:bodyPr vert="horz" rot="0" wrap="square"/>
    <a:lstStyle/>
    <a:p>
      <a:pPr>
        <a:defRPr lang="en-US" sz="900" u="none" baseline="0">
          <a:latin typeface="Arial"/>
          <a:ea typeface="Arial"/>
        </a:defRPr>
      </a:pPr>
      <a:endParaRPr lang="en-US"/>
    </a:p>
  </c:txPr>
</c:chartSpace>
</file>

<file path=xl/charts/chart31.xml><?xml version="1.0" encoding="utf-8"?>
<c:chartSpace xmlns:c="http://schemas.openxmlformats.org/drawingml/2006/chart" xmlns:a="http://schemas.openxmlformats.org/drawingml/2006/main" xmlns:r="http://schemas.openxmlformats.org/officeDocument/2006/relationships">
  <c:roundedCorners val="0"/>
  <c:chart>
    <c:title>
      <c:tx>
        <c:rich>
          <a:bodyPr wrap="square"/>
          <a:lstStyle/>
          <a:p>
            <a:pPr>
              <a:defRPr lang="en-US" sz="1200" b="0" u="none" baseline="0">
                <a:latin typeface="Arial"/>
                <a:ea typeface="Arial"/>
              </a:defRPr>
            </a:pPr>
            <a:r>
              <a:rPr lang="en-US"/>
              <a:t>Топ-10 стран</a:t>
            </a:r>
          </a:p>
        </c:rich>
      </c:tx>
      <c:layout/>
      <c:overlay val="0"/>
      <c:spPr>
        <a:noFill/>
        <a:ln>
          <a:noFill/>
        </a:ln>
      </c:spPr>
    </c:title>
    <c:autoTitleDeleted val="0"/>
    <c:plotArea>
      <c:layout/>
      <c:barChart>
        <c:barDir val="bar"/>
        <c:grouping val="stacked"/>
        <c:varyColors val="0"/>
        <c:ser>
          <c:idx val="0"/>
          <c:order val="0"/>
          <c:tx>
            <c:strRef>
              <c:f>Страны!$F$26</c:f>
            </c:strRef>
          </c:tx>
          <c:spPr>
            <a:solidFill>
              <a:srgbClr val="98D497"/>
            </a:solidFill>
          </c:spPr>
          <c:invertIfNegative val="0"/>
          <c:dLbls>
            <c:numFmt formatCode="General" sourceLinked="1"/>
            <c:showLegendKey val="0"/>
            <c:showVal val="0"/>
            <c:showCatName val="0"/>
            <c:showSerName val="0"/>
            <c:showPercent val="0"/>
            <c:showBubbleSize val="0"/>
            <c:showLeaderLines val="0"/>
            <c:separator> </c:separator>
          </c:dLbls>
          <c:cat>
            <c:strRef>
              <c:f>Страны!$B$27:$B$29</c:f>
              <c:strCache/>
            </c:strRef>
          </c:cat>
          <c:val>
            <c:numRef>
              <c:f>Страны!$F$27:$F$29</c:f>
              <c:numCache/>
            </c:numRef>
          </c:val>
        </c:ser>
        <c:ser>
          <c:idx val="1"/>
          <c:order val="1"/>
          <c:tx>
            <c:strRef>
              <c:f>Страны!$G$26</c:f>
            </c:strRef>
          </c:tx>
          <c:spPr>
            <a:solidFill>
              <a:srgbClr val="CCD3DB"/>
            </a:solidFill>
          </c:spPr>
          <c:invertIfNegative val="0"/>
          <c:dLbls>
            <c:numFmt formatCode="General" sourceLinked="1"/>
            <c:showLegendKey val="0"/>
            <c:showVal val="0"/>
            <c:showCatName val="0"/>
            <c:showSerName val="0"/>
            <c:showPercent val="0"/>
            <c:showBubbleSize val="0"/>
            <c:showLeaderLines val="0"/>
            <c:separator> </c:separator>
          </c:dLbls>
          <c:cat>
            <c:strRef>
              <c:f>Страны!$B$27:$B$29</c:f>
              <c:strCache/>
            </c:strRef>
          </c:cat>
          <c:val>
            <c:numRef>
              <c:f>Страны!$G$27:$G$29</c:f>
              <c:numCache/>
            </c:numRef>
          </c:val>
        </c:ser>
        <c:ser>
          <c:idx val="2"/>
          <c:order val="2"/>
          <c:tx>
            <c:strRef>
              <c:f>Страны!$H$26</c:f>
            </c:strRef>
          </c:tx>
          <c:spPr>
            <a:solidFill>
              <a:srgbClr val="FC6C73"/>
            </a:solidFill>
          </c:spPr>
          <c:invertIfNegative val="0"/>
          <c:dLbls>
            <c:numFmt formatCode="General" sourceLinked="1"/>
            <c:showLegendKey val="0"/>
            <c:showVal val="0"/>
            <c:showCatName val="0"/>
            <c:showSerName val="0"/>
            <c:showPercent val="0"/>
            <c:showBubbleSize val="0"/>
            <c:showLeaderLines val="0"/>
            <c:separator> </c:separator>
          </c:dLbls>
          <c:cat>
            <c:strRef>
              <c:f>Страны!$B$27:$B$29</c:f>
              <c:strCache/>
            </c:strRef>
          </c:cat>
          <c:val>
            <c:numRef>
              <c:f>Страны!$H$27:$H$29</c:f>
              <c:numCache/>
            </c:numRef>
          </c:val>
        </c:ser>
        <c:overlap val="100"/>
        <c:axId val="23050301"/>
        <c:axId val="33508227"/>
      </c:barChart>
      <c:catAx>
        <c:axId val="23050301"/>
        <c:scaling>
          <c:orientation val="maxMin"/>
        </c:scaling>
        <c:delete val="0"/>
        <c:axPos val="l"/>
        <c:numFmt formatCode="General" sourceLinked="1"/>
        <c:majorTickMark val="none"/>
        <c:minorTickMark val="none"/>
        <c:tickLblPos val="nextTo"/>
        <c:crossAx val="33508227"/>
        <c:crosses val="autoZero"/>
        <c:lblOffset val="100"/>
        <c:noMultiLvlLbl val="0"/>
      </c:catAx>
      <c:valAx>
        <c:axId val="33508227"/>
        <c:scaling>
          <c:orientation val="minMax"/>
        </c:scaling>
        <c:delete val="0"/>
        <c:axPos val="t"/>
        <c:majorGridlines>
          <c:spPr>
            <a:ln>
              <a:noFill/>
            </a:ln>
          </c:spPr>
        </c:majorGridlines>
        <c:numFmt formatCode="General" sourceLinked="1"/>
        <c:majorTickMark val="out"/>
        <c:minorTickMark val="none"/>
        <c:tickLblPos val="nextTo"/>
        <c:crossAx val="23050301"/>
        <c:crosses val="autoZero"/>
        <c:crossBetween val="between"/>
      </c:valAx>
      <c:spPr>
        <a:solidFill>
          <a:srgbClr val="FFFFFF"/>
        </a:solidFill>
      </c:spPr>
    </c:plotArea>
    <c:legend>
      <c:legendPos val="b"/>
      <c:layout/>
      <c:overlay val="0"/>
    </c:legend>
    <c:plotVisOnly val="1"/>
    <c:dispBlanksAs val="gap"/>
    <c:showDLblsOverMax val="0"/>
  </c:chart>
  <c:spPr>
    <a:ln>
      <a:solidFill>
        <a:srgbClr val="D9D9D9"/>
      </a:solidFill>
    </a:ln>
  </c:spPr>
  <c:txPr>
    <a:bodyPr vert="horz" rot="0" wrap="square"/>
    <a:lstStyle/>
    <a:p>
      <a:pPr>
        <a:defRPr lang="en-US" sz="900" u="none" baseline="0">
          <a:latin typeface="Arial"/>
          <a:ea typeface="Arial"/>
        </a:defRPr>
      </a:pPr>
      <a:endParaRPr lang="en-US"/>
    </a:p>
  </c:txPr>
</c:chartSpace>
</file>

<file path=xl/charts/chart32.xml><?xml version="1.0" encoding="utf-8"?>
<c:chartSpace xmlns:c="http://schemas.openxmlformats.org/drawingml/2006/chart" xmlns:a="http://schemas.openxmlformats.org/drawingml/2006/main" xmlns:r="http://schemas.openxmlformats.org/officeDocument/2006/relationships">
  <c:roundedCorners val="0"/>
  <c:chart>
    <c:title>
      <c:tx>
        <c:rich>
          <a:bodyPr wrap="square"/>
          <a:lstStyle/>
          <a:p>
            <a:pPr>
              <a:defRPr lang="en-US" sz="1200" b="0" u="none" baseline="0">
                <a:latin typeface="Arial"/>
                <a:ea typeface="Arial"/>
              </a:defRPr>
            </a:pPr>
            <a:r>
              <a:rPr lang="en-US"/>
              <a:t>Сообщения по федеральным округам</a:t>
            </a:r>
          </a:p>
        </c:rich>
      </c:tx>
      <c:layout/>
      <c:overlay val="0"/>
      <c:spPr>
        <a:noFill/>
        <a:ln>
          <a:noFill/>
        </a:ln>
      </c:spPr>
    </c:title>
    <c:autoTitleDeleted val="0"/>
    <c:plotArea>
      <c:layout/>
      <c:barChart>
        <c:barDir val="bar"/>
        <c:grouping val="stacked"/>
        <c:varyColors val="0"/>
        <c:ser>
          <c:idx val="0"/>
          <c:order val="0"/>
          <c:tx>
            <c:strRef>
              <c:f>'Федеральные округа'!$F$26</c:f>
            </c:strRef>
          </c:tx>
          <c:spPr>
            <a:solidFill>
              <a:srgbClr val="98D497"/>
            </a:solidFill>
          </c:spPr>
          <c:invertIfNegative val="0"/>
          <c:dLbls>
            <c:numFmt formatCode="General" sourceLinked="1"/>
            <c:showLegendKey val="0"/>
            <c:showVal val="0"/>
            <c:showCatName val="0"/>
            <c:showSerName val="0"/>
            <c:showPercent val="0"/>
            <c:showBubbleSize val="0"/>
            <c:showLeaderLines val="0"/>
            <c:separator> </c:separator>
          </c:dLbls>
          <c:cat>
            <c:strRef>
              <c:f>'Федеральные округа'!$B$27:$B$35</c:f>
              <c:strCache/>
            </c:strRef>
          </c:cat>
          <c:val>
            <c:numRef>
              <c:f>'Федеральные округа'!$F$27:$F$35</c:f>
              <c:numCache/>
            </c:numRef>
          </c:val>
        </c:ser>
        <c:ser>
          <c:idx val="1"/>
          <c:order val="1"/>
          <c:tx>
            <c:strRef>
              <c:f>'Федеральные округа'!$G$26</c:f>
            </c:strRef>
          </c:tx>
          <c:spPr>
            <a:solidFill>
              <a:srgbClr val="CCD3DB"/>
            </a:solidFill>
          </c:spPr>
          <c:invertIfNegative val="0"/>
          <c:dLbls>
            <c:numFmt formatCode="General" sourceLinked="1"/>
            <c:showLegendKey val="0"/>
            <c:showVal val="0"/>
            <c:showCatName val="0"/>
            <c:showSerName val="0"/>
            <c:showPercent val="0"/>
            <c:showBubbleSize val="0"/>
            <c:showLeaderLines val="0"/>
            <c:separator> </c:separator>
          </c:dLbls>
          <c:cat>
            <c:strRef>
              <c:f>'Федеральные округа'!$B$27:$B$35</c:f>
              <c:strCache/>
            </c:strRef>
          </c:cat>
          <c:val>
            <c:numRef>
              <c:f>'Федеральные округа'!$G$27:$G$35</c:f>
              <c:numCache/>
            </c:numRef>
          </c:val>
        </c:ser>
        <c:ser>
          <c:idx val="2"/>
          <c:order val="2"/>
          <c:tx>
            <c:strRef>
              <c:f>'Федеральные округа'!$H$26</c:f>
            </c:strRef>
          </c:tx>
          <c:spPr>
            <a:solidFill>
              <a:srgbClr val="FC6C73"/>
            </a:solidFill>
          </c:spPr>
          <c:invertIfNegative val="0"/>
          <c:dLbls>
            <c:numFmt formatCode="General" sourceLinked="1"/>
            <c:showLegendKey val="0"/>
            <c:showVal val="0"/>
            <c:showCatName val="0"/>
            <c:showSerName val="0"/>
            <c:showPercent val="0"/>
            <c:showBubbleSize val="0"/>
            <c:showLeaderLines val="0"/>
            <c:separator> </c:separator>
          </c:dLbls>
          <c:cat>
            <c:strRef>
              <c:f>'Федеральные округа'!$B$27:$B$35</c:f>
              <c:strCache/>
            </c:strRef>
          </c:cat>
          <c:val>
            <c:numRef>
              <c:f>'Федеральные округа'!$H$27:$H$35</c:f>
              <c:numCache/>
            </c:numRef>
          </c:val>
        </c:ser>
        <c:overlap val="100"/>
        <c:axId val="64126273"/>
        <c:axId val="44747972"/>
      </c:barChart>
      <c:catAx>
        <c:axId val="64126273"/>
        <c:scaling>
          <c:orientation val="maxMin"/>
        </c:scaling>
        <c:delete val="0"/>
        <c:axPos val="l"/>
        <c:numFmt formatCode="General" sourceLinked="1"/>
        <c:majorTickMark val="none"/>
        <c:minorTickMark val="none"/>
        <c:tickLblPos val="nextTo"/>
        <c:crossAx val="44747972"/>
        <c:crosses val="autoZero"/>
        <c:lblOffset val="100"/>
        <c:noMultiLvlLbl val="0"/>
      </c:catAx>
      <c:valAx>
        <c:axId val="44747972"/>
        <c:scaling>
          <c:orientation val="minMax"/>
        </c:scaling>
        <c:delete val="0"/>
        <c:axPos val="t"/>
        <c:majorGridlines>
          <c:spPr>
            <a:ln>
              <a:noFill/>
            </a:ln>
          </c:spPr>
        </c:majorGridlines>
        <c:numFmt formatCode="General" sourceLinked="1"/>
        <c:majorTickMark val="out"/>
        <c:minorTickMark val="none"/>
        <c:tickLblPos val="nextTo"/>
        <c:crossAx val="64126273"/>
        <c:crosses val="autoZero"/>
        <c:crossBetween val="between"/>
      </c:valAx>
      <c:spPr>
        <a:solidFill>
          <a:srgbClr val="FFFFFF"/>
        </a:solidFill>
      </c:spPr>
    </c:plotArea>
    <c:legend>
      <c:legendPos val="b"/>
      <c:layout/>
      <c:overlay val="0"/>
    </c:legend>
    <c:plotVisOnly val="1"/>
    <c:dispBlanksAs val="gap"/>
    <c:showDLblsOverMax val="0"/>
  </c:chart>
  <c:spPr>
    <a:ln>
      <a:solidFill>
        <a:srgbClr val="D9D9D9"/>
      </a:solidFill>
    </a:ln>
  </c:spPr>
  <c:txPr>
    <a:bodyPr vert="horz" rot="0" wrap="square"/>
    <a:lstStyle/>
    <a:p>
      <a:pPr>
        <a:defRPr lang="en-US" sz="900" u="none" baseline="0">
          <a:latin typeface="Arial"/>
          <a:ea typeface="Arial"/>
        </a:defRPr>
      </a:pPr>
      <a:endParaRPr lang="en-US"/>
    </a:p>
  </c:txPr>
</c:chartSpace>
</file>

<file path=xl/charts/chart33.xml><?xml version="1.0" encoding="utf-8"?>
<c:chartSpace xmlns:c="http://schemas.openxmlformats.org/drawingml/2006/chart" xmlns:a="http://schemas.openxmlformats.org/drawingml/2006/main" xmlns:r="http://schemas.openxmlformats.org/officeDocument/2006/relationships">
  <c:roundedCorners val="0"/>
  <c:chart>
    <c:title>
      <c:tx>
        <c:rich>
          <a:bodyPr wrap="square"/>
          <a:lstStyle/>
          <a:p>
            <a:pPr>
              <a:defRPr lang="en-US" sz="1200" b="0" u="none" baseline="0">
                <a:latin typeface="Arial"/>
                <a:ea typeface="Arial"/>
              </a:defRPr>
            </a:pPr>
            <a:r>
              <a:rPr lang="en-US"/>
              <a:t>Топ-10 регионов</a:t>
            </a:r>
          </a:p>
        </c:rich>
      </c:tx>
      <c:layout/>
      <c:overlay val="0"/>
      <c:spPr>
        <a:noFill/>
        <a:ln>
          <a:noFill/>
        </a:ln>
      </c:spPr>
    </c:title>
    <c:autoTitleDeleted val="0"/>
    <c:plotArea>
      <c:layout/>
      <c:barChart>
        <c:barDir val="bar"/>
        <c:grouping val="stacked"/>
        <c:varyColors val="0"/>
        <c:ser>
          <c:idx val="0"/>
          <c:order val="0"/>
          <c:tx>
            <c:strRef>
              <c:f>'Регионы РФ'!$F$26</c:f>
            </c:strRef>
          </c:tx>
          <c:spPr>
            <a:solidFill>
              <a:srgbClr val="98D497"/>
            </a:solidFill>
          </c:spPr>
          <c:invertIfNegative val="0"/>
          <c:dLbls>
            <c:numFmt formatCode="General" sourceLinked="1"/>
            <c:showLegendKey val="0"/>
            <c:showVal val="0"/>
            <c:showCatName val="0"/>
            <c:showSerName val="0"/>
            <c:showPercent val="0"/>
            <c:showBubbleSize val="0"/>
            <c:showLeaderLines val="0"/>
            <c:separator> </c:separator>
          </c:dLbls>
          <c:cat>
            <c:strRef>
              <c:f>'Регионы РФ'!$B$27:$B$37</c:f>
              <c:strCache/>
            </c:strRef>
          </c:cat>
          <c:val>
            <c:numRef>
              <c:f>'Регионы РФ'!$F$27:$F$37</c:f>
              <c:numCache/>
            </c:numRef>
          </c:val>
        </c:ser>
        <c:ser>
          <c:idx val="1"/>
          <c:order val="1"/>
          <c:tx>
            <c:strRef>
              <c:f>'Регионы РФ'!$G$26</c:f>
            </c:strRef>
          </c:tx>
          <c:spPr>
            <a:solidFill>
              <a:srgbClr val="CCD3DB"/>
            </a:solidFill>
          </c:spPr>
          <c:invertIfNegative val="0"/>
          <c:dLbls>
            <c:numFmt formatCode="General" sourceLinked="1"/>
            <c:showLegendKey val="0"/>
            <c:showVal val="0"/>
            <c:showCatName val="0"/>
            <c:showSerName val="0"/>
            <c:showPercent val="0"/>
            <c:showBubbleSize val="0"/>
            <c:showLeaderLines val="0"/>
            <c:separator> </c:separator>
          </c:dLbls>
          <c:cat>
            <c:strRef>
              <c:f>'Регионы РФ'!$B$27:$B$37</c:f>
              <c:strCache/>
            </c:strRef>
          </c:cat>
          <c:val>
            <c:numRef>
              <c:f>'Регионы РФ'!$G$27:$G$37</c:f>
              <c:numCache/>
            </c:numRef>
          </c:val>
        </c:ser>
        <c:ser>
          <c:idx val="2"/>
          <c:order val="2"/>
          <c:tx>
            <c:strRef>
              <c:f>'Регионы РФ'!$H$26</c:f>
            </c:strRef>
          </c:tx>
          <c:spPr>
            <a:solidFill>
              <a:srgbClr val="FC6C73"/>
            </a:solidFill>
          </c:spPr>
          <c:invertIfNegative val="0"/>
          <c:dLbls>
            <c:numFmt formatCode="General" sourceLinked="1"/>
            <c:showLegendKey val="0"/>
            <c:showVal val="0"/>
            <c:showCatName val="0"/>
            <c:showSerName val="0"/>
            <c:showPercent val="0"/>
            <c:showBubbleSize val="0"/>
            <c:showLeaderLines val="0"/>
            <c:separator> </c:separator>
          </c:dLbls>
          <c:cat>
            <c:strRef>
              <c:f>'Регионы РФ'!$B$27:$B$37</c:f>
              <c:strCache/>
            </c:strRef>
          </c:cat>
          <c:val>
            <c:numRef>
              <c:f>'Регионы РФ'!$H$27:$H$37</c:f>
              <c:numCache/>
            </c:numRef>
          </c:val>
        </c:ser>
        <c:overlap val="100"/>
        <c:axId val="618487"/>
        <c:axId val="12051498"/>
      </c:barChart>
      <c:catAx>
        <c:axId val="618487"/>
        <c:scaling>
          <c:orientation val="maxMin"/>
        </c:scaling>
        <c:delete val="0"/>
        <c:axPos val="l"/>
        <c:numFmt formatCode="General" sourceLinked="1"/>
        <c:majorTickMark val="none"/>
        <c:minorTickMark val="none"/>
        <c:tickLblPos val="nextTo"/>
        <c:crossAx val="12051498"/>
        <c:crosses val="autoZero"/>
        <c:lblOffset val="100"/>
        <c:noMultiLvlLbl val="0"/>
      </c:catAx>
      <c:valAx>
        <c:axId val="12051498"/>
        <c:scaling>
          <c:orientation val="minMax"/>
        </c:scaling>
        <c:delete val="0"/>
        <c:axPos val="t"/>
        <c:majorGridlines>
          <c:spPr>
            <a:ln>
              <a:noFill/>
            </a:ln>
          </c:spPr>
        </c:majorGridlines>
        <c:numFmt formatCode="General" sourceLinked="1"/>
        <c:majorTickMark val="out"/>
        <c:minorTickMark val="none"/>
        <c:tickLblPos val="nextTo"/>
        <c:crossAx val="618487"/>
        <c:crosses val="autoZero"/>
        <c:crossBetween val="between"/>
      </c:valAx>
      <c:spPr>
        <a:solidFill>
          <a:srgbClr val="FFFFFF"/>
        </a:solidFill>
      </c:spPr>
    </c:plotArea>
    <c:legend>
      <c:legendPos val="b"/>
      <c:layout/>
      <c:overlay val="0"/>
    </c:legend>
    <c:plotVisOnly val="1"/>
    <c:dispBlanksAs val="gap"/>
    <c:showDLblsOverMax val="0"/>
  </c:chart>
  <c:spPr>
    <a:ln>
      <a:solidFill>
        <a:srgbClr val="D9D9D9"/>
      </a:solidFill>
    </a:ln>
  </c:spPr>
  <c:txPr>
    <a:bodyPr vert="horz" rot="0" wrap="square"/>
    <a:lstStyle/>
    <a:p>
      <a:pPr>
        <a:defRPr lang="en-US" sz="900" u="none" baseline="0">
          <a:latin typeface="Arial"/>
          <a:ea typeface="Arial"/>
        </a:defRPr>
      </a:pPr>
      <a:endParaRPr lang="en-US"/>
    </a:p>
  </c:txPr>
</c:chartSpace>
</file>

<file path=xl/charts/chart34.xml><?xml version="1.0" encoding="utf-8"?>
<c:chartSpace xmlns:c="http://schemas.openxmlformats.org/drawingml/2006/chart" xmlns:a="http://schemas.openxmlformats.org/drawingml/2006/main" xmlns:r="http://schemas.openxmlformats.org/officeDocument/2006/relationships">
  <c:roundedCorners val="0"/>
  <c:chart>
    <c:title>
      <c:tx>
        <c:rich>
          <a:bodyPr wrap="square"/>
          <a:lstStyle/>
          <a:p>
            <a:pPr>
              <a:defRPr lang="en-US" sz="1200" b="0" u="none" baseline="0">
                <a:latin typeface="Arial"/>
                <a:ea typeface="Arial"/>
              </a:defRPr>
            </a:pPr>
            <a:r>
              <a:rPr lang="en-US"/>
              <a:t>Топ-10 городов</a:t>
            </a:r>
          </a:p>
        </c:rich>
      </c:tx>
      <c:layout/>
      <c:overlay val="0"/>
      <c:spPr>
        <a:noFill/>
        <a:ln>
          <a:noFill/>
        </a:ln>
      </c:spPr>
    </c:title>
    <c:autoTitleDeleted val="0"/>
    <c:plotArea>
      <c:layout/>
      <c:barChart>
        <c:barDir val="bar"/>
        <c:grouping val="stacked"/>
        <c:varyColors val="0"/>
        <c:ser>
          <c:idx val="0"/>
          <c:order val="0"/>
          <c:tx>
            <c:strRef>
              <c:f>'Города РФ'!$F$26</c:f>
            </c:strRef>
          </c:tx>
          <c:spPr>
            <a:solidFill>
              <a:srgbClr val="98D497"/>
            </a:solidFill>
          </c:spPr>
          <c:invertIfNegative val="0"/>
          <c:dLbls>
            <c:numFmt formatCode="General" sourceLinked="1"/>
            <c:showLegendKey val="0"/>
            <c:showVal val="0"/>
            <c:showCatName val="0"/>
            <c:showSerName val="0"/>
            <c:showPercent val="0"/>
            <c:showBubbleSize val="0"/>
            <c:showLeaderLines val="0"/>
            <c:separator> </c:separator>
          </c:dLbls>
          <c:cat>
            <c:strRef>
              <c:f>'Города РФ'!$B$27:$B$37</c:f>
              <c:strCache/>
            </c:strRef>
          </c:cat>
          <c:val>
            <c:numRef>
              <c:f>'Города РФ'!$F$27:$F$37</c:f>
              <c:numCache/>
            </c:numRef>
          </c:val>
        </c:ser>
        <c:ser>
          <c:idx val="1"/>
          <c:order val="1"/>
          <c:tx>
            <c:strRef>
              <c:f>'Города РФ'!$G$26</c:f>
            </c:strRef>
          </c:tx>
          <c:spPr>
            <a:solidFill>
              <a:srgbClr val="CCD3DB"/>
            </a:solidFill>
          </c:spPr>
          <c:invertIfNegative val="0"/>
          <c:dLbls>
            <c:numFmt formatCode="General" sourceLinked="1"/>
            <c:showLegendKey val="0"/>
            <c:showVal val="0"/>
            <c:showCatName val="0"/>
            <c:showSerName val="0"/>
            <c:showPercent val="0"/>
            <c:showBubbleSize val="0"/>
            <c:showLeaderLines val="0"/>
            <c:separator> </c:separator>
          </c:dLbls>
          <c:cat>
            <c:strRef>
              <c:f>'Города РФ'!$B$27:$B$37</c:f>
              <c:strCache/>
            </c:strRef>
          </c:cat>
          <c:val>
            <c:numRef>
              <c:f>'Города РФ'!$G$27:$G$37</c:f>
              <c:numCache/>
            </c:numRef>
          </c:val>
        </c:ser>
        <c:ser>
          <c:idx val="2"/>
          <c:order val="2"/>
          <c:tx>
            <c:strRef>
              <c:f>'Города РФ'!$H$26</c:f>
            </c:strRef>
          </c:tx>
          <c:spPr>
            <a:solidFill>
              <a:srgbClr val="FC6C73"/>
            </a:solidFill>
          </c:spPr>
          <c:invertIfNegative val="0"/>
          <c:dLbls>
            <c:numFmt formatCode="General" sourceLinked="1"/>
            <c:showLegendKey val="0"/>
            <c:showVal val="0"/>
            <c:showCatName val="0"/>
            <c:showSerName val="0"/>
            <c:showPercent val="0"/>
            <c:showBubbleSize val="0"/>
            <c:showLeaderLines val="0"/>
            <c:separator> </c:separator>
          </c:dLbls>
          <c:cat>
            <c:strRef>
              <c:f>'Города РФ'!$B$27:$B$37</c:f>
              <c:strCache/>
            </c:strRef>
          </c:cat>
          <c:val>
            <c:numRef>
              <c:f>'Города РФ'!$H$27:$H$37</c:f>
              <c:numCache/>
            </c:numRef>
          </c:val>
        </c:ser>
        <c:overlap val="100"/>
        <c:axId val="54680988"/>
        <c:axId val="7350140"/>
      </c:barChart>
      <c:catAx>
        <c:axId val="54680988"/>
        <c:scaling>
          <c:orientation val="maxMin"/>
        </c:scaling>
        <c:delete val="0"/>
        <c:axPos val="l"/>
        <c:numFmt formatCode="General" sourceLinked="1"/>
        <c:majorTickMark val="none"/>
        <c:minorTickMark val="none"/>
        <c:tickLblPos val="nextTo"/>
        <c:crossAx val="7350140"/>
        <c:crosses val="autoZero"/>
        <c:lblOffset val="100"/>
        <c:noMultiLvlLbl val="0"/>
      </c:catAx>
      <c:valAx>
        <c:axId val="7350140"/>
        <c:scaling>
          <c:orientation val="minMax"/>
        </c:scaling>
        <c:delete val="0"/>
        <c:axPos val="t"/>
        <c:majorGridlines>
          <c:spPr>
            <a:ln>
              <a:noFill/>
            </a:ln>
          </c:spPr>
        </c:majorGridlines>
        <c:numFmt formatCode="General" sourceLinked="1"/>
        <c:majorTickMark val="out"/>
        <c:minorTickMark val="none"/>
        <c:tickLblPos val="nextTo"/>
        <c:crossAx val="54680988"/>
        <c:crosses val="autoZero"/>
        <c:crossBetween val="between"/>
      </c:valAx>
      <c:spPr>
        <a:solidFill>
          <a:srgbClr val="FFFFFF"/>
        </a:solidFill>
      </c:spPr>
    </c:plotArea>
    <c:legend>
      <c:legendPos val="b"/>
      <c:layout/>
      <c:overlay val="0"/>
    </c:legend>
    <c:plotVisOnly val="1"/>
    <c:dispBlanksAs val="gap"/>
    <c:showDLblsOverMax val="0"/>
  </c:chart>
  <c:spPr>
    <a:ln>
      <a:solidFill>
        <a:srgbClr val="D9D9D9"/>
      </a:solidFill>
    </a:ln>
  </c:spPr>
  <c:txPr>
    <a:bodyPr vert="horz" rot="0" wrap="square"/>
    <a:lstStyle/>
    <a:p>
      <a:pPr>
        <a:defRPr lang="en-US" sz="900" u="none" baseline="0">
          <a:latin typeface="Arial"/>
          <a:ea typeface="Arial"/>
        </a:defRPr>
      </a:pPr>
      <a:endParaRPr lang="en-US"/>
    </a:p>
  </c:txPr>
</c:chartSpace>
</file>

<file path=xl/drawings/_rels/drawing1.xml.rels><?xml version="1.0" encoding="UTF-8" standalone="yes"?><Relationships xmlns="http://schemas.openxmlformats.org/package/2006/relationships"><Relationship Id="rId1" Type="http://schemas.openxmlformats.org/officeDocument/2006/relationships/chart" Target="../charts/chart1.xml" /><Relationship Id="rId5" Type="http://schemas.openxmlformats.org/officeDocument/2006/relationships/chart" Target="../charts/chart5.xml" /><Relationship Id="rId4" Type="http://schemas.openxmlformats.org/officeDocument/2006/relationships/chart" Target="../charts/chart4.xml" /><Relationship Id="rId3" Type="http://schemas.openxmlformats.org/officeDocument/2006/relationships/chart" Target="../charts/chart3.xml" /><Relationship Id="rId2" Type="http://schemas.openxmlformats.org/officeDocument/2006/relationships/chart" Target="../charts/chart2.xml" /></Relationships>
</file>

<file path=xl/drawings/_rels/drawing2.xml.rels><?xml version="1.0" encoding="UTF-8" standalone="yes"?><Relationships xmlns="http://schemas.openxmlformats.org/package/2006/relationships"><Relationship Id="rId1" Type="http://schemas.openxmlformats.org/officeDocument/2006/relationships/chart" Target="../charts/chart6.xml" /><Relationship Id="rId3" Type="http://schemas.openxmlformats.org/officeDocument/2006/relationships/chart" Target="../charts/chart8.xml" /><Relationship Id="rId2" Type="http://schemas.openxmlformats.org/officeDocument/2006/relationships/chart" Target="../charts/chart7.xml" /></Relationships>
</file>

<file path=xl/drawings/_rels/drawing3.xml.rels><?xml version="1.0" encoding="UTF-8" standalone="yes"?><Relationships xmlns="http://schemas.openxmlformats.org/package/2006/relationships"><Relationship Id="rId1" Type="http://schemas.openxmlformats.org/officeDocument/2006/relationships/chart" Target="../charts/chart9.xml" /></Relationships>
</file>

<file path=xl/drawings/_rels/drawing4.xml.rels><?xml version="1.0" encoding="UTF-8" standalone="yes"?><Relationships xmlns="http://schemas.openxmlformats.org/package/2006/relationships"><Relationship Id="rId1" Type="http://schemas.openxmlformats.org/officeDocument/2006/relationships/chart" Target="../charts/chart10.xml" /><Relationship Id="rId2" Type="http://schemas.openxmlformats.org/officeDocument/2006/relationships/chart" Target="../charts/chart11.xml" /></Relationships>
</file>

<file path=xl/drawings/_rels/drawing5.xml.rels><?xml version="1.0" encoding="UTF-8" standalone="yes"?><Relationships xmlns="http://schemas.openxmlformats.org/package/2006/relationships"><Relationship Id="rId1" Type="http://schemas.openxmlformats.org/officeDocument/2006/relationships/chart" Target="../charts/chart12.xml" /><Relationship Id="rId3" Type="http://schemas.openxmlformats.org/officeDocument/2006/relationships/chart" Target="../charts/chart14.xml" /><Relationship Id="rId2" Type="http://schemas.openxmlformats.org/officeDocument/2006/relationships/chart" Target="../charts/chart13.xml" /></Relationships>
</file>

<file path=xl/drawings/_rels/drawing6.xml.rels><?xml version="1.0" encoding="UTF-8" standalone="yes"?><Relationships xmlns="http://schemas.openxmlformats.org/package/2006/relationships"><Relationship Id="rId1" Type="http://schemas.openxmlformats.org/officeDocument/2006/relationships/chart" Target="../charts/chart15.xml" /></Relationships>
</file>

<file path=xl/drawings/_rels/drawing7.xml.rels><?xml version="1.0" encoding="UTF-8" standalone="yes"?><Relationships xmlns="http://schemas.openxmlformats.org/package/2006/relationships"><Relationship Id="rId1" Type="http://schemas.openxmlformats.org/officeDocument/2006/relationships/chart" Target="../charts/chart16.xml" /></Relationships>
</file>

<file path=xl/drawings/_rels/drawing8.xml.rels><?xml version="1.0" encoding="UTF-8" standalone="yes"?><Relationships xmlns="http://schemas.openxmlformats.org/package/2006/relationships"><Relationship Id="rId1" Type="http://schemas.openxmlformats.org/officeDocument/2006/relationships/chart" Target="../charts/chart17.xml" /></Relationships>
</file>

<file path=xl/drawings/_rels/drawing9.xml.rels><?xml version="1.0" encoding="UTF-8" standalone="yes"?><Relationships xmlns="http://schemas.openxmlformats.org/package/2006/relationships"><Relationship Id="rId1" Type="http://schemas.openxmlformats.org/officeDocument/2006/relationships/chart" Target="../charts/chart18.xml" /></Relationships>
</file>

<file path=xl/drawings/_rels/drawing10.xml.rels><?xml version="1.0" encoding="UTF-8" standalone="yes"?><Relationships xmlns="http://schemas.openxmlformats.org/package/2006/relationships"><Relationship Id="rId3" Type="http://schemas.openxmlformats.org/officeDocument/2006/relationships/chart" Target="../charts/chart21.xml" /><Relationship Id="rId4" Type="http://schemas.openxmlformats.org/officeDocument/2006/relationships/chart" Target="../charts/chart22.xml" /><Relationship Id="rId8" Type="http://schemas.openxmlformats.org/officeDocument/2006/relationships/chart" Target="../charts/chart26.xml" /><Relationship Id="rId5" Type="http://schemas.openxmlformats.org/officeDocument/2006/relationships/chart" Target="../charts/chart23.xml" /><Relationship Id="rId7" Type="http://schemas.openxmlformats.org/officeDocument/2006/relationships/chart" Target="../charts/chart25.xml" /><Relationship Id="rId1" Type="http://schemas.openxmlformats.org/officeDocument/2006/relationships/chart" Target="../charts/chart19.xml" /><Relationship Id="rId2" Type="http://schemas.openxmlformats.org/officeDocument/2006/relationships/chart" Target="../charts/chart20.xml" /><Relationship Id="rId6" Type="http://schemas.openxmlformats.org/officeDocument/2006/relationships/chart" Target="../charts/chart24.xml" /></Relationships>
</file>

<file path=xl/drawings/_rels/drawing11.xml.rels><?xml version="1.0" encoding="UTF-8" standalone="yes"?><Relationships xmlns="http://schemas.openxmlformats.org/package/2006/relationships"><Relationship Id="rId1" Type="http://schemas.openxmlformats.org/officeDocument/2006/relationships/chart" Target="../charts/chart27.xml" /></Relationships>
</file>

<file path=xl/drawings/_rels/drawing12.xml.rels><?xml version="1.0" encoding="UTF-8" standalone="yes"?><Relationships xmlns="http://schemas.openxmlformats.org/package/2006/relationships"><Relationship Id="rId1" Type="http://schemas.openxmlformats.org/officeDocument/2006/relationships/chart" Target="../charts/chart28.xml" /></Relationships>
</file>

<file path=xl/drawings/_rels/drawing13.xml.rels><?xml version="1.0" encoding="UTF-8" standalone="yes"?><Relationships xmlns="http://schemas.openxmlformats.org/package/2006/relationships"><Relationship Id="rId1" Type="http://schemas.openxmlformats.org/officeDocument/2006/relationships/chart" Target="../charts/chart29.xml" /></Relationships>
</file>

<file path=xl/drawings/_rels/drawing14.xml.rels><?xml version="1.0" encoding="UTF-8" standalone="yes"?><Relationships xmlns="http://schemas.openxmlformats.org/package/2006/relationships"><Relationship Id="rId1" Type="http://schemas.openxmlformats.org/officeDocument/2006/relationships/chart" Target="../charts/chart30.xml" /></Relationships>
</file>

<file path=xl/drawings/_rels/drawing15.xml.rels><?xml version="1.0" encoding="UTF-8" standalone="yes"?><Relationships xmlns="http://schemas.openxmlformats.org/package/2006/relationships"><Relationship Id="rId1" Type="http://schemas.openxmlformats.org/officeDocument/2006/relationships/chart" Target="../charts/chart31.xml" /></Relationships>
</file>

<file path=xl/drawings/_rels/drawing16.xml.rels><?xml version="1.0" encoding="UTF-8" standalone="yes"?><Relationships xmlns="http://schemas.openxmlformats.org/package/2006/relationships"><Relationship Id="rId1" Type="http://schemas.openxmlformats.org/officeDocument/2006/relationships/chart" Target="../charts/chart32.xml" /></Relationships>
</file>

<file path=xl/drawings/_rels/drawing17.xml.rels><?xml version="1.0" encoding="UTF-8" standalone="yes"?><Relationships xmlns="http://schemas.openxmlformats.org/package/2006/relationships"><Relationship Id="rId1" Type="http://schemas.openxmlformats.org/officeDocument/2006/relationships/chart" Target="../charts/chart33.xml" /></Relationships>
</file>

<file path=xl/drawings/_rels/drawing18.xml.rels><?xml version="1.0" encoding="UTF-8" standalone="yes"?><Relationships xmlns="http://schemas.openxmlformats.org/package/2006/relationships"><Relationship Id="rId1" Type="http://schemas.openxmlformats.org/officeDocument/2006/relationships/chart" Target="../charts/chart34.xml" /></Relationships>
</file>

<file path=xl/drawings/drawing1.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twoCellAnchor>
    <xdr:from>
      <xdr:col>1</xdr:col>
      <xdr:colOff>0</xdr:colOff>
      <xdr:row>40</xdr:row>
      <xdr:rowOff>0</xdr:rowOff>
    </xdr:from>
    <xdr:to>
      <xdr:col>7</xdr:col>
      <xdr:colOff>0</xdr:colOff>
      <xdr:row>56</xdr:row>
      <xdr:rowOff>0</xdr:rowOff>
    </xdr:to>
    <xdr:graphicFrame>
      <xdr:nvGraphicFramePr>
        <xdr:cNvPr id="1" name="Chart 1">
          <a:extLst>
            <a:ext uri="{FF2B5EF4-FFF2-40B4-BE49-F238E27FC236}">
              <a16:creationId xmlns:a16="http://schemas.microsoft.com/office/drawing/2014/main" id="{1b84b114-a88c-49a5-bf6a-58fbeb42b307}"/>
            </a:ext>
          </a:extLst>
        </xdr:cNvPr>
        <xdr:cNvGraphicFramePr/>
      </xdr:nvGraphicFramePr>
      <xdr:xfrm>
        <a:off x="314325" y="7886700"/>
        <a:ext cx="9277350" cy="2590800"/>
      </xdr:xfrm>
      <a:graphic>
        <a:graphicData uri="http://schemas.openxmlformats.org/drawingml/2006/chart">
          <c:chart xmlns:c="http://schemas.openxmlformats.org/drawingml/2006/chart" r:id="rId1"/>
        </a:graphicData>
      </a:graphic>
    </xdr:graphicFrame>
    <xdr:clientData/>
  </xdr:twoCellAnchor>
  <xdr:twoCellAnchor>
    <xdr:from>
      <xdr:col>1</xdr:col>
      <xdr:colOff>0</xdr:colOff>
      <xdr:row>57</xdr:row>
      <xdr:rowOff>0</xdr:rowOff>
    </xdr:from>
    <xdr:to>
      <xdr:col>7</xdr:col>
      <xdr:colOff>0</xdr:colOff>
      <xdr:row>73</xdr:row>
      <xdr:rowOff>0</xdr:rowOff>
    </xdr:to>
    <xdr:graphicFrame>
      <xdr:nvGraphicFramePr>
        <xdr:cNvPr id="2" name="Chart 2">
          <a:extLst>
            <a:ext uri="{FF2B5EF4-FFF2-40B4-BE49-F238E27FC236}">
              <a16:creationId xmlns:a16="http://schemas.microsoft.com/office/drawing/2014/main" id="{c97ad2b2-9f8c-4b7a-a92f-f6c4d44176db}"/>
            </a:ext>
          </a:extLst>
        </xdr:cNvPr>
        <xdr:cNvGraphicFramePr/>
      </xdr:nvGraphicFramePr>
      <xdr:xfrm>
        <a:off x="314325" y="10639425"/>
        <a:ext cx="9277350" cy="2590800"/>
      </xdr:xfrm>
      <a:graphic>
        <a:graphicData uri="http://schemas.openxmlformats.org/drawingml/2006/chart">
          <c:chart xmlns:c="http://schemas.openxmlformats.org/drawingml/2006/chart" r:id="rId2"/>
        </a:graphicData>
      </a:graphic>
    </xdr:graphicFrame>
    <xdr:clientData/>
  </xdr:twoCellAnchor>
  <xdr:twoCellAnchor>
    <xdr:from>
      <xdr:col>1</xdr:col>
      <xdr:colOff>0</xdr:colOff>
      <xdr:row>74</xdr:row>
      <xdr:rowOff>0</xdr:rowOff>
    </xdr:from>
    <xdr:to>
      <xdr:col>7</xdr:col>
      <xdr:colOff>0</xdr:colOff>
      <xdr:row>90</xdr:row>
      <xdr:rowOff>0</xdr:rowOff>
    </xdr:to>
    <xdr:graphicFrame>
      <xdr:nvGraphicFramePr>
        <xdr:cNvPr id="3" name="Chart 3">
          <a:extLst>
            <a:ext uri="{FF2B5EF4-FFF2-40B4-BE49-F238E27FC236}">
              <a16:creationId xmlns:a16="http://schemas.microsoft.com/office/drawing/2014/main" id="{8fe5959d-38c7-4529-b906-f29806423c4b}"/>
            </a:ext>
          </a:extLst>
        </xdr:cNvPr>
        <xdr:cNvGraphicFramePr/>
      </xdr:nvGraphicFramePr>
      <xdr:xfrm>
        <a:off x="314325" y="13392150"/>
        <a:ext cx="9277350" cy="2590800"/>
      </xdr:xfrm>
      <a:graphic>
        <a:graphicData uri="http://schemas.openxmlformats.org/drawingml/2006/chart">
          <c:chart xmlns:c="http://schemas.openxmlformats.org/drawingml/2006/chart" r:id="rId3"/>
        </a:graphicData>
      </a:graphic>
    </xdr:graphicFrame>
    <xdr:clientData/>
  </xdr:twoCellAnchor>
  <xdr:twoCellAnchor>
    <xdr:from>
      <xdr:col>1</xdr:col>
      <xdr:colOff>0</xdr:colOff>
      <xdr:row>91</xdr:row>
      <xdr:rowOff>0</xdr:rowOff>
    </xdr:from>
    <xdr:to>
      <xdr:col>7</xdr:col>
      <xdr:colOff>0</xdr:colOff>
      <xdr:row>107</xdr:row>
      <xdr:rowOff>0</xdr:rowOff>
    </xdr:to>
    <xdr:graphicFrame>
      <xdr:nvGraphicFramePr>
        <xdr:cNvPr id="4" name="Chart 4">
          <a:extLst>
            <a:ext uri="{FF2B5EF4-FFF2-40B4-BE49-F238E27FC236}">
              <a16:creationId xmlns:a16="http://schemas.microsoft.com/office/drawing/2014/main" id="{c97be85c-6af1-44f8-902c-65b81b3003d4}"/>
            </a:ext>
          </a:extLst>
        </xdr:cNvPr>
        <xdr:cNvGraphicFramePr/>
      </xdr:nvGraphicFramePr>
      <xdr:xfrm>
        <a:off x="314325" y="16144875"/>
        <a:ext cx="9277350" cy="2590800"/>
      </xdr:xfrm>
      <a:graphic>
        <a:graphicData uri="http://schemas.openxmlformats.org/drawingml/2006/chart">
          <c:chart xmlns:c="http://schemas.openxmlformats.org/drawingml/2006/chart" r:id="rId4"/>
        </a:graphicData>
      </a:graphic>
    </xdr:graphicFrame>
    <xdr:clientData/>
  </xdr:twoCellAnchor>
  <xdr:twoCellAnchor>
    <xdr:from>
      <xdr:col>1</xdr:col>
      <xdr:colOff>0</xdr:colOff>
      <xdr:row>108</xdr:row>
      <xdr:rowOff>0</xdr:rowOff>
    </xdr:from>
    <xdr:to>
      <xdr:col>7</xdr:col>
      <xdr:colOff>0</xdr:colOff>
      <xdr:row>124</xdr:row>
      <xdr:rowOff>0</xdr:rowOff>
    </xdr:to>
    <xdr:graphicFrame>
      <xdr:nvGraphicFramePr>
        <xdr:cNvPr id="5" name="Chart 5">
          <a:extLst>
            <a:ext uri="{FF2B5EF4-FFF2-40B4-BE49-F238E27FC236}">
              <a16:creationId xmlns:a16="http://schemas.microsoft.com/office/drawing/2014/main" id="{6a6c8b1b-1c7f-4e44-a995-bd5b847cd871}"/>
            </a:ext>
          </a:extLst>
        </xdr:cNvPr>
        <xdr:cNvGraphicFramePr/>
      </xdr:nvGraphicFramePr>
      <xdr:xfrm>
        <a:off x="314325" y="18897600"/>
        <a:ext cx="9277350" cy="2590800"/>
      </xdr:xfrm>
      <a:graphic>
        <a:graphicData uri="http://schemas.openxmlformats.org/drawingml/2006/chart">
          <c:chart xmlns:c="http://schemas.openxmlformats.org/drawingml/2006/chart" r:id="rId5"/>
        </a:graphicData>
      </a:graphic>
    </xdr:graphicFrame>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twoCellAnchor>
    <xdr:from>
      <xdr:col>1</xdr:col>
      <xdr:colOff>0</xdr:colOff>
      <xdr:row>5</xdr:row>
      <xdr:rowOff>0</xdr:rowOff>
    </xdr:from>
    <xdr:to>
      <xdr:col>8</xdr:col>
      <xdr:colOff>0</xdr:colOff>
      <xdr:row>23</xdr:row>
      <xdr:rowOff>0</xdr:rowOff>
    </xdr:to>
    <xdr:graphicFrame>
      <xdr:nvGraphicFramePr>
        <xdr:cNvPr id="1" name="Chart 1">
          <a:extLst>
            <a:ext uri="{FF2B5EF4-FFF2-40B4-BE49-F238E27FC236}">
              <a16:creationId xmlns:a16="http://schemas.microsoft.com/office/drawing/2014/main" id="{6ff7bfaa-3f8a-429c-b1f6-e310f8ac0cfe}"/>
            </a:ext>
          </a:extLst>
        </xdr:cNvPr>
        <xdr:cNvGraphicFramePr/>
      </xdr:nvGraphicFramePr>
      <xdr:xfrm>
        <a:off x="314325" y="1028700"/>
        <a:ext cx="8543925" cy="3429000"/>
      </xdr:xfrm>
      <a:graphic>
        <a:graphicData uri="http://schemas.openxmlformats.org/drawingml/2006/chart">
          <c:chart xmlns:c="http://schemas.openxmlformats.org/drawingml/2006/chart" r:id="rId1"/>
        </a:graphicData>
      </a:graphic>
    </xdr:graphicFrame>
    <xdr:clientData/>
  </xdr:twoCellAnchor>
  <xdr:twoCellAnchor>
    <xdr:from>
      <xdr:col>1</xdr:col>
      <xdr:colOff>0</xdr:colOff>
      <xdr:row>25</xdr:row>
      <xdr:rowOff>0</xdr:rowOff>
    </xdr:from>
    <xdr:to>
      <xdr:col>8</xdr:col>
      <xdr:colOff>0</xdr:colOff>
      <xdr:row>43</xdr:row>
      <xdr:rowOff>0</xdr:rowOff>
    </xdr:to>
    <xdr:graphicFrame>
      <xdr:nvGraphicFramePr>
        <xdr:cNvPr id="2" name="Chart 2">
          <a:extLst>
            <a:ext uri="{FF2B5EF4-FFF2-40B4-BE49-F238E27FC236}">
              <a16:creationId xmlns:a16="http://schemas.microsoft.com/office/drawing/2014/main" id="{23cb9a4c-9736-44af-be6f-cd967dddbb2b}"/>
            </a:ext>
          </a:extLst>
        </xdr:cNvPr>
        <xdr:cNvGraphicFramePr/>
      </xdr:nvGraphicFramePr>
      <xdr:xfrm>
        <a:off x="314325" y="4838700"/>
        <a:ext cx="8543925" cy="3429000"/>
      </xdr:xfrm>
      <a:graphic>
        <a:graphicData uri="http://schemas.openxmlformats.org/drawingml/2006/chart">
          <c:chart xmlns:c="http://schemas.openxmlformats.org/drawingml/2006/chart" r:id="rId2"/>
        </a:graphicData>
      </a:graphic>
    </xdr:graphicFrame>
    <xdr:clientData/>
  </xdr:twoCellAnchor>
  <xdr:twoCellAnchor>
    <xdr:from>
      <xdr:col>1</xdr:col>
      <xdr:colOff>0</xdr:colOff>
      <xdr:row>45</xdr:row>
      <xdr:rowOff>0</xdr:rowOff>
    </xdr:from>
    <xdr:to>
      <xdr:col>8</xdr:col>
      <xdr:colOff>0</xdr:colOff>
      <xdr:row>63</xdr:row>
      <xdr:rowOff>0</xdr:rowOff>
    </xdr:to>
    <xdr:graphicFrame>
      <xdr:nvGraphicFramePr>
        <xdr:cNvPr id="3" name="Chart 3">
          <a:extLst>
            <a:ext uri="{FF2B5EF4-FFF2-40B4-BE49-F238E27FC236}">
              <a16:creationId xmlns:a16="http://schemas.microsoft.com/office/drawing/2014/main" id="{b590be46-7511-4ab3-a75c-7593fe55ff3a}"/>
            </a:ext>
          </a:extLst>
        </xdr:cNvPr>
        <xdr:cNvGraphicFramePr/>
      </xdr:nvGraphicFramePr>
      <xdr:xfrm>
        <a:off x="314325" y="8648700"/>
        <a:ext cx="8543925" cy="3429000"/>
      </xdr:xfrm>
      <a:graphic>
        <a:graphicData uri="http://schemas.openxmlformats.org/drawingml/2006/chart">
          <c:chart xmlns:c="http://schemas.openxmlformats.org/drawingml/2006/chart" r:id="rId3"/>
        </a:graphicData>
      </a:graphic>
    </xdr:graphicFrame>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twoCellAnchor>
    <xdr:from>
      <xdr:col>1</xdr:col>
      <xdr:colOff>0</xdr:colOff>
      <xdr:row>5</xdr:row>
      <xdr:rowOff>0</xdr:rowOff>
    </xdr:from>
    <xdr:to>
      <xdr:col>4</xdr:col>
      <xdr:colOff>0</xdr:colOff>
      <xdr:row>16</xdr:row>
      <xdr:rowOff>0</xdr:rowOff>
    </xdr:to>
    <xdr:graphicFrame>
      <xdr:nvGraphicFramePr>
        <xdr:cNvPr id="1" name="Chart 1">
          <a:extLst>
            <a:ext uri="{FF2B5EF4-FFF2-40B4-BE49-F238E27FC236}">
              <a16:creationId xmlns:a16="http://schemas.microsoft.com/office/drawing/2014/main" id="{e367a772-3760-4fb9-8617-e1702cf6a52f}"/>
            </a:ext>
          </a:extLst>
        </xdr:cNvPr>
        <xdr:cNvGraphicFramePr/>
      </xdr:nvGraphicFramePr>
      <xdr:xfrm>
        <a:off x="314325" y="1028700"/>
        <a:ext cx="5886450" cy="1885950"/>
      </xdr:xfrm>
      <a:graphic>
        <a:graphicData uri="http://schemas.openxmlformats.org/drawingml/2006/chart">
          <c:chart xmlns:c="http://schemas.openxmlformats.org/drawingml/2006/chart" r:id="rId1"/>
        </a:graphicData>
      </a:graphic>
    </xdr:graphicFrame>
    <xdr:clientData/>
  </xdr:two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twoCellAnchor>
    <xdr:from>
      <xdr:col>1</xdr:col>
      <xdr:colOff>0</xdr:colOff>
      <xdr:row>5</xdr:row>
      <xdr:rowOff>0</xdr:rowOff>
    </xdr:from>
    <xdr:to>
      <xdr:col>6</xdr:col>
      <xdr:colOff>0</xdr:colOff>
      <xdr:row>21</xdr:row>
      <xdr:rowOff>0</xdr:rowOff>
    </xdr:to>
    <xdr:graphicFrame>
      <xdr:nvGraphicFramePr>
        <xdr:cNvPr id="1" name="Chart 1">
          <a:extLst>
            <a:ext uri="{FF2B5EF4-FFF2-40B4-BE49-F238E27FC236}">
              <a16:creationId xmlns:a16="http://schemas.microsoft.com/office/drawing/2014/main" id="{3bcd3c0b-b5e1-4e24-8ce3-e6781586feed}"/>
            </a:ext>
          </a:extLst>
        </xdr:cNvPr>
        <xdr:cNvGraphicFramePr/>
      </xdr:nvGraphicFramePr>
      <xdr:xfrm>
        <a:off x="314325" y="1028700"/>
        <a:ext cx="9182100" cy="3048000"/>
      </xdr:xfrm>
      <a:graphic>
        <a:graphicData uri="http://schemas.openxmlformats.org/drawingml/2006/chart">
          <c:chart xmlns:c="http://schemas.openxmlformats.org/drawingml/2006/chart" r:id="rId1"/>
        </a:graphicData>
      </a:graphic>
    </xdr:graphicFrame>
    <xdr:clientData/>
  </xdr:twoCellAnchor>
  <xdr:twoCellAnchor>
    <xdr:from>
      <xdr:col>1</xdr:col>
      <xdr:colOff>0</xdr:colOff>
      <xdr:row>28</xdr:row>
      <xdr:rowOff>0</xdr:rowOff>
    </xdr:from>
    <xdr:to>
      <xdr:col>6</xdr:col>
      <xdr:colOff>0</xdr:colOff>
      <xdr:row>43</xdr:row>
      <xdr:rowOff>0</xdr:rowOff>
    </xdr:to>
    <xdr:graphicFrame>
      <xdr:nvGraphicFramePr>
        <xdr:cNvPr id="2" name="Chart 2">
          <a:extLst>
            <a:ext uri="{FF2B5EF4-FFF2-40B4-BE49-F238E27FC236}">
              <a16:creationId xmlns:a16="http://schemas.microsoft.com/office/drawing/2014/main" id="{e283adb7-cedd-4a81-9159-52574aac2975}"/>
            </a:ext>
          </a:extLst>
        </xdr:cNvPr>
        <xdr:cNvGraphicFramePr/>
      </xdr:nvGraphicFramePr>
      <xdr:xfrm>
        <a:off x="314325" y="5572125"/>
        <a:ext cx="9182100" cy="2857500"/>
      </xdr:xfrm>
      <a:graphic>
        <a:graphicData uri="http://schemas.openxmlformats.org/drawingml/2006/chart">
          <c:chart xmlns:c="http://schemas.openxmlformats.org/drawingml/2006/chart" r:id="rId2"/>
        </a:graphicData>
      </a:graphic>
    </xdr:graphicFrame>
    <xdr:clientData/>
  </xdr:two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twoCellAnchor>
    <xdr:from>
      <xdr:col>1</xdr:col>
      <xdr:colOff>0</xdr:colOff>
      <xdr:row>15</xdr:row>
      <xdr:rowOff>0</xdr:rowOff>
    </xdr:from>
    <xdr:to>
      <xdr:col>7</xdr:col>
      <xdr:colOff>0</xdr:colOff>
      <xdr:row>37</xdr:row>
      <xdr:rowOff>0</xdr:rowOff>
    </xdr:to>
    <xdr:graphicFrame>
      <xdr:nvGraphicFramePr>
        <xdr:cNvPr id="1" name="Chart 1">
          <a:extLst>
            <a:ext uri="{FF2B5EF4-FFF2-40B4-BE49-F238E27FC236}">
              <a16:creationId xmlns:a16="http://schemas.microsoft.com/office/drawing/2014/main" id="{2a21dd32-0653-474b-8eb1-0c7cfeed002f}"/>
            </a:ext>
          </a:extLst>
        </xdr:cNvPr>
        <xdr:cNvGraphicFramePr/>
      </xdr:nvGraphicFramePr>
      <xdr:xfrm>
        <a:off x="314325" y="3181350"/>
        <a:ext cx="7467600" cy="3771900"/>
      </xdr:xfrm>
      <a:graphic>
        <a:graphicData uri="http://schemas.openxmlformats.org/drawingml/2006/chart">
          <c:chart xmlns:c="http://schemas.openxmlformats.org/drawingml/2006/chart" r:id="rId1"/>
        </a:graphicData>
      </a:graphic>
    </xdr:graphicFrame>
    <xdr:clientData/>
  </xdr:twoCellAnchor>
  <xdr:twoCellAnchor>
    <xdr:from>
      <xdr:col>1</xdr:col>
      <xdr:colOff>0</xdr:colOff>
      <xdr:row>77</xdr:row>
      <xdr:rowOff>0</xdr:rowOff>
    </xdr:from>
    <xdr:to>
      <xdr:col>7</xdr:col>
      <xdr:colOff>0</xdr:colOff>
      <xdr:row>99</xdr:row>
      <xdr:rowOff>0</xdr:rowOff>
    </xdr:to>
    <xdr:graphicFrame>
      <xdr:nvGraphicFramePr>
        <xdr:cNvPr id="2" name="Chart 2">
          <a:extLst>
            <a:ext uri="{FF2B5EF4-FFF2-40B4-BE49-F238E27FC236}">
              <a16:creationId xmlns:a16="http://schemas.microsoft.com/office/drawing/2014/main" id="{2b381891-a939-4fdd-aad3-928607ebd822}"/>
            </a:ext>
          </a:extLst>
        </xdr:cNvPr>
        <xdr:cNvGraphicFramePr/>
      </xdr:nvGraphicFramePr>
      <xdr:xfrm>
        <a:off x="314325" y="14658975"/>
        <a:ext cx="7467600" cy="3771900"/>
      </xdr:xfrm>
      <a:graphic>
        <a:graphicData uri="http://schemas.openxmlformats.org/drawingml/2006/chart">
          <c:chart xmlns:c="http://schemas.openxmlformats.org/drawingml/2006/chart" r:id="rId2"/>
        </a:graphicData>
      </a:graphic>
    </xdr:graphicFrame>
    <xdr:clientData/>
  </xdr:twoCellAnchor>
  <xdr:twoCellAnchor>
    <xdr:from>
      <xdr:col>1</xdr:col>
      <xdr:colOff>0</xdr:colOff>
      <xdr:row>101</xdr:row>
      <xdr:rowOff>0</xdr:rowOff>
    </xdr:from>
    <xdr:to>
      <xdr:col>7</xdr:col>
      <xdr:colOff>0</xdr:colOff>
      <xdr:row>123</xdr:row>
      <xdr:rowOff>0</xdr:rowOff>
    </xdr:to>
    <xdr:graphicFrame>
      <xdr:nvGraphicFramePr>
        <xdr:cNvPr id="3" name="Chart 3">
          <a:extLst>
            <a:ext uri="{FF2B5EF4-FFF2-40B4-BE49-F238E27FC236}">
              <a16:creationId xmlns:a16="http://schemas.microsoft.com/office/drawing/2014/main" id="{8976b5d0-be76-4e3b-bdee-68d3680b24d6}"/>
            </a:ext>
          </a:extLst>
        </xdr:cNvPr>
        <xdr:cNvGraphicFramePr/>
      </xdr:nvGraphicFramePr>
      <xdr:xfrm>
        <a:off x="314325" y="18773775"/>
        <a:ext cx="7467600" cy="3771900"/>
      </xdr:xfrm>
      <a:graphic>
        <a:graphicData uri="http://schemas.openxmlformats.org/drawingml/2006/chart">
          <c:chart xmlns:c="http://schemas.openxmlformats.org/drawingml/2006/chart" r:id="rId3"/>
        </a:graphicData>
      </a:graphic>
    </xdr:graphicFrame>
    <xdr:clientData/>
  </xdr:two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twoCellAnchor>
    <xdr:from>
      <xdr:col>1</xdr:col>
      <xdr:colOff>0</xdr:colOff>
      <xdr:row>5</xdr:row>
      <xdr:rowOff>0</xdr:rowOff>
    </xdr:from>
    <xdr:to>
      <xdr:col>6</xdr:col>
      <xdr:colOff>0</xdr:colOff>
      <xdr:row>27</xdr:row>
      <xdr:rowOff>0</xdr:rowOff>
    </xdr:to>
    <xdr:graphicFrame>
      <xdr:nvGraphicFramePr>
        <xdr:cNvPr id="1" name="Chart 1">
          <a:extLst>
            <a:ext uri="{FF2B5EF4-FFF2-40B4-BE49-F238E27FC236}">
              <a16:creationId xmlns:a16="http://schemas.microsoft.com/office/drawing/2014/main" id="{348650b5-00df-4c03-95b7-663658dab16a}"/>
            </a:ext>
          </a:extLst>
        </xdr:cNvPr>
        <xdr:cNvGraphicFramePr/>
      </xdr:nvGraphicFramePr>
      <xdr:xfrm>
        <a:off x="314325" y="1028700"/>
        <a:ext cx="6276975" cy="3562350"/>
      </xdr:xfrm>
      <a:graphic>
        <a:graphicData uri="http://schemas.openxmlformats.org/drawingml/2006/chart">
          <c:chart xmlns:c="http://schemas.openxmlformats.org/drawingml/2006/chart" r:id="rId1"/>
        </a:graphicData>
      </a:graphic>
    </xdr:graphicFrame>
    <xdr:clientData/>
  </xdr:two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twoCellAnchor>
    <xdr:from>
      <xdr:col>1</xdr:col>
      <xdr:colOff>0</xdr:colOff>
      <xdr:row>5</xdr:row>
      <xdr:rowOff>0</xdr:rowOff>
    </xdr:from>
    <xdr:to>
      <xdr:col>7</xdr:col>
      <xdr:colOff>0</xdr:colOff>
      <xdr:row>21</xdr:row>
      <xdr:rowOff>0</xdr:rowOff>
    </xdr:to>
    <xdr:graphicFrame>
      <xdr:nvGraphicFramePr>
        <xdr:cNvPr id="1" name="Chart 1">
          <a:extLst>
            <a:ext uri="{FF2B5EF4-FFF2-40B4-BE49-F238E27FC236}">
              <a16:creationId xmlns:a16="http://schemas.microsoft.com/office/drawing/2014/main" id="{9d1bbdc6-ac74-4d8e-ae85-6498fdd109ab}"/>
            </a:ext>
          </a:extLst>
        </xdr:cNvPr>
        <xdr:cNvGraphicFramePr/>
      </xdr:nvGraphicFramePr>
      <xdr:xfrm>
        <a:off x="314325" y="1028700"/>
        <a:ext cx="7515225" cy="2590800"/>
      </xdr:xfrm>
      <a:graphic>
        <a:graphicData uri="http://schemas.openxmlformats.org/drawingml/2006/chart">
          <c:chart xmlns:c="http://schemas.openxmlformats.org/drawingml/2006/chart" r:id="rId1"/>
        </a:graphicData>
      </a:graphic>
    </xdr:graphicFrame>
    <xdr:clientData/>
  </xdr:two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twoCellAnchor>
    <xdr:from>
      <xdr:col>1</xdr:col>
      <xdr:colOff>0</xdr:colOff>
      <xdr:row>5</xdr:row>
      <xdr:rowOff>0</xdr:rowOff>
    </xdr:from>
    <xdr:to>
      <xdr:col>7</xdr:col>
      <xdr:colOff>0</xdr:colOff>
      <xdr:row>21</xdr:row>
      <xdr:rowOff>0</xdr:rowOff>
    </xdr:to>
    <xdr:graphicFrame>
      <xdr:nvGraphicFramePr>
        <xdr:cNvPr id="1" name="Chart 1">
          <a:extLst>
            <a:ext uri="{FF2B5EF4-FFF2-40B4-BE49-F238E27FC236}">
              <a16:creationId xmlns:a16="http://schemas.microsoft.com/office/drawing/2014/main" id="{725509ab-0780-4aeb-ae62-ca2fa8c4634d}"/>
            </a:ext>
          </a:extLst>
        </xdr:cNvPr>
        <xdr:cNvGraphicFramePr/>
      </xdr:nvGraphicFramePr>
      <xdr:xfrm>
        <a:off x="314325" y="1028700"/>
        <a:ext cx="8582025" cy="2590800"/>
      </xdr:xfrm>
      <a:graphic>
        <a:graphicData uri="http://schemas.openxmlformats.org/drawingml/2006/chart">
          <c:chart xmlns:c="http://schemas.openxmlformats.org/drawingml/2006/chart" r:id="rId1"/>
        </a:graphicData>
      </a:graphic>
    </xdr:graphicFrame>
    <xdr:clientData/>
  </xdr:two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twoCellAnchor>
    <xdr:from>
      <xdr:col>1</xdr:col>
      <xdr:colOff>0</xdr:colOff>
      <xdr:row>5</xdr:row>
      <xdr:rowOff>0</xdr:rowOff>
    </xdr:from>
    <xdr:to>
      <xdr:col>7</xdr:col>
      <xdr:colOff>0</xdr:colOff>
      <xdr:row>21</xdr:row>
      <xdr:rowOff>0</xdr:rowOff>
    </xdr:to>
    <xdr:graphicFrame>
      <xdr:nvGraphicFramePr>
        <xdr:cNvPr id="1" name="Chart 1">
          <a:extLst>
            <a:ext uri="{FF2B5EF4-FFF2-40B4-BE49-F238E27FC236}">
              <a16:creationId xmlns:a16="http://schemas.microsoft.com/office/drawing/2014/main" id="{069d13fb-e9ab-48bb-b632-e238517022da}"/>
            </a:ext>
          </a:extLst>
        </xdr:cNvPr>
        <xdr:cNvGraphicFramePr/>
      </xdr:nvGraphicFramePr>
      <xdr:xfrm>
        <a:off x="314325" y="1028700"/>
        <a:ext cx="8505825" cy="2590800"/>
      </xdr:xfrm>
      <a:graphic>
        <a:graphicData uri="http://schemas.openxmlformats.org/drawingml/2006/chart">
          <c:chart xmlns:c="http://schemas.openxmlformats.org/drawingml/2006/chart" r:id="rId1"/>
        </a:graphicData>
      </a:graphic>
    </xdr:graphicFrame>
    <xdr:clientData/>
  </xdr:two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twoCellAnchor>
    <xdr:from>
      <xdr:col>7</xdr:col>
      <xdr:colOff>0</xdr:colOff>
      <xdr:row>5</xdr:row>
      <xdr:rowOff>0</xdr:rowOff>
    </xdr:from>
    <xdr:to>
      <xdr:col>13</xdr:col>
      <xdr:colOff>0</xdr:colOff>
      <xdr:row>17</xdr:row>
      <xdr:rowOff>0</xdr:rowOff>
    </xdr:to>
    <xdr:graphicFrame>
      <xdr:nvGraphicFramePr>
        <xdr:cNvPr id="1" name="Chart 1">
          <a:extLst>
            <a:ext uri="{FF2B5EF4-FFF2-40B4-BE49-F238E27FC236}">
              <a16:creationId xmlns:a16="http://schemas.microsoft.com/office/drawing/2014/main" id="{c22ab5b9-b415-4ea7-8569-4ab5056f2ec3}"/>
            </a:ext>
          </a:extLst>
        </xdr:cNvPr>
        <xdr:cNvGraphicFramePr/>
      </xdr:nvGraphicFramePr>
      <xdr:xfrm>
        <a:off x="9601200" y="1028700"/>
        <a:ext cx="5486400" cy="2733675"/>
      </xdr:xfrm>
      <a:graphic>
        <a:graphicData uri="http://schemas.openxmlformats.org/drawingml/2006/chart">
          <c:chart xmlns:c="http://schemas.openxmlformats.org/drawingml/2006/chart" r:id="rId1"/>
        </a:graphicData>
      </a:graphic>
    </xdr:graphicFrame>
    <xdr:clientData/>
  </xdr:twoCellAnchor>
  <xdr:twoCellAnchor>
    <xdr:from>
      <xdr:col>7</xdr:col>
      <xdr:colOff>0</xdr:colOff>
      <xdr:row>18</xdr:row>
      <xdr:rowOff>0</xdr:rowOff>
    </xdr:from>
    <xdr:to>
      <xdr:col>13</xdr:col>
      <xdr:colOff>0</xdr:colOff>
      <xdr:row>30</xdr:row>
      <xdr:rowOff>0</xdr:rowOff>
    </xdr:to>
    <xdr:graphicFrame>
      <xdr:nvGraphicFramePr>
        <xdr:cNvPr id="2" name="Chart 2">
          <a:extLst>
            <a:ext uri="{FF2B5EF4-FFF2-40B4-BE49-F238E27FC236}">
              <a16:creationId xmlns:a16="http://schemas.microsoft.com/office/drawing/2014/main" id="{2e2d60b6-1117-41a5-91b8-d9f4258503f0}"/>
            </a:ext>
          </a:extLst>
        </xdr:cNvPr>
        <xdr:cNvGraphicFramePr/>
      </xdr:nvGraphicFramePr>
      <xdr:xfrm>
        <a:off x="9601200" y="4076700"/>
        <a:ext cx="5486400" cy="3048000"/>
      </xdr:xfrm>
      <a:graphic>
        <a:graphicData uri="http://schemas.openxmlformats.org/drawingml/2006/chart">
          <c:chart xmlns:c="http://schemas.openxmlformats.org/drawingml/2006/chart" r:id="rId2"/>
        </a:graphicData>
      </a:graphic>
    </xdr:graphicFrame>
    <xdr:clientData/>
  </xdr:twoCellAnchor>
  <xdr:twoCellAnchor>
    <xdr:from>
      <xdr:col>7</xdr:col>
      <xdr:colOff>0</xdr:colOff>
      <xdr:row>31</xdr:row>
      <xdr:rowOff>0</xdr:rowOff>
    </xdr:from>
    <xdr:to>
      <xdr:col>13</xdr:col>
      <xdr:colOff>0</xdr:colOff>
      <xdr:row>43</xdr:row>
      <xdr:rowOff>0</xdr:rowOff>
    </xdr:to>
    <xdr:graphicFrame>
      <xdr:nvGraphicFramePr>
        <xdr:cNvPr id="3" name="Chart 3">
          <a:extLst>
            <a:ext uri="{FF2B5EF4-FFF2-40B4-BE49-F238E27FC236}">
              <a16:creationId xmlns:a16="http://schemas.microsoft.com/office/drawing/2014/main" id="{acf605b0-f74a-407d-8563-3dfa094a9a8c}"/>
            </a:ext>
          </a:extLst>
        </xdr:cNvPr>
        <xdr:cNvGraphicFramePr/>
      </xdr:nvGraphicFramePr>
      <xdr:xfrm>
        <a:off x="9601200" y="7315200"/>
        <a:ext cx="5486400" cy="2571750"/>
      </xdr:xfrm>
      <a:graphic>
        <a:graphicData uri="http://schemas.openxmlformats.org/drawingml/2006/chart">
          <c:chart xmlns:c="http://schemas.openxmlformats.org/drawingml/2006/chart" r:id="rId3"/>
        </a:graphicData>
      </a:graphic>
    </xdr:graphicFrame>
    <xdr:clientData/>
  </xdr:twoCellAnchor>
  <xdr:twoCellAnchor>
    <xdr:from>
      <xdr:col>7</xdr:col>
      <xdr:colOff>0</xdr:colOff>
      <xdr:row>44</xdr:row>
      <xdr:rowOff>0</xdr:rowOff>
    </xdr:from>
    <xdr:to>
      <xdr:col>13</xdr:col>
      <xdr:colOff>0</xdr:colOff>
      <xdr:row>56</xdr:row>
      <xdr:rowOff>0</xdr:rowOff>
    </xdr:to>
    <xdr:graphicFrame>
      <xdr:nvGraphicFramePr>
        <xdr:cNvPr id="4" name="Chart 4">
          <a:extLst>
            <a:ext uri="{FF2B5EF4-FFF2-40B4-BE49-F238E27FC236}">
              <a16:creationId xmlns:a16="http://schemas.microsoft.com/office/drawing/2014/main" id="{bb8cc8b6-24e6-4854-a01b-6b926f5b57b7}"/>
            </a:ext>
          </a:extLst>
        </xdr:cNvPr>
        <xdr:cNvGraphicFramePr/>
      </xdr:nvGraphicFramePr>
      <xdr:xfrm>
        <a:off x="9601200" y="10077450"/>
        <a:ext cx="5486400" cy="2857500"/>
      </xdr:xfrm>
      <a:graphic>
        <a:graphicData uri="http://schemas.openxmlformats.org/drawingml/2006/chart">
          <c:chart xmlns:c="http://schemas.openxmlformats.org/drawingml/2006/chart" r:id="rId4"/>
        </a:graphicData>
      </a:graphic>
    </xdr:graphicFrame>
    <xdr:clientData/>
  </xdr:twoCellAnchor>
  <xdr:twoCellAnchor>
    <xdr:from>
      <xdr:col>7</xdr:col>
      <xdr:colOff>0</xdr:colOff>
      <xdr:row>57</xdr:row>
      <xdr:rowOff>0</xdr:rowOff>
    </xdr:from>
    <xdr:to>
      <xdr:col>13</xdr:col>
      <xdr:colOff>0</xdr:colOff>
      <xdr:row>69</xdr:row>
      <xdr:rowOff>0</xdr:rowOff>
    </xdr:to>
    <xdr:graphicFrame>
      <xdr:nvGraphicFramePr>
        <xdr:cNvPr id="5" name="Chart 5">
          <a:extLst>
            <a:ext uri="{FF2B5EF4-FFF2-40B4-BE49-F238E27FC236}">
              <a16:creationId xmlns:a16="http://schemas.microsoft.com/office/drawing/2014/main" id="{861b17e2-94bd-4aec-9af5-d7c18d814555}"/>
            </a:ext>
          </a:extLst>
        </xdr:cNvPr>
        <xdr:cNvGraphicFramePr/>
      </xdr:nvGraphicFramePr>
      <xdr:xfrm>
        <a:off x="9601200" y="13125450"/>
        <a:ext cx="5486400" cy="2571750"/>
      </xdr:xfrm>
      <a:graphic>
        <a:graphicData uri="http://schemas.openxmlformats.org/drawingml/2006/chart">
          <c:chart xmlns:c="http://schemas.openxmlformats.org/drawingml/2006/chart" r:id="rId5"/>
        </a:graphicData>
      </a:graphic>
    </xdr:graphicFrame>
    <xdr:clientData/>
  </xdr:twoCellAnchor>
  <xdr:twoCellAnchor>
    <xdr:from>
      <xdr:col>7</xdr:col>
      <xdr:colOff>0</xdr:colOff>
      <xdr:row>70</xdr:row>
      <xdr:rowOff>0</xdr:rowOff>
    </xdr:from>
    <xdr:to>
      <xdr:col>13</xdr:col>
      <xdr:colOff>0</xdr:colOff>
      <xdr:row>82</xdr:row>
      <xdr:rowOff>0</xdr:rowOff>
    </xdr:to>
    <xdr:graphicFrame>
      <xdr:nvGraphicFramePr>
        <xdr:cNvPr id="6" name="Chart 6">
          <a:extLst>
            <a:ext uri="{FF2B5EF4-FFF2-40B4-BE49-F238E27FC236}">
              <a16:creationId xmlns:a16="http://schemas.microsoft.com/office/drawing/2014/main" id="{0a3184b6-0b23-4ae3-8852-99b1905c3ae6}"/>
            </a:ext>
          </a:extLst>
        </xdr:cNvPr>
        <xdr:cNvGraphicFramePr/>
      </xdr:nvGraphicFramePr>
      <xdr:xfrm>
        <a:off x="9601200" y="15887700"/>
        <a:ext cx="5486400" cy="2228850"/>
      </xdr:xfrm>
      <a:graphic>
        <a:graphicData uri="http://schemas.openxmlformats.org/drawingml/2006/chart">
          <c:chart xmlns:c="http://schemas.openxmlformats.org/drawingml/2006/chart" r:id="rId6"/>
        </a:graphicData>
      </a:graphic>
    </xdr:graphicFrame>
    <xdr:clientData/>
  </xdr:twoCellAnchor>
  <xdr:twoCellAnchor>
    <xdr:from>
      <xdr:col>7</xdr:col>
      <xdr:colOff>0</xdr:colOff>
      <xdr:row>83</xdr:row>
      <xdr:rowOff>0</xdr:rowOff>
    </xdr:from>
    <xdr:to>
      <xdr:col>13</xdr:col>
      <xdr:colOff>0</xdr:colOff>
      <xdr:row>95</xdr:row>
      <xdr:rowOff>0</xdr:rowOff>
    </xdr:to>
    <xdr:graphicFrame>
      <xdr:nvGraphicFramePr>
        <xdr:cNvPr id="7" name="Chart 7">
          <a:extLst>
            <a:ext uri="{FF2B5EF4-FFF2-40B4-BE49-F238E27FC236}">
              <a16:creationId xmlns:a16="http://schemas.microsoft.com/office/drawing/2014/main" id="{a09a3a79-f6b0-441c-864e-e145b349ced4}"/>
            </a:ext>
          </a:extLst>
        </xdr:cNvPr>
        <xdr:cNvGraphicFramePr/>
      </xdr:nvGraphicFramePr>
      <xdr:xfrm>
        <a:off x="9601200" y="18278475"/>
        <a:ext cx="5486400" cy="1943100"/>
      </xdr:xfrm>
      <a:graphic>
        <a:graphicData uri="http://schemas.openxmlformats.org/drawingml/2006/chart">
          <c:chart xmlns:c="http://schemas.openxmlformats.org/drawingml/2006/chart" r:id="rId7"/>
        </a:graphicData>
      </a:graphic>
    </xdr:graphicFrame>
    <xdr:clientData/>
  </xdr:twoCellAnchor>
  <xdr:twoCellAnchor>
    <xdr:from>
      <xdr:col>7</xdr:col>
      <xdr:colOff>0</xdr:colOff>
      <xdr:row>96</xdr:row>
      <xdr:rowOff>0</xdr:rowOff>
    </xdr:from>
    <xdr:to>
      <xdr:col>13</xdr:col>
      <xdr:colOff>0</xdr:colOff>
      <xdr:row>108</xdr:row>
      <xdr:rowOff>0</xdr:rowOff>
    </xdr:to>
    <xdr:graphicFrame>
      <xdr:nvGraphicFramePr>
        <xdr:cNvPr id="8" name="Chart 8">
          <a:extLst>
            <a:ext uri="{FF2B5EF4-FFF2-40B4-BE49-F238E27FC236}">
              <a16:creationId xmlns:a16="http://schemas.microsoft.com/office/drawing/2014/main" id="{d998a85d-1c52-43c5-86ad-17f6763f8049}"/>
            </a:ext>
          </a:extLst>
        </xdr:cNvPr>
        <xdr:cNvGraphicFramePr/>
      </xdr:nvGraphicFramePr>
      <xdr:xfrm>
        <a:off x="9601200" y="20383500"/>
        <a:ext cx="5486400" cy="1943100"/>
      </xdr:xfrm>
      <a:graphic>
        <a:graphicData uri="http://schemas.openxmlformats.org/drawingml/2006/chart">
          <c:chart xmlns:c="http://schemas.openxmlformats.org/drawingml/2006/chart" r:id="rId8"/>
        </a:graphicData>
      </a:graphic>
    </xdr:graphicFrame>
    <xdr:clientData/>
  </xdr:twoCellAnchor>
</xdr:wsDr>
</file>

<file path=xl/drawings/drawing11.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twoCellAnchor>
    <xdr:from>
      <xdr:col>1</xdr:col>
      <xdr:colOff>0</xdr:colOff>
      <xdr:row>5</xdr:row>
      <xdr:rowOff>0</xdr:rowOff>
    </xdr:from>
    <xdr:to>
      <xdr:col>11</xdr:col>
      <xdr:colOff>0</xdr:colOff>
      <xdr:row>21</xdr:row>
      <xdr:rowOff>0</xdr:rowOff>
    </xdr:to>
    <xdr:graphicFrame>
      <xdr:nvGraphicFramePr>
        <xdr:cNvPr id="1" name="Chart 1">
          <a:extLst>
            <a:ext uri="{FF2B5EF4-FFF2-40B4-BE49-F238E27FC236}">
              <a16:creationId xmlns:a16="http://schemas.microsoft.com/office/drawing/2014/main" id="{313bab24-68fd-4d36-bce6-2b40a361cf87}"/>
            </a:ext>
          </a:extLst>
        </xdr:cNvPr>
        <xdr:cNvGraphicFramePr/>
      </xdr:nvGraphicFramePr>
      <xdr:xfrm>
        <a:off x="314325" y="1028700"/>
        <a:ext cx="7448550" cy="2743200"/>
      </xdr:xfrm>
      <a:graphic>
        <a:graphicData uri="http://schemas.openxmlformats.org/drawingml/2006/chart">
          <c:chart xmlns:c="http://schemas.openxmlformats.org/drawingml/2006/chart" r:id="rId1"/>
        </a:graphicData>
      </a:graphic>
    </xdr:graphicFrame>
    <xdr:clientData/>
  </xdr:twoCellAnchor>
</xdr:wsDr>
</file>

<file path=xl/drawings/drawing12.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twoCellAnchor>
    <xdr:from>
      <xdr:col>1</xdr:col>
      <xdr:colOff>0</xdr:colOff>
      <xdr:row>5</xdr:row>
      <xdr:rowOff>0</xdr:rowOff>
    </xdr:from>
    <xdr:to>
      <xdr:col>11</xdr:col>
      <xdr:colOff>0</xdr:colOff>
      <xdr:row>21</xdr:row>
      <xdr:rowOff>0</xdr:rowOff>
    </xdr:to>
    <xdr:graphicFrame>
      <xdr:nvGraphicFramePr>
        <xdr:cNvPr id="1" name="Chart 1">
          <a:extLst>
            <a:ext uri="{FF2B5EF4-FFF2-40B4-BE49-F238E27FC236}">
              <a16:creationId xmlns:a16="http://schemas.microsoft.com/office/drawing/2014/main" id="{402b69c4-92d1-42d3-91b3-92f44bc2f942}"/>
            </a:ext>
          </a:extLst>
        </xdr:cNvPr>
        <xdr:cNvGraphicFramePr/>
      </xdr:nvGraphicFramePr>
      <xdr:xfrm>
        <a:off x="314325" y="1028700"/>
        <a:ext cx="7896225" cy="2743200"/>
      </xdr:xfrm>
      <a:graphic>
        <a:graphicData uri="http://schemas.openxmlformats.org/drawingml/2006/chart">
          <c:chart xmlns:c="http://schemas.openxmlformats.org/drawingml/2006/chart" r:id="rId1"/>
        </a:graphicData>
      </a:graphic>
    </xdr:graphicFrame>
    <xdr:clientData/>
  </xdr:twoCellAnchor>
</xdr:wsDr>
</file>

<file path=xl/drawings/drawing13.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twoCellAnchor>
    <xdr:from>
      <xdr:col>4</xdr:col>
      <xdr:colOff>0</xdr:colOff>
      <xdr:row>5</xdr:row>
      <xdr:rowOff>0</xdr:rowOff>
    </xdr:from>
    <xdr:to>
      <xdr:col>9</xdr:col>
      <xdr:colOff>0</xdr:colOff>
      <xdr:row>35</xdr:row>
      <xdr:rowOff>0</xdr:rowOff>
    </xdr:to>
    <xdr:graphicFrame>
      <xdr:nvGraphicFramePr>
        <xdr:cNvPr id="1" name="Chart 1">
          <a:extLst>
            <a:ext uri="{FF2B5EF4-FFF2-40B4-BE49-F238E27FC236}">
              <a16:creationId xmlns:a16="http://schemas.microsoft.com/office/drawing/2014/main" id="{de1da3b6-7167-4f17-b2fe-ccdec1416383}"/>
            </a:ext>
          </a:extLst>
        </xdr:cNvPr>
        <xdr:cNvGraphicFramePr/>
      </xdr:nvGraphicFramePr>
      <xdr:xfrm>
        <a:off x="4524375" y="1028700"/>
        <a:ext cx="4905375" cy="5905500"/>
      </xdr:xfrm>
      <a:graphic>
        <a:graphicData uri="http://schemas.openxmlformats.org/drawingml/2006/chart">
          <c:chart xmlns:c="http://schemas.openxmlformats.org/drawingml/2006/chart" r:id="rId1"/>
        </a:graphicData>
      </a:graphic>
    </xdr:graphicFrame>
    <xdr:clientData/>
  </xdr:twoCellAnchor>
</xdr:wsDr>
</file>

<file path=xl/drawings/drawing14.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twoCellAnchor>
    <xdr:from>
      <xdr:col>4</xdr:col>
      <xdr:colOff>0</xdr:colOff>
      <xdr:row>5</xdr:row>
      <xdr:rowOff>0</xdr:rowOff>
    </xdr:from>
    <xdr:to>
      <xdr:col>9</xdr:col>
      <xdr:colOff>0</xdr:colOff>
      <xdr:row>35</xdr:row>
      <xdr:rowOff>0</xdr:rowOff>
    </xdr:to>
    <xdr:graphicFrame>
      <xdr:nvGraphicFramePr>
        <xdr:cNvPr id="1" name="Chart 1">
          <a:extLst>
            <a:ext uri="{FF2B5EF4-FFF2-40B4-BE49-F238E27FC236}">
              <a16:creationId xmlns:a16="http://schemas.microsoft.com/office/drawing/2014/main" id="{13d29663-b012-4adc-a5df-c6061a034adf}"/>
            </a:ext>
          </a:extLst>
        </xdr:cNvPr>
        <xdr:cNvGraphicFramePr/>
      </xdr:nvGraphicFramePr>
      <xdr:xfrm>
        <a:off x="4524375" y="1028700"/>
        <a:ext cx="4905375" cy="5591175"/>
      </xdr:xfrm>
      <a:graphic>
        <a:graphicData uri="http://schemas.openxmlformats.org/drawingml/2006/chart">
          <c:chart xmlns:c="http://schemas.openxmlformats.org/drawingml/2006/chart" r:id="rId1"/>
        </a:graphicData>
      </a:graphic>
    </xdr:graphicFrame>
    <xdr:clientData/>
  </xdr:twoCellAnchor>
</xdr:wsDr>
</file>

<file path=xl/drawings/drawing15.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twoCellAnchor>
    <xdr:from>
      <xdr:col>1</xdr:col>
      <xdr:colOff>0</xdr:colOff>
      <xdr:row>5</xdr:row>
      <xdr:rowOff>0</xdr:rowOff>
    </xdr:from>
    <xdr:to>
      <xdr:col>6</xdr:col>
      <xdr:colOff>0</xdr:colOff>
      <xdr:row>23</xdr:row>
      <xdr:rowOff>0</xdr:rowOff>
    </xdr:to>
    <xdr:graphicFrame>
      <xdr:nvGraphicFramePr>
        <xdr:cNvPr id="1" name="Chart 1">
          <a:extLst>
            <a:ext uri="{FF2B5EF4-FFF2-40B4-BE49-F238E27FC236}">
              <a16:creationId xmlns:a16="http://schemas.microsoft.com/office/drawing/2014/main" id="{2e04d37b-2e84-4f5c-a6eb-2ba89e5dcb9a}"/>
            </a:ext>
          </a:extLst>
        </xdr:cNvPr>
        <xdr:cNvGraphicFramePr/>
      </xdr:nvGraphicFramePr>
      <xdr:xfrm>
        <a:off x="314325" y="1028700"/>
        <a:ext cx="7905750" cy="2914650"/>
      </xdr:xfrm>
      <a:graphic>
        <a:graphicData uri="http://schemas.openxmlformats.org/drawingml/2006/chart">
          <c:chart xmlns:c="http://schemas.openxmlformats.org/drawingml/2006/chart" r:id="rId1"/>
        </a:graphicData>
      </a:graphic>
    </xdr:graphicFrame>
    <xdr:clientData/>
  </xdr:twoCellAnchor>
</xdr:wsDr>
</file>

<file path=xl/drawings/drawing16.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twoCellAnchor>
    <xdr:from>
      <xdr:col>1</xdr:col>
      <xdr:colOff>0</xdr:colOff>
      <xdr:row>5</xdr:row>
      <xdr:rowOff>0</xdr:rowOff>
    </xdr:from>
    <xdr:to>
      <xdr:col>6</xdr:col>
      <xdr:colOff>0</xdr:colOff>
      <xdr:row>23</xdr:row>
      <xdr:rowOff>0</xdr:rowOff>
    </xdr:to>
    <xdr:graphicFrame>
      <xdr:nvGraphicFramePr>
        <xdr:cNvPr id="1" name="Chart 1">
          <a:extLst>
            <a:ext uri="{FF2B5EF4-FFF2-40B4-BE49-F238E27FC236}">
              <a16:creationId xmlns:a16="http://schemas.microsoft.com/office/drawing/2014/main" id="{b8b17847-1f60-4011-adec-e60a39fb6fd1}"/>
            </a:ext>
          </a:extLst>
        </xdr:cNvPr>
        <xdr:cNvGraphicFramePr/>
      </xdr:nvGraphicFramePr>
      <xdr:xfrm>
        <a:off x="314325" y="1028700"/>
        <a:ext cx="7905750" cy="2914650"/>
      </xdr:xfrm>
      <a:graphic>
        <a:graphicData uri="http://schemas.openxmlformats.org/drawingml/2006/chart">
          <c:chart xmlns:c="http://schemas.openxmlformats.org/drawingml/2006/chart" r:id="rId1"/>
        </a:graphicData>
      </a:graphic>
    </xdr:graphicFrame>
    <xdr:clientData/>
  </xdr:twoCellAnchor>
</xdr:wsDr>
</file>

<file path=xl/drawings/drawing17.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twoCellAnchor>
    <xdr:from>
      <xdr:col>1</xdr:col>
      <xdr:colOff>0</xdr:colOff>
      <xdr:row>5</xdr:row>
      <xdr:rowOff>0</xdr:rowOff>
    </xdr:from>
    <xdr:to>
      <xdr:col>6</xdr:col>
      <xdr:colOff>0</xdr:colOff>
      <xdr:row>23</xdr:row>
      <xdr:rowOff>0</xdr:rowOff>
    </xdr:to>
    <xdr:graphicFrame>
      <xdr:nvGraphicFramePr>
        <xdr:cNvPr id="1" name="Chart 1">
          <a:extLst>
            <a:ext uri="{FF2B5EF4-FFF2-40B4-BE49-F238E27FC236}">
              <a16:creationId xmlns:a16="http://schemas.microsoft.com/office/drawing/2014/main" id="{aac62907-bb42-4830-aa97-3bb8123abdcd}"/>
            </a:ext>
          </a:extLst>
        </xdr:cNvPr>
        <xdr:cNvGraphicFramePr/>
      </xdr:nvGraphicFramePr>
      <xdr:xfrm>
        <a:off x="314325" y="1028700"/>
        <a:ext cx="7905750" cy="2914650"/>
      </xdr:xfrm>
      <a:graphic>
        <a:graphicData uri="http://schemas.openxmlformats.org/drawingml/2006/chart">
          <c:chart xmlns:c="http://schemas.openxmlformats.org/drawingml/2006/chart" r:id="rId1"/>
        </a:graphicData>
      </a:graphic>
    </xdr:graphicFrame>
    <xdr:clientData/>
  </xdr:twoCellAnchor>
</xdr:wsDr>
</file>

<file path=xl/drawings/drawing18.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twoCellAnchor>
    <xdr:from>
      <xdr:col>1</xdr:col>
      <xdr:colOff>0</xdr:colOff>
      <xdr:row>5</xdr:row>
      <xdr:rowOff>0</xdr:rowOff>
    </xdr:from>
    <xdr:to>
      <xdr:col>6</xdr:col>
      <xdr:colOff>0</xdr:colOff>
      <xdr:row>23</xdr:row>
      <xdr:rowOff>0</xdr:rowOff>
    </xdr:to>
    <xdr:graphicFrame>
      <xdr:nvGraphicFramePr>
        <xdr:cNvPr id="1" name="Chart 1">
          <a:extLst>
            <a:ext uri="{FF2B5EF4-FFF2-40B4-BE49-F238E27FC236}">
              <a16:creationId xmlns:a16="http://schemas.microsoft.com/office/drawing/2014/main" id="{1e941036-be3a-464d-9517-fac29960dce0}"/>
            </a:ext>
          </a:extLst>
        </xdr:cNvPr>
        <xdr:cNvGraphicFramePr/>
      </xdr:nvGraphicFramePr>
      <xdr:xfrm>
        <a:off x="314325" y="1028700"/>
        <a:ext cx="7905750" cy="2914650"/>
      </xdr:xfrm>
      <a:graphic>
        <a:graphicData uri="http://schemas.openxmlformats.org/drawingml/2006/chart">
          <c:chart xmlns:c="http://schemas.openxmlformats.org/drawingml/2006/chart"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Relationships xmlns="http://schemas.openxmlformats.org/package/2006/relationships"><Relationship Id="rId1" Type="http://schemas.openxmlformats.org/officeDocument/2006/relationships/drawing" Target="../drawings/drawing1.xml" /></Relationships>
</file>

<file path=xl/worksheets/_rels/sheet4.xml.rels><?xml version="1.0" encoding="UTF-8" standalone="yes"?><Relationships xmlns="http://schemas.openxmlformats.org/package/2006/relationships"><Relationship Id="rId427" Type="http://schemas.openxmlformats.org/officeDocument/2006/relationships/hyperlink" Target="http://vk.com/wall-110697191_748283?reply=748303" TargetMode="External" /><Relationship Id="rId530" Type="http://schemas.openxmlformats.org/officeDocument/2006/relationships/hyperlink" Target="http://vk.com/id880724074" TargetMode="External" /><Relationship Id="rId584" Type="http://schemas.openxmlformats.org/officeDocument/2006/relationships/hyperlink" Target="http://vk.com/id1110218210" TargetMode="External" /><Relationship Id="rId222" Type="http://schemas.openxmlformats.org/officeDocument/2006/relationships/hyperlink" Target="http://vk.com/club55884956" TargetMode="External" /><Relationship Id="rId126" Type="http://schemas.openxmlformats.org/officeDocument/2006/relationships/hyperlink" Target="http://vk.com/club185317296" TargetMode="External" /><Relationship Id="rId141" Type="http://schemas.openxmlformats.org/officeDocument/2006/relationships/hyperlink" Target="https://www.ozon.ru/context/detail/id/754249148" TargetMode="External" /><Relationship Id="rId13" Type="http://schemas.openxmlformats.org/officeDocument/2006/relationships/hyperlink" Target="https://mom.life/post/6a1adb75a496a5f9b00bfe37#6a1aff6dda4435cbda010e02#6a1b01e344ce8a22210504e8" TargetMode="External" /><Relationship Id="rId422" Type="http://schemas.openxmlformats.org/officeDocument/2006/relationships/hyperlink" Target="http://ok.ru/group/52171764269129" TargetMode="External" /><Relationship Id="rId529" Type="http://schemas.openxmlformats.org/officeDocument/2006/relationships/hyperlink" Target="http://vk.com/wall-159559335_80764?reply=80794" TargetMode="External" /><Relationship Id="rId131" Type="http://schemas.openxmlformats.org/officeDocument/2006/relationships/hyperlink" Target="https://www.vashe-mnenie.com/authors/&#1044;&#1080;&#1072;&#1085;&#1072;" TargetMode="External" /><Relationship Id="rId300" Type="http://schemas.openxmlformats.org/officeDocument/2006/relationships/hyperlink" Target="http://vk.com/club171736200" TargetMode="External" /><Relationship Id="rId34" Type="http://schemas.openxmlformats.org/officeDocument/2006/relationships/hyperlink" Target="http://www.youtube.com/watch?v=g0PEh9F7iQ8" TargetMode="External" /><Relationship Id="rId381" Type="http://schemas.openxmlformats.org/officeDocument/2006/relationships/hyperlink" Target="https://sprosivracha.com/questions/4324170-gematolog-ubral-vse-vitaminy-pochemu" TargetMode="External" /><Relationship Id="rId68" Type="http://schemas.openxmlformats.org/officeDocument/2006/relationships/hyperlink" Target="https://mom.life/user/643a23244bf7ec52aa5d6427" TargetMode="External" /><Relationship Id="rId401" Type="http://schemas.openxmlformats.org/officeDocument/2006/relationships/hyperlink" Target="https://telegram.me/af_patientbot" TargetMode="External" /><Relationship Id="rId161" Type="http://schemas.openxmlformats.org/officeDocument/2006/relationships/hyperlink" Target="https://dzen.ru/user/dhia3dpnnk5n9emsdaq_rz7jbmm" TargetMode="External" /><Relationship Id="rId375" Type="http://schemas.openxmlformats.org/officeDocument/2006/relationships/hyperlink" Target="https://telegram.me/aleksatru" TargetMode="External" /><Relationship Id="rId572" Type="http://schemas.openxmlformats.org/officeDocument/2006/relationships/hyperlink" Target="https://www.ozon.ru/context/client_opinion/ClientGuid/00000000-0000-0000-0000-000000000000#&#1040;&#1085;&#1076;&#1088;&#1077;&#1081;%20&#1050;." TargetMode="External" /><Relationship Id="rId298" Type="http://schemas.openxmlformats.org/officeDocument/2006/relationships/hyperlink" Target="http://vk.com/wall-171736200_5723?reply=5724" TargetMode="External" /><Relationship Id="rId64" Type="http://schemas.openxmlformats.org/officeDocument/2006/relationships/hyperlink" Target="http://vk.com/wall-110697272_639639?reply=639683" TargetMode="External" /><Relationship Id="rId523" Type="http://schemas.openxmlformats.org/officeDocument/2006/relationships/hyperlink" Target="https://mom.life/post/69fa0a7d1e3c84073702aba8#69fa0f97ace9e33b8404cef6" TargetMode="External" /><Relationship Id="rId528" Type="http://schemas.openxmlformats.org/officeDocument/2006/relationships/hyperlink" Target="https://mom.life/channel/5d4811d6ebdb000de72653af" TargetMode="External" /><Relationship Id="rId391" Type="http://schemas.openxmlformats.org/officeDocument/2006/relationships/hyperlink" Target="https://dzen.ru/a/af-MJFrEqxFxwH-m?comment-request=1#comment_3290968831" TargetMode="External" /><Relationship Id="rId79" Type="http://schemas.openxmlformats.org/officeDocument/2006/relationships/hyperlink" Target="https://telegram.me/ap_patient/110416" TargetMode="External" /><Relationship Id="rId113" Type="http://schemas.openxmlformats.org/officeDocument/2006/relationships/hyperlink" Target="http://vk.com/id1083057434" TargetMode="External" /><Relationship Id="rId213" Type="http://schemas.openxmlformats.org/officeDocument/2006/relationships/hyperlink" Target="http://vk.com/club55884956" TargetMode="External" /><Relationship Id="rId288" Type="http://schemas.openxmlformats.org/officeDocument/2006/relationships/hyperlink" Target="http://vk.com/club85415124" TargetMode="External" /><Relationship Id="rId589" Type="http://schemas.openxmlformats.org/officeDocument/2006/relationships/hyperlink" Target="http://vk.com/wall-116010319_1099731" TargetMode="External" /><Relationship Id="rId495" Type="http://schemas.openxmlformats.org/officeDocument/2006/relationships/hyperlink" Target="https://telegram.me/1268734773" TargetMode="External" /><Relationship Id="rId513" Type="http://schemas.openxmlformats.org/officeDocument/2006/relationships/hyperlink" Target="http://vk.com/club127033373" TargetMode="External" /><Relationship Id="rId181" Type="http://schemas.openxmlformats.org/officeDocument/2006/relationships/hyperlink" Target="https://www.medcentre24.ru/review/46562" TargetMode="External" /><Relationship Id="rId277" Type="http://schemas.openxmlformats.org/officeDocument/2006/relationships/hyperlink" Target="https://irecommend.ru/content/khorosho-pomogaet-na-nachalnoi-stadii-varikoza" TargetMode="External" /><Relationship Id="rId134" Type="http://schemas.openxmlformats.org/officeDocument/2006/relationships/hyperlink" Target="https://www.woman.ru/authors/&#1050;&#1083;&#1072;&#1074;&#1072;%20%5B3833012333%5D" TargetMode="External" /><Relationship Id="rId37" Type="http://schemas.openxmlformats.org/officeDocument/2006/relationships/hyperlink" Target="http://vk.com/wall-213047982_46097?reply=46412" TargetMode="External" /><Relationship Id="rId56" Type="http://schemas.openxmlformats.org/officeDocument/2006/relationships/hyperlink" Target="http://vk.com/id721803152" TargetMode="External" /><Relationship Id="rId50" Type="http://schemas.openxmlformats.org/officeDocument/2006/relationships/hyperlink" Target="http://vk.com/id1114749370" TargetMode="External" /><Relationship Id="rId514" Type="http://schemas.openxmlformats.org/officeDocument/2006/relationships/hyperlink" Target="https://dzen.ru/a/afiuExFy5VS5UEaJ?comment-request=1#comment_3297728343" TargetMode="External" /><Relationship Id="rId271" Type="http://schemas.openxmlformats.org/officeDocument/2006/relationships/hyperlink" Target="http://www.youtube.com/watch?v=5oyXmsXueDM&amp;lc=Ugw9SV-BO2JIHMt_KEZ4AaABAg" TargetMode="External" /><Relationship Id="rId515" Type="http://schemas.openxmlformats.org/officeDocument/2006/relationships/hyperlink" Target="https://dzen.ru/user/1541034028" TargetMode="External" /><Relationship Id="rId1" Type="http://schemas.openxmlformats.org/officeDocument/2006/relationships/hyperlink" Target="https://telegram.me/ap_patient/110573" TargetMode="External" /><Relationship Id="rId223" Type="http://schemas.openxmlformats.org/officeDocument/2006/relationships/hyperlink" Target="https://otzovik.com/review_18363188.html" TargetMode="External" /><Relationship Id="rId81" Type="http://schemas.openxmlformats.org/officeDocument/2006/relationships/hyperlink" Target="https://telegram.me/ap_patient" TargetMode="External" /><Relationship Id="rId143" Type="http://schemas.openxmlformats.org/officeDocument/2006/relationships/hyperlink" Target="https://telegram.me/danielabialik" TargetMode="External" /><Relationship Id="rId63" Type="http://schemas.openxmlformats.org/officeDocument/2006/relationships/hyperlink" Target="http://vk.com/club211243521" TargetMode="External" /><Relationship Id="rId151" Type="http://schemas.openxmlformats.org/officeDocument/2006/relationships/hyperlink" Target="http://vk.com/wall-211243521_27672?reply=28341" TargetMode="External" /><Relationship Id="rId61" Type="http://schemas.openxmlformats.org/officeDocument/2006/relationships/hyperlink" Target="http://vk.com/wall-211243521_28447?reply=28514" TargetMode="External" /><Relationship Id="rId486" Type="http://schemas.openxmlformats.org/officeDocument/2006/relationships/hyperlink" Target="https://telegram.me/ap_patient" TargetMode="External" /><Relationship Id="rId216" Type="http://schemas.openxmlformats.org/officeDocument/2006/relationships/hyperlink" Target="https://dzen.ru/id/65f3067dd5f4eb779713e531" TargetMode="External" /><Relationship Id="rId527" Type="http://schemas.openxmlformats.org/officeDocument/2006/relationships/hyperlink" Target="https://mom.life/user/6938570a5f655a40e20c04ad" TargetMode="External" /><Relationship Id="rId175" Type="http://schemas.openxmlformats.org/officeDocument/2006/relationships/hyperlink" Target="https://telegram.me/beremennost_pregnancy/2320682" TargetMode="External" /><Relationship Id="rId430" Type="http://schemas.openxmlformats.org/officeDocument/2006/relationships/hyperlink" Target="https://www.instagram.com/p/DYEcS1RorP6/c/18096833860887732" TargetMode="External" /><Relationship Id="rId325" Type="http://schemas.openxmlformats.org/officeDocument/2006/relationships/hyperlink" Target="http://vk.com/wall-223318821_158181?reply=158751&amp;thread=158187" TargetMode="External" /><Relationship Id="rId470" Type="http://schemas.openxmlformats.org/officeDocument/2006/relationships/hyperlink" Target="http://vk.com/id1110219570" TargetMode="External" /><Relationship Id="rId478" Type="http://schemas.openxmlformats.org/officeDocument/2006/relationships/hyperlink" Target="http://vk.com/wall-132664992_1283413?reply=1283474" TargetMode="External" /><Relationship Id="rId531" Type="http://schemas.openxmlformats.org/officeDocument/2006/relationships/hyperlink" Target="http://vk.com/club159559335" TargetMode="External" /><Relationship Id="rId192" Type="http://schemas.openxmlformats.org/officeDocument/2006/relationships/hyperlink" Target="http://vk.com/club116010319" TargetMode="External" /><Relationship Id="rId236" Type="http://schemas.openxmlformats.org/officeDocument/2006/relationships/hyperlink" Target="https://www.vashe-mnenie.com/authors/&#1057;&#1085;&#1077;&#1078;&#1072;&#1085;&#1072;" TargetMode="External" /><Relationship Id="rId328" Type="http://schemas.openxmlformats.org/officeDocument/2006/relationships/hyperlink" Target="http://vk.com/wall-121511206_557279?reply=557311" TargetMode="External" /><Relationship Id="rId474" Type="http://schemas.openxmlformats.org/officeDocument/2006/relationships/hyperlink" Target="https://dzen.ru/id/60c090e7ef324247ee9673bb" TargetMode="External" /><Relationship Id="rId324" Type="http://schemas.openxmlformats.org/officeDocument/2006/relationships/hyperlink" Target="https://mom.life/channel/5d4811d6ebdb000de72653af" TargetMode="External" /><Relationship Id="rId398" Type="http://schemas.openxmlformats.org/officeDocument/2006/relationships/hyperlink" Target="https://telegram.me/actual_phlebology_ru" TargetMode="External" /><Relationship Id="rId94" Type="http://schemas.openxmlformats.org/officeDocument/2006/relationships/hyperlink" Target="http://vk.com/wall-80942402_297593?reply=297605" TargetMode="External" /><Relationship Id="rId103" Type="http://schemas.openxmlformats.org/officeDocument/2006/relationships/hyperlink" Target="https://ok.ru/video/14344948025910" TargetMode="External" /><Relationship Id="rId368" Type="http://schemas.openxmlformats.org/officeDocument/2006/relationships/hyperlink" Target="https://telegram.me/izbamolodilnya" TargetMode="External" /><Relationship Id="rId516" Type="http://schemas.openxmlformats.org/officeDocument/2006/relationships/hyperlink" Target="https://dzen.ru/id/5ea3fd8b22b6bd32eecb63f5" TargetMode="External" /><Relationship Id="rId232" Type="http://schemas.openxmlformats.org/officeDocument/2006/relationships/hyperlink" Target="http://vk.com/wall-121964063_1897601?reply=1897688&amp;thread=1897666" TargetMode="External" /><Relationship Id="rId43" Type="http://schemas.openxmlformats.org/officeDocument/2006/relationships/hyperlink" Target="https://otzovik.com/review_18382308.html" TargetMode="External" /><Relationship Id="rId185" Type="http://schemas.openxmlformats.org/officeDocument/2006/relationships/hyperlink" Target="https://www.woman.ru/authors/&#1043;&#1086;&#1089;&#1090;&#1100;%20%5B3028007619%5D" TargetMode="External" /><Relationship Id="rId302" Type="http://schemas.openxmlformats.org/officeDocument/2006/relationships/hyperlink" Target="http://vk.com/id1111392168" TargetMode="External" /><Relationship Id="rId235" Type="http://schemas.openxmlformats.org/officeDocument/2006/relationships/hyperlink" Target="https://www.vashe-mnenie.com/reviews.php?name=vessel-due-f#date=2026-05-20%2010:56:37" TargetMode="External" /><Relationship Id="rId219" Type="http://schemas.openxmlformats.org/officeDocument/2006/relationships/hyperlink" Target="http://vk.com/club115360655" TargetMode="External" /><Relationship Id="rId226" Type="http://schemas.openxmlformats.org/officeDocument/2006/relationships/hyperlink" Target="https://dzen.ru/a/agxlKPFeEG_lqjBo?comment-request=1#comment_3306119831" TargetMode="External" /><Relationship Id="rId240" Type="http://schemas.openxmlformats.org/officeDocument/2006/relationships/hyperlink" Target="http://vk.com/club102968436" TargetMode="External" /><Relationship Id="rId191" Type="http://schemas.openxmlformats.org/officeDocument/2006/relationships/hyperlink" Target="http://vk.com/id813766710" TargetMode="External" /><Relationship Id="rId600" Type="http://schemas.openxmlformats.org/officeDocument/2006/relationships/hyperlink" Target="https://telegram.me/ap_patient" TargetMode="External" /><Relationship Id="rId202" Type="http://schemas.openxmlformats.org/officeDocument/2006/relationships/hyperlink" Target="https://www.otzyvru.com/vessel-due-f/review-2254677#comment2254677" TargetMode="External" /><Relationship Id="rId248" Type="http://schemas.openxmlformats.org/officeDocument/2006/relationships/hyperlink" Target="https://www.babyblog.ru/user/nastyaeta" TargetMode="External" /><Relationship Id="rId96" Type="http://schemas.openxmlformats.org/officeDocument/2006/relationships/hyperlink" Target="http://vk.com/club80942402" TargetMode="External" /><Relationship Id="rId502" Type="http://schemas.openxmlformats.org/officeDocument/2006/relationships/hyperlink" Target="http://vk.com/wall-146414683_2901744?reply=2902056" TargetMode="External" /><Relationship Id="rId355" Type="http://schemas.openxmlformats.org/officeDocument/2006/relationships/hyperlink" Target="https://dzen.ru/a/af4wWvfNMSTrry7B?comment-request=1#comment_3302797964" TargetMode="External" /><Relationship Id="rId165" Type="http://schemas.openxmlformats.org/officeDocument/2006/relationships/hyperlink" Target="https://threads.com/@kuroskinam" TargetMode="External" /><Relationship Id="rId567" Type="http://schemas.openxmlformats.org/officeDocument/2006/relationships/hyperlink" Target="https://market.yandex.ru/product/1778173803" TargetMode="External" /><Relationship Id="rId458" Type="http://schemas.openxmlformats.org/officeDocument/2006/relationships/hyperlink" Target="https://telegram.me/aetolena" TargetMode="External" /><Relationship Id="rId442" Type="http://schemas.openxmlformats.org/officeDocument/2006/relationships/hyperlink" Target="http://vk.com/wall-113506584_2490715?reply=2490794" TargetMode="External" /><Relationship Id="rId537" Type="http://schemas.openxmlformats.org/officeDocument/2006/relationships/hyperlink" Target="http://vk.com/club193354828" TargetMode="External" /><Relationship Id="rId557" Type="http://schemas.openxmlformats.org/officeDocument/2006/relationships/hyperlink" Target="http://vk.com/id1110218210" TargetMode="External" /><Relationship Id="rId487" Type="http://schemas.openxmlformats.org/officeDocument/2006/relationships/hyperlink" Target="https://sprosivracha.com/questions/4317017-giperplaziya-endometriyanorkoluttrombofiliyakleksan#a27599557" TargetMode="External" /><Relationship Id="rId443" Type="http://schemas.openxmlformats.org/officeDocument/2006/relationships/hyperlink" Target="http://vk.com/id1110220150" TargetMode="External" /><Relationship Id="rId359" Type="http://schemas.openxmlformats.org/officeDocument/2006/relationships/hyperlink" Target="http://vk.com/id530424871" TargetMode="External" /><Relationship Id="rId182" Type="http://schemas.openxmlformats.org/officeDocument/2006/relationships/hyperlink" Target="https://www.medcentre24.ru/authors/&#1057;&#1074;&#1077;&#1090;&#1083;&#1072;&#1085;&#1072;" TargetMode="External" /><Relationship Id="rId258" Type="http://schemas.openxmlformats.org/officeDocument/2006/relationships/hyperlink" Target="https://otzovik.com/reviews/tromboliks_pro" TargetMode="External" /><Relationship Id="rId435" Type="http://schemas.openxmlformats.org/officeDocument/2006/relationships/hyperlink" Target="http://vk.com/club157831435" TargetMode="External" /><Relationship Id="rId370" Type="http://schemas.openxmlformats.org/officeDocument/2006/relationships/hyperlink" Target="https://dzen.ru/a/af-MJFrEqxFxwH-m?comment-request=1#comment_3291303731" TargetMode="External" /><Relationship Id="rId95" Type="http://schemas.openxmlformats.org/officeDocument/2006/relationships/hyperlink" Target="http://vk.com/id1082474662" TargetMode="External" /><Relationship Id="rId208" Type="http://schemas.openxmlformats.org/officeDocument/2006/relationships/hyperlink" Target="http://vk.com/wall-153846848_68027?reply=68109" TargetMode="External" /><Relationship Id="rId12" Type="http://schemas.openxmlformats.org/officeDocument/2006/relationships/hyperlink" Target="https://mom.life/channel/56f8222d8439832c128b4567" TargetMode="External" /><Relationship Id="rId402" Type="http://schemas.openxmlformats.org/officeDocument/2006/relationships/hyperlink" Target="https://telegram.me/ap_patient" TargetMode="External" /><Relationship Id="rId250" Type="http://schemas.openxmlformats.org/officeDocument/2006/relationships/hyperlink" Target="http://vk.com/wall-86403806_2171912?reply=2172655" TargetMode="External" /><Relationship Id="rId394" Type="http://schemas.openxmlformats.org/officeDocument/2006/relationships/hyperlink" Target="http://vk.com/wall-227216729_40" TargetMode="External" /><Relationship Id="rId239" Type="http://schemas.openxmlformats.org/officeDocument/2006/relationships/hyperlink" Target="http://vk.com/id744099322" TargetMode="External" /><Relationship Id="rId267" Type="http://schemas.openxmlformats.org/officeDocument/2006/relationships/hyperlink" Target="http://vk.com/id466341803" TargetMode="External" /><Relationship Id="rId409" Type="http://schemas.openxmlformats.org/officeDocument/2006/relationships/hyperlink" Target="http://vk.com/wall-35402404_91243" TargetMode="External" /><Relationship Id="rId590" Type="http://schemas.openxmlformats.org/officeDocument/2006/relationships/hyperlink" Target="http://vk.com/club116010319" TargetMode="External" /><Relationship Id="rId259" Type="http://schemas.openxmlformats.org/officeDocument/2006/relationships/hyperlink" Target="https://dzen.ru/a/agr717vYsnpEgNpK?comment-request=1#comment_3308071292" TargetMode="External" /><Relationship Id="rId571" Type="http://schemas.openxmlformats.org/officeDocument/2006/relationships/hyperlink" Target="https://www.ozon.ru/product/754249148/reviews?ruuid=019df2d8-0f4b-778a-ba0e-09c3023d1153" TargetMode="External" /><Relationship Id="rId428" Type="http://schemas.openxmlformats.org/officeDocument/2006/relationships/hyperlink" Target="http://vk.com/id1083057434" TargetMode="External" /><Relationship Id="rId190" Type="http://schemas.openxmlformats.org/officeDocument/2006/relationships/hyperlink" Target="http://vk.com/wall-116010319_1102411?reply=1102427" TargetMode="External" /><Relationship Id="rId85" Type="http://schemas.openxmlformats.org/officeDocument/2006/relationships/hyperlink" Target="https://otzyv.pro/reviews/otzyvy-vessel-due-f-cena-515498.html" TargetMode="External" /><Relationship Id="rId46" Type="http://schemas.openxmlformats.org/officeDocument/2006/relationships/hyperlink" Target="http://ok.ru/group/59240543158337/topic/157974466286913#QUFBQm5tMkZOK3M4M1E9PToxNTc5NzQ0NjYyODY5MTM6MQ==" TargetMode="External" /><Relationship Id="rId242" Type="http://schemas.openxmlformats.org/officeDocument/2006/relationships/hyperlink" Target="http://vk.com/id275256519" TargetMode="External" /><Relationship Id="rId152" Type="http://schemas.openxmlformats.org/officeDocument/2006/relationships/hyperlink" Target="http://vk.com/id141197373" TargetMode="External" /><Relationship Id="rId452" Type="http://schemas.openxmlformats.org/officeDocument/2006/relationships/hyperlink" Target="http://vk.com/id69795047" TargetMode="External" /><Relationship Id="rId552" Type="http://schemas.openxmlformats.org/officeDocument/2006/relationships/hyperlink" Target="http://vk.com/club163661733" TargetMode="External" /><Relationship Id="rId319" Type="http://schemas.openxmlformats.org/officeDocument/2006/relationships/hyperlink" Target="http://vk.com/wall-166736387_49566?reply=49572&amp;thread=49570" TargetMode="External" /><Relationship Id="rId493" Type="http://schemas.openxmlformats.org/officeDocument/2006/relationships/hyperlink" Target="https://telegram.me/c/1268734773/1918299" TargetMode="External" /><Relationship Id="rId464" Type="http://schemas.openxmlformats.org/officeDocument/2006/relationships/hyperlink" Target="http://vk.com/id855401331" TargetMode="External" /><Relationship Id="rId173" Type="http://schemas.openxmlformats.org/officeDocument/2006/relationships/hyperlink" Target="https://dzen.ru/id/63b464865ba1321f078fbed7" TargetMode="External" /><Relationship Id="rId147" Type="http://schemas.openxmlformats.org/officeDocument/2006/relationships/hyperlink" Target="http://vk.com/id569170044" TargetMode="External" /><Relationship Id="rId586" Type="http://schemas.openxmlformats.org/officeDocument/2006/relationships/hyperlink" Target="https://www.ozon.ru/product/754249148/reviews?ruuid=019df18a-3a0f-706b-b713-6d8e63ab0f43" TargetMode="External" /><Relationship Id="rId119" Type="http://schemas.openxmlformats.org/officeDocument/2006/relationships/hyperlink" Target="https://dzen.ru/id/69b5bb875330f8608cd9b95d" TargetMode="External" /><Relationship Id="rId333" Type="http://schemas.openxmlformats.org/officeDocument/2006/relationships/hyperlink" Target="http://vk.com/club177688766" TargetMode="External" /><Relationship Id="rId548" Type="http://schemas.openxmlformats.org/officeDocument/2006/relationships/hyperlink" Target="http://vk.com/id1109330634" TargetMode="External" /><Relationship Id="rId214" Type="http://schemas.openxmlformats.org/officeDocument/2006/relationships/hyperlink" Target="https://dzen.ru/a/agtsDfFeEG_lwRbW?comment-request=1#comment_3319627913" TargetMode="External" /><Relationship Id="rId244" Type="http://schemas.openxmlformats.org/officeDocument/2006/relationships/hyperlink" Target="http://vk.com/wall-121964063_1897601?reply=1897666" TargetMode="External" /><Relationship Id="rId87" Type="http://schemas.openxmlformats.org/officeDocument/2006/relationships/hyperlink" Target="https://otzyv.pro/category/lekarstvennyie-sredstva/756151-vessel-due-f-cena.html" TargetMode="External" /><Relationship Id="rId249" Type="http://schemas.openxmlformats.org/officeDocument/2006/relationships/hyperlink" Target="https://www.babyblog.ru/user/nastyaeta" TargetMode="External" /><Relationship Id="rId525" Type="http://schemas.openxmlformats.org/officeDocument/2006/relationships/hyperlink" Target="https://mom.life/channel/5d4811d6ebdb000de72653af" TargetMode="External" /><Relationship Id="rId234" Type="http://schemas.openxmlformats.org/officeDocument/2006/relationships/hyperlink" Target="http://vk.com/club121964063" TargetMode="External" /><Relationship Id="rId593" Type="http://schemas.openxmlformats.org/officeDocument/2006/relationships/hyperlink" Target="https://telegram.me/tamzdes" TargetMode="External" /><Relationship Id="rId287" Type="http://schemas.openxmlformats.org/officeDocument/2006/relationships/hyperlink" Target="http://vk.com/id1082474662" TargetMode="External" /><Relationship Id="rId588" Type="http://schemas.openxmlformats.org/officeDocument/2006/relationships/hyperlink" Target="https://www.ozon.ru/context/detail/id/754249148" TargetMode="External" /><Relationship Id="rId279" Type="http://schemas.openxmlformats.org/officeDocument/2006/relationships/hyperlink" Target="https://irecommend.ru/content/antikoagulyant-alfa-wassermann-spa-vessel-due-f-kaps-250-le-50" TargetMode="External" /><Relationship Id="rId89" Type="http://schemas.openxmlformats.org/officeDocument/2006/relationships/hyperlink" Target="http://vk.com/id1115976524" TargetMode="External" /><Relationship Id="rId283" Type="http://schemas.openxmlformats.org/officeDocument/2006/relationships/hyperlink" Target="https://dzen.ru/a/agU7n1U4_3gzPUNc?comment-request=1#comment_3299055421" TargetMode="External" /><Relationship Id="rId39" Type="http://schemas.openxmlformats.org/officeDocument/2006/relationships/hyperlink" Target="http://vk.com/club213047982" TargetMode="External" /><Relationship Id="rId498" Type="http://schemas.openxmlformats.org/officeDocument/2006/relationships/hyperlink" Target="https://sprosivracha.com/questions/4317017-giperplaziya-endometriyanorkoluttrombofiliyakleksan" TargetMode="External" /><Relationship Id="rId15" Type="http://schemas.openxmlformats.org/officeDocument/2006/relationships/hyperlink" Target="https://mom.life/user/66b2e6108d119b05b376d241" TargetMode="External" /><Relationship Id="rId364" Type="http://schemas.openxmlformats.org/officeDocument/2006/relationships/hyperlink" Target="https://dzen.ru/a/agEE7D-R5kMHO3qf?comment-request=1#comment_3301639114" TargetMode="External" /><Relationship Id="rId509" Type="http://schemas.openxmlformats.org/officeDocument/2006/relationships/hyperlink" Target="http://vk.com/id1110219570" TargetMode="External" /><Relationship Id="rId9" Type="http://schemas.openxmlformats.org/officeDocument/2006/relationships/hyperlink" Target="http://sports.ru" TargetMode="External" /><Relationship Id="rId384" Type="http://schemas.openxmlformats.org/officeDocument/2006/relationships/hyperlink" Target="https://sprosivracha.com/questions/4324170-gematolog-ubral-vse-vitaminy-pochemu" TargetMode="External" /><Relationship Id="rId320" Type="http://schemas.openxmlformats.org/officeDocument/2006/relationships/hyperlink" Target="http://vk.com/id6705830" TargetMode="External" /><Relationship Id="rId425" Type="http://schemas.openxmlformats.org/officeDocument/2006/relationships/hyperlink" Target="http://vk.com/id1089131922" TargetMode="External" /><Relationship Id="rId6" Type="http://schemas.openxmlformats.org/officeDocument/2006/relationships/hyperlink" Target="https://telegram.me/ap_patient" TargetMode="External" /><Relationship Id="rId144" Type="http://schemas.openxmlformats.org/officeDocument/2006/relationships/hyperlink" Target="https://telegram.me/alopecia_info" TargetMode="External" /><Relationship Id="rId423" Type="http://schemas.openxmlformats.org/officeDocument/2006/relationships/hyperlink" Target="http://ok.ru/group/52171764269129" TargetMode="External" /><Relationship Id="rId158" Type="http://schemas.openxmlformats.org/officeDocument/2006/relationships/hyperlink" Target="https://mom.life/user/5c6d48f80bdf004ed10e6684" TargetMode="External" /><Relationship Id="rId221" Type="http://schemas.openxmlformats.org/officeDocument/2006/relationships/hyperlink" Target="http://vk.com/id628724076" TargetMode="External" /><Relationship Id="rId154" Type="http://schemas.openxmlformats.org/officeDocument/2006/relationships/hyperlink" Target="http://vk.com/wall-183105257_588357?reply=588410" TargetMode="External" /><Relationship Id="rId16" Type="http://schemas.openxmlformats.org/officeDocument/2006/relationships/hyperlink" Target="https://www.tiktok.com/@ripsime_pro_food/video/7645673605015162132" TargetMode="External" /><Relationship Id="rId444" Type="http://schemas.openxmlformats.org/officeDocument/2006/relationships/hyperlink" Target="http://vk.com/club113506584" TargetMode="External" /><Relationship Id="rId477" Type="http://schemas.openxmlformats.org/officeDocument/2006/relationships/hyperlink" Target="https://medum.ru/tromboliks-pro-otzyvy" TargetMode="External" /><Relationship Id="rId447" Type="http://schemas.openxmlformats.org/officeDocument/2006/relationships/hyperlink" Target="http://vk.com/club29487103" TargetMode="External" /><Relationship Id="rId517" Type="http://schemas.openxmlformats.org/officeDocument/2006/relationships/hyperlink" Target="https://telegram.me/dr_kikina/664" TargetMode="External" /><Relationship Id="rId82" Type="http://schemas.openxmlformats.org/officeDocument/2006/relationships/hyperlink" Target="http://vk.com/wall-211243521_28447?reply=28478" TargetMode="External" /><Relationship Id="rId275" Type="http://schemas.openxmlformats.org/officeDocument/2006/relationships/hyperlink" Target="https://dzen.ru/user/rfl58ladvq_ppa-kwlgrzold4no" TargetMode="External" /><Relationship Id="rId48" Type="http://schemas.openxmlformats.org/officeDocument/2006/relationships/hyperlink" Target="http://ok.ru/group/59240543158337" TargetMode="External" /><Relationship Id="rId90" Type="http://schemas.openxmlformats.org/officeDocument/2006/relationships/hyperlink" Target="http://vk.com/club60212615" TargetMode="External" /><Relationship Id="rId209" Type="http://schemas.openxmlformats.org/officeDocument/2006/relationships/hyperlink" Target="http://vk.com/id1072092712" TargetMode="External" /><Relationship Id="rId150" Type="http://schemas.openxmlformats.org/officeDocument/2006/relationships/hyperlink" Target="https://telegram.me/dnevnikdoctorachat" TargetMode="External" /><Relationship Id="rId455" Type="http://schemas.openxmlformats.org/officeDocument/2006/relationships/hyperlink" Target="https://telegram.me/doctor_alina_chat" TargetMode="External" /><Relationship Id="rId365" Type="http://schemas.openxmlformats.org/officeDocument/2006/relationships/hyperlink" Target="https://dzen.ru/user/vf8tak0kxzfoslbsoumaseybksg" TargetMode="External" /><Relationship Id="rId272" Type="http://schemas.openxmlformats.org/officeDocument/2006/relationships/hyperlink" Target="http://www.youtube.com/channel/UCj5sl2ikNJVEgNQKCVQXUoA" TargetMode="External" /><Relationship Id="rId33" Type="http://schemas.openxmlformats.org/officeDocument/2006/relationships/hyperlink" Target="https://www.ozon.ru/context/detail/id/754249148" TargetMode="External" /><Relationship Id="rId203" Type="http://schemas.openxmlformats.org/officeDocument/2006/relationships/hyperlink" Target="https://www.otzyvru.com/authors/&#1057;&#1085;&#1077;&#1078;&#1072;&#1085;&#1072;" TargetMode="External" /><Relationship Id="rId317" Type="http://schemas.openxmlformats.org/officeDocument/2006/relationships/hyperlink" Target="http://vk.com/id267144897" TargetMode="External" /><Relationship Id="rId533" Type="http://schemas.openxmlformats.org/officeDocument/2006/relationships/hyperlink" Target="http://vk.com/id870911079" TargetMode="External" /><Relationship Id="rId2" Type="http://schemas.openxmlformats.org/officeDocument/2006/relationships/hyperlink" Target="https://telegram.me/af_patientbot" TargetMode="External" /><Relationship Id="rId207" Type="http://schemas.openxmlformats.org/officeDocument/2006/relationships/hyperlink" Target="https://threads.com/@sssevorobeva" TargetMode="External" /><Relationship Id="rId461" Type="http://schemas.openxmlformats.org/officeDocument/2006/relationships/hyperlink" Target="http://vk.com/id851767110" TargetMode="External" /><Relationship Id="rId418" Type="http://schemas.openxmlformats.org/officeDocument/2006/relationships/hyperlink" Target="http://vk.com/wall-61570233_115207" TargetMode="External" /><Relationship Id="rId28" Type="http://schemas.openxmlformats.org/officeDocument/2006/relationships/hyperlink" Target="https://www.ozon.ru/product/754249148/reviews?ruuid=019e73c4-0a4a-7d4d-81fb-9abe5d61d5e5" TargetMode="External" /><Relationship Id="rId19" Type="http://schemas.openxmlformats.org/officeDocument/2006/relationships/hyperlink" Target="https://forum.baby.ru/blogs/post/2635552189-142290119/#comment2635557736" TargetMode="External" /><Relationship Id="rId342" Type="http://schemas.openxmlformats.org/officeDocument/2006/relationships/hyperlink" Target="http://vk.com/club210934520" TargetMode="External" /><Relationship Id="rId539" Type="http://schemas.openxmlformats.org/officeDocument/2006/relationships/hyperlink" Target="http://vk.com/id612772983" TargetMode="External" /><Relationship Id="rId429" Type="http://schemas.openxmlformats.org/officeDocument/2006/relationships/hyperlink" Target="http://vk.com/club110697191" TargetMode="External" /><Relationship Id="rId505" Type="http://schemas.openxmlformats.org/officeDocument/2006/relationships/hyperlink" Target="https://dzen.ru/a/afWqipjNCwKgmwfm?comment-request=1#comment_3284744731" TargetMode="External" /><Relationship Id="rId57" Type="http://schemas.openxmlformats.org/officeDocument/2006/relationships/hyperlink" Target="http://vk.com/club149047382" TargetMode="External" /><Relationship Id="rId55" Type="http://schemas.openxmlformats.org/officeDocument/2006/relationships/hyperlink" Target="http://vk.com/wall-149047382_3170626?reply=3171872" TargetMode="External" /><Relationship Id="rId4" Type="http://schemas.openxmlformats.org/officeDocument/2006/relationships/hyperlink" Target="https://telegram.me/ap_patient/110565" TargetMode="External" /><Relationship Id="rId252" Type="http://schemas.openxmlformats.org/officeDocument/2006/relationships/hyperlink" Target="http://vk.com/club86403806" TargetMode="External" /><Relationship Id="rId532" Type="http://schemas.openxmlformats.org/officeDocument/2006/relationships/hyperlink" Target="http://vk.com/wall-143027530_287028?reply=287155" TargetMode="External" /><Relationship Id="rId327" Type="http://schemas.openxmlformats.org/officeDocument/2006/relationships/hyperlink" Target="http://vk.com/club223318821" TargetMode="External" /><Relationship Id="rId121" Type="http://schemas.openxmlformats.org/officeDocument/2006/relationships/hyperlink" Target="https://www.threads.com/@znaika121/post/DYwdvGHCP0x" TargetMode="External" /><Relationship Id="rId385" Type="http://schemas.openxmlformats.org/officeDocument/2006/relationships/hyperlink" Target="https://sprosivracha.com/questions/4324170-gematolog-ubral-vse-vitaminy-pochemu" TargetMode="External" /><Relationship Id="rId383" Type="http://schemas.openxmlformats.org/officeDocument/2006/relationships/hyperlink" Target="https://sprosivracha.com/authors/&#1046;&#1091;&#1084;&#1072;&#1089;&#1080;&#1103;%20&#1046;&#1072;&#1085;&#1072;&#1083;&#1080;&#1077;&#1074;&#1072;" TargetMode="External" /><Relationship Id="rId77" Type="http://schemas.openxmlformats.org/officeDocument/2006/relationships/hyperlink" Target="https://telegram.me/&#1048;&#1088;&#1080;&#1085;&#1072;" TargetMode="External" /><Relationship Id="rId21" Type="http://schemas.openxmlformats.org/officeDocument/2006/relationships/hyperlink" Target="https://forum.baby.ru/u/usr598918" TargetMode="External" /><Relationship Id="rId349" Type="http://schemas.openxmlformats.org/officeDocument/2006/relationships/hyperlink" Target="http://vk.com/wall-162456827_122523?reply=122558" TargetMode="External" /><Relationship Id="rId41" Type="http://schemas.openxmlformats.org/officeDocument/2006/relationships/hyperlink" Target="http://vk.com/id1108851059" TargetMode="External" /><Relationship Id="rId285" Type="http://schemas.openxmlformats.org/officeDocument/2006/relationships/hyperlink" Target="https://dzen.ru/id/62c842a6dfc4571c72d12933" TargetMode="External" /><Relationship Id="rId542" Type="http://schemas.openxmlformats.org/officeDocument/2006/relationships/hyperlink" Target="http://vk.com/id1083057434" TargetMode="External" /><Relationship Id="rId507" Type="http://schemas.openxmlformats.org/officeDocument/2006/relationships/hyperlink" Target="https://dzen.ru/id/5eaafa59cf77ee27c9421287" TargetMode="External" /><Relationship Id="rId479" Type="http://schemas.openxmlformats.org/officeDocument/2006/relationships/hyperlink" Target="http://vk.com/id1110219570" TargetMode="External" /><Relationship Id="rId231" Type="http://schemas.openxmlformats.org/officeDocument/2006/relationships/hyperlink" Target="http://vk.com/club123403112" TargetMode="External" /><Relationship Id="rId433" Type="http://schemas.openxmlformats.org/officeDocument/2006/relationships/hyperlink" Target="http://vk.com/wall-157831435_46556?reply=46585" TargetMode="External" /><Relationship Id="rId463" Type="http://schemas.openxmlformats.org/officeDocument/2006/relationships/hyperlink" Target="http://vk.com/wall-158881136_1010102?reply=1010152" TargetMode="External" /><Relationship Id="rId563" Type="http://schemas.openxmlformats.org/officeDocument/2006/relationships/hyperlink" Target="https://telegram.me/af_patientbot" TargetMode="External" /><Relationship Id="rId170" Type="http://schemas.openxmlformats.org/officeDocument/2006/relationships/hyperlink" Target="http://vk.com/id1111260863" TargetMode="External" /><Relationship Id="rId587" Type="http://schemas.openxmlformats.org/officeDocument/2006/relationships/hyperlink" Target="https://www.ozon.ru/context/client_opinion/ClientGuid/00000000-0000-0000-0000-000000000000#&#1051;&#1077;&#1086;&#1085;&#1080;&#1076;%20&#1047;." TargetMode="External" /><Relationship Id="rId245" Type="http://schemas.openxmlformats.org/officeDocument/2006/relationships/hyperlink" Target="http://vk.com/id880724074" TargetMode="External" /><Relationship Id="rId120" Type="http://schemas.openxmlformats.org/officeDocument/2006/relationships/hyperlink" Target="https://dzen.ru/id/69b5bb875330f8608cd9b95d" TargetMode="External" /><Relationship Id="rId445" Type="http://schemas.openxmlformats.org/officeDocument/2006/relationships/hyperlink" Target="http://vk.com/wall-29487103_192880?reply=192890" TargetMode="External" /><Relationship Id="rId379" Type="http://schemas.openxmlformats.org/officeDocument/2006/relationships/hyperlink" Target="https://sprosivracha.com/questions/4324170-gematolog-ubral-vse-vitaminy-pochemu#a27652352" TargetMode="External" /><Relationship Id="rId462" Type="http://schemas.openxmlformats.org/officeDocument/2006/relationships/hyperlink" Target="http://vk.com/club155019350" TargetMode="External" /><Relationship Id="rId177" Type="http://schemas.openxmlformats.org/officeDocument/2006/relationships/hyperlink" Target="https://telegram.me/beremennost_pregnancy" TargetMode="External" /><Relationship Id="rId26" Type="http://schemas.openxmlformats.org/officeDocument/2006/relationships/hyperlink" Target="https://telegram.me/af_patientbot" TargetMode="External" /><Relationship Id="rId389" Type="http://schemas.openxmlformats.org/officeDocument/2006/relationships/hyperlink" Target="https://telegram.me/af_patientbot" TargetMode="External" /><Relationship Id="rId576" Type="http://schemas.openxmlformats.org/officeDocument/2006/relationships/hyperlink" Target="https://sprosivracha.com/questions/4310948-terapiya-pri-beremennosti" TargetMode="External" /><Relationship Id="rId75" Type="http://schemas.openxmlformats.org/officeDocument/2006/relationships/hyperlink" Target="https://telegram.me/ap_patient" TargetMode="External" /><Relationship Id="rId575" Type="http://schemas.openxmlformats.org/officeDocument/2006/relationships/hyperlink" Target="https://sprosivracha.com/authors/&#1047;&#1086;&#1103;" TargetMode="External" /><Relationship Id="rId112" Type="http://schemas.openxmlformats.org/officeDocument/2006/relationships/hyperlink" Target="http://vk.com/wall-114905525_2072506?reply=2072571" TargetMode="External" /><Relationship Id="rId273" Type="http://schemas.openxmlformats.org/officeDocument/2006/relationships/hyperlink" Target="http://www.youtube.com/channel/UCj5sl2ikNJVEgNQKCVQXUoA" TargetMode="External" /><Relationship Id="rId332" Type="http://schemas.openxmlformats.org/officeDocument/2006/relationships/hyperlink" Target="http://vk.com/id1111392168" TargetMode="External" /><Relationship Id="rId176" Type="http://schemas.openxmlformats.org/officeDocument/2006/relationships/hyperlink" Target="https://telegram.me/mvelikaya" TargetMode="External" /><Relationship Id="rId483" Type="http://schemas.openxmlformats.org/officeDocument/2006/relationships/hyperlink" Target="https://telegram.me/ap_patient" TargetMode="External" /><Relationship Id="rId362" Type="http://schemas.openxmlformats.org/officeDocument/2006/relationships/hyperlink" Target="http://vk.com/id1111260863" TargetMode="External" /><Relationship Id="rId465" Type="http://schemas.openxmlformats.org/officeDocument/2006/relationships/hyperlink" Target="http://vk.com/club158881136" TargetMode="External" /><Relationship Id="rId139" Type="http://schemas.openxmlformats.org/officeDocument/2006/relationships/hyperlink" Target="https://www.ozon.ru/product/754249148/reviews?ruuid=019e59f0-69df-72d7-ae2a-8970bfc26c60" TargetMode="External" /><Relationship Id="rId295" Type="http://schemas.openxmlformats.org/officeDocument/2006/relationships/hyperlink" Target="http://vk.com/wall-12670685_347124?reply=347175" TargetMode="External" /><Relationship Id="rId76" Type="http://schemas.openxmlformats.org/officeDocument/2006/relationships/hyperlink" Target="https://telegram.me/immortaldrops/942?comment=12189" TargetMode="External" /><Relationship Id="rId140" Type="http://schemas.openxmlformats.org/officeDocument/2006/relationships/hyperlink" Target="https://www.ozon.ru/context/client_opinion/ClientGuid/00000000-0000-0000-0000-000000000000#&#1055;&#1086;&#1083;&#1100;&#1079;&#1086;&#1074;&#1072;&#1090;&#1077;&#1083;&#1100;%20&#1087;&#1088;&#1077;&#1076;&#1087;&#1086;&#1095;&#1105;&#1083;%20&#1089;&#1082;&#1088;&#1099;&#1090;&#1100;%20&#1089;&#1074;&#1086;&#1080;%20&#1076;&#1072;&#1085;&#1085;&#1099;&#1077;" TargetMode="External" /><Relationship Id="rId473" Type="http://schemas.openxmlformats.org/officeDocument/2006/relationships/hyperlink" Target="https://dzen.ru/user/2370083782" TargetMode="External" /><Relationship Id="rId578" Type="http://schemas.openxmlformats.org/officeDocument/2006/relationships/hyperlink" Target="https://sprosivracha.com/authors/&#1046;&#1091;&#1084;&#1072;&#1089;&#1080;&#1103;%20&#1046;&#1072;&#1085;&#1072;&#1083;&#1080;&#1077;&#1074;&#1072;" TargetMode="External" /><Relationship Id="rId107" Type="http://schemas.openxmlformats.org/officeDocument/2006/relationships/hyperlink" Target="http://ok.ru/profile/910116631862" TargetMode="External" /><Relationship Id="rId253" Type="http://schemas.openxmlformats.org/officeDocument/2006/relationships/hyperlink" Target="http://vk.com/wall-201625372_10224?reply=10233" TargetMode="External" /><Relationship Id="rId169" Type="http://schemas.openxmlformats.org/officeDocument/2006/relationships/hyperlink" Target="http://vk.com/wall-185317296_413191?reply=413332" TargetMode="External" /><Relationship Id="rId585" Type="http://schemas.openxmlformats.org/officeDocument/2006/relationships/hyperlink" Target="http://vk.com/club135703188" TargetMode="External" /><Relationship Id="rId471" Type="http://schemas.openxmlformats.org/officeDocument/2006/relationships/hyperlink" Target="http://vk.com/club177688766" TargetMode="External" /><Relationship Id="rId573" Type="http://schemas.openxmlformats.org/officeDocument/2006/relationships/hyperlink" Target="https://www.ozon.ru/context/detail/id/754249148" TargetMode="External" /><Relationship Id="rId186" Type="http://schemas.openxmlformats.org/officeDocument/2006/relationships/hyperlink" Target="https://www.woman.ru/forum/all/health/woman-health/thread-varikoz-chto-prinimaete-id6426253" TargetMode="External" /><Relationship Id="rId555" Type="http://schemas.openxmlformats.org/officeDocument/2006/relationships/hyperlink" Target="https://dzen.ru/id/5ea3fd8b22b6bd32eecb63f5" TargetMode="External" /><Relationship Id="rId233" Type="http://schemas.openxmlformats.org/officeDocument/2006/relationships/hyperlink" Target="http://vk.com/id612772983" TargetMode="External" /><Relationship Id="rId543" Type="http://schemas.openxmlformats.org/officeDocument/2006/relationships/hyperlink" Target="http://vk.com/club112011819" TargetMode="External" /><Relationship Id="rId374" Type="http://schemas.openxmlformats.org/officeDocument/2006/relationships/hyperlink" Target="https://telegram.me/aleksatru" TargetMode="External" /><Relationship Id="rId347" Type="http://schemas.openxmlformats.org/officeDocument/2006/relationships/hyperlink" Target="https://dzen.ru/user/rfl58ladvq_ppa-kwlgrzold4no" TargetMode="External" /><Relationship Id="rId49" Type="http://schemas.openxmlformats.org/officeDocument/2006/relationships/hyperlink" Target="http://vk.com/wall-38982223_266259?reply=266342" TargetMode="External" /><Relationship Id="rId270" Type="http://schemas.openxmlformats.org/officeDocument/2006/relationships/hyperlink" Target="https://threads.com/@itreva741" TargetMode="External" /><Relationship Id="rId133" Type="http://schemas.openxmlformats.org/officeDocument/2006/relationships/hyperlink" Target="https://www.woman.ru/health/woman-health/thread-varikoz-chto-prinimaete-id6426253/#m104079984" TargetMode="External" /><Relationship Id="rId160" Type="http://schemas.openxmlformats.org/officeDocument/2006/relationships/hyperlink" Target="https://dzen.ru/a/ag5APRCFLmItYCco?comment-request=1#comment_3322917323" TargetMode="External" /><Relationship Id="rId491" Type="http://schemas.openxmlformats.org/officeDocument/2006/relationships/hyperlink" Target="http://vk.com/id1072092712" TargetMode="External" /><Relationship Id="rId100" Type="http://schemas.openxmlformats.org/officeDocument/2006/relationships/hyperlink" Target="https://ok.ru/video/14345272035894" TargetMode="External" /><Relationship Id="rId562" Type="http://schemas.openxmlformats.org/officeDocument/2006/relationships/hyperlink" Target="https://telegram.me/ap_patient/109812" TargetMode="External" /><Relationship Id="rId194" Type="http://schemas.openxmlformats.org/officeDocument/2006/relationships/hyperlink" Target="http://vk.com/club226299499" TargetMode="External" /><Relationship Id="rId336" Type="http://schemas.openxmlformats.org/officeDocument/2006/relationships/hyperlink" Target="https://dzen.ru/id/69b5bb875330f8608cd9b95d" TargetMode="External" /><Relationship Id="rId308" Type="http://schemas.openxmlformats.org/officeDocument/2006/relationships/hyperlink" Target="http://vk.com/id1111392168" TargetMode="External" /><Relationship Id="rId550" Type="http://schemas.openxmlformats.org/officeDocument/2006/relationships/hyperlink" Target="http://vk.com/wall-163661733_473149?reply=473162" TargetMode="External" /><Relationship Id="rId210" Type="http://schemas.openxmlformats.org/officeDocument/2006/relationships/hyperlink" Target="http://vk.com/club153846848" TargetMode="External" /><Relationship Id="rId196" Type="http://schemas.openxmlformats.org/officeDocument/2006/relationships/hyperlink" Target="http://vk.com/wall-146361880_3875883?reply=3876417" TargetMode="External" /><Relationship Id="rId42" Type="http://schemas.openxmlformats.org/officeDocument/2006/relationships/hyperlink" Target="http://vk.com/club170066150" TargetMode="External" /><Relationship Id="rId74" Type="http://schemas.openxmlformats.org/officeDocument/2006/relationships/hyperlink" Target="https://telegram.me/af_patientbot" TargetMode="External" /><Relationship Id="rId378" Type="http://schemas.openxmlformats.org/officeDocument/2006/relationships/hyperlink" Target="https://dzen.ru/id/66f3e42b025ba177c356b855" TargetMode="External" /><Relationship Id="rId101" Type="http://schemas.openxmlformats.org/officeDocument/2006/relationships/hyperlink" Target="http://ok.ru/profile/910116631862" TargetMode="External" /><Relationship Id="rId358" Type="http://schemas.openxmlformats.org/officeDocument/2006/relationships/hyperlink" Target="http://vk.com/wall530424871_2284" TargetMode="External" /><Relationship Id="rId456" Type="http://schemas.openxmlformats.org/officeDocument/2006/relationships/hyperlink" Target="https://telegram.me/doctor_alina_chat" TargetMode="External" /><Relationship Id="rId286" Type="http://schemas.openxmlformats.org/officeDocument/2006/relationships/hyperlink" Target="http://vk.com/wall-85415124_157727?reply=157840" TargetMode="External" /><Relationship Id="rId227" Type="http://schemas.openxmlformats.org/officeDocument/2006/relationships/hyperlink" Target="https://dzen.ru/user/uyzdk9mawshux5qs5vnmxxyuo2m" TargetMode="External" /><Relationship Id="rId198" Type="http://schemas.openxmlformats.org/officeDocument/2006/relationships/hyperlink" Target="http://vk.com/club146361880" TargetMode="External" /><Relationship Id="rId311" Type="http://schemas.openxmlformats.org/officeDocument/2006/relationships/hyperlink" Target="https://otzovik.com/profile/marylozov88" TargetMode="External" /><Relationship Id="rId171" Type="http://schemas.openxmlformats.org/officeDocument/2006/relationships/hyperlink" Target="http://vk.com/club185317296" TargetMode="External" /><Relationship Id="rId73" Type="http://schemas.openxmlformats.org/officeDocument/2006/relationships/hyperlink" Target="https://telegram.me/ap_patient/110422" TargetMode="External" /><Relationship Id="rId129" Type="http://schemas.openxmlformats.org/officeDocument/2006/relationships/hyperlink" Target="https://www.otzyvru.com/vessel-due-f" TargetMode="External" /><Relationship Id="rId91" Type="http://schemas.openxmlformats.org/officeDocument/2006/relationships/hyperlink" Target="http://vk.com/wall-114905525_2072506?reply=2072581" TargetMode="External" /><Relationship Id="rId251" Type="http://schemas.openxmlformats.org/officeDocument/2006/relationships/hyperlink" Target="http://vk.com/id1083057434" TargetMode="External" /><Relationship Id="rId260" Type="http://schemas.openxmlformats.org/officeDocument/2006/relationships/hyperlink" Target="https://dzen.ru/user/2360994008" TargetMode="External" /><Relationship Id="rId432" Type="http://schemas.openxmlformats.org/officeDocument/2006/relationships/hyperlink" Target="https://instagram.com/aizana.stambulova" TargetMode="External" /><Relationship Id="rId246" Type="http://schemas.openxmlformats.org/officeDocument/2006/relationships/hyperlink" Target="http://vk.com/club121964063" TargetMode="External" /><Relationship Id="rId438" Type="http://schemas.openxmlformats.org/officeDocument/2006/relationships/hyperlink" Target="http://vk.com/club158881136" TargetMode="External" /><Relationship Id="rId577" Type="http://schemas.openxmlformats.org/officeDocument/2006/relationships/hyperlink" Target="https://sprosivracha.com/questions/4310948-terapiya-pri-beremennosti#a27546801" TargetMode="External" /><Relationship Id="rId597" Type="http://schemas.openxmlformats.org/officeDocument/2006/relationships/hyperlink" Target="https://sprosivracha.com/questions/4308352-prolezhni-na-pyatke" TargetMode="External" /><Relationship Id="rId153" Type="http://schemas.openxmlformats.org/officeDocument/2006/relationships/hyperlink" Target="http://vk.com/club211243521" TargetMode="External" /><Relationship Id="rId86" Type="http://schemas.openxmlformats.org/officeDocument/2006/relationships/hyperlink" Target="https://otzyv.pro/user/bastarda" TargetMode="External" /><Relationship Id="rId284" Type="http://schemas.openxmlformats.org/officeDocument/2006/relationships/hyperlink" Target="https://dzen.ru/user/1aizypi03h3m3iudcxtcesigzgc" TargetMode="External" /><Relationship Id="rId117" Type="http://schemas.openxmlformats.org/officeDocument/2006/relationships/hyperlink" Target="http://vk.com/club80942402" TargetMode="External" /><Relationship Id="rId546" Type="http://schemas.openxmlformats.org/officeDocument/2006/relationships/hyperlink" Target="http://vk.com/club55122354" TargetMode="External" /><Relationship Id="rId582" Type="http://schemas.openxmlformats.org/officeDocument/2006/relationships/hyperlink" Target="https://sprosivracha.com/questions/4310948-terapiya-pri-beremennosti" TargetMode="External" /><Relationship Id="rId88" Type="http://schemas.openxmlformats.org/officeDocument/2006/relationships/hyperlink" Target="http://vk.com/wall-60212615_5257311?reply=5257415" TargetMode="External" /><Relationship Id="rId426" Type="http://schemas.openxmlformats.org/officeDocument/2006/relationships/hyperlink" Target="http://vk.com/club48183890" TargetMode="External" /><Relationship Id="rId591" Type="http://schemas.openxmlformats.org/officeDocument/2006/relationships/hyperlink" Target="http://vk.com/club116010319" TargetMode="External" /><Relationship Id="rId157" Type="http://schemas.openxmlformats.org/officeDocument/2006/relationships/hyperlink" Target="https://mom.life/post/6a108fb5ca3d63b46c0af556" TargetMode="External" /><Relationship Id="rId174" Type="http://schemas.openxmlformats.org/officeDocument/2006/relationships/hyperlink" Target="https://dzen.ru/id/5c41f31debbae500ac645050" TargetMode="External" /><Relationship Id="rId102" Type="http://schemas.openxmlformats.org/officeDocument/2006/relationships/hyperlink" Target="http://ok.ru/profile/910116631862" TargetMode="External" /><Relationship Id="rId204" Type="http://schemas.openxmlformats.org/officeDocument/2006/relationships/hyperlink" Target="https://www.otzyvru.com/vessel-due-f" TargetMode="External" /><Relationship Id="rId23" Type="http://schemas.openxmlformats.org/officeDocument/2006/relationships/hyperlink" Target="http://vk.com/id516390091" TargetMode="External" /><Relationship Id="rId188" Type="http://schemas.openxmlformats.org/officeDocument/2006/relationships/hyperlink" Target="https://telegram.me/danielabialik" TargetMode="External" /><Relationship Id="rId156" Type="http://schemas.openxmlformats.org/officeDocument/2006/relationships/hyperlink" Target="http://vk.com/club183105257" TargetMode="External" /><Relationship Id="rId65" Type="http://schemas.openxmlformats.org/officeDocument/2006/relationships/hyperlink" Target="http://vk.com/id1108851059" TargetMode="External" /><Relationship Id="rId274" Type="http://schemas.openxmlformats.org/officeDocument/2006/relationships/hyperlink" Target="https://dzen.ru/a/agiG6PaAw3Vs2cdb?comment-request=1#comment_3306628032" TargetMode="External" /><Relationship Id="rId501" Type="http://schemas.openxmlformats.org/officeDocument/2006/relationships/hyperlink" Target="http://vk.com/club74631162" TargetMode="External" /><Relationship Id="rId524" Type="http://schemas.openxmlformats.org/officeDocument/2006/relationships/hyperlink" Target="https://mom.life/user/5a096a0e17699c031b653d75" TargetMode="External" /><Relationship Id="rId556" Type="http://schemas.openxmlformats.org/officeDocument/2006/relationships/hyperlink" Target="http://vk.com/wall-164931876_313142?reply=313149" TargetMode="External" /><Relationship Id="rId454" Type="http://schemas.openxmlformats.org/officeDocument/2006/relationships/hyperlink" Target="https://telegram.me/doctor_alina_chat/21390" TargetMode="External" /><Relationship Id="rId436" Type="http://schemas.openxmlformats.org/officeDocument/2006/relationships/hyperlink" Target="http://vk.com/wall-158881136_1010102?reply=1010174" TargetMode="External" /><Relationship Id="rId437" Type="http://schemas.openxmlformats.org/officeDocument/2006/relationships/hyperlink" Target="http://vk.com/id1072092712" TargetMode="External" /><Relationship Id="rId40" Type="http://schemas.openxmlformats.org/officeDocument/2006/relationships/hyperlink" Target="http://vk.com/wall-170066150_61530?reply=61548" TargetMode="External" /><Relationship Id="rId520" Type="http://schemas.openxmlformats.org/officeDocument/2006/relationships/hyperlink" Target="https://otzyv.pro/reviews/otzyvy-tromboliks-pro-514868.html" TargetMode="External" /><Relationship Id="rId357" Type="http://schemas.openxmlformats.org/officeDocument/2006/relationships/hyperlink" Target="https://dzen.ru/id/65f3067dd5f4eb779713e531" TargetMode="External" /><Relationship Id="rId25" Type="http://schemas.openxmlformats.org/officeDocument/2006/relationships/hyperlink" Target="https://telegram.me/ap_patient/110528" TargetMode="External" /><Relationship Id="rId488" Type="http://schemas.openxmlformats.org/officeDocument/2006/relationships/hyperlink" Target="https://sprosivracha.com/authors/&#1046;&#1091;&#1084;&#1072;&#1089;&#1080;&#1103;%20&#1046;&#1072;&#1085;&#1072;&#1083;&#1080;&#1077;&#1074;&#1072;" TargetMode="External" /><Relationship Id="rId32" Type="http://schemas.openxmlformats.org/officeDocument/2006/relationships/hyperlink" Target="https://www.ozon.ru/context/client_opinion/ClientGuid/00000000-0000-0000-0000-000000000000#&#1053;&#1072;&#1090;&#1072;&#1083;&#1080;&#1103;%20&#1055;." TargetMode="External" /><Relationship Id="rId78" Type="http://schemas.openxmlformats.org/officeDocument/2006/relationships/hyperlink" Target="https://telegram.me/immortaldrops" TargetMode="External" /><Relationship Id="rId329" Type="http://schemas.openxmlformats.org/officeDocument/2006/relationships/hyperlink" Target="http://vk.com/id1111392168" TargetMode="External" /><Relationship Id="rId111" Type="http://schemas.openxmlformats.org/officeDocument/2006/relationships/hyperlink" Target="https://rutube.ru/video/person/24831553" TargetMode="External" /><Relationship Id="rId541" Type="http://schemas.openxmlformats.org/officeDocument/2006/relationships/hyperlink" Target="http://vk.com/wall-112011819_2779043?reply=2780748" TargetMode="External" /><Relationship Id="rId148" Type="http://schemas.openxmlformats.org/officeDocument/2006/relationships/hyperlink" Target="https://telegram.me/dnevnikdoctorachat/263042" TargetMode="External" /><Relationship Id="rId164" Type="http://schemas.openxmlformats.org/officeDocument/2006/relationships/hyperlink" Target="https://threads.com/@kuroskinam" TargetMode="External" /><Relationship Id="rId545" Type="http://schemas.openxmlformats.org/officeDocument/2006/relationships/hyperlink" Target="http://vk.com/id1072092712" TargetMode="External" /><Relationship Id="rId228" Type="http://schemas.openxmlformats.org/officeDocument/2006/relationships/hyperlink" Target="https://dzen.ru/id/60324e29084cc34524539a3a" TargetMode="External" /><Relationship Id="rId485" Type="http://schemas.openxmlformats.org/officeDocument/2006/relationships/hyperlink" Target="https://telegram.me/af_patientbot" TargetMode="External" /><Relationship Id="rId387" Type="http://schemas.openxmlformats.org/officeDocument/2006/relationships/hyperlink" Target="https://sprosivracha.com/questions/4324170-gematolog-ubral-vse-vitaminy-pochemu" TargetMode="External" /><Relationship Id="rId386" Type="http://schemas.openxmlformats.org/officeDocument/2006/relationships/hyperlink" Target="https://sprosivracha.com/authors/&#1042;&#1077;&#1088;&#1072;" TargetMode="External" /><Relationship Id="rId201" Type="http://schemas.openxmlformats.org/officeDocument/2006/relationships/hyperlink" Target="http://vk.com/club210934520" TargetMode="External" /><Relationship Id="rId312" Type="http://schemas.openxmlformats.org/officeDocument/2006/relationships/hyperlink" Target="https://otzovik.com/reviews/tabletki_alfa_wassermann_vessel_due_f_250_le" TargetMode="External" /><Relationship Id="rId254" Type="http://schemas.openxmlformats.org/officeDocument/2006/relationships/hyperlink" Target="http://vk.com/id1072092712" TargetMode="External" /><Relationship Id="rId123" Type="http://schemas.openxmlformats.org/officeDocument/2006/relationships/hyperlink" Target="https://threads.com/@znaika121" TargetMode="External" /><Relationship Id="rId67" Type="http://schemas.openxmlformats.org/officeDocument/2006/relationships/hyperlink" Target="https://mom.life/post/6a15bbf2766114bef2060ad9#6a15be79c949f7c1200d9cb0" TargetMode="External" /><Relationship Id="rId494" Type="http://schemas.openxmlformats.org/officeDocument/2006/relationships/hyperlink" Target="https://telegram.me/egort125" TargetMode="External" /><Relationship Id="rId263" Type="http://schemas.openxmlformats.org/officeDocument/2006/relationships/hyperlink" Target="http://vk.com/id1114259735" TargetMode="External" /><Relationship Id="rId352" Type="http://schemas.openxmlformats.org/officeDocument/2006/relationships/hyperlink" Target="https://dzen.ru/a/agMfuVU4_3gzOoyZ?comment-request=1#comment_3303016074" TargetMode="External" /><Relationship Id="rId369" Type="http://schemas.openxmlformats.org/officeDocument/2006/relationships/hyperlink" Target="https://telegram.me/izbamolodilnya" TargetMode="External" /><Relationship Id="rId424" Type="http://schemas.openxmlformats.org/officeDocument/2006/relationships/hyperlink" Target="http://vk.com/wall-48183890_1779997?reply=1780046" TargetMode="External" /><Relationship Id="rId62" Type="http://schemas.openxmlformats.org/officeDocument/2006/relationships/hyperlink" Target="http://vk.com/id673867691" TargetMode="External" /><Relationship Id="rId344" Type="http://schemas.openxmlformats.org/officeDocument/2006/relationships/hyperlink" Target="http://vk.com/id530200276" TargetMode="External" /><Relationship Id="rId10" Type="http://schemas.openxmlformats.org/officeDocument/2006/relationships/hyperlink" Target="https://mom.life/post/6a1b1b65c78c0db71a01fa09" TargetMode="External" /><Relationship Id="rId566" Type="http://schemas.openxmlformats.org/officeDocument/2006/relationships/hyperlink" Target="https://market.yandex.ru/user/c10jjgx2b7etrdb4qfva3zpq7m" TargetMode="External" /><Relationship Id="rId220" Type="http://schemas.openxmlformats.org/officeDocument/2006/relationships/hyperlink" Target="http://vk.com/wall-55884956_245366?reply=245531" TargetMode="External" /><Relationship Id="rId296" Type="http://schemas.openxmlformats.org/officeDocument/2006/relationships/hyperlink" Target="http://vk.com/id1072092712" TargetMode="External" /><Relationship Id="rId511" Type="http://schemas.openxmlformats.org/officeDocument/2006/relationships/hyperlink" Target="http://vk.com/wall-127033373_73213?reply=73258" TargetMode="External" /><Relationship Id="rId380" Type="http://schemas.openxmlformats.org/officeDocument/2006/relationships/hyperlink" Target="https://sprosivracha.com/authors/&#1046;&#1091;&#1084;&#1072;&#1089;&#1080;&#1103;%20&#1046;&#1072;&#1085;&#1072;&#1083;&#1080;&#1077;&#1074;&#1072;" TargetMode="External" /><Relationship Id="rId335" Type="http://schemas.openxmlformats.org/officeDocument/2006/relationships/hyperlink" Target="https://dzen.ru/user/grgfitidzfc2yyoeg_9dzbsltj0" TargetMode="External" /><Relationship Id="rId345" Type="http://schemas.openxmlformats.org/officeDocument/2006/relationships/hyperlink" Target="http://vk.com/club211243521" TargetMode="External" /><Relationship Id="rId189" Type="http://schemas.openxmlformats.org/officeDocument/2006/relationships/hyperlink" Target="https://telegram.me/alopecia_info" TargetMode="External" /><Relationship Id="rId93" Type="http://schemas.openxmlformats.org/officeDocument/2006/relationships/hyperlink" Target="http://vk.com/club114905525" TargetMode="External" /><Relationship Id="rId36" Type="http://schemas.openxmlformats.org/officeDocument/2006/relationships/hyperlink" Target="http://www.youtube.com/channel/UCmXcQ3wSf1szPGmssQOop8Q" TargetMode="External" /><Relationship Id="rId132" Type="http://schemas.openxmlformats.org/officeDocument/2006/relationships/hyperlink" Target="https://www.vashe-mnenie.com/reviews.php?name=vessel-due-f" TargetMode="External" /><Relationship Id="rId256" Type="http://schemas.openxmlformats.org/officeDocument/2006/relationships/hyperlink" Target="https://otzovik.com/review_18360598.html" TargetMode="External" /><Relationship Id="rId130" Type="http://schemas.openxmlformats.org/officeDocument/2006/relationships/hyperlink" Target="https://www.vashe-mnenie.com/reviews.php?name=vessel-due-f#date=2026-05-24%2021:07:34" TargetMode="External" /><Relationship Id="rId408" Type="http://schemas.openxmlformats.org/officeDocument/2006/relationships/hyperlink" Target="http://vk.com/club47981464" TargetMode="External" /><Relationship Id="rId52" Type="http://schemas.openxmlformats.org/officeDocument/2006/relationships/hyperlink" Target="http://vk.com/wall-131931112_1550465?reply=1552214&amp;thread=1550789" TargetMode="External" /><Relationship Id="rId243" Type="http://schemas.openxmlformats.org/officeDocument/2006/relationships/hyperlink" Target="http://vk.com/club55884956" TargetMode="External" /><Relationship Id="rId136" Type="http://schemas.openxmlformats.org/officeDocument/2006/relationships/hyperlink" Target="http://vk.com/wall-155019350_73103?reply=73172" TargetMode="External" /><Relationship Id="rId549" Type="http://schemas.openxmlformats.org/officeDocument/2006/relationships/hyperlink" Target="http://vk.com/club78602257" TargetMode="External" /><Relationship Id="rId467" Type="http://schemas.openxmlformats.org/officeDocument/2006/relationships/hyperlink" Target="https://otzovik.com/profile/Xavitara" TargetMode="External" /><Relationship Id="rId354" Type="http://schemas.openxmlformats.org/officeDocument/2006/relationships/hyperlink" Target="https://dzen.ru/id/59b7ace157906a468e38e6c5" TargetMode="External" /><Relationship Id="rId264" Type="http://schemas.openxmlformats.org/officeDocument/2006/relationships/hyperlink" Target="http://vk.com/club126850514" TargetMode="External" /><Relationship Id="rId407" Type="http://schemas.openxmlformats.org/officeDocument/2006/relationships/hyperlink" Target="http://vk.com/id78727646" TargetMode="External" /><Relationship Id="rId108" Type="http://schemas.openxmlformats.org/officeDocument/2006/relationships/hyperlink" Target="http://ok.ru/profile/910116631862" TargetMode="External" /><Relationship Id="rId547" Type="http://schemas.openxmlformats.org/officeDocument/2006/relationships/hyperlink" Target="http://vk.com/wall-78602257_8214?reply=8237" TargetMode="External" /><Relationship Id="rId397" Type="http://schemas.openxmlformats.org/officeDocument/2006/relationships/hyperlink" Target="https://telegram.me/actual_phlebology_ru/1047" TargetMode="External" /><Relationship Id="rId229" Type="http://schemas.openxmlformats.org/officeDocument/2006/relationships/hyperlink" Target="http://vk.com/wall-123403112_3698381?reply=3698464" TargetMode="External" /><Relationship Id="rId114" Type="http://schemas.openxmlformats.org/officeDocument/2006/relationships/hyperlink" Target="http://vk.com/club114905525" TargetMode="External" /><Relationship Id="rId289" Type="http://schemas.openxmlformats.org/officeDocument/2006/relationships/hyperlink" Target="http://vk.com/wall-219212745_20076?reply=20286" TargetMode="External" /><Relationship Id="rId338" Type="http://schemas.openxmlformats.org/officeDocument/2006/relationships/hyperlink" Target="http://vk.com/id612772983" TargetMode="External" /><Relationship Id="rId581" Type="http://schemas.openxmlformats.org/officeDocument/2006/relationships/hyperlink" Target="https://sprosivracha.com/authors/&#1047;&#1086;&#1103;" TargetMode="External" /><Relationship Id="rId413" Type="http://schemas.openxmlformats.org/officeDocument/2006/relationships/hyperlink" Target="http://ok.ru/group/52161146519625" TargetMode="External" /><Relationship Id="rId92" Type="http://schemas.openxmlformats.org/officeDocument/2006/relationships/hyperlink" Target="http://vk.com/id1072092712" TargetMode="External" /><Relationship Id="rId340" Type="http://schemas.openxmlformats.org/officeDocument/2006/relationships/hyperlink" Target="http://vk.com/wall-210934520_126704?reply=169523&amp;thread=127679" TargetMode="External" /><Relationship Id="rId205" Type="http://schemas.openxmlformats.org/officeDocument/2006/relationships/hyperlink" Target="https://www.threads.com/@sssevorobeva/post/DYkELwliF3O" TargetMode="External" /><Relationship Id="rId405" Type="http://schemas.openxmlformats.org/officeDocument/2006/relationships/hyperlink" Target="https://www.babyblog.ru/user/zinnatullinainzilya" TargetMode="External" /><Relationship Id="rId122" Type="http://schemas.openxmlformats.org/officeDocument/2006/relationships/hyperlink" Target="https://threads.com/@znaika121" TargetMode="External" /><Relationship Id="rId110" Type="http://schemas.openxmlformats.org/officeDocument/2006/relationships/hyperlink" Target="https://rutube.ru/video/person/25742999" TargetMode="External" /><Relationship Id="rId414" Type="http://schemas.openxmlformats.org/officeDocument/2006/relationships/hyperlink" Target="http://ok.ru/group/52161146519625" TargetMode="External" /><Relationship Id="rId167" Type="http://schemas.openxmlformats.org/officeDocument/2006/relationships/hyperlink" Target="http://vk.com/id1104573797" TargetMode="External" /><Relationship Id="rId558" Type="http://schemas.openxmlformats.org/officeDocument/2006/relationships/hyperlink" Target="http://vk.com/club164931876" TargetMode="External" /><Relationship Id="rId316" Type="http://schemas.openxmlformats.org/officeDocument/2006/relationships/hyperlink" Target="http://vk.com/wall-166736387_49566?reply=49573&amp;thread=49570" TargetMode="External" /><Relationship Id="rId484" Type="http://schemas.openxmlformats.org/officeDocument/2006/relationships/hyperlink" Target="https://telegram.me/ap_patient/109876" TargetMode="External" /><Relationship Id="rId451" Type="http://schemas.openxmlformats.org/officeDocument/2006/relationships/hyperlink" Target="http://vk.com/wall-88570414_284324?reply=284345" TargetMode="External" /><Relationship Id="rId508" Type="http://schemas.openxmlformats.org/officeDocument/2006/relationships/hyperlink" Target="http://vk.com/wall-66100600_241132?reply=241148" TargetMode="External" /><Relationship Id="rId280" Type="http://schemas.openxmlformats.org/officeDocument/2006/relationships/hyperlink" Target="https://telegram.me/drvkuvaev/1093" TargetMode="External" /><Relationship Id="rId497" Type="http://schemas.openxmlformats.org/officeDocument/2006/relationships/hyperlink" Target="https://sprosivracha.com/authors/&#1053;&#1072;&#1090;&#1072;&#1083;&#1100;&#1103;" TargetMode="External" /><Relationship Id="rId282" Type="http://schemas.openxmlformats.org/officeDocument/2006/relationships/hyperlink" Target="https://telegram.me/drvkuvaev" TargetMode="External" /><Relationship Id="rId492" Type="http://schemas.openxmlformats.org/officeDocument/2006/relationships/hyperlink" Target="http://vk.com/club155019350" TargetMode="External" /><Relationship Id="rId330" Type="http://schemas.openxmlformats.org/officeDocument/2006/relationships/hyperlink" Target="http://vk.com/club121511206" TargetMode="External" /><Relationship Id="rId554" Type="http://schemas.openxmlformats.org/officeDocument/2006/relationships/hyperlink" Target="https://dzen.ru/user/cigvvu3wczjxhpejt_7e7truozm" TargetMode="External" /><Relationship Id="rId512" Type="http://schemas.openxmlformats.org/officeDocument/2006/relationships/hyperlink" Target="http://vk.com/id1110219570" TargetMode="External" /><Relationship Id="rId564" Type="http://schemas.openxmlformats.org/officeDocument/2006/relationships/hyperlink" Target="https://telegram.me/ap_patient" TargetMode="External" /><Relationship Id="rId337" Type="http://schemas.openxmlformats.org/officeDocument/2006/relationships/hyperlink" Target="http://vk.com/wall-115360655_1251359?reply=1251448" TargetMode="External" /><Relationship Id="rId459" Type="http://schemas.openxmlformats.org/officeDocument/2006/relationships/hyperlink" Target="https://telegram.me/doctor_alina_chat" TargetMode="External" /><Relationship Id="rId366" Type="http://schemas.openxmlformats.org/officeDocument/2006/relationships/hyperlink" Target="https://dzen.ru/id/65f1dc2e477f931a69a2da7e" TargetMode="External" /><Relationship Id="rId419" Type="http://schemas.openxmlformats.org/officeDocument/2006/relationships/hyperlink" Target="http://vk.com/club61570233" TargetMode="External" /><Relationship Id="rId526" Type="http://schemas.openxmlformats.org/officeDocument/2006/relationships/hyperlink" Target="https://mom.life/post/69fa0a7d1e3c84073702aba8" TargetMode="External" /><Relationship Id="rId565" Type="http://schemas.openxmlformats.org/officeDocument/2006/relationships/hyperlink" Target="https://market.yandex.ru/user/c10jjgx2b7etrdb4qfva3zpq7m/reviews#T4ocL_laAznWB7IxiB0kYA_4od8U1s" TargetMode="External" /><Relationship Id="rId44" Type="http://schemas.openxmlformats.org/officeDocument/2006/relationships/hyperlink" Target="https://otzovik.com/profile/Katarianka" TargetMode="External" /><Relationship Id="rId421" Type="http://schemas.openxmlformats.org/officeDocument/2006/relationships/hyperlink" Target="http://ok.ru/group/52171764269129/topic/158338791811913" TargetMode="External" /><Relationship Id="rId580" Type="http://schemas.openxmlformats.org/officeDocument/2006/relationships/hyperlink" Target="https://sprosivracha.com/questions/4310948-terapiya-pri-beremennosti" TargetMode="External" /><Relationship Id="rId540" Type="http://schemas.openxmlformats.org/officeDocument/2006/relationships/hyperlink" Target="http://vk.com/club163661411" TargetMode="External" /><Relationship Id="rId559" Type="http://schemas.openxmlformats.org/officeDocument/2006/relationships/hyperlink" Target="http://vk.com/wall-60212615_5255437?reply=5255488" TargetMode="External" /><Relationship Id="rId411" Type="http://schemas.openxmlformats.org/officeDocument/2006/relationships/hyperlink" Target="http://vk.com/club35402404" TargetMode="External" /><Relationship Id="rId382" Type="http://schemas.openxmlformats.org/officeDocument/2006/relationships/hyperlink" Target="https://sprosivracha.com/questions/4324170-gematolog-ubral-vse-vitaminy-pochemu#a27652310" TargetMode="External" /><Relationship Id="rId450" Type="http://schemas.openxmlformats.org/officeDocument/2006/relationships/hyperlink" Target="https://otzovik.com/reviews/tromboliks_pro" TargetMode="External" /><Relationship Id="rId297" Type="http://schemas.openxmlformats.org/officeDocument/2006/relationships/hyperlink" Target="http://vk.com/club12670685" TargetMode="External" /><Relationship Id="rId265" Type="http://schemas.openxmlformats.org/officeDocument/2006/relationships/hyperlink" Target="http://vk.com/wall466341803_5147" TargetMode="External" /><Relationship Id="rId18" Type="http://schemas.openxmlformats.org/officeDocument/2006/relationships/hyperlink" Target="https://www.tiktok.com/@ripsime_pro_food" TargetMode="External" /><Relationship Id="rId469" Type="http://schemas.openxmlformats.org/officeDocument/2006/relationships/hyperlink" Target="http://vk.com/wall-177688766_486415?reply=486509" TargetMode="External" /><Relationship Id="rId3" Type="http://schemas.openxmlformats.org/officeDocument/2006/relationships/hyperlink" Target="https://telegram.me/ap_patient" TargetMode="External" /><Relationship Id="rId24" Type="http://schemas.openxmlformats.org/officeDocument/2006/relationships/hyperlink" Target="http://vk.com/club29445319" TargetMode="External" /><Relationship Id="rId350" Type="http://schemas.openxmlformats.org/officeDocument/2006/relationships/hyperlink" Target="http://vk.com/id1114259735" TargetMode="External" /><Relationship Id="rId326" Type="http://schemas.openxmlformats.org/officeDocument/2006/relationships/hyperlink" Target="http://vk.com/id51000347" TargetMode="External" /><Relationship Id="rId441" Type="http://schemas.openxmlformats.org/officeDocument/2006/relationships/hyperlink" Target="https://dzen.ru/id/5994437877d0e668483ba5cb" TargetMode="External" /><Relationship Id="rId125" Type="http://schemas.openxmlformats.org/officeDocument/2006/relationships/hyperlink" Target="http://vk.com/id1116260947" TargetMode="External" /><Relationship Id="rId290" Type="http://schemas.openxmlformats.org/officeDocument/2006/relationships/hyperlink" Target="http://vk.com/id855401331" TargetMode="External" /><Relationship Id="rId14" Type="http://schemas.openxmlformats.org/officeDocument/2006/relationships/hyperlink" Target="https://mom.life/user/63dc744a8a79a255a34c142d" TargetMode="External" /><Relationship Id="rId155" Type="http://schemas.openxmlformats.org/officeDocument/2006/relationships/hyperlink" Target="http://vk.com/id568725896" TargetMode="External" /><Relationship Id="rId468" Type="http://schemas.openxmlformats.org/officeDocument/2006/relationships/hyperlink" Target="https://otzovik.com/reviews/tromboliks_pro" TargetMode="External" /><Relationship Id="rId7" Type="http://schemas.openxmlformats.org/officeDocument/2006/relationships/hyperlink" Target="https://www.sports.ru/football/1117226769-liga-chempionov-final-pszh-safonova-protiv-arsenala-onlajn-translyaczi.html?comment_id=22141524&#166;news&#166;1117226769" TargetMode="External" /><Relationship Id="rId569" Type="http://schemas.openxmlformats.org/officeDocument/2006/relationships/hyperlink" Target="http://vk.com/id1110220150" TargetMode="External" /><Relationship Id="rId106" Type="http://schemas.openxmlformats.org/officeDocument/2006/relationships/hyperlink" Target="https://ok.ru/video/14344947173942" TargetMode="External" /><Relationship Id="rId59" Type="http://schemas.openxmlformats.org/officeDocument/2006/relationships/hyperlink" Target="http://vk.com/id1116386313" TargetMode="External" /><Relationship Id="rId390" Type="http://schemas.openxmlformats.org/officeDocument/2006/relationships/hyperlink" Target="https://telegram.me/ap_patient" TargetMode="External" /><Relationship Id="rId341" Type="http://schemas.openxmlformats.org/officeDocument/2006/relationships/hyperlink" Target="http://vk.com/id788574328" TargetMode="External" /><Relationship Id="rId309" Type="http://schemas.openxmlformats.org/officeDocument/2006/relationships/hyperlink" Target="http://vk.com/club180149085" TargetMode="External" /><Relationship Id="rId482" Type="http://schemas.openxmlformats.org/officeDocument/2006/relationships/hyperlink" Target="https://telegram.me/af_patientbot" TargetMode="External" /><Relationship Id="rId83" Type="http://schemas.openxmlformats.org/officeDocument/2006/relationships/hyperlink" Target="http://vk.com/id388891844" TargetMode="External" /><Relationship Id="rId596" Type="http://schemas.openxmlformats.org/officeDocument/2006/relationships/hyperlink" Target="https://sprosivracha.com/authors/&#1042;&#1083;&#1072;&#1076;&#1080;&#1089;&#1083;&#1072;&#1074;%20&#1050;&#1072;&#1079;&#1072;&#1082;&#1086;&#1074;" TargetMode="External" /><Relationship Id="rId583" Type="http://schemas.openxmlformats.org/officeDocument/2006/relationships/hyperlink" Target="http://vk.com/wall-135703188_1361784?reply=1362155" TargetMode="External" /><Relationship Id="rId400" Type="http://schemas.openxmlformats.org/officeDocument/2006/relationships/hyperlink" Target="https://telegram.me/ap_patient/109987" TargetMode="External" /><Relationship Id="rId99" Type="http://schemas.openxmlformats.org/officeDocument/2006/relationships/hyperlink" Target="http://ok.ru/profile/910116631862" TargetMode="External" /><Relationship Id="rId496" Type="http://schemas.openxmlformats.org/officeDocument/2006/relationships/hyperlink" Target="https://sprosivracha.com/questions/4317017-giperplaziya-endometriyanorkoluttrombofiliyakleksan" TargetMode="External" /><Relationship Id="rId71" Type="http://schemas.openxmlformats.org/officeDocument/2006/relationships/hyperlink" Target="https://mom.life/user/5c6d48f80bdf004ed10e6684" TargetMode="External" /><Relationship Id="rId135" Type="http://schemas.openxmlformats.org/officeDocument/2006/relationships/hyperlink" Target="https://www.woman.ru/forum/all/health/woman-health/thread-varikoz-chto-prinimaete-id6426253" TargetMode="External" /><Relationship Id="rId197" Type="http://schemas.openxmlformats.org/officeDocument/2006/relationships/hyperlink" Target="http://vk.com/id1111260863" TargetMode="External" /><Relationship Id="rId399" Type="http://schemas.openxmlformats.org/officeDocument/2006/relationships/hyperlink" Target="https://telegram.me/actual_phlebology_ru" TargetMode="External" /><Relationship Id="rId306" Type="http://schemas.openxmlformats.org/officeDocument/2006/relationships/hyperlink" Target="https://dzen.ru/id/5db82d1d4e057700b0d04411" TargetMode="External" /><Relationship Id="rId393" Type="http://schemas.openxmlformats.org/officeDocument/2006/relationships/hyperlink" Target="https://dzen.ru/id/66f3e42b025ba177c356b855" TargetMode="External" /><Relationship Id="rId568" Type="http://schemas.openxmlformats.org/officeDocument/2006/relationships/hyperlink" Target="http://vk.com/wall-135703188_1361784?reply=1362217" TargetMode="External" /><Relationship Id="rId603" Type="http://schemas.openxmlformats.org/officeDocument/2006/relationships/hyperlink" Target="https://instagram.com/iri.levchuk" TargetMode="External" /><Relationship Id="rId269" Type="http://schemas.openxmlformats.org/officeDocument/2006/relationships/hyperlink" Target="https://threads.com/@itreva741" TargetMode="External" /><Relationship Id="rId490" Type="http://schemas.openxmlformats.org/officeDocument/2006/relationships/hyperlink" Target="http://vk.com/wall-155019350_72744?reply=72747" TargetMode="External" /><Relationship Id="rId109" Type="http://schemas.openxmlformats.org/officeDocument/2006/relationships/hyperlink" Target="https://rutube.ru/video/beb37f6e2550e9db4eab02f34413fdec/#1779762931674921354" TargetMode="External" /><Relationship Id="rId70" Type="http://schemas.openxmlformats.org/officeDocument/2006/relationships/hyperlink" Target="https://mom.life/post/6a15bbf2766114bef2060ad9" TargetMode="External" /><Relationship Id="rId439" Type="http://schemas.openxmlformats.org/officeDocument/2006/relationships/hyperlink" Target="https://dzen.ru/a/afveb1U4_3gzMYYi?comment-request=1#comment_3291783372" TargetMode="External" /><Relationship Id="rId403" Type="http://schemas.openxmlformats.org/officeDocument/2006/relationships/hyperlink" Target="https://www.babyblog.ru/user/zinnatullinainzilya/9840?go_comment_id=71402" TargetMode="External" /><Relationship Id="rId183" Type="http://schemas.openxmlformats.org/officeDocument/2006/relationships/hyperlink" Target="https://www.medcentre24.ru/medikamenty/vessel-due-f.html" TargetMode="External" /><Relationship Id="rId396" Type="http://schemas.openxmlformats.org/officeDocument/2006/relationships/hyperlink" Target="http://vk.com/club227216729" TargetMode="External" /><Relationship Id="rId595" Type="http://schemas.openxmlformats.org/officeDocument/2006/relationships/hyperlink" Target="https://sprosivracha.com/questions/4308352-prolezhni-na-pyatke#a27527325" TargetMode="External" /><Relationship Id="rId193" Type="http://schemas.openxmlformats.org/officeDocument/2006/relationships/hyperlink" Target="http://vk.com/wall-226299499_1040" TargetMode="External" /><Relationship Id="rId412" Type="http://schemas.openxmlformats.org/officeDocument/2006/relationships/hyperlink" Target="http://ok.ru/group/52161146519625/topic/158340056001353" TargetMode="External" /><Relationship Id="rId305" Type="http://schemas.openxmlformats.org/officeDocument/2006/relationships/hyperlink" Target="https://dzen.ru/user/rfl58ladvq_ppa-kwlgrzold4no" TargetMode="External" /><Relationship Id="rId301" Type="http://schemas.openxmlformats.org/officeDocument/2006/relationships/hyperlink" Target="http://vk.com/wall-138737375_1547123?reply=1547208" TargetMode="External" /><Relationship Id="rId303" Type="http://schemas.openxmlformats.org/officeDocument/2006/relationships/hyperlink" Target="http://vk.com/club138737375" TargetMode="External" /><Relationship Id="rId27" Type="http://schemas.openxmlformats.org/officeDocument/2006/relationships/hyperlink" Target="https://telegram.me/ap_patient" TargetMode="External" /><Relationship Id="rId224" Type="http://schemas.openxmlformats.org/officeDocument/2006/relationships/hyperlink" Target="https://otzovik.com/profile/&#1040;&#1085;&#1086;&#1085;&#1080;&#1084;7215859" TargetMode="External" /><Relationship Id="rId255" Type="http://schemas.openxmlformats.org/officeDocument/2006/relationships/hyperlink" Target="http://vk.com/club201625372" TargetMode="External" /><Relationship Id="rId237" Type="http://schemas.openxmlformats.org/officeDocument/2006/relationships/hyperlink" Target="https://www.vashe-mnenie.com/reviews.php?name=vessel-due-f" TargetMode="External" /><Relationship Id="rId187" Type="http://schemas.openxmlformats.org/officeDocument/2006/relationships/hyperlink" Target="https://telegram.me/alopecia_info/744197" TargetMode="External" /><Relationship Id="rId601" Type="http://schemas.openxmlformats.org/officeDocument/2006/relationships/hyperlink" Target="https://www.instagram.com/p/DXy_plDsML5/c/17875272075603580" TargetMode="External" /><Relationship Id="rId504" Type="http://schemas.openxmlformats.org/officeDocument/2006/relationships/hyperlink" Target="http://vk.com/club146414683" TargetMode="External" /><Relationship Id="rId178" Type="http://schemas.openxmlformats.org/officeDocument/2006/relationships/hyperlink" Target="https://otzovik.com/review_18367077.html" TargetMode="External" /><Relationship Id="rId522" Type="http://schemas.openxmlformats.org/officeDocument/2006/relationships/hyperlink" Target="https://otzyv.pro/category/lekarstvennyie-sredstva/821439-tromboliks-pro.html" TargetMode="External" /><Relationship Id="rId434" Type="http://schemas.openxmlformats.org/officeDocument/2006/relationships/hyperlink" Target="http://vk.com/id1072092712" TargetMode="External" /><Relationship Id="rId80" Type="http://schemas.openxmlformats.org/officeDocument/2006/relationships/hyperlink" Target="https://telegram.me/af_patientbot" TargetMode="External" /><Relationship Id="rId334" Type="http://schemas.openxmlformats.org/officeDocument/2006/relationships/hyperlink" Target="https://dzen.ru/a/aft_QRadCT2fhAjU?comment-request=1#comment_3295912281" TargetMode="External" /><Relationship Id="rId58" Type="http://schemas.openxmlformats.org/officeDocument/2006/relationships/hyperlink" Target="http://vk.com/wall-37094416_1422966?reply=1423138" TargetMode="External" /><Relationship Id="rId128" Type="http://schemas.openxmlformats.org/officeDocument/2006/relationships/hyperlink" Target="https://www.otzyvru.com/authors/&#1044;&#1080;&#1072;&#1085;&#1072;" TargetMode="External" /><Relationship Id="rId579" Type="http://schemas.openxmlformats.org/officeDocument/2006/relationships/hyperlink" Target="https://sprosivracha.com/questions/4310948-terapiya-pri-beremennosti" TargetMode="External" /><Relationship Id="rId30" Type="http://schemas.openxmlformats.org/officeDocument/2006/relationships/hyperlink" Target="https://www.ozon.ru/context/detail/id/754249148" TargetMode="External" /><Relationship Id="rId503" Type="http://schemas.openxmlformats.org/officeDocument/2006/relationships/hyperlink" Target="http://vk.com/id734929608" TargetMode="External" /><Relationship Id="rId84" Type="http://schemas.openxmlformats.org/officeDocument/2006/relationships/hyperlink" Target="http://vk.com/club211243521" TargetMode="External" /><Relationship Id="rId377" Type="http://schemas.openxmlformats.org/officeDocument/2006/relationships/hyperlink" Target="https://dzen.ru/user/_bhpegrneaisss9rhcv19fecxto" TargetMode="External" /><Relationship Id="rId261" Type="http://schemas.openxmlformats.org/officeDocument/2006/relationships/hyperlink" Target="https://dzen.ru/id/5ebadf94d86ce72cb4b1e6de" TargetMode="External" /><Relationship Id="rId168" Type="http://schemas.openxmlformats.org/officeDocument/2006/relationships/hyperlink" Target="http://vk.com/club153326278" TargetMode="External" /><Relationship Id="rId395" Type="http://schemas.openxmlformats.org/officeDocument/2006/relationships/hyperlink" Target="http://vk.com/club227216729" TargetMode="External" /><Relationship Id="rId291" Type="http://schemas.openxmlformats.org/officeDocument/2006/relationships/hyperlink" Target="http://vk.com/club219212745" TargetMode="External" /><Relationship Id="rId371" Type="http://schemas.openxmlformats.org/officeDocument/2006/relationships/hyperlink" Target="https://dzen.ru/user/a2z_dp-q6s0e0c-xb3tho5wsmqg" TargetMode="External" /><Relationship Id="rId35" Type="http://schemas.openxmlformats.org/officeDocument/2006/relationships/hyperlink" Target="http://www.youtube.com/channel/UCmXcQ3wSf1szPGmssQOop8Q" TargetMode="External" /><Relationship Id="rId346" Type="http://schemas.openxmlformats.org/officeDocument/2006/relationships/hyperlink" Target="https://dzen.ru/a/agEJNS4Qk27DAgGR?comment-request=1#comment_3303063204" TargetMode="External" /><Relationship Id="rId534" Type="http://schemas.openxmlformats.org/officeDocument/2006/relationships/hyperlink" Target="http://vk.com/club143027530" TargetMode="External" /><Relationship Id="rId98" Type="http://schemas.openxmlformats.org/officeDocument/2006/relationships/hyperlink" Target="http://ok.ru/profile/910116631862" TargetMode="External" /><Relationship Id="rId460" Type="http://schemas.openxmlformats.org/officeDocument/2006/relationships/hyperlink" Target="http://vk.com/wall-155019350_72738?reply=72765" TargetMode="External" /><Relationship Id="rId247" Type="http://schemas.openxmlformats.org/officeDocument/2006/relationships/hyperlink" Target="https://www.babyblog.ru/user/nastyaeta/74704" TargetMode="External" /><Relationship Id="rId331" Type="http://schemas.openxmlformats.org/officeDocument/2006/relationships/hyperlink" Target="http://vk.com/wall-177688766_487001?reply=487022" TargetMode="External" /><Relationship Id="rId51" Type="http://schemas.openxmlformats.org/officeDocument/2006/relationships/hyperlink" Target="http://vk.com/club38982223" TargetMode="External" /><Relationship Id="rId54" Type="http://schemas.openxmlformats.org/officeDocument/2006/relationships/hyperlink" Target="http://vk.com/club131931112" TargetMode="External" /><Relationship Id="rId180" Type="http://schemas.openxmlformats.org/officeDocument/2006/relationships/hyperlink" Target="https://otzovik.com/reviews/tabletki_alfa_wassermann_vessel_due_f_250_le" TargetMode="External" /><Relationship Id="rId500" Type="http://schemas.openxmlformats.org/officeDocument/2006/relationships/hyperlink" Target="http://vk.com/id1082474662" TargetMode="External" /><Relationship Id="rId351" Type="http://schemas.openxmlformats.org/officeDocument/2006/relationships/hyperlink" Target="http://vk.com/club162456827" TargetMode="External" /><Relationship Id="rId538" Type="http://schemas.openxmlformats.org/officeDocument/2006/relationships/hyperlink" Target="http://vk.com/wall-163661411_465377?reply=465510" TargetMode="External" /><Relationship Id="rId363" Type="http://schemas.openxmlformats.org/officeDocument/2006/relationships/hyperlink" Target="http://vk.com/club155019350" TargetMode="External" /><Relationship Id="rId278" Type="http://schemas.openxmlformats.org/officeDocument/2006/relationships/hyperlink" Target="https://irecommend.ru/users/igorruinova" TargetMode="External" /><Relationship Id="rId45" Type="http://schemas.openxmlformats.org/officeDocument/2006/relationships/hyperlink" Target="https://otzovik.com/reviews/ampuli_vessel_due_f" TargetMode="External" /><Relationship Id="rId561" Type="http://schemas.openxmlformats.org/officeDocument/2006/relationships/hyperlink" Target="http://vk.com/club60212615" TargetMode="External" /><Relationship Id="rId592" Type="http://schemas.openxmlformats.org/officeDocument/2006/relationships/hyperlink" Target="https://telegram.me/tamzdes/5459" TargetMode="External" /><Relationship Id="rId472" Type="http://schemas.openxmlformats.org/officeDocument/2006/relationships/hyperlink" Target="https://dzen.ru/a/afrjzm1eWjQzPQnC?comment-request=1#comment_3286264181" TargetMode="External" /><Relationship Id="rId184" Type="http://schemas.openxmlformats.org/officeDocument/2006/relationships/hyperlink" Target="https://www.woman.ru/health/woman-health/thread-varikoz-chto-prinimaete-id6426253/#m104044507" TargetMode="External" /><Relationship Id="rId388" Type="http://schemas.openxmlformats.org/officeDocument/2006/relationships/hyperlink" Target="https://telegram.me/ap_patient/109995" TargetMode="External" /><Relationship Id="rId293" Type="http://schemas.openxmlformats.org/officeDocument/2006/relationships/hyperlink" Target="http://vk.com/id744099322" TargetMode="External" /><Relationship Id="rId535" Type="http://schemas.openxmlformats.org/officeDocument/2006/relationships/hyperlink" Target="http://vk.com/wall-193354828_48319?reply=48735" TargetMode="External" /><Relationship Id="rId321" Type="http://schemas.openxmlformats.org/officeDocument/2006/relationships/hyperlink" Target="http://vk.com/club166736387" TargetMode="External" /><Relationship Id="rId276" Type="http://schemas.openxmlformats.org/officeDocument/2006/relationships/hyperlink" Target="https://dzen.ru/id/5eaafa59cf77ee27c9421287" TargetMode="External" /><Relationship Id="rId574" Type="http://schemas.openxmlformats.org/officeDocument/2006/relationships/hyperlink" Target="https://sprosivracha.com/questions/4310948-terapiya-pri-beremennosti#a27547827" TargetMode="External" /><Relationship Id="rId314" Type="http://schemas.openxmlformats.org/officeDocument/2006/relationships/hyperlink" Target="https://dzen.ru/user/10000000619591296" TargetMode="External" /><Relationship Id="rId66" Type="http://schemas.openxmlformats.org/officeDocument/2006/relationships/hyperlink" Target="http://vk.com/club110697272" TargetMode="External" /><Relationship Id="rId457" Type="http://schemas.openxmlformats.org/officeDocument/2006/relationships/hyperlink" Target="https://telegram.me/doctor_alina_chat/21389" TargetMode="External" /><Relationship Id="rId480" Type="http://schemas.openxmlformats.org/officeDocument/2006/relationships/hyperlink" Target="http://vk.com/club132664992" TargetMode="External" /><Relationship Id="rId257" Type="http://schemas.openxmlformats.org/officeDocument/2006/relationships/hyperlink" Target="https://otzovik.com/profile/Nevinardel" TargetMode="External" /><Relationship Id="rId521" Type="http://schemas.openxmlformats.org/officeDocument/2006/relationships/hyperlink" Target="https://otzyv.pro/user/tata225" TargetMode="External" /><Relationship Id="rId116" Type="http://schemas.openxmlformats.org/officeDocument/2006/relationships/hyperlink" Target="http://vk.com/id1083057434" TargetMode="External" /><Relationship Id="rId519" Type="http://schemas.openxmlformats.org/officeDocument/2006/relationships/hyperlink" Target="https://telegram.me/dr_kikina" TargetMode="External" /><Relationship Id="rId343" Type="http://schemas.openxmlformats.org/officeDocument/2006/relationships/hyperlink" Target="http://vk.com/wall-211243521_27672?reply=27743" TargetMode="External" /><Relationship Id="rId268" Type="http://schemas.openxmlformats.org/officeDocument/2006/relationships/hyperlink" Target="https://www.threads.com/@itreva741/post/DYfavYCDNlf" TargetMode="External" /><Relationship Id="rId353" Type="http://schemas.openxmlformats.org/officeDocument/2006/relationships/hyperlink" Target="https://dzen.ru/user/rfl58ladvq_ppa-kwlgrzold4no" TargetMode="External" /><Relationship Id="rId602" Type="http://schemas.openxmlformats.org/officeDocument/2006/relationships/hyperlink" Target="https://instagram.com/zsevastianova" TargetMode="External" /><Relationship Id="rId318" Type="http://schemas.openxmlformats.org/officeDocument/2006/relationships/hyperlink" Target="http://vk.com/club166736387" TargetMode="External" /><Relationship Id="rId544" Type="http://schemas.openxmlformats.org/officeDocument/2006/relationships/hyperlink" Target="http://vk.com/wall-55122354_1523000?reply=1523599" TargetMode="External" /><Relationship Id="rId200" Type="http://schemas.openxmlformats.org/officeDocument/2006/relationships/hyperlink" Target="http://vk.com/id788574328" TargetMode="External" /><Relationship Id="rId392" Type="http://schemas.openxmlformats.org/officeDocument/2006/relationships/hyperlink" Target="https://dzen.ru/user/a2z_dp-q6s0e0c-xb3tho5wsmqg" TargetMode="External" /><Relationship Id="rId179" Type="http://schemas.openxmlformats.org/officeDocument/2006/relationships/hyperlink" Target="https://otzovik.com/profile/olgaradina" TargetMode="External" /><Relationship Id="rId448" Type="http://schemas.openxmlformats.org/officeDocument/2006/relationships/hyperlink" Target="https://otzovik.com/review_18333385.html#107796577" TargetMode="External" /><Relationship Id="rId598" Type="http://schemas.openxmlformats.org/officeDocument/2006/relationships/hyperlink" Target="https://telegram.me/ap_patient/109729" TargetMode="External" /><Relationship Id="rId69" Type="http://schemas.openxmlformats.org/officeDocument/2006/relationships/hyperlink" Target="https://mom.life/user/5c6d48f80bdf004ed10e6684" TargetMode="External" /><Relationship Id="rId323" Type="http://schemas.openxmlformats.org/officeDocument/2006/relationships/hyperlink" Target="https://mom.life/user/5dcac65f375c755c874888aa" TargetMode="External" /><Relationship Id="rId373" Type="http://schemas.openxmlformats.org/officeDocument/2006/relationships/hyperlink" Target="https://telegram.me/aleksatru/441" TargetMode="External" /><Relationship Id="rId348" Type="http://schemas.openxmlformats.org/officeDocument/2006/relationships/hyperlink" Target="https://dzen.ru/id/65f1dc2e477f931a69a2da7e" TargetMode="External" /><Relationship Id="rId215" Type="http://schemas.openxmlformats.org/officeDocument/2006/relationships/hyperlink" Target="https://dzen.ru/user/f31w7dydatlm126z-_f-7ziqxek" TargetMode="External" /><Relationship Id="rId281" Type="http://schemas.openxmlformats.org/officeDocument/2006/relationships/hyperlink" Target="https://telegram.me/drvkuvaev" TargetMode="External" /><Relationship Id="rId553" Type="http://schemas.openxmlformats.org/officeDocument/2006/relationships/hyperlink" Target="https://dzen.ru/a/afYkzUn31mdwB6hm?comment-request=1#comment_3295948573" TargetMode="External" /><Relationship Id="rId8" Type="http://schemas.openxmlformats.org/officeDocument/2006/relationships/hyperlink" Target="https://www.sports.ru/profile/6162031" TargetMode="External" /><Relationship Id="rId217" Type="http://schemas.openxmlformats.org/officeDocument/2006/relationships/hyperlink" Target="http://vk.com/wall-115360655_1251938?reply=1252097" TargetMode="External" /><Relationship Id="rId195" Type="http://schemas.openxmlformats.org/officeDocument/2006/relationships/hyperlink" Target="http://vk.com/club226299499" TargetMode="External" /><Relationship Id="rId97" Type="http://schemas.openxmlformats.org/officeDocument/2006/relationships/hyperlink" Target="https://ok.ru/video/14345272494646" TargetMode="External" /><Relationship Id="rId304" Type="http://schemas.openxmlformats.org/officeDocument/2006/relationships/hyperlink" Target="https://dzen.ru/a/agVZD_36HAtpIHpu?comment-request=1#comment_3311975083" TargetMode="External" /><Relationship Id="rId124" Type="http://schemas.openxmlformats.org/officeDocument/2006/relationships/hyperlink" Target="http://vk.com/wall-185317296_413191?reply=413682" TargetMode="External" /><Relationship Id="rId361" Type="http://schemas.openxmlformats.org/officeDocument/2006/relationships/hyperlink" Target="http://vk.com/wall-155019350_72844?reply=72858" TargetMode="External" /><Relationship Id="rId367" Type="http://schemas.openxmlformats.org/officeDocument/2006/relationships/hyperlink" Target="https://telegram.me/izbamolodilnya/3316" TargetMode="External" /><Relationship Id="rId163" Type="http://schemas.openxmlformats.org/officeDocument/2006/relationships/hyperlink" Target="https://www.threads.com/@kuroskinam/post/DYpV2qyDTUw" TargetMode="External" /><Relationship Id="rId294" Type="http://schemas.openxmlformats.org/officeDocument/2006/relationships/hyperlink" Target="http://vk.com/club131931112" TargetMode="External" /><Relationship Id="rId47" Type="http://schemas.openxmlformats.org/officeDocument/2006/relationships/hyperlink" Target="http://ok.ru/profile/910157872241" TargetMode="External" /><Relationship Id="rId360" Type="http://schemas.openxmlformats.org/officeDocument/2006/relationships/hyperlink" Target="http://vk.com/id530424871" TargetMode="External" /><Relationship Id="rId594" Type="http://schemas.openxmlformats.org/officeDocument/2006/relationships/hyperlink" Target="https://telegram.me/tamzdes" TargetMode="External" /><Relationship Id="rId481" Type="http://schemas.openxmlformats.org/officeDocument/2006/relationships/hyperlink" Target="https://telegram.me/ap_patient/109884" TargetMode="External" /><Relationship Id="rId466" Type="http://schemas.openxmlformats.org/officeDocument/2006/relationships/hyperlink" Target="https://otzovik.com/review_18333385.html" TargetMode="External" /><Relationship Id="rId118" Type="http://schemas.openxmlformats.org/officeDocument/2006/relationships/hyperlink" Target="https://dzen.ru/a/ag5APRCFLmItYCco?comment-request=1#comment_3327763383" TargetMode="External" /><Relationship Id="rId415" Type="http://schemas.openxmlformats.org/officeDocument/2006/relationships/hyperlink" Target="http://vk.com/wall-171736200_5702?reply=5703" TargetMode="External" /><Relationship Id="rId404" Type="http://schemas.openxmlformats.org/officeDocument/2006/relationships/hyperlink" Target="https://www.babyblog.ru/user/msimchik" TargetMode="External" /><Relationship Id="rId212" Type="http://schemas.openxmlformats.org/officeDocument/2006/relationships/hyperlink" Target="http://vk.com/id880432507" TargetMode="External" /><Relationship Id="rId499" Type="http://schemas.openxmlformats.org/officeDocument/2006/relationships/hyperlink" Target="http://vk.com/wall-74631162_1265660?reply=1265848" TargetMode="External" /><Relationship Id="rId420" Type="http://schemas.openxmlformats.org/officeDocument/2006/relationships/hyperlink" Target="http://vk.com/club61570233" TargetMode="External" /><Relationship Id="rId339" Type="http://schemas.openxmlformats.org/officeDocument/2006/relationships/hyperlink" Target="http://vk.com/club115360655" TargetMode="External" /><Relationship Id="rId310" Type="http://schemas.openxmlformats.org/officeDocument/2006/relationships/hyperlink" Target="https://otzovik.com/review_18352378.html" TargetMode="External" /><Relationship Id="rId536" Type="http://schemas.openxmlformats.org/officeDocument/2006/relationships/hyperlink" Target="http://vk.com/id744099322" TargetMode="External" /><Relationship Id="rId225" Type="http://schemas.openxmlformats.org/officeDocument/2006/relationships/hyperlink" Target="https://otzovik.com/reviews/tabletki_alfa_wassermann_vessel_due_f_250_le" TargetMode="External" /><Relationship Id="rId162" Type="http://schemas.openxmlformats.org/officeDocument/2006/relationships/hyperlink" Target="https://dzen.ru/id/69b5bb875330f8608cd9b95d" TargetMode="External" /><Relationship Id="rId241" Type="http://schemas.openxmlformats.org/officeDocument/2006/relationships/hyperlink" Target="http://vk.com/wall-55884956_245503?reply=245505" TargetMode="External" /><Relationship Id="rId599" Type="http://schemas.openxmlformats.org/officeDocument/2006/relationships/hyperlink" Target="https://telegram.me/af_patientbot" TargetMode="External" /><Relationship Id="rId159" Type="http://schemas.openxmlformats.org/officeDocument/2006/relationships/hyperlink" Target="https://mom.life/user/5c6d48f80bdf004ed10e6684" TargetMode="External" /><Relationship Id="rId292" Type="http://schemas.openxmlformats.org/officeDocument/2006/relationships/hyperlink" Target="http://vk.com/wall-131931112_1550465?reply=1550789" TargetMode="External" /><Relationship Id="rId29" Type="http://schemas.openxmlformats.org/officeDocument/2006/relationships/hyperlink" Target="https://www.ozon.ru/context/client_opinion/ClientGuid/00000000-0000-0000-0000-000000000000#&#1045;&#1074;&#1075;&#1077;&#1085;&#1080;&#1081;%20&#1057;." TargetMode="External" /><Relationship Id="rId453" Type="http://schemas.openxmlformats.org/officeDocument/2006/relationships/hyperlink" Target="http://vk.com/club88570414" TargetMode="External" /><Relationship Id="rId262" Type="http://schemas.openxmlformats.org/officeDocument/2006/relationships/hyperlink" Target="http://vk.com/wall-126850514_1340118?reply=1340138" TargetMode="External" /><Relationship Id="rId138" Type="http://schemas.openxmlformats.org/officeDocument/2006/relationships/hyperlink" Target="http://vk.com/club155019350" TargetMode="External" /><Relationship Id="rId22" Type="http://schemas.openxmlformats.org/officeDocument/2006/relationships/hyperlink" Target="http://vk.com/wall-29445319_705170?reply=705191&amp;thread=705185" TargetMode="External" /><Relationship Id="rId313" Type="http://schemas.openxmlformats.org/officeDocument/2006/relationships/hyperlink" Target="https://dzen.ru/a/agM-XlcMLUTZ-DRY?comment-request=1#comment_3311538003" TargetMode="External" /><Relationship Id="rId406" Type="http://schemas.openxmlformats.org/officeDocument/2006/relationships/hyperlink" Target="http://vk.com/wall-47981464_2782925" TargetMode="External" /><Relationship Id="rId307" Type="http://schemas.openxmlformats.org/officeDocument/2006/relationships/hyperlink" Target="http://vk.com/wall-180149085_4495?reply=4496" TargetMode="External" /><Relationship Id="rId115" Type="http://schemas.openxmlformats.org/officeDocument/2006/relationships/hyperlink" Target="http://vk.com/wall-80942402_297593?reply=297604" TargetMode="External" /><Relationship Id="rId410" Type="http://schemas.openxmlformats.org/officeDocument/2006/relationships/hyperlink" Target="http://vk.com/club35402404" TargetMode="External" /><Relationship Id="rId376" Type="http://schemas.openxmlformats.org/officeDocument/2006/relationships/hyperlink" Target="https://dzen.ru/a/af-MJFrEqxFxwH-m?comment-request=1#comment_3291176551" TargetMode="External" /><Relationship Id="rId127" Type="http://schemas.openxmlformats.org/officeDocument/2006/relationships/hyperlink" Target="https://www.otzyvru.com/vessel-due-f/review-2256705#comment2256705" TargetMode="External" /><Relationship Id="rId72" Type="http://schemas.openxmlformats.org/officeDocument/2006/relationships/hyperlink" Target="https://mom.life/user/5c6d48f80bdf004ed10e6684" TargetMode="External" /><Relationship Id="rId431" Type="http://schemas.openxmlformats.org/officeDocument/2006/relationships/hyperlink" Target="https://instagram.com/dabaevm" TargetMode="External" /><Relationship Id="rId506" Type="http://schemas.openxmlformats.org/officeDocument/2006/relationships/hyperlink" Target="https://dzen.ru/user/rfl58ladvq_ppa-kwlgrzold4no" TargetMode="External" /><Relationship Id="rId476" Type="http://schemas.openxmlformats.org/officeDocument/2006/relationships/hyperlink" Target="https://medum.ru/authors/&#1053;&#1072;&#1090;&#1072;&#1083;&#1100;&#1103;" TargetMode="External" /><Relationship Id="rId104" Type="http://schemas.openxmlformats.org/officeDocument/2006/relationships/hyperlink" Target="http://ok.ru/profile/910116631862" TargetMode="External" /><Relationship Id="rId570" Type="http://schemas.openxmlformats.org/officeDocument/2006/relationships/hyperlink" Target="http://vk.com/club135703188" TargetMode="External" /><Relationship Id="rId17" Type="http://schemas.openxmlformats.org/officeDocument/2006/relationships/hyperlink" Target="https://www.tiktok.com/@ripsime_pro_food" TargetMode="External" /><Relationship Id="rId299" Type="http://schemas.openxmlformats.org/officeDocument/2006/relationships/hyperlink" Target="http://vk.com/id383835053" TargetMode="External" /><Relationship Id="rId145" Type="http://schemas.openxmlformats.org/officeDocument/2006/relationships/hyperlink" Target="http://vk.com/wall569170044_3616" TargetMode="External" /><Relationship Id="rId211" Type="http://schemas.openxmlformats.org/officeDocument/2006/relationships/hyperlink" Target="http://vk.com/wall-55884956_245503?reply=245534&amp;thread=245505" TargetMode="External" /><Relationship Id="rId322" Type="http://schemas.openxmlformats.org/officeDocument/2006/relationships/hyperlink" Target="https://mom.life/post/6a05ad3d6c5e2767f30bd6a2#6a05b370b70e3336060da543#6a05c373f77c45979b08ce1c" TargetMode="External" /><Relationship Id="rId206" Type="http://schemas.openxmlformats.org/officeDocument/2006/relationships/hyperlink" Target="https://threads.com/@sssevorobeva" TargetMode="External" /><Relationship Id="rId551" Type="http://schemas.openxmlformats.org/officeDocument/2006/relationships/hyperlink" Target="http://vk.com/id1110218210" TargetMode="External" /><Relationship Id="rId440" Type="http://schemas.openxmlformats.org/officeDocument/2006/relationships/hyperlink" Target="https://dzen.ru/user/vf8tak0kxzfoslbsoumaseybksg" TargetMode="External" /><Relationship Id="rId560" Type="http://schemas.openxmlformats.org/officeDocument/2006/relationships/hyperlink" Target="http://vk.com/id1110218210" TargetMode="External" /><Relationship Id="rId137" Type="http://schemas.openxmlformats.org/officeDocument/2006/relationships/hyperlink" Target="http://vk.com/id275256519" TargetMode="External" /><Relationship Id="rId230" Type="http://schemas.openxmlformats.org/officeDocument/2006/relationships/hyperlink" Target="http://vk.com/id1114259735" TargetMode="External" /><Relationship Id="rId218" Type="http://schemas.openxmlformats.org/officeDocument/2006/relationships/hyperlink" Target="http://vk.com/id851767110" TargetMode="External" /><Relationship Id="rId38" Type="http://schemas.openxmlformats.org/officeDocument/2006/relationships/hyperlink" Target="http://vk.com/id1102001942" TargetMode="External" /><Relationship Id="rId166" Type="http://schemas.openxmlformats.org/officeDocument/2006/relationships/hyperlink" Target="http://vk.com/wall-153326278_568730?reply=568820" TargetMode="External" /><Relationship Id="rId238" Type="http://schemas.openxmlformats.org/officeDocument/2006/relationships/hyperlink" Target="http://vk.com/wall-102968436_1625772?reply=1625788" TargetMode="External" /><Relationship Id="rId510" Type="http://schemas.openxmlformats.org/officeDocument/2006/relationships/hyperlink" Target="http://vk.com/club66100600" TargetMode="External" /><Relationship Id="rId266" Type="http://schemas.openxmlformats.org/officeDocument/2006/relationships/hyperlink" Target="http://vk.com/id466341803" TargetMode="External" /><Relationship Id="rId489" Type="http://schemas.openxmlformats.org/officeDocument/2006/relationships/hyperlink" Target="https://sprosivracha.com/questions/4317017-giperplaziya-endometriyanorkoluttrombofiliyakleksan" TargetMode="External" /><Relationship Id="rId60" Type="http://schemas.openxmlformats.org/officeDocument/2006/relationships/hyperlink" Target="http://vk.com/club37094416" TargetMode="External" /><Relationship Id="rId446" Type="http://schemas.openxmlformats.org/officeDocument/2006/relationships/hyperlink" Target="http://vk.com/id1110220150" TargetMode="External" /><Relationship Id="rId11" Type="http://schemas.openxmlformats.org/officeDocument/2006/relationships/hyperlink" Target="https://mom.life/user/69eba7f785a7f42e770f5d4d" TargetMode="External" /><Relationship Id="rId417" Type="http://schemas.openxmlformats.org/officeDocument/2006/relationships/hyperlink" Target="http://vk.com/club171736200" TargetMode="External" /><Relationship Id="rId475" Type="http://schemas.openxmlformats.org/officeDocument/2006/relationships/hyperlink" Target="https://medum.ru/r23520#23520" TargetMode="External" /><Relationship Id="rId105" Type="http://schemas.openxmlformats.org/officeDocument/2006/relationships/hyperlink" Target="http://ok.ru/profile/910116631862" TargetMode="External" /><Relationship Id="rId449" Type="http://schemas.openxmlformats.org/officeDocument/2006/relationships/hyperlink" Target="https://otzovik.com/profile/&#1050;&#1088;&#1080;&#1089;&#1090;&#1080;&#1085;&#1072;+&#1055;&#1086;&#1076;&#1072;&#1085;&#1077;&#1074;" TargetMode="External" /><Relationship Id="rId199" Type="http://schemas.openxmlformats.org/officeDocument/2006/relationships/hyperlink" Target="http://vk.com/wall-210934520_168549?reply=170454&amp;thread=168566" TargetMode="External" /><Relationship Id="rId31" Type="http://schemas.openxmlformats.org/officeDocument/2006/relationships/hyperlink" Target="https://www.ozon.ru/product/754249148/reviews?ruuid=019e738f-6d1d-78a6-8307-994b94425c0c" TargetMode="External" /><Relationship Id="rId416" Type="http://schemas.openxmlformats.org/officeDocument/2006/relationships/hyperlink" Target="http://vk.com/id383835053" TargetMode="External" /><Relationship Id="rId146" Type="http://schemas.openxmlformats.org/officeDocument/2006/relationships/hyperlink" Target="http://vk.com/id569170044" TargetMode="External" /><Relationship Id="rId149" Type="http://schemas.openxmlformats.org/officeDocument/2006/relationships/hyperlink" Target="https://telegram.me/5148404132" TargetMode="External" /><Relationship Id="rId142" Type="http://schemas.openxmlformats.org/officeDocument/2006/relationships/hyperlink" Target="https://telegram.me/alopecia_info/744786" TargetMode="External" /><Relationship Id="rId356" Type="http://schemas.openxmlformats.org/officeDocument/2006/relationships/hyperlink" Target="https://dzen.ru/user/j8uxeszc3lrg5deshbbkefkjkxc" TargetMode="External" /><Relationship Id="rId315" Type="http://schemas.openxmlformats.org/officeDocument/2006/relationships/hyperlink" Target="https://dzen.ru/id/5fc4f61b0c08f433f3ac864e" TargetMode="External" /><Relationship Id="rId53" Type="http://schemas.openxmlformats.org/officeDocument/2006/relationships/hyperlink" Target="http://vk.com/id568725896" TargetMode="External" /><Relationship Id="rId172" Type="http://schemas.openxmlformats.org/officeDocument/2006/relationships/hyperlink" Target="https://dzen.ru/a/ad199P2J91RovP8v?comment-request=1#comment_3322524583" TargetMode="External" /><Relationship Id="rId518" Type="http://schemas.openxmlformats.org/officeDocument/2006/relationships/hyperlink" Target="https://telegram.me/dr_kikina" TargetMode="External" /><Relationship Id="rId20" Type="http://schemas.openxmlformats.org/officeDocument/2006/relationships/hyperlink" Target="https://forum.baby.ru/u/usr958074" TargetMode="External" /><Relationship Id="rId5" Type="http://schemas.openxmlformats.org/officeDocument/2006/relationships/hyperlink" Target="https://telegram.me/af_patientbot" TargetMode="External" /><Relationship Id="rId372" Type="http://schemas.openxmlformats.org/officeDocument/2006/relationships/hyperlink" Target="https://dzen.ru/id/66f3e42b025ba177c356b855" TargetMode="External" /></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2.xml" /></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3.xml" /></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4.xml" /></Relationships>
</file>

<file path=xl/worksheets/_rels/sheet11.xml.rels><?xml version="1.0" encoding="UTF-8" standalone="yes"?><Relationships xmlns="http://schemas.openxmlformats.org/package/2006/relationships"><Relationship Id="rId1" Type="http://schemas.openxmlformats.org/officeDocument/2006/relationships/drawing" Target="../drawings/drawing5.xml" /></Relationships>
</file>

<file path=xl/worksheets/_rels/sheet12.xml.rels><?xml version="1.0" encoding="UTF-8" standalone="yes"?><Relationships xmlns="http://schemas.openxmlformats.org/package/2006/relationships"><Relationship Id="rId1" Type="http://schemas.openxmlformats.org/officeDocument/2006/relationships/drawing" Target="../drawings/drawing6.xml" /></Relationships>
</file>

<file path=xl/worksheets/_rels/sheet13.xml.rels><?xml version="1.0" encoding="UTF-8" standalone="yes"?><Relationships xmlns="http://schemas.openxmlformats.org/package/2006/relationships"><Relationship Id="rId6" Type="http://schemas.openxmlformats.org/officeDocument/2006/relationships/hyperlink" Target="http://ok.ru" TargetMode="External" /><Relationship Id="rId8" Type="http://schemas.openxmlformats.org/officeDocument/2006/relationships/hyperlink" Target="http://telegram.org" TargetMode="External" /><Relationship Id="rId9" Type="http://schemas.openxmlformats.org/officeDocument/2006/relationships/hyperlink" Target="http://ozon.ru" TargetMode="External" /><Relationship Id="rId5" Type="http://schemas.openxmlformats.org/officeDocument/2006/relationships/hyperlink" Target="http://mom.life" TargetMode="External" /><Relationship Id="rId3" Type="http://schemas.openxmlformats.org/officeDocument/2006/relationships/hyperlink" Target="http://telegram.org" TargetMode="External" /><Relationship Id="rId22" Type="http://schemas.openxmlformats.org/officeDocument/2006/relationships/hyperlink" Target="http://irecommend.ru" TargetMode="External" /><Relationship Id="rId1" Type="http://schemas.openxmlformats.org/officeDocument/2006/relationships/hyperlink" Target="http://vk.com" TargetMode="External" /><Relationship Id="rId15" Type="http://schemas.openxmlformats.org/officeDocument/2006/relationships/hyperlink" Target="http://otzyv.pro" TargetMode="External" /><Relationship Id="rId17" Type="http://schemas.openxmlformats.org/officeDocument/2006/relationships/hyperlink" Target="http://otzyvru.com" TargetMode="External" /><Relationship Id="rId4" Type="http://schemas.openxmlformats.org/officeDocument/2006/relationships/hyperlink" Target="http://sprosivracha.com" TargetMode="External" /><Relationship Id="rId19" Type="http://schemas.openxmlformats.org/officeDocument/2006/relationships/hyperlink" Target="http://tiktok.com" TargetMode="External" /><Relationship Id="rId21" Type="http://schemas.openxmlformats.org/officeDocument/2006/relationships/hyperlink" Target="http://sports.ru" TargetMode="External" /><Relationship Id="rId20" Type="http://schemas.openxmlformats.org/officeDocument/2006/relationships/hyperlink" Target="http://forum.baby.ru" TargetMode="External" /><Relationship Id="rId7" Type="http://schemas.openxmlformats.org/officeDocument/2006/relationships/hyperlink" Target="http://otzovik.com" TargetMode="External" /><Relationship Id="rId2" Type="http://schemas.openxmlformats.org/officeDocument/2006/relationships/hyperlink" Target="http://dzen.ru" TargetMode="External" /><Relationship Id="rId10" Type="http://schemas.openxmlformats.org/officeDocument/2006/relationships/hyperlink" Target="http://threads.com" TargetMode="External" /><Relationship Id="rId12" Type="http://schemas.openxmlformats.org/officeDocument/2006/relationships/hyperlink" Target="http://instagram.com" TargetMode="External" /><Relationship Id="rId18" Type="http://schemas.openxmlformats.org/officeDocument/2006/relationships/hyperlink" Target="http://rutube.ru" TargetMode="External" /><Relationship Id="rId13" Type="http://schemas.openxmlformats.org/officeDocument/2006/relationships/hyperlink" Target="http://babyblog.ru" TargetMode="External" /><Relationship Id="rId25" Type="http://schemas.openxmlformats.org/officeDocument/2006/relationships/hyperlink" Target="http://medum.ru" TargetMode="External" /><Relationship Id="rId11" Type="http://schemas.openxmlformats.org/officeDocument/2006/relationships/hyperlink" Target="http://youtube.com" TargetMode="External" /><Relationship Id="rId24" Type="http://schemas.openxmlformats.org/officeDocument/2006/relationships/hyperlink" Target="http://medcentre24.ru" TargetMode="External" /><Relationship Id="rId14" Type="http://schemas.openxmlformats.org/officeDocument/2006/relationships/hyperlink" Target="http://woman.ru" TargetMode="External" /><Relationship Id="rId16" Type="http://schemas.openxmlformats.org/officeDocument/2006/relationships/hyperlink" Target="http://vashe-mnenie.com" TargetMode="External" /><Relationship Id="rId26" Type="http://schemas.openxmlformats.org/officeDocument/2006/relationships/drawing" Target="../drawings/drawing7.xml" /><Relationship Id="rId23" Type="http://schemas.openxmlformats.org/officeDocument/2006/relationships/hyperlink" Target="http://market.yandex.ru" TargetMode="External" /></Relationships>
</file>

<file path=xl/worksheets/_rels/sheet15.xml.rels><?xml version="1.0" encoding="UTF-8" standalone="yes"?><Relationships xmlns="http://schemas.openxmlformats.org/package/2006/relationships"><Relationship Id="rId137" Type="http://schemas.openxmlformats.org/officeDocument/2006/relationships/drawing" Target="../drawings/drawing8.xml" /><Relationship Id="rId75" Type="http://schemas.openxmlformats.org/officeDocument/2006/relationships/hyperlink" Target="http://vk.com/club153846848" TargetMode="External" /><Relationship Id="rId107" Type="http://schemas.openxmlformats.org/officeDocument/2006/relationships/hyperlink" Target="https://dzen.ru/id/60c090e7ef324247ee9673bb" TargetMode="External" /><Relationship Id="rId38" Type="http://schemas.openxmlformats.org/officeDocument/2006/relationships/hyperlink" Target="https://www.woman.ru/forum/all/health/woman-health/thread-varikoz-chto-prinimaete-id6426253" TargetMode="External" /><Relationship Id="rId68" Type="http://schemas.openxmlformats.org/officeDocument/2006/relationships/hyperlink" Target="http://vk.com/club132664992" TargetMode="External" /><Relationship Id="rId42" Type="http://schemas.openxmlformats.org/officeDocument/2006/relationships/hyperlink" Target="http://vk.com/club55122354" TargetMode="External" /><Relationship Id="rId81" Type="http://schemas.openxmlformats.org/officeDocument/2006/relationships/hyperlink" Target="http://vk.com/club164931876" TargetMode="External" /><Relationship Id="rId131" Type="http://schemas.openxmlformats.org/officeDocument/2006/relationships/hyperlink" Target="https://threads.com/@sssevorobeva" TargetMode="External" /><Relationship Id="rId39" Type="http://schemas.openxmlformats.org/officeDocument/2006/relationships/hyperlink" Target="http://vk.com/club29487103" TargetMode="External" /><Relationship Id="rId96" Type="http://schemas.openxmlformats.org/officeDocument/2006/relationships/hyperlink" Target="https://dzen.ru/id/5db82d1d4e057700b0d04411" TargetMode="External" /><Relationship Id="rId18" Type="http://schemas.openxmlformats.org/officeDocument/2006/relationships/hyperlink" Target="http://vk.com/club115360655" TargetMode="External" /><Relationship Id="rId132" Type="http://schemas.openxmlformats.org/officeDocument/2006/relationships/hyperlink" Target="http://vk.com/club227216729" TargetMode="External" /><Relationship Id="rId79" Type="http://schemas.openxmlformats.org/officeDocument/2006/relationships/hyperlink" Target="http://vk.com/club162456827" TargetMode="External" /><Relationship Id="rId80" Type="http://schemas.openxmlformats.org/officeDocument/2006/relationships/hyperlink" Target="http://vk.com/club163661733" TargetMode="External" /><Relationship Id="rId74" Type="http://schemas.openxmlformats.org/officeDocument/2006/relationships/hyperlink" Target="http://sports.ru" TargetMode="External" /><Relationship Id="rId25" Type="http://schemas.openxmlformats.org/officeDocument/2006/relationships/hyperlink" Target="http://vk.com/club171736200" TargetMode="External" /><Relationship Id="rId65" Type="http://schemas.openxmlformats.org/officeDocument/2006/relationships/hyperlink" Target="http://vk.com/club127033373" TargetMode="External" /><Relationship Id="rId7" Type="http://schemas.openxmlformats.org/officeDocument/2006/relationships/hyperlink" Target="https://mom.life/user/5c6d48f80bdf004ed10e6684" TargetMode="External" /><Relationship Id="rId67" Type="http://schemas.openxmlformats.org/officeDocument/2006/relationships/hyperlink" Target="https://instagram.com/iri.levchuk" TargetMode="External" /><Relationship Id="rId90" Type="http://schemas.openxmlformats.org/officeDocument/2006/relationships/hyperlink" Target="http://vk.com/club183105257" TargetMode="External" /><Relationship Id="rId103" Type="http://schemas.openxmlformats.org/officeDocument/2006/relationships/hyperlink" Target="https://web.telegram.org/#/im?p=@aleksatru" TargetMode="External" /><Relationship Id="rId113" Type="http://schemas.openxmlformats.org/officeDocument/2006/relationships/hyperlink" Target="http://vk.com/club223318821" TargetMode="External" /><Relationship Id="rId64" Type="http://schemas.openxmlformats.org/officeDocument/2006/relationships/hyperlink" Target="http://vk.com/club121511206" TargetMode="External" /><Relationship Id="rId71" Type="http://schemas.openxmlformats.org/officeDocument/2006/relationships/hyperlink" Target="http://vk.com/club146361880" TargetMode="External" /><Relationship Id="rId87" Type="http://schemas.openxmlformats.org/officeDocument/2006/relationships/hyperlink" Target="http://vk.com/id466341803" TargetMode="External" /><Relationship Id="rId58" Type="http://schemas.openxmlformats.org/officeDocument/2006/relationships/hyperlink" Target="http://ok.ru/group/52161146519625" TargetMode="External" /><Relationship Id="rId70" Type="http://schemas.openxmlformats.org/officeDocument/2006/relationships/hyperlink" Target="http://vk.com/club143027530" TargetMode="External" /><Relationship Id="rId47" Type="http://schemas.openxmlformats.org/officeDocument/2006/relationships/hyperlink" Target="http://vk.com/club61570233" TargetMode="External" /><Relationship Id="rId116" Type="http://schemas.openxmlformats.org/officeDocument/2006/relationships/hyperlink" Target="https://mom.life/user/66b2e6108d119b05b376d241" TargetMode="External" /><Relationship Id="rId84" Type="http://schemas.openxmlformats.org/officeDocument/2006/relationships/hyperlink" Target="https://dzen.ru/id/5994437877d0e668483ba5cb" TargetMode="External" /><Relationship Id="rId34" Type="http://schemas.openxmlformats.org/officeDocument/2006/relationships/hyperlink" Target="https://dzen.ru/id/65f1dc2e477f931a69a2da7e" TargetMode="External" /><Relationship Id="rId59" Type="http://schemas.openxmlformats.org/officeDocument/2006/relationships/hyperlink" Target="http://vk.com/club113506584" TargetMode="External" /><Relationship Id="rId37" Type="http://schemas.openxmlformats.org/officeDocument/2006/relationships/hyperlink" Target="https://sprosivracha.com/questions/4317017-giperplaziya-endometriyanorkoluttrombofiliyakleksan" TargetMode="External" /><Relationship Id="rId88" Type="http://schemas.openxmlformats.org/officeDocument/2006/relationships/hyperlink" Target="https://irecommend.ru/content/antikoagulyant-alfa-wassermann-spa-vessel-due-f-kaps-250-le-50" TargetMode="External" /><Relationship Id="rId36" Type="http://schemas.openxmlformats.org/officeDocument/2006/relationships/hyperlink" Target="https://www.otzyvru.com/vessel-due-f" TargetMode="External" /><Relationship Id="rId77" Type="http://schemas.openxmlformats.org/officeDocument/2006/relationships/hyperlink" Target="http://vk.com/club157831435" TargetMode="External" /><Relationship Id="rId124" Type="http://schemas.openxmlformats.org/officeDocument/2006/relationships/hyperlink" Target="https://mom.life/channel/56f8222d8439832c128b4567" TargetMode="External" /><Relationship Id="rId16" Type="http://schemas.openxmlformats.org/officeDocument/2006/relationships/hyperlink" Target="http://vk.com/club80942402" TargetMode="External" /><Relationship Id="rId95" Type="http://schemas.openxmlformats.org/officeDocument/2006/relationships/hyperlink" Target="https://dzen.ru/id/5ebadf94d86ce72cb4b1e6de" TargetMode="External" /><Relationship Id="rId30" Type="http://schemas.openxmlformats.org/officeDocument/2006/relationships/hyperlink" Target="https://dzen.ru/id/5eaafa59cf77ee27c9421287" TargetMode="External" /><Relationship Id="rId92" Type="http://schemas.openxmlformats.org/officeDocument/2006/relationships/hyperlink" Target="http://vk.com/id530424871" TargetMode="External" /><Relationship Id="rId126" Type="http://schemas.openxmlformats.org/officeDocument/2006/relationships/hyperlink" Target="https://web.telegram.org/#/im?p=@dnevnikdoctorachat" TargetMode="External" /><Relationship Id="rId22" Type="http://schemas.openxmlformats.org/officeDocument/2006/relationships/hyperlink" Target="http://vk.com/club135703188" TargetMode="External" /><Relationship Id="rId111" Type="http://schemas.openxmlformats.org/officeDocument/2006/relationships/hyperlink" Target="https://web.telegram.org/#/im?p=@immortaldrops" TargetMode="External" /><Relationship Id="rId93" Type="http://schemas.openxmlformats.org/officeDocument/2006/relationships/hyperlink" Target="http://vk.com/club193354828" TargetMode="External" /><Relationship Id="rId4" Type="http://schemas.openxmlformats.org/officeDocument/2006/relationships/hyperlink" Target="http://vk.com/club211243521" TargetMode="External" /><Relationship Id="rId112" Type="http://schemas.openxmlformats.org/officeDocument/2006/relationships/hyperlink" Target="https://web.telegram.org/#/im?p=@dr_kikina" TargetMode="External" /><Relationship Id="rId46" Type="http://schemas.openxmlformats.org/officeDocument/2006/relationships/hyperlink" Target="http://vk.com/club35402404" TargetMode="External" /><Relationship Id="rId125" Type="http://schemas.openxmlformats.org/officeDocument/2006/relationships/hyperlink" Target="https://otzyv.pro/category/lekarstvennyie-sredstva/756151-vessel-due-f-cena.html" TargetMode="External" /><Relationship Id="rId83" Type="http://schemas.openxmlformats.org/officeDocument/2006/relationships/hyperlink" Target="http://vk.com/club163661411" TargetMode="External" /><Relationship Id="rId15" Type="http://schemas.openxmlformats.org/officeDocument/2006/relationships/hyperlink" Target="http://vk.com/club60212615" TargetMode="External" /><Relationship Id="rId98" Type="http://schemas.openxmlformats.org/officeDocument/2006/relationships/hyperlink" Target="http://ok.ru/group/59240543158337" TargetMode="External" /><Relationship Id="rId106" Type="http://schemas.openxmlformats.org/officeDocument/2006/relationships/hyperlink" Target="https://dzen.ru/id/5c41f31debbae500ac645050" TargetMode="External" /><Relationship Id="rId43" Type="http://schemas.openxmlformats.org/officeDocument/2006/relationships/hyperlink" Target="http://vk.com/club29445319" TargetMode="External" /><Relationship Id="rId20" Type="http://schemas.openxmlformats.org/officeDocument/2006/relationships/hyperlink" Target="http://vk.com/club121964063" TargetMode="External" /><Relationship Id="rId3" Type="http://schemas.openxmlformats.org/officeDocument/2006/relationships/hyperlink" Target="http://vk.com/club155019350" TargetMode="External" /><Relationship Id="rId49" Type="http://schemas.openxmlformats.org/officeDocument/2006/relationships/hyperlink" Target="http://vk.com/club86403806" TargetMode="External" /><Relationship Id="rId52" Type="http://schemas.openxmlformats.org/officeDocument/2006/relationships/hyperlink" Target="http://www.youtube.com/channel/UCmXcQ3wSf1szPGmssQOop8Q" TargetMode="External" /><Relationship Id="rId27" Type="http://schemas.openxmlformats.org/officeDocument/2006/relationships/hyperlink" Target="http://vk.com/club185317296" TargetMode="External" /><Relationship Id="rId104" Type="http://schemas.openxmlformats.org/officeDocument/2006/relationships/hyperlink" Target="http://vk.com/club213047982" TargetMode="External" /><Relationship Id="rId91" Type="http://schemas.openxmlformats.org/officeDocument/2006/relationships/hyperlink" Target="http://vk.com/id569170044" TargetMode="External" /><Relationship Id="rId12" Type="http://schemas.openxmlformats.org/officeDocument/2006/relationships/hyperlink" Target="https://dzen.ru/id/69b5bb875330f8608cd9b95d" TargetMode="External" /><Relationship Id="rId134" Type="http://schemas.openxmlformats.org/officeDocument/2006/relationships/hyperlink" Target="https://www.babyblog.ru/user/zinnatullinainzilya" TargetMode="External" /><Relationship Id="rId94" Type="http://schemas.openxmlformats.org/officeDocument/2006/relationships/hyperlink" Target="https://web.telegram.org/#/im?p=@tamzdes" TargetMode="External" /><Relationship Id="rId119" Type="http://schemas.openxmlformats.org/officeDocument/2006/relationships/hyperlink" Target="https://otzovik.com/reviews/ampuli_vessel_due_f" TargetMode="External" /><Relationship Id="rId130" Type="http://schemas.openxmlformats.org/officeDocument/2006/relationships/hyperlink" Target="https://forum.baby.ru/u/usr598918" TargetMode="External" /><Relationship Id="rId32" Type="http://schemas.openxmlformats.org/officeDocument/2006/relationships/hyperlink" Target="http://vk.com/club210934520" TargetMode="External" /><Relationship Id="rId117" Type="http://schemas.openxmlformats.org/officeDocument/2006/relationships/hyperlink" Target="https://dzen.ru/id/60324e29084cc34524539a3a" TargetMode="External" /><Relationship Id="rId2" Type="http://schemas.openxmlformats.org/officeDocument/2006/relationships/hyperlink" Target="https://www.ozon.ru/context/detail/id/754249148" TargetMode="External" /><Relationship Id="rId99" Type="http://schemas.openxmlformats.org/officeDocument/2006/relationships/hyperlink" Target="https://www.tiktok.com/@ripsime_pro_food" TargetMode="External" /><Relationship Id="rId29" Type="http://schemas.openxmlformats.org/officeDocument/2006/relationships/hyperlink" Target="https://dzen.ru/id/5ea3fd8b22b6bd32eecb63f5" TargetMode="External" /><Relationship Id="rId35" Type="http://schemas.openxmlformats.org/officeDocument/2006/relationships/hyperlink" Target="https://web.telegram.org/#/im?p=@doctor_alina_chat" TargetMode="External" /><Relationship Id="rId24" Type="http://schemas.openxmlformats.org/officeDocument/2006/relationships/hyperlink" Target="http://vk.com/club166736387" TargetMode="External" /><Relationship Id="rId114" Type="http://schemas.openxmlformats.org/officeDocument/2006/relationships/hyperlink" Target="http://vk.com/club226299499" TargetMode="External" /><Relationship Id="rId89" Type="http://schemas.openxmlformats.org/officeDocument/2006/relationships/hyperlink" Target="http://vk.com/club180149085" TargetMode="External" /><Relationship Id="rId118" Type="http://schemas.openxmlformats.org/officeDocument/2006/relationships/hyperlink" Target="https://web.telegram.org/#/im?p=@1268734773" TargetMode="External" /><Relationship Id="rId21" Type="http://schemas.openxmlformats.org/officeDocument/2006/relationships/hyperlink" Target="http://vk.com/club131931112" TargetMode="External" /><Relationship Id="rId5" Type="http://schemas.openxmlformats.org/officeDocument/2006/relationships/hyperlink" Target="http://ok.ru/profile/910116631862" TargetMode="External" /><Relationship Id="rId10" Type="http://schemas.openxmlformats.org/officeDocument/2006/relationships/hyperlink" Target="https://otzovik.com/reviews/tromboliks_pro" TargetMode="External" /><Relationship Id="rId101" Type="http://schemas.openxmlformats.org/officeDocument/2006/relationships/hyperlink" Target="https://web.telegram.org/#/im?p=@izbamolodilnya" TargetMode="External" /><Relationship Id="rId73" Type="http://schemas.openxmlformats.org/officeDocument/2006/relationships/hyperlink" Target="http://vk.com/club149047382" TargetMode="External" /><Relationship Id="rId109" Type="http://schemas.openxmlformats.org/officeDocument/2006/relationships/hyperlink" Target="https://www.babyblog.ru/user/nastyaeta" TargetMode="External" /><Relationship Id="rId97" Type="http://schemas.openxmlformats.org/officeDocument/2006/relationships/hyperlink" Target="http://vk.com/club201625372" TargetMode="External" /><Relationship Id="rId55" Type="http://schemas.openxmlformats.org/officeDocument/2006/relationships/hyperlink" Target="http://vk.com/club110697272" TargetMode="External" /><Relationship Id="rId86" Type="http://schemas.openxmlformats.org/officeDocument/2006/relationships/hyperlink" Target="http://vk.com/club170066150" TargetMode="External" /><Relationship Id="rId123" Type="http://schemas.openxmlformats.org/officeDocument/2006/relationships/hyperlink" Target="https://dzen.ru/id/62c842a6dfc4571c72d12933" TargetMode="External" /><Relationship Id="rId23" Type="http://schemas.openxmlformats.org/officeDocument/2006/relationships/hyperlink" Target="http://vk.com/club158881136" TargetMode="External" /><Relationship Id="rId115" Type="http://schemas.openxmlformats.org/officeDocument/2006/relationships/hyperlink" Target="https://instagram.com/aizana.stambulova" TargetMode="External" /><Relationship Id="rId33" Type="http://schemas.openxmlformats.org/officeDocument/2006/relationships/hyperlink" Target="https://dzen.ru/id/65f3067dd5f4eb779713e531" TargetMode="External" /><Relationship Id="rId61" Type="http://schemas.openxmlformats.org/officeDocument/2006/relationships/hyperlink" Target="http://vk.com/club102968436" TargetMode="External" /><Relationship Id="rId54" Type="http://schemas.openxmlformats.org/officeDocument/2006/relationships/hyperlink" Target="http://vk.com/club110697191" TargetMode="External" /><Relationship Id="rId48" Type="http://schemas.openxmlformats.org/officeDocument/2006/relationships/hyperlink" Target="http://vk.com/club38982223" TargetMode="External" /><Relationship Id="rId57" Type="http://schemas.openxmlformats.org/officeDocument/2006/relationships/hyperlink" Target="http://ok.ru/group/52171764269129" TargetMode="External" /><Relationship Id="rId31" Type="http://schemas.openxmlformats.org/officeDocument/2006/relationships/hyperlink" Target="https://www.vashe-mnenie.com/reviews.php?name=vessel-due-f" TargetMode="External" /><Relationship Id="rId78" Type="http://schemas.openxmlformats.org/officeDocument/2006/relationships/hyperlink" Target="http://vk.com/club159559335" TargetMode="External" /><Relationship Id="rId11" Type="http://schemas.openxmlformats.org/officeDocument/2006/relationships/hyperlink" Target="https://mom.life/channel/5d4811d6ebdb000de72653af" TargetMode="External" /><Relationship Id="rId40" Type="http://schemas.openxmlformats.org/officeDocument/2006/relationships/hyperlink" Target="http://vk.com/club12670685" TargetMode="External" /><Relationship Id="rId45" Type="http://schemas.openxmlformats.org/officeDocument/2006/relationships/hyperlink" Target="http://vk.com/club85415124" TargetMode="External" /><Relationship Id="rId51" Type="http://schemas.openxmlformats.org/officeDocument/2006/relationships/hyperlink" Target="http://vk.com/club48183890" TargetMode="External" /><Relationship Id="rId8" Type="http://schemas.openxmlformats.org/officeDocument/2006/relationships/hyperlink" Target="https://dzen.ru/id/66f3e42b025ba177c356b855" TargetMode="External" /><Relationship Id="rId72" Type="http://schemas.openxmlformats.org/officeDocument/2006/relationships/hyperlink" Target="http://vk.com/club146414683" TargetMode="External" /><Relationship Id="rId102" Type="http://schemas.openxmlformats.org/officeDocument/2006/relationships/hyperlink" Target="https://web.telegram.org/#/im?p=@drvkuvaev" TargetMode="External" /><Relationship Id="rId17" Type="http://schemas.openxmlformats.org/officeDocument/2006/relationships/hyperlink" Target="http://vk.com/club114905525" TargetMode="External" /><Relationship Id="rId66" Type="http://schemas.openxmlformats.org/officeDocument/2006/relationships/hyperlink" Target="http://vk.com/club126850514" TargetMode="External" /><Relationship Id="rId53" Type="http://schemas.openxmlformats.org/officeDocument/2006/relationships/hyperlink" Target="http://vk.com/club74631162" TargetMode="External" /><Relationship Id="rId85" Type="http://schemas.openxmlformats.org/officeDocument/2006/relationships/hyperlink" Target="https://dzen.ru/id/59b7ace157906a468e38e6c5" TargetMode="External" /><Relationship Id="rId60" Type="http://schemas.openxmlformats.org/officeDocument/2006/relationships/hyperlink" Target="http://vk.com/club78602257" TargetMode="External" /><Relationship Id="rId128" Type="http://schemas.openxmlformats.org/officeDocument/2006/relationships/hyperlink" Target="https://threads.com/@znaika121" TargetMode="External" /><Relationship Id="rId108" Type="http://schemas.openxmlformats.org/officeDocument/2006/relationships/hyperlink" Target="https://rutube.ru/video/person/24831553" TargetMode="External" /><Relationship Id="rId41" Type="http://schemas.openxmlformats.org/officeDocument/2006/relationships/hyperlink" Target="http://vk.com/club47981464" TargetMode="External" /><Relationship Id="rId76" Type="http://schemas.openxmlformats.org/officeDocument/2006/relationships/hyperlink" Target="http://vk.com/club153326278" TargetMode="External" /><Relationship Id="rId122" Type="http://schemas.openxmlformats.org/officeDocument/2006/relationships/hyperlink" Target="https://medum.ru/tromboliks-pro-otzyvy" TargetMode="External" /><Relationship Id="rId26" Type="http://schemas.openxmlformats.org/officeDocument/2006/relationships/hyperlink" Target="http://vk.com/club177688766" TargetMode="External" /><Relationship Id="rId28" Type="http://schemas.openxmlformats.org/officeDocument/2006/relationships/hyperlink" Target="https://web.telegram.org/#/im?p=@alopecia_info" TargetMode="External" /><Relationship Id="rId100" Type="http://schemas.openxmlformats.org/officeDocument/2006/relationships/hyperlink" Target="https://www.medcentre24.ru/medikamenty/vessel-due-f.html" TargetMode="External" /><Relationship Id="rId121" Type="http://schemas.openxmlformats.org/officeDocument/2006/relationships/hyperlink" Target="https://market.yandex.ru/product/1778173803" TargetMode="External" /><Relationship Id="rId44" Type="http://schemas.openxmlformats.org/officeDocument/2006/relationships/hyperlink" Target="http://vk.com/club66100600" TargetMode="External" /><Relationship Id="rId127" Type="http://schemas.openxmlformats.org/officeDocument/2006/relationships/hyperlink" Target="https://otzyv.pro/category/lekarstvennyie-sredstva/821439-tromboliks-pro.html" TargetMode="External" /><Relationship Id="rId50" Type="http://schemas.openxmlformats.org/officeDocument/2006/relationships/hyperlink" Target="http://vk.com/club88570414" TargetMode="External" /><Relationship Id="rId82" Type="http://schemas.openxmlformats.org/officeDocument/2006/relationships/hyperlink" Target="http://www.youtube.com/channel/UCj5sl2ikNJVEgNQKCVQXUoA" TargetMode="External" /><Relationship Id="rId6" Type="http://schemas.openxmlformats.org/officeDocument/2006/relationships/hyperlink" Target="http://vk.com/club55884956" TargetMode="External" /><Relationship Id="rId136" Type="http://schemas.openxmlformats.org/officeDocument/2006/relationships/hyperlink" Target="https://threads.com/@kuroskinam" TargetMode="External" /><Relationship Id="rId63" Type="http://schemas.openxmlformats.org/officeDocument/2006/relationships/hyperlink" Target="http://vk.com/club37094416" TargetMode="External" /><Relationship Id="rId62" Type="http://schemas.openxmlformats.org/officeDocument/2006/relationships/hyperlink" Target="http://vk.com/club123403112" TargetMode="External" /><Relationship Id="rId9" Type="http://schemas.openxmlformats.org/officeDocument/2006/relationships/hyperlink" Target="https://otzovik.com/reviews/tabletki_alfa_wassermann_vessel_due_f_250_le" TargetMode="External" /><Relationship Id="rId56" Type="http://schemas.openxmlformats.org/officeDocument/2006/relationships/hyperlink" Target="http://vk.com/club112011819" TargetMode="External" /><Relationship Id="rId105" Type="http://schemas.openxmlformats.org/officeDocument/2006/relationships/hyperlink" Target="https://dzen.ru/id/5fc4f61b0c08f433f3ac864e" TargetMode="External" /><Relationship Id="rId120" Type="http://schemas.openxmlformats.org/officeDocument/2006/relationships/hyperlink" Target="http://vk.com/club219212745" TargetMode="External" /><Relationship Id="rId14" Type="http://schemas.openxmlformats.org/officeDocument/2006/relationships/hyperlink" Target="https://sprosivracha.com/questions/4324170-gematolog-ubral-vse-vitaminy-pochemu" TargetMode="External" /><Relationship Id="rId19" Type="http://schemas.openxmlformats.org/officeDocument/2006/relationships/hyperlink" Target="http://vk.com/club116010319" TargetMode="External" /><Relationship Id="rId69" Type="http://schemas.openxmlformats.org/officeDocument/2006/relationships/hyperlink" Target="http://vk.com/club138737375" TargetMode="External" /><Relationship Id="rId135" Type="http://schemas.openxmlformats.org/officeDocument/2006/relationships/hyperlink" Target="https://threads.com/@itreva741" TargetMode="External" /><Relationship Id="rId133" Type="http://schemas.openxmlformats.org/officeDocument/2006/relationships/hyperlink" Target="https://sprosivracha.com/questions/4308352-prolezhni-na-pyatke" TargetMode="External" /><Relationship Id="rId110" Type="http://schemas.openxmlformats.org/officeDocument/2006/relationships/hyperlink" Target="https://web.telegram.org/#/im?p=@actual_phlebology_ru" TargetMode="External" /><Relationship Id="rId129" Type="http://schemas.openxmlformats.org/officeDocument/2006/relationships/hyperlink" Target="https://web.telegram.org/#/im?p=@beremennost_pregnancy" TargetMode="External" /><Relationship Id="rId1" Type="http://schemas.openxmlformats.org/officeDocument/2006/relationships/hyperlink" Target="https://web.telegram.org/#/im?p=@ap_patient" TargetMode="External" /><Relationship Id="rId13" Type="http://schemas.openxmlformats.org/officeDocument/2006/relationships/hyperlink" Target="https://sprosivracha.com/questions/4310948-terapiya-pri-beremennosti" TargetMode="External" /></Relationships>
</file>

<file path=xl/worksheets/_rels/sheet16.xml.rels><?xml version="1.0" encoding="UTF-8" standalone="yes"?><Relationships xmlns="http://schemas.openxmlformats.org/package/2006/relationships"><Relationship Id="rId137" Type="http://schemas.openxmlformats.org/officeDocument/2006/relationships/drawing" Target="../drawings/drawing9.xml" /><Relationship Id="rId75" Type="http://schemas.openxmlformats.org/officeDocument/2006/relationships/hyperlink" Target="https://web.telegram.org/#/im?p=@aetolena" TargetMode="External" /><Relationship Id="rId107" Type="http://schemas.openxmlformats.org/officeDocument/2006/relationships/hyperlink" Target="https://dzen.ru/user/1aizypi03h3m3iudcxtcesigzgc" TargetMode="External" /><Relationship Id="rId38" Type="http://schemas.openxmlformats.org/officeDocument/2006/relationships/hyperlink" Target="http://vk.com/id267144897" TargetMode="External" /><Relationship Id="rId68" Type="http://schemas.openxmlformats.org/officeDocument/2006/relationships/hyperlink" Target="https://sprosivracha.com/authors/&#1042;&#1077;&#1088;&#1072;" TargetMode="External" /><Relationship Id="rId42" Type="http://schemas.openxmlformats.org/officeDocument/2006/relationships/hyperlink" Target="http://vk.com/id6705830" TargetMode="External" /><Relationship Id="rId81" Type="http://schemas.openxmlformats.org/officeDocument/2006/relationships/hyperlink" Target="https://forum.baby.ru/u/usr958074" TargetMode="External" /><Relationship Id="rId131" Type="http://schemas.openxmlformats.org/officeDocument/2006/relationships/hyperlink" Target="http://vk.com/id1116260947" TargetMode="External" /><Relationship Id="rId39" Type="http://schemas.openxmlformats.org/officeDocument/2006/relationships/hyperlink" Target="http://vk.com/id51000347" TargetMode="External" /><Relationship Id="rId96" Type="http://schemas.openxmlformats.org/officeDocument/2006/relationships/hyperlink" Target="https://dzen.ru/user/j8uxeszc3lrg5deshbbkefkjkxc" TargetMode="External" /><Relationship Id="rId18" Type="http://schemas.openxmlformats.org/officeDocument/2006/relationships/hyperlink" Target="https://web.telegram.org/#/im?p=@danielabialik" TargetMode="External" /><Relationship Id="rId132" Type="http://schemas.openxmlformats.org/officeDocument/2006/relationships/hyperlink" Target="http://vk.com/id1116386313" TargetMode="External" /><Relationship Id="rId79" Type="http://schemas.openxmlformats.org/officeDocument/2006/relationships/hyperlink" Target="https://mom.life/user/5a096a0e17699c031b653d75" TargetMode="External" /><Relationship Id="rId80" Type="http://schemas.openxmlformats.org/officeDocument/2006/relationships/hyperlink" Target="https://mom.life/user/643a23244bf7ec52aa5d6427" TargetMode="External" /><Relationship Id="rId74" Type="http://schemas.openxmlformats.org/officeDocument/2006/relationships/hyperlink" Target="https://web.telegram.org/#/im?p=@dr_kikina" TargetMode="External" /><Relationship Id="rId25" Type="http://schemas.openxmlformats.org/officeDocument/2006/relationships/hyperlink" Target="http://vk.com/id788574328" TargetMode="External" /><Relationship Id="rId65" Type="http://schemas.openxmlformats.org/officeDocument/2006/relationships/hyperlink" Target="http://vk.com/id721803152" TargetMode="External" /><Relationship Id="rId7" Type="http://schemas.openxmlformats.org/officeDocument/2006/relationships/hyperlink" Target="http://vk.com/id1110218210" TargetMode="External" /><Relationship Id="rId67" Type="http://schemas.openxmlformats.org/officeDocument/2006/relationships/hyperlink" Target="https://sprosivracha.com/authors/&#1053;&#1072;&#1090;&#1072;&#1083;&#1100;&#1103;" TargetMode="External" /><Relationship Id="rId90" Type="http://schemas.openxmlformats.org/officeDocument/2006/relationships/hyperlink" Target="https://otzovik.com/profile/Nevinardel" TargetMode="External" /><Relationship Id="rId103" Type="http://schemas.openxmlformats.org/officeDocument/2006/relationships/hyperlink" Target="http://vk.com/id1102001942" TargetMode="External" /><Relationship Id="rId113" Type="http://schemas.openxmlformats.org/officeDocument/2006/relationships/hyperlink" Target="http://vk.com/id1109330634" TargetMode="External" /><Relationship Id="rId64" Type="http://schemas.openxmlformats.org/officeDocument/2006/relationships/hyperlink" Target="https://web.telegram.org/#/im?p=@5148404132" TargetMode="External" /><Relationship Id="rId71" Type="http://schemas.openxmlformats.org/officeDocument/2006/relationships/hyperlink" Target="https://web.telegram.org/#/im?p=@mvelikaya" TargetMode="External" /><Relationship Id="rId87" Type="http://schemas.openxmlformats.org/officeDocument/2006/relationships/hyperlink" Target="https://mom.life/user/63dc744a8a79a255a34c142d" TargetMode="External" /><Relationship Id="rId58" Type="http://schemas.openxmlformats.org/officeDocument/2006/relationships/hyperlink" Target="https://www.otzyvru.com/authors/&#1044;&#1080;&#1072;&#1085;&#1072;" TargetMode="External" /><Relationship Id="rId70" Type="http://schemas.openxmlformats.org/officeDocument/2006/relationships/hyperlink" Target="https://dzen.ru/id/63b464865ba1321f078fbed7" TargetMode="External" /><Relationship Id="rId47" Type="http://schemas.openxmlformats.org/officeDocument/2006/relationships/hyperlink" Target="http://vk.com/id569170044" TargetMode="External" /><Relationship Id="rId116" Type="http://schemas.openxmlformats.org/officeDocument/2006/relationships/hyperlink" Target="https://dzen.ru/user/dhia3dpnnk5n9emsdaq_rz7jbmm" TargetMode="External" /><Relationship Id="rId84" Type="http://schemas.openxmlformats.org/officeDocument/2006/relationships/hyperlink" Target="http://vk.com/club226299499" TargetMode="External" /><Relationship Id="rId34" Type="http://schemas.openxmlformats.org/officeDocument/2006/relationships/hyperlink" Target="http://ok.ru/group/52171764269129" TargetMode="External" /><Relationship Id="rId59" Type="http://schemas.openxmlformats.org/officeDocument/2006/relationships/hyperlink" Target="https://www.otzyvru.com/authors/&#1057;&#1085;&#1077;&#1078;&#1072;&#1085;&#1072;" TargetMode="External" /><Relationship Id="rId37" Type="http://schemas.openxmlformats.org/officeDocument/2006/relationships/hyperlink" Target="http://vk.com/club116010319" TargetMode="External" /><Relationship Id="rId88" Type="http://schemas.openxmlformats.org/officeDocument/2006/relationships/hyperlink" Target="https://dzen.ru/user/10000000619591296" TargetMode="External" /><Relationship Id="rId36" Type="http://schemas.openxmlformats.org/officeDocument/2006/relationships/hyperlink" Target="http://ok.ru/group/52161146519625" TargetMode="External" /><Relationship Id="rId77" Type="http://schemas.openxmlformats.org/officeDocument/2006/relationships/hyperlink" Target="https://mom.life/user/5dcac65f375c755c874888aa" TargetMode="External" /><Relationship Id="rId124" Type="http://schemas.openxmlformats.org/officeDocument/2006/relationships/hyperlink" Target="https://otzovik.com/profile/&#1040;&#1085;&#1086;&#1085;&#1080;&#1084;7215859" TargetMode="External" /><Relationship Id="rId16" Type="http://schemas.openxmlformats.org/officeDocument/2006/relationships/hyperlink" Target="http://vk.com/id275256519" TargetMode="External" /><Relationship Id="rId95" Type="http://schemas.openxmlformats.org/officeDocument/2006/relationships/hyperlink" Target="https://www.ozon.ru/context/client_opinion/ClientGuid/00000000-0000-0000-0000-000000000000#&#1051;&#1077;&#1086;&#1085;&#1080;&#1076;%20&#1047;." TargetMode="External" /><Relationship Id="rId30" Type="http://schemas.openxmlformats.org/officeDocument/2006/relationships/hyperlink" Target="http://vk.com/id78727646" TargetMode="External" /><Relationship Id="rId92" Type="http://schemas.openxmlformats.org/officeDocument/2006/relationships/hyperlink" Target="https://www.ozon.ru/context/client_opinion/ClientGuid/00000000-0000-0000-0000-000000000000#&#1040;&#1085;&#1076;&#1088;&#1077;&#1081;%20&#1050;." TargetMode="External" /><Relationship Id="rId126" Type="http://schemas.openxmlformats.org/officeDocument/2006/relationships/hyperlink" Target="https://dzen.ru/user/1541034028" TargetMode="External" /><Relationship Id="rId22" Type="http://schemas.openxmlformats.org/officeDocument/2006/relationships/hyperlink" Target="http://vk.com/id855401331" TargetMode="External" /><Relationship Id="rId111" Type="http://schemas.openxmlformats.org/officeDocument/2006/relationships/hyperlink" Target="https://dzen.ru/user/cigvvu3wczjxhpejt_7e7truozm" TargetMode="External" /><Relationship Id="rId93" Type="http://schemas.openxmlformats.org/officeDocument/2006/relationships/hyperlink" Target="https://www.ozon.ru/context/client_opinion/ClientGuid/00000000-0000-0000-0000-000000000000#&#1045;&#1074;&#1075;&#1077;&#1085;&#1080;&#1081;%20&#1057;." TargetMode="External" /><Relationship Id="rId4" Type="http://schemas.openxmlformats.org/officeDocument/2006/relationships/hyperlink" Target="https://dzen.ru/user/rfl58ladvq_ppa-kwlgrzold4no" TargetMode="External" /><Relationship Id="rId112" Type="http://schemas.openxmlformats.org/officeDocument/2006/relationships/hyperlink" Target="https://otzovik.com/profile/&#1050;&#1088;&#1080;&#1089;&#1090;&#1080;&#1085;&#1072;+&#1055;&#1086;&#1076;&#1072;&#1085;&#1077;&#1074;" TargetMode="External" /><Relationship Id="rId46" Type="http://schemas.openxmlformats.org/officeDocument/2006/relationships/hyperlink" Target="http://vk.com/id530200276" TargetMode="External" /><Relationship Id="rId125" Type="http://schemas.openxmlformats.org/officeDocument/2006/relationships/hyperlink" Target="https://dzen.ru/user/uyzdk9mawshux5qs5vnmxxyuo2m" TargetMode="External" /><Relationship Id="rId83" Type="http://schemas.openxmlformats.org/officeDocument/2006/relationships/hyperlink" Target="https://web.telegram.org/#/im?p=@doctor_alina_chat" TargetMode="External" /><Relationship Id="rId15" Type="http://schemas.openxmlformats.org/officeDocument/2006/relationships/hyperlink" Target="http://vk.com/id1114259735" TargetMode="External" /><Relationship Id="rId98" Type="http://schemas.openxmlformats.org/officeDocument/2006/relationships/hyperlink" Target="https://threads.com/@znaika121" TargetMode="External" /><Relationship Id="rId106" Type="http://schemas.openxmlformats.org/officeDocument/2006/relationships/hyperlink" Target="http://vk.com/id1104573797" TargetMode="External" /><Relationship Id="rId43" Type="http://schemas.openxmlformats.org/officeDocument/2006/relationships/hyperlink" Target="http://www.youtube.com/channel/UCj5sl2ikNJVEgNQKCVQXUoA" TargetMode="External" /><Relationship Id="rId20" Type="http://schemas.openxmlformats.org/officeDocument/2006/relationships/hyperlink" Target="https://sprosivracha.com/authors/&#1047;&#1086;&#1103;" TargetMode="External" /><Relationship Id="rId3" Type="http://schemas.openxmlformats.org/officeDocument/2006/relationships/hyperlink" Target="http://vk.com/id1083057434" TargetMode="External" /><Relationship Id="rId49" Type="http://schemas.openxmlformats.org/officeDocument/2006/relationships/hyperlink" Target="https://web.telegram.org/#/im?p=@tamzdes" TargetMode="External" /><Relationship Id="rId52" Type="http://schemas.openxmlformats.org/officeDocument/2006/relationships/hyperlink" Target="https://www.sports.ru/profile/6162031" TargetMode="External" /><Relationship Id="rId27" Type="http://schemas.openxmlformats.org/officeDocument/2006/relationships/hyperlink" Target="https://dzen.ru/user/a2z_dp-q6s0e0c-xb3tho5wsmqg" TargetMode="External" /><Relationship Id="rId104" Type="http://schemas.openxmlformats.org/officeDocument/2006/relationships/hyperlink" Target="https://threads.com/@sssevorobeva" TargetMode="External" /><Relationship Id="rId91" Type="http://schemas.openxmlformats.org/officeDocument/2006/relationships/hyperlink" Target="https://www.ozon.ru/context/client_opinion/ClientGuid/00000000-0000-0000-0000-000000000000#&#1055;&#1086;&#1083;&#1100;&#1079;&#1086;&#1074;&#1072;&#1090;&#1077;&#1083;&#1100;%20&#1087;&#1088;&#1077;&#1076;&#1087;&#1086;&#1095;&#1105;&#1083;%20&#1089;&#1082;&#1088;&#1099;&#1090;&#1100;%20&#1089;&#1074;&#1086;&#1080;%20&#1076;&#1072;&#1085;&#1085;&#1099;&#1077;" TargetMode="External" /><Relationship Id="rId12" Type="http://schemas.openxmlformats.org/officeDocument/2006/relationships/hyperlink" Target="http://vk.com/id1082474662" TargetMode="External" /><Relationship Id="rId134" Type="http://schemas.openxmlformats.org/officeDocument/2006/relationships/hyperlink" Target="https://otzyv.pro/user/bastarda" TargetMode="External" /><Relationship Id="rId94" Type="http://schemas.openxmlformats.org/officeDocument/2006/relationships/hyperlink" Target="https://www.ozon.ru/context/client_opinion/ClientGuid/00000000-0000-0000-0000-000000000000#&#1053;&#1072;&#1090;&#1072;&#1083;&#1080;&#1103;%20&#1055;." TargetMode="External" /><Relationship Id="rId119" Type="http://schemas.openxmlformats.org/officeDocument/2006/relationships/hyperlink" Target="https://market.yandex.ru/user/c10jjgx2b7etrdb4qfva3zpq7m" TargetMode="External" /><Relationship Id="rId130" Type="http://schemas.openxmlformats.org/officeDocument/2006/relationships/hyperlink" Target="https://dzen.ru/user/2370083782" TargetMode="External" /><Relationship Id="rId32" Type="http://schemas.openxmlformats.org/officeDocument/2006/relationships/hyperlink" Target="http://vk.com/club61570233" TargetMode="External" /><Relationship Id="rId117" Type="http://schemas.openxmlformats.org/officeDocument/2006/relationships/hyperlink" Target="https://otzovik.com/profile/olgaradina" TargetMode="External" /><Relationship Id="rId2" Type="http://schemas.openxmlformats.org/officeDocument/2006/relationships/hyperlink" Target="http://vk.com/id1072092712" TargetMode="External" /><Relationship Id="rId99" Type="http://schemas.openxmlformats.org/officeDocument/2006/relationships/hyperlink" Target="https://sprosivracha.com/authors/&#1042;&#1083;&#1072;&#1076;&#1080;&#1089;&#1083;&#1072;&#1074;%20&#1050;&#1072;&#1079;&#1072;&#1082;&#1086;&#1074;" TargetMode="External" /><Relationship Id="rId29" Type="http://schemas.openxmlformats.org/officeDocument/2006/relationships/hyperlink" Target="http://vk.com/id141197373" TargetMode="External" /><Relationship Id="rId35" Type="http://schemas.openxmlformats.org/officeDocument/2006/relationships/hyperlink" Target="http://vk.com/id69795047" TargetMode="External" /><Relationship Id="rId24" Type="http://schemas.openxmlformats.org/officeDocument/2006/relationships/hyperlink" Target="http://vk.com/id880724074" TargetMode="External" /><Relationship Id="rId114" Type="http://schemas.openxmlformats.org/officeDocument/2006/relationships/hyperlink" Target="https://mom.life/user/69eba7f785a7f42e770f5d4d" TargetMode="External" /><Relationship Id="rId89" Type="http://schemas.openxmlformats.org/officeDocument/2006/relationships/hyperlink" Target="https://web.telegram.org/#/im?p=@egort125" TargetMode="External" /><Relationship Id="rId118" Type="http://schemas.openxmlformats.org/officeDocument/2006/relationships/hyperlink" Target="https://otzyv.pro/user/tata225" TargetMode="External" /><Relationship Id="rId21" Type="http://schemas.openxmlformats.org/officeDocument/2006/relationships/hyperlink" Target="http://vk.com/id851767110" TargetMode="External" /><Relationship Id="rId5" Type="http://schemas.openxmlformats.org/officeDocument/2006/relationships/hyperlink" Target="http://ok.ru/profile/910116631862" TargetMode="External" /><Relationship Id="rId10" Type="http://schemas.openxmlformats.org/officeDocument/2006/relationships/hyperlink" Target="http://vk.com/id612772983" TargetMode="External" /><Relationship Id="rId101" Type="http://schemas.openxmlformats.org/officeDocument/2006/relationships/hyperlink" Target="http://vk.com/id1089131922" TargetMode="External" /><Relationship Id="rId73" Type="http://schemas.openxmlformats.org/officeDocument/2006/relationships/hyperlink" Target="http://vk.com/id813766710" TargetMode="External" /><Relationship Id="rId109" Type="http://schemas.openxmlformats.org/officeDocument/2006/relationships/hyperlink" Target="http://vk.com/club227216729" TargetMode="External" /><Relationship Id="rId97" Type="http://schemas.openxmlformats.org/officeDocument/2006/relationships/hyperlink" Target="https://dzen.ru/user/_bhpegrneaisss9rhcv19fecxto" TargetMode="External" /><Relationship Id="rId55" Type="http://schemas.openxmlformats.org/officeDocument/2006/relationships/hyperlink" Target="https://www.vashe-mnenie.com/authors/&#1044;&#1080;&#1072;&#1085;&#1072;" TargetMode="External" /><Relationship Id="rId86" Type="http://schemas.openxmlformats.org/officeDocument/2006/relationships/hyperlink" Target="http://vk.com/id880432507" TargetMode="External" /><Relationship Id="rId123" Type="http://schemas.openxmlformats.org/officeDocument/2006/relationships/hyperlink" Target="https://threads.com/@itreva741" TargetMode="External" /><Relationship Id="rId23" Type="http://schemas.openxmlformats.org/officeDocument/2006/relationships/hyperlink" Target="https://mom.life/user/5c6d48f80bdf004ed10e6684" TargetMode="External" /><Relationship Id="rId115" Type="http://schemas.openxmlformats.org/officeDocument/2006/relationships/hyperlink" Target="https://dzen.ru/user/2360994008" TargetMode="External" /><Relationship Id="rId33" Type="http://schemas.openxmlformats.org/officeDocument/2006/relationships/hyperlink" Target="http://www.youtube.com/channel/UCmXcQ3wSf1szPGmssQOop8Q" TargetMode="External" /><Relationship Id="rId61" Type="http://schemas.openxmlformats.org/officeDocument/2006/relationships/hyperlink" Target="https://web.telegram.org/#/im?p=@drvkuvaev" TargetMode="External" /><Relationship Id="rId54" Type="http://schemas.openxmlformats.org/officeDocument/2006/relationships/hyperlink" Target="https://medum.ru/authors/&#1053;&#1072;&#1090;&#1072;&#1083;&#1100;&#1103;" TargetMode="External" /><Relationship Id="rId48" Type="http://schemas.openxmlformats.org/officeDocument/2006/relationships/hyperlink" Target="http://vk.com/id530424871" TargetMode="External" /><Relationship Id="rId57" Type="http://schemas.openxmlformats.org/officeDocument/2006/relationships/hyperlink" Target="http://vk.com/id673867691" TargetMode="External" /><Relationship Id="rId31" Type="http://schemas.openxmlformats.org/officeDocument/2006/relationships/hyperlink" Target="http://vk.com/club35402404" TargetMode="External" /><Relationship Id="rId78" Type="http://schemas.openxmlformats.org/officeDocument/2006/relationships/hyperlink" Target="https://www.babyblog.ru/user/msimchik" TargetMode="External" /><Relationship Id="rId11" Type="http://schemas.openxmlformats.org/officeDocument/2006/relationships/hyperlink" Target="http://vk.com/id744099322" TargetMode="External" /><Relationship Id="rId40" Type="http://schemas.openxmlformats.org/officeDocument/2006/relationships/hyperlink" Target="https://instagram.com/zsevastianova" TargetMode="External" /><Relationship Id="rId45" Type="http://schemas.openxmlformats.org/officeDocument/2006/relationships/hyperlink" Target="http://vk.com/id516390091" TargetMode="External" /><Relationship Id="rId51" Type="http://schemas.openxmlformats.org/officeDocument/2006/relationships/hyperlink" Target="http://vk.com/id628724076" TargetMode="External" /><Relationship Id="rId8" Type="http://schemas.openxmlformats.org/officeDocument/2006/relationships/hyperlink" Target="http://vk.com/id1110219570" TargetMode="External" /><Relationship Id="rId72" Type="http://schemas.openxmlformats.org/officeDocument/2006/relationships/hyperlink" Target="https://web.telegram.org/#/im?p=@actual_phlebology_ru" TargetMode="External" /><Relationship Id="rId102" Type="http://schemas.openxmlformats.org/officeDocument/2006/relationships/hyperlink" Target="http://ok.ru/profile/910157872241" TargetMode="External" /><Relationship Id="rId17" Type="http://schemas.openxmlformats.org/officeDocument/2006/relationships/hyperlink" Target="http://vk.com/id383835053" TargetMode="External" /><Relationship Id="rId66" Type="http://schemas.openxmlformats.org/officeDocument/2006/relationships/hyperlink" Target="http://vk.com/id734929608" TargetMode="External" /><Relationship Id="rId53" Type="http://schemas.openxmlformats.org/officeDocument/2006/relationships/hyperlink" Target="https://www.tiktok.com/@ripsime_pro_food" TargetMode="External" /><Relationship Id="rId85" Type="http://schemas.openxmlformats.org/officeDocument/2006/relationships/hyperlink" Target="http://vk.com/id870911079" TargetMode="External" /><Relationship Id="rId60" Type="http://schemas.openxmlformats.org/officeDocument/2006/relationships/hyperlink" Target="https://web.telegram.org/#/im?p=@izbamolodilnya" TargetMode="External" /><Relationship Id="rId128" Type="http://schemas.openxmlformats.org/officeDocument/2006/relationships/hyperlink" Target="https://www.woman.ru/authors/&#1043;&#1086;&#1089;&#1090;&#1100;%20%5B3028007619%5D" TargetMode="External" /><Relationship Id="rId108" Type="http://schemas.openxmlformats.org/officeDocument/2006/relationships/hyperlink" Target="https://dzen.ru/id/69b5bb875330f8608cd9b95d" TargetMode="External" /><Relationship Id="rId41" Type="http://schemas.openxmlformats.org/officeDocument/2006/relationships/hyperlink" Target="http://vk.com/id388891844" TargetMode="External" /><Relationship Id="rId76" Type="http://schemas.openxmlformats.org/officeDocument/2006/relationships/hyperlink" Target="https://instagram.com/dabaevm" TargetMode="External" /><Relationship Id="rId122" Type="http://schemas.openxmlformats.org/officeDocument/2006/relationships/hyperlink" Target="https://irecommend.ru/users/igorruinova" TargetMode="External" /><Relationship Id="rId26" Type="http://schemas.openxmlformats.org/officeDocument/2006/relationships/hyperlink" Target="http://vk.com/id1108851059" TargetMode="External" /><Relationship Id="rId28" Type="http://schemas.openxmlformats.org/officeDocument/2006/relationships/hyperlink" Target="https://dzen.ru/user/vf8tak0kxzfoslbsoumaseybksg" TargetMode="External" /><Relationship Id="rId100" Type="http://schemas.openxmlformats.org/officeDocument/2006/relationships/hyperlink" Target="https://mom.life/user/6938570a5f655a40e20c04ad" TargetMode="External" /><Relationship Id="rId121" Type="http://schemas.openxmlformats.org/officeDocument/2006/relationships/hyperlink" Target="https://otzovik.com/profile/marylozov88" TargetMode="External" /><Relationship Id="rId44" Type="http://schemas.openxmlformats.org/officeDocument/2006/relationships/hyperlink" Target="http://vk.com/id466341803" TargetMode="External" /><Relationship Id="rId127" Type="http://schemas.openxmlformats.org/officeDocument/2006/relationships/hyperlink" Target="https://threads.com/@kuroskinam" TargetMode="External" /><Relationship Id="rId50" Type="http://schemas.openxmlformats.org/officeDocument/2006/relationships/hyperlink" Target="https://www.medcentre24.ru/authors/&#1057;&#1074;&#1077;&#1090;&#1083;&#1072;&#1085;&#1072;" TargetMode="External" /><Relationship Id="rId82" Type="http://schemas.openxmlformats.org/officeDocument/2006/relationships/hyperlink" Target="https://otzovik.com/profile/Xavitara" TargetMode="External" /><Relationship Id="rId6" Type="http://schemas.openxmlformats.org/officeDocument/2006/relationships/hyperlink" Target="https://sprosivracha.com/authors/&#1046;&#1091;&#1084;&#1072;&#1089;&#1080;&#1103;%20&#1046;&#1072;&#1085;&#1072;&#1083;&#1080;&#1077;&#1074;&#1072;" TargetMode="External" /><Relationship Id="rId136" Type="http://schemas.openxmlformats.org/officeDocument/2006/relationships/hyperlink" Target="https://rutube.ru/video/person/25742999" TargetMode="External" /><Relationship Id="rId63" Type="http://schemas.openxmlformats.org/officeDocument/2006/relationships/hyperlink" Target="https://web.telegram.org/#/im?p=@aleksatru" TargetMode="External" /><Relationship Id="rId62" Type="http://schemas.openxmlformats.org/officeDocument/2006/relationships/hyperlink" Target="https://web.telegram.org/#/im?p=@&#1048;&#1088;&#1080;&#1085;&#1072;" TargetMode="External" /><Relationship Id="rId9" Type="http://schemas.openxmlformats.org/officeDocument/2006/relationships/hyperlink" Target="http://vk.com/id1111392168" TargetMode="External" /><Relationship Id="rId56" Type="http://schemas.openxmlformats.org/officeDocument/2006/relationships/hyperlink" Target="https://www.vashe-mnenie.com/authors/&#1057;&#1085;&#1077;&#1078;&#1072;&#1085;&#1072;" TargetMode="External" /><Relationship Id="rId105" Type="http://schemas.openxmlformats.org/officeDocument/2006/relationships/hyperlink" Target="https://otzovik.com/profile/Katarianka" TargetMode="External" /><Relationship Id="rId120" Type="http://schemas.openxmlformats.org/officeDocument/2006/relationships/hyperlink" Target="https://dzen.ru/user/grgfitidzfc2yyoeg_9dzbsltj0" TargetMode="External" /><Relationship Id="rId14" Type="http://schemas.openxmlformats.org/officeDocument/2006/relationships/hyperlink" Target="http://vk.com/id1111260863" TargetMode="External" /><Relationship Id="rId19" Type="http://schemas.openxmlformats.org/officeDocument/2006/relationships/hyperlink" Target="http://vk.com/id568725896" TargetMode="External" /><Relationship Id="rId69" Type="http://schemas.openxmlformats.org/officeDocument/2006/relationships/hyperlink" Target="https://www.babyblog.ru/user/nastyaeta" TargetMode="External" /><Relationship Id="rId135" Type="http://schemas.openxmlformats.org/officeDocument/2006/relationships/hyperlink" Target="http://vk.com/id1114749370" TargetMode="External" /><Relationship Id="rId133" Type="http://schemas.openxmlformats.org/officeDocument/2006/relationships/hyperlink" Target="http://vk.com/id1115976524" TargetMode="External" /><Relationship Id="rId110" Type="http://schemas.openxmlformats.org/officeDocument/2006/relationships/hyperlink" Target="https://dzen.ru/user/f31w7dydatlm126z-_f-7ziqxek" TargetMode="External" /><Relationship Id="rId129" Type="http://schemas.openxmlformats.org/officeDocument/2006/relationships/hyperlink" Target="https://www.woman.ru/authors/&#1050;&#1083;&#1072;&#1074;&#1072;%20%5B3833012333%5D" TargetMode="External" /><Relationship Id="rId1" Type="http://schemas.openxmlformats.org/officeDocument/2006/relationships/hyperlink" Target="https://web.telegram.org/#/im?p=@af_patientbot" TargetMode="External" /><Relationship Id="rId13" Type="http://schemas.openxmlformats.org/officeDocument/2006/relationships/hyperlink" Target="http://vk.com/id1110220150" TargetMode="External" /></Relationships>
</file>

<file path=xl/worksheets/_rels/sheet17.xml.rels><?xml version="1.0" encoding="UTF-8" standalone="yes"?><Relationships xmlns="http://schemas.openxmlformats.org/package/2006/relationships"><Relationship Id="rId1" Type="http://schemas.openxmlformats.org/officeDocument/2006/relationships/drawing" Target="../drawings/drawing10.xml" /></Relationships>
</file>

<file path=xl/worksheets/_rels/sheet18.xml.rels><?xml version="1.0" encoding="UTF-8" standalone="yes"?><Relationships xmlns="http://schemas.openxmlformats.org/package/2006/relationships"><Relationship Id="rId1" Type="http://schemas.openxmlformats.org/officeDocument/2006/relationships/drawing" Target="../drawings/drawing11.xml" /></Relationships>
</file>

<file path=xl/worksheets/_rels/sheet19.xml.rels><?xml version="1.0" encoding="UTF-8" standalone="yes"?><Relationships xmlns="http://schemas.openxmlformats.org/package/2006/relationships"><Relationship Id="rId1" Type="http://schemas.openxmlformats.org/officeDocument/2006/relationships/drawing" Target="../drawings/drawing12.xml" /></Relationships>
</file>

<file path=xl/worksheets/_rels/sheet20.xml.rels><?xml version="1.0" encoding="UTF-8" standalone="yes"?><Relationships xmlns="http://schemas.openxmlformats.org/package/2006/relationships"><Relationship Id="rId1" Type="http://schemas.openxmlformats.org/officeDocument/2006/relationships/drawing" Target="../drawings/drawing13.xml" /></Relationships>
</file>

<file path=xl/worksheets/_rels/sheet21.xml.rels><?xml version="1.0" encoding="UTF-8" standalone="yes"?><Relationships xmlns="http://schemas.openxmlformats.org/package/2006/relationships"><Relationship Id="rId1" Type="http://schemas.openxmlformats.org/officeDocument/2006/relationships/drawing" Target="../drawings/drawing14.xml" /></Relationships>
</file>

<file path=xl/worksheets/_rels/sheet22.xml.rels><?xml version="1.0" encoding="UTF-8" standalone="yes"?><Relationships xmlns="http://schemas.openxmlformats.org/package/2006/relationships"><Relationship Id="rId1" Type="http://schemas.openxmlformats.org/officeDocument/2006/relationships/drawing" Target="../drawings/drawing15.xml" /></Relationships>
</file>

<file path=xl/worksheets/_rels/sheet23.xml.rels><?xml version="1.0" encoding="UTF-8" standalone="yes"?><Relationships xmlns="http://schemas.openxmlformats.org/package/2006/relationships"><Relationship Id="rId1" Type="http://schemas.openxmlformats.org/officeDocument/2006/relationships/drawing" Target="../drawings/drawing16.xml" /></Relationships>
</file>

<file path=xl/worksheets/_rels/sheet24.xml.rels><?xml version="1.0" encoding="UTF-8" standalone="yes"?><Relationships xmlns="http://schemas.openxmlformats.org/package/2006/relationships"><Relationship Id="rId1" Type="http://schemas.openxmlformats.org/officeDocument/2006/relationships/drawing" Target="../drawings/drawing17.xml" /></Relationships>
</file>

<file path=xl/worksheets/_rels/sheet25.xml.rels><?xml version="1.0" encoding="UTF-8" standalone="yes"?><Relationships xmlns="http://schemas.openxmlformats.org/package/2006/relationships"><Relationship Id="rId1" Type="http://schemas.openxmlformats.org/officeDocument/2006/relationships/drawing" Target="../drawings/drawing18.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563d555e-605d-4153-8006-e4f6e315f42a}">
  <dimension ref="B1:C40"/>
  <sheetViews>
    <sheetView showGridLines="0" workbookViewId="0" topLeftCell="A1"/>
  </sheetViews>
  <sheetFormatPr defaultRowHeight="12.75"/>
  <cols>
    <col min="1" max="1" width="4.714285714285714" customWidth="1"/>
    <col min="2" max="2" width="30.714285714285715" customWidth="1"/>
  </cols>
  <sheetData>
    <row r="1" spans="2:2" s="1" customFormat="1" ht="30" customHeight="1">
      <c r="B1" s="1" t="s">
        <v>0</v>
      </c>
    </row>
    <row r="4" spans="2:2" ht="12.75">
      <c r="B4" s="2" t="s">
        <v>1</v>
      </c>
    </row>
    <row r="6" spans="2:3" ht="12.75">
      <c r="B6" s="36" t="s">
        <v>1636</v>
      </c>
      <c r="C6" s="37" t="s">
        <v>1637</v>
      </c>
    </row>
    <row r="7" spans="2:3" ht="15" customHeight="1">
      <c r="B7" s="36" t="s">
        <v>1638</v>
      </c>
      <c r="C7" s="37" t="s">
        <v>1639</v>
      </c>
    </row>
    <row r="8" spans="2:3" ht="15" customHeight="1">
      <c r="B8" s="36" t="s">
        <v>1640</v>
      </c>
      <c r="C8" s="37"/>
    </row>
    <row r="9" spans="2:3" ht="15" customHeight="1">
      <c r="B9" s="36" t="s">
        <v>1641</v>
      </c>
      <c r="C9" s="37" t="s">
        <v>1642</v>
      </c>
    </row>
    <row r="10" spans="2:3" ht="15" customHeight="1">
      <c r="B10" s="36" t="s">
        <v>1643</v>
      </c>
      <c r="C10" s="37" t="s">
        <v>1644</v>
      </c>
    </row>
    <row r="11" spans="2:3" ht="15" customHeight="1">
      <c r="B11" s="36" t="s">
        <v>1645</v>
      </c>
      <c r="C11" s="37" t="s">
        <v>1646</v>
      </c>
    </row>
    <row r="12" spans="2:3" ht="15" customHeight="1">
      <c r="B12" s="36" t="s">
        <v>1647</v>
      </c>
      <c r="C12" s="37" t="s">
        <v>1648</v>
      </c>
    </row>
    <row r="13" spans="2:3" ht="15" customHeight="1">
      <c r="B13" s="36" t="s">
        <v>1649</v>
      </c>
      <c r="C13" s="37" t="s">
        <v>1650</v>
      </c>
    </row>
    <row r="14" spans="2:3" ht="15" customHeight="1">
      <c r="B14" s="36" t="s">
        <v>1651</v>
      </c>
      <c r="C14" s="38" t="s">
        <v>1652</v>
      </c>
    </row>
    <row r="15" ht="15" customHeight="1"/>
    <row r="16" spans="2:2" ht="15" customHeight="1">
      <c r="B16" s="40" t="s">
        <v>3</v>
      </c>
    </row>
    <row r="17" spans="2:2" ht="15" customHeight="1">
      <c r="B17" s="40" t="s">
        <v>4</v>
      </c>
    </row>
    <row r="18" spans="2:2" ht="15" customHeight="1">
      <c r="B18" s="40" t="s">
        <v>5</v>
      </c>
    </row>
    <row r="19" spans="2:2" ht="15" customHeight="1">
      <c r="B19" s="40" t="s">
        <v>6</v>
      </c>
    </row>
    <row r="20" spans="2:2" ht="15" customHeight="1">
      <c r="B20" s="40" t="s">
        <v>7</v>
      </c>
    </row>
    <row r="21" spans="2:2" ht="15" customHeight="1">
      <c r="B21" s="40" t="s">
        <v>8</v>
      </c>
    </row>
    <row r="22" spans="2:2" ht="15" customHeight="1">
      <c r="B22" s="40" t="s">
        <v>9</v>
      </c>
    </row>
    <row r="23" spans="2:2" ht="15" customHeight="1">
      <c r="B23" s="40" t="s">
        <v>10</v>
      </c>
    </row>
    <row r="24" spans="2:2" ht="15" customHeight="1">
      <c r="B24" s="40" t="s">
        <v>11</v>
      </c>
    </row>
    <row r="25" spans="2:2" ht="15" customHeight="1">
      <c r="B25" s="40" t="s">
        <v>12</v>
      </c>
    </row>
    <row r="26" spans="2:2" ht="15" customHeight="1">
      <c r="B26" s="40" t="s">
        <v>14</v>
      </c>
    </row>
    <row r="27" spans="2:2" ht="15" customHeight="1">
      <c r="B27" s="40" t="s">
        <v>23</v>
      </c>
    </row>
    <row r="28" spans="2:2" ht="15" customHeight="1">
      <c r="B28" s="40" t="s">
        <v>24</v>
      </c>
    </row>
    <row r="29" spans="2:2" ht="15" customHeight="1">
      <c r="B29" s="40" t="s">
        <v>27</v>
      </c>
    </row>
    <row r="30" spans="2:2" ht="15" customHeight="1">
      <c r="B30" s="40" t="s">
        <v>28</v>
      </c>
    </row>
    <row r="31" spans="2:2" ht="15" customHeight="1">
      <c r="B31" s="40" t="s">
        <v>29</v>
      </c>
    </row>
    <row r="32" spans="2:2" ht="15" customHeight="1">
      <c r="B32" s="40" t="s">
        <v>30</v>
      </c>
    </row>
    <row r="33" spans="2:2" ht="15" customHeight="1">
      <c r="B33" s="40" t="s">
        <v>31</v>
      </c>
    </row>
    <row r="34" spans="2:2" ht="15" customHeight="1">
      <c r="B34" s="40" t="s">
        <v>32</v>
      </c>
    </row>
    <row r="35" spans="2:2" ht="15" customHeight="1">
      <c r="B35" s="40" t="s">
        <v>33</v>
      </c>
    </row>
    <row r="36" spans="2:2" ht="15" customHeight="1">
      <c r="B36" s="40" t="s">
        <v>34</v>
      </c>
    </row>
    <row r="37" spans="2:2" ht="15" customHeight="1">
      <c r="B37" s="40" t="s">
        <v>35</v>
      </c>
    </row>
    <row r="38" spans="2:2" ht="15" customHeight="1">
      <c r="B38" s="40" t="s">
        <v>36</v>
      </c>
    </row>
    <row r="39" spans="2:2" ht="15" customHeight="1">
      <c r="B39" s="40" t="s">
        <v>37</v>
      </c>
    </row>
    <row r="40" spans="2:2" ht="15" customHeight="1"/>
  </sheetData>
  <hyperlinks>
    <hyperlink ref="B16" location="'Показатели'!B4" display="Показатели"/>
    <hyperlink ref="B17" location="'Динамика'!B4" display="Динамика"/>
    <hyperlink ref="B18" location="'Сообщения'!B4" display="Сообщения"/>
    <hyperlink ref="B19" location="'События СМИ'!B4" display="События СМИ"/>
    <hyperlink ref="B20" location="'Тональность'!B4" display="Тональность"/>
    <hyperlink ref="B21" location="'Мнения'!B4" display="Мнения"/>
    <hyperlink ref="B22" location="'Теги'!B4" display="Теги"/>
    <hyperlink ref="B23" location="'Промо'!B4" display="Промо"/>
    <hyperlink ref="B24" location="'Заказчики'!B4" display="Заказчики"/>
    <hyperlink ref="B25" location="'Оценки'!B4" display="Оценки"/>
    <hyperlink ref="B26" location="'Типы площадок'!B4" display="Типы площадок"/>
    <hyperlink ref="B27" location="'Площадки'!B4" display="Площадки"/>
    <hyperlink ref="B28" location="'Тематики'!B4" display="Тематики"/>
    <hyperlink ref="B29" location="'Группы'!B4" display="Группы"/>
    <hyperlink ref="B30" location="'Авторы'!B4" display="Авторы"/>
    <hyperlink ref="B31" location="'Соцдем авторов'!B4" display="Соцдем авторов"/>
    <hyperlink ref="B32" location="'Эмоции'!B4" display="Эмоции"/>
    <hyperlink ref="B33" location="'Реакции'!B4" display="Реакции"/>
    <hyperlink ref="B34" location="'Слова'!B4" display="Слова"/>
    <hyperlink ref="B35" location="'Хэштеги'!B4" display="Хэштеги"/>
    <hyperlink ref="B36" location="'Страны'!B4" display="Страны"/>
    <hyperlink ref="B37" location="'Федеральные округа'!B4" display="Федеральные округа"/>
    <hyperlink ref="B38" location="'Регионы РФ'!B4" display="Регионы РФ"/>
    <hyperlink ref="B39" location="'Города РФ'!B4" display="Города РФ"/>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d87771b7-81ae-411b-8330-643ee3be53d8}">
  <dimension ref="B1:K24"/>
  <sheetViews>
    <sheetView showGridLines="0" workbookViewId="0" topLeftCell="A1"/>
  </sheetViews>
  <sheetFormatPr defaultRowHeight="12.75"/>
  <cols>
    <col min="1" max="1" width="4.714285714285714" customWidth="1"/>
    <col min="2" max="2" width="22.714285714285715" customWidth="1"/>
    <col min="3" max="11" width="21" customWidth="1"/>
  </cols>
  <sheetData>
    <row r="1" spans="2:3" s="1" customFormat="1" ht="30" customHeight="1">
      <c r="B1" s="1" t="s">
        <v>0</v>
      </c>
      <c r="C1" s="4" t="s">
        <v>2</v>
      </c>
    </row>
    <row r="4" spans="2:2" ht="12.75">
      <c r="B4" s="2" t="s">
        <v>3</v>
      </c>
    </row>
    <row r="6" spans="2:2" ht="12.75">
      <c r="B6" s="27" t="s">
        <v>555</v>
      </c>
    </row>
    <row r="8" spans="2:10" ht="30" customHeight="1">
      <c r="B8" s="5" t="s">
        <v>53</v>
      </c>
      <c r="C8" s="6" t="s">
        <v>5</v>
      </c>
      <c r="D8" s="6" t="s">
        <v>45</v>
      </c>
      <c r="E8" s="6" t="s">
        <v>40</v>
      </c>
      <c r="F8" s="6" t="s">
        <v>46</v>
      </c>
      <c r="G8" s="6" t="s">
        <v>41</v>
      </c>
      <c r="H8" s="6" t="s">
        <v>133</v>
      </c>
      <c r="I8" s="6" t="s">
        <v>134</v>
      </c>
      <c r="J8" s="6" t="s">
        <v>135</v>
      </c>
    </row>
    <row r="9" spans="2:10" ht="15" customHeight="1">
      <c r="B9" s="16" t="s">
        <v>62</v>
      </c>
      <c r="C9" s="8">
        <v>201</v>
      </c>
      <c r="D9" s="8">
        <v>1758</v>
      </c>
      <c r="E9" s="8">
        <v>11901567</v>
      </c>
      <c r="F9" s="8">
        <v>18965</v>
      </c>
      <c r="G9" s="8">
        <v>663</v>
      </c>
      <c r="H9" s="8">
        <v>526</v>
      </c>
      <c r="I9" s="8">
        <v>113</v>
      </c>
      <c r="J9" s="8">
        <v>24</v>
      </c>
    </row>
    <row r="11" spans="2:2" ht="12.75">
      <c r="B11" s="27" t="s">
        <v>7</v>
      </c>
    </row>
    <row r="13" spans="2:9" ht="30" customHeight="1">
      <c r="B13" s="5" t="s">
        <v>53</v>
      </c>
      <c r="C13" s="6" t="s">
        <v>43</v>
      </c>
      <c r="D13" s="6" t="s">
        <v>47</v>
      </c>
      <c r="E13" s="6" t="s">
        <v>48</v>
      </c>
      <c r="F13" s="6" t="s">
        <v>62</v>
      </c>
      <c r="G13" s="6" t="s">
        <v>49</v>
      </c>
      <c r="H13" s="6" t="s">
        <v>50</v>
      </c>
      <c r="I13" s="6" t="s">
        <v>51</v>
      </c>
    </row>
    <row r="14" spans="2:9" ht="15" customHeight="1">
      <c r="B14" s="16" t="s">
        <v>62</v>
      </c>
      <c r="C14" s="8">
        <v>93</v>
      </c>
      <c r="D14" s="8">
        <v>100</v>
      </c>
      <c r="E14" s="8">
        <v>8</v>
      </c>
      <c r="F14" s="8">
        <v>201</v>
      </c>
      <c r="G14" s="20">
        <f>IF(F14=0,0,C14/F14)</f>
      </c>
      <c r="H14" s="20">
        <f>IF(F14=0,0,D14/F14)</f>
      </c>
      <c r="I14" s="20">
        <f>IF(F14=0,0,E14/F14)</f>
      </c>
    </row>
    <row r="16" spans="2:2" ht="12.75">
      <c r="B16" s="27" t="s">
        <v>556</v>
      </c>
    </row>
    <row r="18" spans="2:11" ht="30" customHeight="1">
      <c r="B18" s="5" t="s">
        <v>53</v>
      </c>
      <c r="C18" s="6" t="s">
        <v>557</v>
      </c>
      <c r="D18" s="6" t="s">
        <v>57</v>
      </c>
      <c r="E18" s="6" t="s">
        <v>134</v>
      </c>
      <c r="F18" s="6" t="s">
        <v>135</v>
      </c>
      <c r="G18" s="6" t="s">
        <v>558</v>
      </c>
      <c r="H18" s="6" t="s">
        <v>559</v>
      </c>
      <c r="I18" s="6" t="s">
        <v>560</v>
      </c>
      <c r="J18" s="6" t="s">
        <v>561</v>
      </c>
      <c r="K18" s="6" t="s">
        <v>562</v>
      </c>
    </row>
    <row r="19" spans="2:11" ht="15" customHeight="1">
      <c r="B19" s="16" t="s">
        <v>62</v>
      </c>
      <c r="C19" s="8">
        <v>39</v>
      </c>
      <c r="D19" s="8">
        <v>21</v>
      </c>
      <c r="E19" s="8">
        <v>130</v>
      </c>
      <c r="F19" s="8">
        <v>3</v>
      </c>
      <c r="G19" s="8">
        <v>0</v>
      </c>
      <c r="H19" s="8">
        <v>0</v>
      </c>
      <c r="I19" s="8">
        <v>0</v>
      </c>
      <c r="J19" s="8">
        <v>5</v>
      </c>
      <c r="K19" s="8">
        <v>3</v>
      </c>
    </row>
    <row r="21" spans="2:2" ht="12.75">
      <c r="B21" s="27" t="s">
        <v>563</v>
      </c>
    </row>
    <row r="23" spans="2:5" ht="30" customHeight="1">
      <c r="B23" s="5" t="s">
        <v>53</v>
      </c>
      <c r="C23" s="6" t="s">
        <v>23</v>
      </c>
      <c r="D23" s="6" t="s">
        <v>27</v>
      </c>
      <c r="E23" s="6" t="s">
        <v>28</v>
      </c>
    </row>
    <row r="24" spans="2:5" ht="15" customHeight="1">
      <c r="B24" s="16" t="s">
        <v>62</v>
      </c>
      <c r="C24" s="8">
        <v>24</v>
      </c>
      <c r="D24" s="8">
        <v>136</v>
      </c>
      <c r="E24" s="8">
        <v>136</v>
      </c>
    </row>
  </sheetData>
  <hyperlinks>
    <hyperlink ref="C1" location="Содержание!B4" display="К содержанию"/>
  </hyperlinks>
  <pageMargins left="0.75" right="0.75" top="1" bottom="1" header="0.5" footer="0.5"/>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b65ef3ee-48b7-432d-9aea-320807b17e0b}">
  <dimension ref="B1:G38"/>
  <sheetViews>
    <sheetView showGridLines="0" workbookViewId="0" topLeftCell="A1"/>
  </sheetViews>
  <sheetFormatPr defaultRowHeight="12.75"/>
  <cols>
    <col min="1" max="1" width="4.714285714285714" customWidth="1"/>
    <col min="2" max="2" width="22.714285714285715" customWidth="1"/>
    <col min="3" max="7" width="23.285714285714285" customWidth="1"/>
  </cols>
  <sheetData>
    <row r="1" spans="2:3" s="1" customFormat="1" ht="30" customHeight="1">
      <c r="B1" s="1" t="s">
        <v>0</v>
      </c>
      <c r="C1" s="4" t="s">
        <v>2</v>
      </c>
    </row>
    <row r="4" spans="2:2" ht="12.75">
      <c r="B4" s="2" t="s">
        <v>4</v>
      </c>
    </row>
    <row r="6" spans="2:7" ht="30" customHeight="1">
      <c r="B6" s="5" t="s">
        <v>26</v>
      </c>
      <c r="C6" s="19" t="s">
        <v>5</v>
      </c>
      <c r="D6" s="19" t="s">
        <v>45</v>
      </c>
      <c r="E6" s="19" t="s">
        <v>40</v>
      </c>
      <c r="F6" s="19" t="s">
        <v>46</v>
      </c>
      <c r="G6" s="19" t="s">
        <v>41</v>
      </c>
    </row>
    <row r="7" spans="2:7" ht="15" customHeight="1">
      <c r="B7" s="13">
        <v>46143</v>
      </c>
      <c r="C7" s="8">
        <v>1</v>
      </c>
      <c r="D7" s="8">
        <v>6</v>
      </c>
      <c r="E7" s="8">
        <v>153466</v>
      </c>
      <c r="F7" s="8">
        <v>0</v>
      </c>
      <c r="G7" s="8">
        <v>0</v>
      </c>
    </row>
    <row r="8" spans="2:7" ht="15" customHeight="1">
      <c r="B8" s="13">
        <v>46144</v>
      </c>
      <c r="C8" s="8">
        <v>1</v>
      </c>
      <c r="D8" s="8">
        <v>0</v>
      </c>
      <c r="E8" s="8">
        <v>4402</v>
      </c>
      <c r="F8" s="8">
        <v>0</v>
      </c>
      <c r="G8" s="8">
        <v>0</v>
      </c>
    </row>
    <row r="9" spans="2:7" ht="15" customHeight="1">
      <c r="B9" s="13">
        <v>46145</v>
      </c>
      <c r="C9" s="8">
        <v>3</v>
      </c>
      <c r="D9" s="8">
        <v>152</v>
      </c>
      <c r="E9" s="8">
        <v>98719</v>
      </c>
      <c r="F9" s="8">
        <v>6238</v>
      </c>
      <c r="G9" s="8">
        <v>27</v>
      </c>
    </row>
    <row r="10" spans="2:7" ht="15" customHeight="1">
      <c r="B10" s="13">
        <v>46146</v>
      </c>
      <c r="C10" s="8">
        <v>7</v>
      </c>
      <c r="D10" s="8">
        <v>10</v>
      </c>
      <c r="E10" s="8">
        <v>1280300</v>
      </c>
      <c r="F10" s="8">
        <v>0</v>
      </c>
      <c r="G10" s="8">
        <v>0</v>
      </c>
    </row>
    <row r="11" spans="2:7" ht="15" customHeight="1">
      <c r="B11" s="13">
        <v>46147</v>
      </c>
      <c r="C11" s="8">
        <v>15</v>
      </c>
      <c r="D11" s="8">
        <v>22</v>
      </c>
      <c r="E11" s="8">
        <v>1878260</v>
      </c>
      <c r="F11" s="8">
        <v>728</v>
      </c>
      <c r="G11" s="8">
        <v>43</v>
      </c>
    </row>
    <row r="12" spans="2:7" ht="15" customHeight="1">
      <c r="B12" s="13">
        <v>46148</v>
      </c>
      <c r="C12" s="8">
        <v>8</v>
      </c>
      <c r="D12" s="8">
        <v>177</v>
      </c>
      <c r="E12" s="8">
        <v>409490</v>
      </c>
      <c r="F12" s="8">
        <v>483</v>
      </c>
      <c r="G12" s="8">
        <v>21</v>
      </c>
    </row>
    <row r="13" spans="2:7" ht="15" customHeight="1">
      <c r="B13" s="13">
        <v>46149</v>
      </c>
      <c r="C13" s="8">
        <v>15</v>
      </c>
      <c r="D13" s="8">
        <v>8</v>
      </c>
      <c r="E13" s="8">
        <v>621541</v>
      </c>
      <c r="F13" s="8">
        <v>0</v>
      </c>
      <c r="G13" s="8">
        <v>8</v>
      </c>
    </row>
    <row r="14" spans="2:7" ht="15" customHeight="1">
      <c r="B14" s="13">
        <v>46150</v>
      </c>
      <c r="C14" s="8">
        <v>10</v>
      </c>
      <c r="D14" s="8">
        <v>14</v>
      </c>
      <c r="E14" s="8">
        <v>584093</v>
      </c>
      <c r="F14" s="8">
        <v>0</v>
      </c>
      <c r="G14" s="8">
        <v>1</v>
      </c>
    </row>
    <row r="15" spans="2:7" ht="15" customHeight="1">
      <c r="B15" s="13">
        <v>46151</v>
      </c>
      <c r="C15" s="8">
        <v>5</v>
      </c>
      <c r="D15" s="8">
        <v>13</v>
      </c>
      <c r="E15" s="8">
        <v>50681</v>
      </c>
      <c r="F15" s="8">
        <v>1415</v>
      </c>
      <c r="G15" s="8">
        <v>3</v>
      </c>
    </row>
    <row r="16" spans="2:7" ht="15" customHeight="1">
      <c r="B16" s="13">
        <v>46152</v>
      </c>
      <c r="C16" s="8">
        <v>13</v>
      </c>
      <c r="D16" s="8">
        <v>360</v>
      </c>
      <c r="E16" s="8">
        <v>40607</v>
      </c>
      <c r="F16" s="8">
        <v>1237</v>
      </c>
      <c r="G16" s="8">
        <v>39</v>
      </c>
    </row>
    <row r="17" spans="2:7" ht="15" customHeight="1">
      <c r="B17" s="13">
        <v>46153</v>
      </c>
      <c r="C17" s="8">
        <v>1</v>
      </c>
      <c r="D17" s="8">
        <v>396</v>
      </c>
      <c r="E17" s="8">
        <v>17748</v>
      </c>
      <c r="F17" s="8">
        <v>3460</v>
      </c>
      <c r="G17" s="8">
        <v>254</v>
      </c>
    </row>
    <row r="18" spans="2:7" ht="15" customHeight="1">
      <c r="B18" s="13">
        <v>46154</v>
      </c>
      <c r="C18" s="8">
        <v>2</v>
      </c>
      <c r="D18" s="8">
        <v>1</v>
      </c>
      <c r="E18" s="8">
        <v>61584</v>
      </c>
      <c r="F18" s="8">
        <v>0</v>
      </c>
      <c r="G18" s="8">
        <v>0</v>
      </c>
    </row>
    <row r="19" spans="2:7" ht="15" customHeight="1">
      <c r="B19" s="13">
        <v>46155</v>
      </c>
      <c r="C19" s="8">
        <v>9</v>
      </c>
      <c r="D19" s="8">
        <v>24</v>
      </c>
      <c r="E19" s="8">
        <v>897528</v>
      </c>
      <c r="F19" s="8">
        <v>219</v>
      </c>
      <c r="G19" s="8">
        <v>6</v>
      </c>
    </row>
    <row r="20" spans="2:7" ht="15" customHeight="1">
      <c r="B20" s="13">
        <v>46156</v>
      </c>
      <c r="C20" s="8">
        <v>6</v>
      </c>
      <c r="D20" s="8">
        <v>8</v>
      </c>
      <c r="E20" s="8">
        <v>1381821</v>
      </c>
      <c r="F20" s="8">
        <v>0</v>
      </c>
      <c r="G20" s="8">
        <v>1</v>
      </c>
    </row>
    <row r="21" spans="2:7" ht="15" customHeight="1">
      <c r="B21" s="13">
        <v>46157</v>
      </c>
      <c r="C21" s="8">
        <v>11</v>
      </c>
      <c r="D21" s="8">
        <v>15</v>
      </c>
      <c r="E21" s="8">
        <v>903366</v>
      </c>
      <c r="F21" s="8">
        <v>0</v>
      </c>
      <c r="G21" s="8">
        <v>12</v>
      </c>
    </row>
    <row r="22" spans="2:7" ht="15" customHeight="1">
      <c r="B22" s="13">
        <v>46158</v>
      </c>
      <c r="C22" s="8">
        <v>0</v>
      </c>
      <c r="D22" s="8">
        <v>0</v>
      </c>
      <c r="E22" s="8">
        <v>0</v>
      </c>
      <c r="F22" s="8">
        <v>0</v>
      </c>
      <c r="G22" s="8">
        <v>0</v>
      </c>
    </row>
    <row r="23" spans="2:7" ht="15" customHeight="1">
      <c r="B23" s="13">
        <v>46159</v>
      </c>
      <c r="C23" s="8">
        <v>0</v>
      </c>
      <c r="D23" s="8">
        <v>0</v>
      </c>
      <c r="E23" s="8">
        <v>0</v>
      </c>
      <c r="F23" s="8">
        <v>0</v>
      </c>
      <c r="G23" s="8">
        <v>0</v>
      </c>
    </row>
    <row r="24" spans="2:7" ht="15" customHeight="1">
      <c r="B24" s="13">
        <v>46160</v>
      </c>
      <c r="C24" s="8">
        <v>3</v>
      </c>
      <c r="D24" s="8">
        <v>328</v>
      </c>
      <c r="E24" s="8">
        <v>53637</v>
      </c>
      <c r="F24" s="8">
        <v>1420</v>
      </c>
      <c r="G24" s="8">
        <v>83</v>
      </c>
    </row>
    <row r="25" spans="2:7" ht="15" customHeight="1">
      <c r="B25" s="13">
        <v>46161</v>
      </c>
      <c r="C25" s="8">
        <v>8</v>
      </c>
      <c r="D25" s="8">
        <v>14</v>
      </c>
      <c r="E25" s="8">
        <v>1655843</v>
      </c>
      <c r="F25" s="8">
        <v>12</v>
      </c>
      <c r="G25" s="8">
        <v>1</v>
      </c>
    </row>
    <row r="26" spans="2:7" ht="15" customHeight="1">
      <c r="B26" s="13">
        <v>46162</v>
      </c>
      <c r="C26" s="8">
        <v>16</v>
      </c>
      <c r="D26" s="8">
        <v>16</v>
      </c>
      <c r="E26" s="8">
        <v>414741</v>
      </c>
      <c r="F26" s="8">
        <v>0</v>
      </c>
      <c r="G26" s="8">
        <v>21</v>
      </c>
    </row>
    <row r="27" spans="2:7" ht="15" customHeight="1">
      <c r="B27" s="13">
        <v>46163</v>
      </c>
      <c r="C27" s="8">
        <v>6</v>
      </c>
      <c r="D27" s="8">
        <v>13</v>
      </c>
      <c r="E27" s="8">
        <v>485562</v>
      </c>
      <c r="F27" s="8">
        <v>7</v>
      </c>
      <c r="G27" s="8">
        <v>2</v>
      </c>
    </row>
    <row r="28" spans="2:7" ht="15" customHeight="1">
      <c r="B28" s="13">
        <v>46164</v>
      </c>
      <c r="C28" s="8">
        <v>8</v>
      </c>
      <c r="D28" s="8">
        <v>5</v>
      </c>
      <c r="E28" s="8">
        <v>135188</v>
      </c>
      <c r="F28" s="8">
        <v>0</v>
      </c>
      <c r="G28" s="8">
        <v>1</v>
      </c>
    </row>
    <row r="29" spans="2:7" ht="15" customHeight="1">
      <c r="B29" s="13">
        <v>46165</v>
      </c>
      <c r="C29" s="8">
        <v>5</v>
      </c>
      <c r="D29" s="8">
        <v>9</v>
      </c>
      <c r="E29" s="8">
        <v>214536</v>
      </c>
      <c r="F29" s="8">
        <v>874</v>
      </c>
      <c r="G29" s="8">
        <v>10</v>
      </c>
    </row>
    <row r="30" spans="2:7" ht="15" customHeight="1">
      <c r="B30" s="13">
        <v>46166</v>
      </c>
      <c r="C30" s="8">
        <v>4</v>
      </c>
      <c r="D30" s="8">
        <v>1</v>
      </c>
      <c r="E30" s="8">
        <v>19220</v>
      </c>
      <c r="F30" s="8">
        <v>0</v>
      </c>
      <c r="G30" s="8">
        <v>3</v>
      </c>
    </row>
    <row r="31" spans="2:7" ht="15" customHeight="1">
      <c r="B31" s="13">
        <v>46167</v>
      </c>
      <c r="C31" s="8">
        <v>5</v>
      </c>
      <c r="D31" s="8">
        <v>3</v>
      </c>
      <c r="E31" s="8">
        <v>42670</v>
      </c>
      <c r="F31" s="8">
        <v>0</v>
      </c>
      <c r="G31" s="8">
        <v>0</v>
      </c>
    </row>
    <row r="32" spans="2:7" ht="15" customHeight="1">
      <c r="B32" s="13">
        <v>46168</v>
      </c>
      <c r="C32" s="8">
        <v>18</v>
      </c>
      <c r="D32" s="8">
        <v>17</v>
      </c>
      <c r="E32" s="8">
        <v>409769</v>
      </c>
      <c r="F32" s="8">
        <v>848</v>
      </c>
      <c r="G32" s="8">
        <v>16</v>
      </c>
    </row>
    <row r="33" spans="2:7" ht="15" customHeight="1">
      <c r="B33" s="13">
        <v>46169</v>
      </c>
      <c r="C33" s="8">
        <v>2</v>
      </c>
      <c r="D33" s="8">
        <v>6</v>
      </c>
      <c r="E33" s="8">
        <v>215379</v>
      </c>
      <c r="F33" s="8">
        <v>0</v>
      </c>
      <c r="G33" s="8">
        <v>0</v>
      </c>
    </row>
    <row r="34" spans="2:7" ht="15" customHeight="1">
      <c r="B34" s="13">
        <v>46170</v>
      </c>
      <c r="C34" s="8">
        <v>8</v>
      </c>
      <c r="D34" s="8">
        <v>139</v>
      </c>
      <c r="E34" s="8">
        <v>396308</v>
      </c>
      <c r="F34" s="8">
        <v>154</v>
      </c>
      <c r="G34" s="8">
        <v>9</v>
      </c>
    </row>
    <row r="35" spans="2:7" ht="15" customHeight="1">
      <c r="B35" s="13">
        <v>46171</v>
      </c>
      <c r="C35" s="8">
        <v>3</v>
      </c>
      <c r="D35" s="8">
        <v>0</v>
      </c>
      <c r="E35" s="8">
        <v>4236</v>
      </c>
      <c r="F35" s="8">
        <v>0</v>
      </c>
      <c r="G35" s="8">
        <v>0</v>
      </c>
    </row>
    <row r="36" spans="2:7" ht="15" customHeight="1">
      <c r="B36" s="13">
        <v>46172</v>
      </c>
      <c r="C36" s="8">
        <v>4</v>
      </c>
      <c r="D36" s="8">
        <v>1</v>
      </c>
      <c r="E36" s="8">
        <v>618216</v>
      </c>
      <c r="F36" s="8">
        <v>1577</v>
      </c>
      <c r="G36" s="8">
        <v>84</v>
      </c>
    </row>
    <row r="37" spans="2:7" ht="15" customHeight="1">
      <c r="B37" s="13">
        <v>46173</v>
      </c>
      <c r="C37" s="8">
        <v>4</v>
      </c>
      <c r="D37" s="8">
        <v>0</v>
      </c>
      <c r="E37" s="8">
        <v>1064229</v>
      </c>
      <c r="F37" s="8">
        <v>293</v>
      </c>
      <c r="G37" s="8">
        <v>18</v>
      </c>
    </row>
    <row r="38" spans="2:7" ht="20" customHeight="1">
      <c r="B38" s="15" t="s">
        <v>21</v>
      </c>
      <c r="C38" s="10">
        <v>201</v>
      </c>
      <c r="D38" s="10">
        <v>1758</v>
      </c>
      <c r="E38" s="10">
        <v>11901567</v>
      </c>
      <c r="F38" s="10">
        <v>18965</v>
      </c>
      <c r="G38" s="10">
        <v>663</v>
      </c>
    </row>
    <row r="39" ht="13" customHeight="1"/>
    <row r="40" ht="13" customHeight="1"/>
    <row r="41" ht="13" customHeight="1"/>
    <row r="42" ht="13" customHeight="1"/>
    <row r="43" ht="13" customHeight="1"/>
    <row r="44" ht="13" customHeight="1"/>
    <row r="45" ht="13" customHeight="1"/>
    <row r="46" ht="13" customHeight="1"/>
    <row r="47" ht="13" customHeight="1"/>
    <row r="48" ht="13" customHeight="1"/>
    <row r="49" ht="13" customHeight="1"/>
    <row r="50" ht="13" customHeight="1"/>
    <row r="51" ht="13" customHeight="1"/>
    <row r="52" ht="13" customHeight="1"/>
    <row r="53" ht="13" customHeight="1"/>
    <row r="54" ht="13" customHeight="1"/>
    <row r="55" ht="13" customHeight="1"/>
    <row r="56" ht="13" customHeight="1"/>
    <row r="57" ht="13" customHeight="1"/>
    <row r="58" ht="13" customHeight="1"/>
    <row r="59" ht="13" customHeight="1"/>
    <row r="60" ht="13" customHeight="1"/>
    <row r="61" ht="13" customHeight="1"/>
    <row r="62" ht="13" customHeight="1"/>
    <row r="63" ht="13" customHeight="1"/>
    <row r="64" ht="13" customHeight="1"/>
    <row r="65" ht="13" customHeight="1"/>
    <row r="66" ht="13" customHeight="1"/>
    <row r="67" ht="13" customHeight="1"/>
    <row r="68" ht="13" customHeight="1"/>
    <row r="69" ht="13" customHeight="1"/>
    <row r="70" ht="13" customHeight="1"/>
    <row r="71" ht="13" customHeight="1"/>
    <row r="72" ht="13" customHeight="1"/>
    <row r="73" ht="13" customHeight="1"/>
    <row r="74" ht="13" customHeight="1"/>
    <row r="75" ht="13" customHeight="1"/>
    <row r="76" ht="13" customHeight="1"/>
    <row r="77" ht="13" customHeight="1"/>
    <row r="78" ht="13" customHeight="1"/>
    <row r="79" ht="13" customHeight="1"/>
    <row r="80" ht="13" customHeight="1"/>
    <row r="81" ht="13" customHeight="1"/>
    <row r="82" ht="13" customHeight="1"/>
    <row r="83" ht="13" customHeight="1"/>
    <row r="84" ht="13" customHeight="1"/>
    <row r="85" ht="13" customHeight="1"/>
    <row r="86" ht="13" customHeight="1"/>
    <row r="87" ht="13" customHeight="1"/>
    <row r="88" ht="13" customHeight="1"/>
    <row r="89" ht="13" customHeight="1"/>
    <row r="90" ht="13" customHeight="1"/>
    <row r="91" ht="13" customHeight="1"/>
    <row r="92" ht="13" customHeight="1"/>
    <row r="93" ht="13" customHeight="1"/>
    <row r="94" ht="13" customHeight="1"/>
    <row r="95" ht="13" customHeight="1"/>
    <row r="96" ht="13" customHeight="1"/>
    <row r="97" ht="13" customHeight="1"/>
    <row r="98" ht="13" customHeight="1"/>
    <row r="99" ht="13" customHeight="1"/>
    <row r="100" ht="13" customHeight="1"/>
    <row r="101" ht="13" customHeight="1"/>
    <row r="102" ht="13" customHeight="1"/>
    <row r="103" ht="13" customHeight="1"/>
    <row r="104" ht="13" customHeight="1"/>
    <row r="105" ht="13" customHeight="1"/>
    <row r="106" ht="13" customHeight="1"/>
    <row r="107" ht="13" customHeight="1"/>
    <row r="108" ht="13" customHeight="1"/>
    <row r="109" ht="13" customHeight="1"/>
    <row r="110" ht="13" customHeight="1"/>
    <row r="111" ht="13" customHeight="1"/>
    <row r="112" ht="13" customHeight="1"/>
    <row r="113" ht="13" customHeight="1"/>
    <row r="114" ht="13" customHeight="1"/>
    <row r="115" ht="13" customHeight="1"/>
    <row r="116" ht="13" customHeight="1"/>
    <row r="117" ht="13" customHeight="1"/>
  </sheetData>
  <hyperlinks>
    <hyperlink ref="C1" location="Содержание!B4" display="К содержанию"/>
    <hyperlink ref="C6" location="Динамика!A56" display="Сообщения"/>
    <hyperlink ref="D6" location="Динамика!A73" display="СМ Индекс"/>
    <hyperlink ref="E6" location="Динамика!A90" display="Аудитория"/>
    <hyperlink ref="F6" location="Динамика!A107" display="Просмотры"/>
    <hyperlink ref="G6" location="Динамика!A124" display="Вовлечённость"/>
  </hyperlinks>
  <pageMargins left="0.75" right="0.75" top="1" bottom="1" header="0.5" footer="0.5"/>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f4c44d4c-3397-4cf2-801c-a4e55a0d8237}">
  <dimension ref="B1:AV207"/>
  <sheetViews>
    <sheetView showGridLines="0" workbookViewId="0" topLeftCell="A1"/>
  </sheetViews>
  <sheetFormatPr defaultRowHeight="12.75"/>
  <cols>
    <col min="1" max="1" width="4.714285714285714" customWidth="1"/>
    <col min="2" max="2" width="22.714285714285715" customWidth="1"/>
    <col min="3" max="3" width="15.571428571428571" customWidth="1"/>
    <col min="4" max="4" width="14" customWidth="1"/>
    <col min="5" max="5" width="21.285714285714285" customWidth="1"/>
    <col min="6" max="6" width="18" customWidth="1"/>
    <col min="7" max="7" width="14" customWidth="1"/>
    <col min="8" max="8" width="13.285714285714286" customWidth="1"/>
    <col min="9" max="9" width="19.571428571428573" customWidth="1"/>
    <col min="10" max="10" width="13.285714285714286" customWidth="1"/>
    <col min="11" max="11" width="23.285714285714285" customWidth="1"/>
    <col min="12" max="12" width="11.857142857142858" customWidth="1"/>
    <col min="13" max="13" width="12.571428571428571" customWidth="1"/>
    <col min="14" max="14" width="16.142857142857142" customWidth="1"/>
    <col min="15" max="15" width="12.714285714285714" customWidth="1"/>
    <col min="16" max="16" width="15.571428571428571" customWidth="1"/>
    <col min="17" max="17" width="12.714285714285714" customWidth="1"/>
    <col min="18" max="18" width="12.857142857142858" customWidth="1"/>
    <col min="19" max="20" width="12.714285714285714" customWidth="1"/>
    <col min="21" max="21" width="14.714285714285714" customWidth="1"/>
    <col min="22" max="22" width="12.714285714285714" customWidth="1"/>
    <col min="23" max="23" width="11.714285714285714" customWidth="1"/>
    <col min="24" max="24" width="15.428571428571429" customWidth="1"/>
    <col min="25" max="25" width="14.714285714285714" customWidth="1"/>
    <col min="26" max="26" width="15.142857142857142" customWidth="1"/>
    <col min="27" max="30" width="12.714285714285714" customWidth="1"/>
    <col min="31" max="31" width="14.714285714285714" customWidth="1"/>
    <col min="32" max="32" width="12.714285714285714" customWidth="1"/>
    <col min="33" max="34" width="14.714285714285714" customWidth="1"/>
    <col min="35" max="35" width="12.714285714285714" customWidth="1"/>
    <col min="36" max="38" width="14.571428571428571" customWidth="1"/>
    <col min="39" max="40" width="9.714285714285714" customWidth="1"/>
    <col min="41" max="41" width="9.142857142857142" customWidth="1"/>
    <col min="42" max="42" width="16.142857142857142" customWidth="1"/>
    <col min="43" max="43" width="12.714285714285714" customWidth="1"/>
    <col min="44" max="44" width="14.428571428571429" customWidth="1"/>
    <col min="45" max="45" width="15" customWidth="1"/>
    <col min="46" max="47" width="12.714285714285714" customWidth="1"/>
    <col min="48" max="48" width="14.714285714285714" customWidth="1"/>
  </cols>
  <sheetData>
    <row r="1" spans="2:3" s="1" customFormat="1" ht="30" customHeight="1">
      <c r="B1" s="1" t="s">
        <v>0</v>
      </c>
      <c r="C1" s="4" t="s">
        <v>2</v>
      </c>
    </row>
    <row r="4" spans="2:2" ht="12.75">
      <c r="B4" s="2" t="s">
        <v>5</v>
      </c>
    </row>
    <row r="6" spans="2:48" ht="30" customHeight="1">
      <c r="B6" s="5" t="s">
        <v>131</v>
      </c>
      <c r="C6" s="5" t="s">
        <v>912</v>
      </c>
      <c r="D6" s="5" t="s">
        <v>913</v>
      </c>
      <c r="E6" s="5" t="s">
        <v>121</v>
      </c>
      <c r="F6" s="5" t="s">
        <v>914</v>
      </c>
      <c r="G6" s="5" t="s">
        <v>915</v>
      </c>
      <c r="H6" s="5" t="s">
        <v>59</v>
      </c>
      <c r="I6" s="5" t="s">
        <v>916</v>
      </c>
      <c r="J6" s="5" t="s">
        <v>917</v>
      </c>
      <c r="K6" s="5" t="s">
        <v>918</v>
      </c>
      <c r="L6" s="5" t="s">
        <v>919</v>
      </c>
      <c r="M6" s="5" t="s">
        <v>39</v>
      </c>
      <c r="N6" s="5" t="s">
        <v>7</v>
      </c>
      <c r="O6" s="5" t="s">
        <v>45</v>
      </c>
      <c r="P6" s="5" t="s">
        <v>567</v>
      </c>
      <c r="Q6" s="5" t="s">
        <v>566</v>
      </c>
      <c r="R6" s="5" t="s">
        <v>46</v>
      </c>
      <c r="S6" s="5" t="s">
        <v>41</v>
      </c>
      <c r="T6" s="5" t="s">
        <v>133</v>
      </c>
      <c r="U6" s="5" t="s">
        <v>134</v>
      </c>
      <c r="V6" s="5" t="s">
        <v>135</v>
      </c>
      <c r="W6" s="5" t="s">
        <v>920</v>
      </c>
      <c r="X6" s="5" t="s">
        <v>921</v>
      </c>
      <c r="Y6" s="5" t="s">
        <v>922</v>
      </c>
      <c r="Z6" s="5" t="s">
        <v>923</v>
      </c>
      <c r="AA6" s="5" t="s">
        <v>924</v>
      </c>
      <c r="AB6" s="5" t="s">
        <v>506</v>
      </c>
      <c r="AC6" s="5" t="s">
        <v>511</v>
      </c>
      <c r="AD6" s="5" t="s">
        <v>518</v>
      </c>
      <c r="AE6" s="5" t="s">
        <v>127</v>
      </c>
      <c r="AF6" s="5" t="s">
        <v>925</v>
      </c>
      <c r="AG6" s="5" t="s">
        <v>926</v>
      </c>
      <c r="AH6" s="5" t="s">
        <v>927</v>
      </c>
      <c r="AI6" s="5" t="s">
        <v>928</v>
      </c>
      <c r="AJ6" s="5" t="s">
        <v>141</v>
      </c>
      <c r="AK6" s="5" t="s">
        <v>148</v>
      </c>
      <c r="AL6" s="5" t="s">
        <v>149</v>
      </c>
      <c r="AM6" s="5" t="s">
        <v>8</v>
      </c>
      <c r="AN6" s="5" t="s">
        <v>929</v>
      </c>
      <c r="AO6" s="5" t="s">
        <v>930</v>
      </c>
      <c r="AP6" s="5" t="s">
        <v>931</v>
      </c>
      <c r="AQ6" s="5" t="s">
        <v>932</v>
      </c>
      <c r="AR6" s="5" t="s">
        <v>933</v>
      </c>
      <c r="AS6" s="5" t="s">
        <v>934</v>
      </c>
      <c r="AT6" s="5" t="s">
        <v>935</v>
      </c>
      <c r="AU6" s="5" t="s">
        <v>9</v>
      </c>
      <c r="AV6" s="5" t="s">
        <v>936</v>
      </c>
    </row>
    <row r="7" spans="2:48" ht="15" customHeight="1">
      <c r="B7" s="28">
        <v>1</v>
      </c>
      <c r="C7" s="29" t="s">
        <v>937</v>
      </c>
      <c r="D7" s="30" t="s">
        <v>53</v>
      </c>
      <c r="E7" s="31" t="s">
        <v>938</v>
      </c>
      <c r="F7" s="31" t="s">
        <v>53</v>
      </c>
      <c r="G7" s="32" t="s">
        <v>939</v>
      </c>
      <c r="H7" s="30" t="s">
        <v>70</v>
      </c>
      <c r="I7" s="30" t="s">
        <v>569</v>
      </c>
      <c r="J7" s="32" t="s">
        <v>940</v>
      </c>
      <c r="K7" s="30" t="s">
        <v>150</v>
      </c>
      <c r="L7" s="32" t="s">
        <v>941</v>
      </c>
      <c r="M7" s="30" t="s">
        <v>942</v>
      </c>
      <c r="N7" s="30" t="s">
        <v>943</v>
      </c>
      <c r="O7" s="33"/>
      <c r="P7" s="33">
        <v>4229</v>
      </c>
      <c r="Q7" s="33">
        <v>0</v>
      </c>
      <c r="R7" s="33">
        <v>0</v>
      </c>
      <c r="S7" s="33">
        <v>0</v>
      </c>
      <c r="T7" s="33">
        <v>0</v>
      </c>
      <c r="U7" s="33">
        <v>0</v>
      </c>
      <c r="V7" s="33">
        <v>0</v>
      </c>
      <c r="W7" s="33" t="s">
        <v>53</v>
      </c>
      <c r="X7" s="33">
        <v>1</v>
      </c>
      <c r="Y7" s="30" t="s">
        <v>72</v>
      </c>
      <c r="Z7" s="30" t="s">
        <v>153</v>
      </c>
      <c r="AA7" s="30" t="s">
        <v>167</v>
      </c>
      <c r="AB7" s="30" t="s">
        <v>508</v>
      </c>
      <c r="AC7" s="30"/>
      <c r="AD7" s="30" t="s">
        <v>53</v>
      </c>
      <c r="AE7" s="30" t="s">
        <v>53</v>
      </c>
      <c r="AF7" s="30" t="s">
        <v>944</v>
      </c>
      <c r="AG7" s="30" t="s">
        <v>53</v>
      </c>
      <c r="AH7" s="30" t="s">
        <v>53</v>
      </c>
      <c r="AI7" s="30" t="s">
        <v>945</v>
      </c>
      <c r="AJ7" s="30" t="s">
        <v>53</v>
      </c>
      <c r="AK7" s="30" t="s">
        <v>53</v>
      </c>
      <c r="AL7" s="30" t="s">
        <v>53</v>
      </c>
      <c r="AM7" s="30" t="s">
        <v>53</v>
      </c>
      <c r="AN7" s="30" t="s">
        <v>53</v>
      </c>
      <c r="AO7" s="30" t="s">
        <v>53</v>
      </c>
      <c r="AP7" s="30" t="s">
        <v>53</v>
      </c>
      <c r="AQ7" s="30" t="s">
        <v>53</v>
      </c>
      <c r="AR7" s="30" t="s">
        <v>53</v>
      </c>
      <c r="AS7" s="30" t="s">
        <v>53</v>
      </c>
      <c r="AT7" s="30" t="s">
        <v>946</v>
      </c>
      <c r="AU7" s="30" t="s">
        <v>53</v>
      </c>
      <c r="AV7" s="34">
        <v>168983045969</v>
      </c>
    </row>
    <row r="8" spans="2:48" ht="15" customHeight="1">
      <c r="B8" s="28">
        <v>2</v>
      </c>
      <c r="C8" s="29" t="s">
        <v>947</v>
      </c>
      <c r="D8" s="30" t="s">
        <v>53</v>
      </c>
      <c r="E8" s="31" t="s">
        <v>948</v>
      </c>
      <c r="F8" s="31" t="s">
        <v>53</v>
      </c>
      <c r="G8" s="32" t="s">
        <v>949</v>
      </c>
      <c r="H8" s="30" t="s">
        <v>70</v>
      </c>
      <c r="I8" s="30" t="s">
        <v>569</v>
      </c>
      <c r="J8" s="32" t="s">
        <v>940</v>
      </c>
      <c r="K8" s="30" t="s">
        <v>150</v>
      </c>
      <c r="L8" s="32" t="s">
        <v>941</v>
      </c>
      <c r="M8" s="30" t="s">
        <v>942</v>
      </c>
      <c r="N8" s="30" t="s">
        <v>943</v>
      </c>
      <c r="O8" s="33"/>
      <c r="P8" s="33">
        <v>4229</v>
      </c>
      <c r="Q8" s="33">
        <v>0</v>
      </c>
      <c r="R8" s="33">
        <v>0</v>
      </c>
      <c r="S8" s="33">
        <v>0</v>
      </c>
      <c r="T8" s="33">
        <v>0</v>
      </c>
      <c r="U8" s="33">
        <v>0</v>
      </c>
      <c r="V8" s="33">
        <v>0</v>
      </c>
      <c r="W8" s="33" t="s">
        <v>53</v>
      </c>
      <c r="X8" s="33">
        <v>1</v>
      </c>
      <c r="Y8" s="30" t="s">
        <v>72</v>
      </c>
      <c r="Z8" s="30" t="s">
        <v>153</v>
      </c>
      <c r="AA8" s="30" t="s">
        <v>167</v>
      </c>
      <c r="AB8" s="30" t="s">
        <v>508</v>
      </c>
      <c r="AC8" s="30"/>
      <c r="AD8" s="30" t="s">
        <v>53</v>
      </c>
      <c r="AE8" s="30" t="s">
        <v>53</v>
      </c>
      <c r="AF8" s="30" t="s">
        <v>944</v>
      </c>
      <c r="AG8" s="30" t="s">
        <v>53</v>
      </c>
      <c r="AH8" s="30" t="s">
        <v>53</v>
      </c>
      <c r="AI8" s="30" t="s">
        <v>945</v>
      </c>
      <c r="AJ8" s="30" t="s">
        <v>53</v>
      </c>
      <c r="AK8" s="30" t="s">
        <v>53</v>
      </c>
      <c r="AL8" s="30" t="s">
        <v>53</v>
      </c>
      <c r="AM8" s="30" t="s">
        <v>53</v>
      </c>
      <c r="AN8" s="30" t="s">
        <v>53</v>
      </c>
      <c r="AO8" s="30" t="s">
        <v>53</v>
      </c>
      <c r="AP8" s="30" t="s">
        <v>53</v>
      </c>
      <c r="AQ8" s="30" t="s">
        <v>53</v>
      </c>
      <c r="AR8" s="30" t="s">
        <v>53</v>
      </c>
      <c r="AS8" s="30" t="s">
        <v>53</v>
      </c>
      <c r="AT8" s="30" t="s">
        <v>946</v>
      </c>
      <c r="AU8" s="30" t="s">
        <v>53</v>
      </c>
      <c r="AV8" s="34">
        <v>168977743795</v>
      </c>
    </row>
    <row r="9" spans="2:48" ht="15" customHeight="1">
      <c r="B9" s="28">
        <v>3</v>
      </c>
      <c r="C9" s="29" t="s">
        <v>950</v>
      </c>
      <c r="D9" s="30" t="s">
        <v>53</v>
      </c>
      <c r="E9" s="31" t="s">
        <v>951</v>
      </c>
      <c r="F9" s="31" t="s">
        <v>53</v>
      </c>
      <c r="G9" s="32" t="s">
        <v>952</v>
      </c>
      <c r="H9" s="30" t="s">
        <v>108</v>
      </c>
      <c r="I9" s="30" t="s">
        <v>648</v>
      </c>
      <c r="J9" s="32" t="s">
        <v>649</v>
      </c>
      <c r="K9" s="30" t="s">
        <v>358</v>
      </c>
      <c r="L9" s="32" t="s">
        <v>109</v>
      </c>
      <c r="M9" s="30" t="s">
        <v>953</v>
      </c>
      <c r="N9" s="30" t="s">
        <v>943</v>
      </c>
      <c r="O9" s="33"/>
      <c r="P9" s="33">
        <v>1060000</v>
      </c>
      <c r="Q9" s="33">
        <v>0</v>
      </c>
      <c r="R9" s="33">
        <v>0</v>
      </c>
      <c r="S9" s="33">
        <v>10</v>
      </c>
      <c r="T9" s="33">
        <v>10</v>
      </c>
      <c r="U9" s="33">
        <v>0</v>
      </c>
      <c r="V9" s="33">
        <v>0</v>
      </c>
      <c r="W9" s="33" t="s">
        <v>53</v>
      </c>
      <c r="X9" s="33">
        <v>1</v>
      </c>
      <c r="Y9" s="30" t="s">
        <v>61</v>
      </c>
      <c r="Z9" s="30" t="s">
        <v>156</v>
      </c>
      <c r="AA9" s="30" t="s">
        <v>156</v>
      </c>
      <c r="AB9" s="30"/>
      <c r="AC9" s="30"/>
      <c r="AD9" s="30" t="s">
        <v>53</v>
      </c>
      <c r="AE9" s="30" t="s">
        <v>53</v>
      </c>
      <c r="AF9" s="30" t="s">
        <v>53</v>
      </c>
      <c r="AG9" s="30" t="s">
        <v>53</v>
      </c>
      <c r="AH9" s="30" t="s">
        <v>53</v>
      </c>
      <c r="AI9" s="30" t="s">
        <v>945</v>
      </c>
      <c r="AJ9" s="30" t="s">
        <v>53</v>
      </c>
      <c r="AK9" s="30" t="s">
        <v>53</v>
      </c>
      <c r="AL9" s="30" t="s">
        <v>53</v>
      </c>
      <c r="AM9" s="30" t="s">
        <v>53</v>
      </c>
      <c r="AN9" s="30" t="s">
        <v>954</v>
      </c>
      <c r="AO9" s="30" t="s">
        <v>53</v>
      </c>
      <c r="AP9" s="30" t="s">
        <v>53</v>
      </c>
      <c r="AQ9" s="30" t="s">
        <v>53</v>
      </c>
      <c r="AR9" s="30" t="s">
        <v>53</v>
      </c>
      <c r="AS9" s="30" t="s">
        <v>53</v>
      </c>
      <c r="AT9" s="30" t="s">
        <v>946</v>
      </c>
      <c r="AU9" s="30" t="s">
        <v>53</v>
      </c>
      <c r="AV9" s="34">
        <v>168940714257</v>
      </c>
    </row>
    <row r="10" spans="2:48" ht="15" customHeight="1">
      <c r="B10" s="28">
        <v>4</v>
      </c>
      <c r="C10" s="29" t="s">
        <v>955</v>
      </c>
      <c r="D10" s="30" t="s">
        <v>956</v>
      </c>
      <c r="E10" s="31" t="s">
        <v>957</v>
      </c>
      <c r="F10" s="31" t="s">
        <v>53</v>
      </c>
      <c r="G10" s="32" t="s">
        <v>958</v>
      </c>
      <c r="H10" s="30" t="s">
        <v>76</v>
      </c>
      <c r="I10" s="30" t="s">
        <v>743</v>
      </c>
      <c r="J10" s="32" t="s">
        <v>744</v>
      </c>
      <c r="K10" s="30" t="s">
        <v>465</v>
      </c>
      <c r="L10" s="32" t="s">
        <v>466</v>
      </c>
      <c r="M10" s="30" t="s">
        <v>942</v>
      </c>
      <c r="N10" s="30" t="s">
        <v>943</v>
      </c>
      <c r="O10" s="33"/>
      <c r="P10" s="33">
        <v>0</v>
      </c>
      <c r="Q10" s="33">
        <v>5</v>
      </c>
      <c r="R10" s="33">
        <v>293</v>
      </c>
      <c r="S10" s="33">
        <v>8</v>
      </c>
      <c r="T10" s="33">
        <v>0</v>
      </c>
      <c r="U10" s="33">
        <v>8</v>
      </c>
      <c r="V10" s="33">
        <v>0</v>
      </c>
      <c r="W10" s="33" t="s">
        <v>53</v>
      </c>
      <c r="X10" s="33">
        <v>1</v>
      </c>
      <c r="Y10" s="30" t="s">
        <v>66</v>
      </c>
      <c r="Z10" s="30" t="s">
        <v>153</v>
      </c>
      <c r="AA10" s="30" t="s">
        <v>167</v>
      </c>
      <c r="AB10" s="30" t="s">
        <v>509</v>
      </c>
      <c r="AC10" s="30"/>
      <c r="AD10" s="30" t="s">
        <v>53</v>
      </c>
      <c r="AE10" s="30" t="s">
        <v>53</v>
      </c>
      <c r="AF10" s="30" t="s">
        <v>53</v>
      </c>
      <c r="AG10" s="30" t="s">
        <v>53</v>
      </c>
      <c r="AH10" s="30" t="s">
        <v>53</v>
      </c>
      <c r="AI10" s="30" t="s">
        <v>945</v>
      </c>
      <c r="AJ10" s="30" t="s">
        <v>142</v>
      </c>
      <c r="AK10" s="30" t="s">
        <v>959</v>
      </c>
      <c r="AL10" s="30" t="s">
        <v>468</v>
      </c>
      <c r="AM10" s="30" t="s">
        <v>53</v>
      </c>
      <c r="AN10" s="30" t="s">
        <v>53</v>
      </c>
      <c r="AO10" s="30" t="s">
        <v>53</v>
      </c>
      <c r="AP10" s="30" t="s">
        <v>53</v>
      </c>
      <c r="AQ10" s="30" t="s">
        <v>53</v>
      </c>
      <c r="AR10" s="30" t="s">
        <v>53</v>
      </c>
      <c r="AS10" s="30" t="s">
        <v>53</v>
      </c>
      <c r="AT10" s="30" t="s">
        <v>946</v>
      </c>
      <c r="AU10" s="30" t="s">
        <v>53</v>
      </c>
      <c r="AV10" s="34">
        <v>168936282440</v>
      </c>
    </row>
    <row r="11" spans="2:48" ht="15" customHeight="1">
      <c r="B11" s="28">
        <v>5</v>
      </c>
      <c r="C11" s="29" t="s">
        <v>960</v>
      </c>
      <c r="D11" s="30" t="s">
        <v>53</v>
      </c>
      <c r="E11" s="31" t="s">
        <v>961</v>
      </c>
      <c r="F11" s="31" t="s">
        <v>53</v>
      </c>
      <c r="G11" s="32" t="s">
        <v>962</v>
      </c>
      <c r="H11" s="30" t="s">
        <v>76</v>
      </c>
      <c r="I11" s="30" t="s">
        <v>697</v>
      </c>
      <c r="J11" s="32" t="s">
        <v>698</v>
      </c>
      <c r="K11" s="30" t="s">
        <v>450</v>
      </c>
      <c r="L11" s="32" t="s">
        <v>451</v>
      </c>
      <c r="M11" s="30" t="s">
        <v>953</v>
      </c>
      <c r="N11" s="30" t="s">
        <v>943</v>
      </c>
      <c r="O11" s="33"/>
      <c r="P11" s="33">
        <v>1</v>
      </c>
      <c r="Q11" s="33">
        <v>2</v>
      </c>
      <c r="R11" s="33">
        <v>0</v>
      </c>
      <c r="S11" s="33">
        <v>0</v>
      </c>
      <c r="T11" s="33">
        <v>0</v>
      </c>
      <c r="U11" s="33">
        <v>0</v>
      </c>
      <c r="V11" s="33">
        <v>0</v>
      </c>
      <c r="W11" s="33" t="s">
        <v>53</v>
      </c>
      <c r="X11" s="33">
        <v>1</v>
      </c>
      <c r="Y11" s="30" t="s">
        <v>66</v>
      </c>
      <c r="Z11" s="30" t="s">
        <v>167</v>
      </c>
      <c r="AA11" s="30" t="s">
        <v>167</v>
      </c>
      <c r="AB11" s="30" t="s">
        <v>509</v>
      </c>
      <c r="AC11" s="30"/>
      <c r="AD11" s="30" t="s">
        <v>53</v>
      </c>
      <c r="AE11" s="30" t="s">
        <v>53</v>
      </c>
      <c r="AF11" s="30" t="s">
        <v>53</v>
      </c>
      <c r="AG11" s="30" t="s">
        <v>53</v>
      </c>
      <c r="AH11" s="30" t="s">
        <v>53</v>
      </c>
      <c r="AI11" s="30" t="s">
        <v>945</v>
      </c>
      <c r="AJ11" s="30" t="s">
        <v>53</v>
      </c>
      <c r="AK11" s="30" t="s">
        <v>53</v>
      </c>
      <c r="AL11" s="30" t="s">
        <v>53</v>
      </c>
      <c r="AM11" s="30" t="s">
        <v>53</v>
      </c>
      <c r="AN11" s="30" t="s">
        <v>954</v>
      </c>
      <c r="AO11" s="30" t="s">
        <v>53</v>
      </c>
      <c r="AP11" s="30" t="s">
        <v>53</v>
      </c>
      <c r="AQ11" s="30" t="s">
        <v>53</v>
      </c>
      <c r="AR11" s="30" t="s">
        <v>53</v>
      </c>
      <c r="AS11" s="30" t="s">
        <v>53</v>
      </c>
      <c r="AT11" s="30" t="s">
        <v>946</v>
      </c>
      <c r="AU11" s="30" t="s">
        <v>53</v>
      </c>
      <c r="AV11" s="34">
        <v>168930541497</v>
      </c>
    </row>
    <row r="12" spans="2:48" ht="15" customHeight="1">
      <c r="B12" s="28">
        <v>6</v>
      </c>
      <c r="C12" s="29" t="s">
        <v>963</v>
      </c>
      <c r="D12" s="30" t="s">
        <v>53</v>
      </c>
      <c r="E12" s="31" t="s">
        <v>964</v>
      </c>
      <c r="F12" s="31" t="s">
        <v>965</v>
      </c>
      <c r="G12" s="32" t="s">
        <v>966</v>
      </c>
      <c r="H12" s="30" t="s">
        <v>104</v>
      </c>
      <c r="I12" s="30" t="s">
        <v>414</v>
      </c>
      <c r="J12" s="32" t="s">
        <v>415</v>
      </c>
      <c r="K12" s="30" t="s">
        <v>414</v>
      </c>
      <c r="L12" s="32" t="s">
        <v>415</v>
      </c>
      <c r="M12" s="30" t="s">
        <v>942</v>
      </c>
      <c r="N12" s="30" t="s">
        <v>943</v>
      </c>
      <c r="O12" s="33"/>
      <c r="P12" s="33">
        <v>415500</v>
      </c>
      <c r="Q12" s="33">
        <v>415500</v>
      </c>
      <c r="R12" s="33">
        <v>1577</v>
      </c>
      <c r="S12" s="33">
        <v>84</v>
      </c>
      <c r="T12" s="33">
        <v>65</v>
      </c>
      <c r="U12" s="33">
        <v>1</v>
      </c>
      <c r="V12" s="33">
        <v>18</v>
      </c>
      <c r="W12" s="33" t="s">
        <v>53</v>
      </c>
      <c r="X12" s="33">
        <v>1</v>
      </c>
      <c r="Y12" s="30" t="s">
        <v>66</v>
      </c>
      <c r="Z12" s="30" t="s">
        <v>167</v>
      </c>
      <c r="AA12" s="30" t="s">
        <v>167</v>
      </c>
      <c r="AB12" s="30"/>
      <c r="AC12" s="30"/>
      <c r="AD12" s="30" t="s">
        <v>53</v>
      </c>
      <c r="AE12" s="30" t="s">
        <v>53</v>
      </c>
      <c r="AF12" s="30" t="s">
        <v>53</v>
      </c>
      <c r="AG12" s="30" t="s">
        <v>53</v>
      </c>
      <c r="AH12" s="30" t="s">
        <v>53</v>
      </c>
      <c r="AI12" s="30" t="s">
        <v>945</v>
      </c>
      <c r="AJ12" s="30" t="s">
        <v>53</v>
      </c>
      <c r="AK12" s="30" t="s">
        <v>53</v>
      </c>
      <c r="AL12" s="30" t="s">
        <v>53</v>
      </c>
      <c r="AM12" s="30" t="s">
        <v>53</v>
      </c>
      <c r="AN12" s="30" t="s">
        <v>53</v>
      </c>
      <c r="AO12" s="30" t="s">
        <v>53</v>
      </c>
      <c r="AP12" s="30" t="s">
        <v>53</v>
      </c>
      <c r="AQ12" s="30" t="s">
        <v>53</v>
      </c>
      <c r="AR12" s="30" t="s">
        <v>53</v>
      </c>
      <c r="AS12" s="30" t="s">
        <v>53</v>
      </c>
      <c r="AT12" s="30" t="s">
        <v>946</v>
      </c>
      <c r="AU12" s="30" t="s">
        <v>53</v>
      </c>
      <c r="AV12" s="34">
        <v>169079778337</v>
      </c>
    </row>
    <row r="13" spans="2:48" ht="15" customHeight="1">
      <c r="B13" s="28">
        <v>7</v>
      </c>
      <c r="C13" s="29" t="s">
        <v>967</v>
      </c>
      <c r="D13" s="30" t="s">
        <v>53</v>
      </c>
      <c r="E13" s="31" t="s">
        <v>968</v>
      </c>
      <c r="F13" s="31" t="s">
        <v>53</v>
      </c>
      <c r="G13" s="32" t="s">
        <v>969</v>
      </c>
      <c r="H13" s="30" t="s">
        <v>106</v>
      </c>
      <c r="I13" s="30" t="s">
        <v>689</v>
      </c>
      <c r="J13" s="32" t="s">
        <v>690</v>
      </c>
      <c r="K13" s="30" t="s">
        <v>479</v>
      </c>
      <c r="L13" s="32" t="s">
        <v>480</v>
      </c>
      <c r="M13" s="30" t="s">
        <v>953</v>
      </c>
      <c r="N13" s="30" t="s">
        <v>943</v>
      </c>
      <c r="O13" s="33"/>
      <c r="P13" s="33">
        <v>0</v>
      </c>
      <c r="Q13" s="33">
        <v>1</v>
      </c>
      <c r="R13" s="33" t="s">
        <v>129</v>
      </c>
      <c r="S13" s="33">
        <v>0</v>
      </c>
      <c r="T13" s="33" t="s">
        <v>129</v>
      </c>
      <c r="U13" s="33" t="s">
        <v>129</v>
      </c>
      <c r="V13" s="33" t="s">
        <v>129</v>
      </c>
      <c r="W13" s="33" t="s">
        <v>53</v>
      </c>
      <c r="X13" s="33">
        <v>1</v>
      </c>
      <c r="Y13" s="30" t="s">
        <v>75</v>
      </c>
      <c r="Z13" s="30" t="s">
        <v>167</v>
      </c>
      <c r="AA13" s="30" t="s">
        <v>167</v>
      </c>
      <c r="AB13" s="30"/>
      <c r="AC13" s="30"/>
      <c r="AD13" s="30" t="s">
        <v>53</v>
      </c>
      <c r="AE13" s="30" t="s">
        <v>53</v>
      </c>
      <c r="AF13" s="30" t="s">
        <v>53</v>
      </c>
      <c r="AG13" s="30" t="s">
        <v>53</v>
      </c>
      <c r="AH13" s="30" t="s">
        <v>53</v>
      </c>
      <c r="AI13" s="30" t="s">
        <v>945</v>
      </c>
      <c r="AJ13" s="30" t="s">
        <v>142</v>
      </c>
      <c r="AK13" s="30" t="s">
        <v>970</v>
      </c>
      <c r="AL13" s="30" t="s">
        <v>482</v>
      </c>
      <c r="AM13" s="30" t="s">
        <v>53</v>
      </c>
      <c r="AN13" s="30" t="s">
        <v>954</v>
      </c>
      <c r="AO13" s="30" t="s">
        <v>53</v>
      </c>
      <c r="AP13" s="30" t="s">
        <v>53</v>
      </c>
      <c r="AQ13" s="30" t="s">
        <v>53</v>
      </c>
      <c r="AR13" s="30" t="s">
        <v>53</v>
      </c>
      <c r="AS13" s="30" t="s">
        <v>53</v>
      </c>
      <c r="AT13" s="30" t="s">
        <v>946</v>
      </c>
      <c r="AU13" s="30" t="s">
        <v>53</v>
      </c>
      <c r="AV13" s="34">
        <v>168922327516</v>
      </c>
    </row>
    <row r="14" spans="2:48" ht="15" customHeight="1">
      <c r="B14" s="28">
        <v>8</v>
      </c>
      <c r="C14" s="29" t="s">
        <v>971</v>
      </c>
      <c r="D14" s="30" t="s">
        <v>53</v>
      </c>
      <c r="E14" s="31" t="s">
        <v>972</v>
      </c>
      <c r="F14" s="31" t="s">
        <v>53</v>
      </c>
      <c r="G14" s="32" t="s">
        <v>973</v>
      </c>
      <c r="H14" s="30" t="s">
        <v>64</v>
      </c>
      <c r="I14" s="30" t="s">
        <v>640</v>
      </c>
      <c r="J14" s="32" t="s">
        <v>641</v>
      </c>
      <c r="K14" s="30" t="s">
        <v>278</v>
      </c>
      <c r="L14" s="32" t="s">
        <v>279</v>
      </c>
      <c r="M14" s="30" t="s">
        <v>953</v>
      </c>
      <c r="N14" s="30" t="s">
        <v>974</v>
      </c>
      <c r="O14" s="33">
        <v>1</v>
      </c>
      <c r="P14" s="33">
        <v>202715</v>
      </c>
      <c r="Q14" s="33">
        <v>26</v>
      </c>
      <c r="R14" s="33">
        <v>0</v>
      </c>
      <c r="S14" s="33">
        <v>0</v>
      </c>
      <c r="T14" s="33">
        <v>0</v>
      </c>
      <c r="U14" s="33">
        <v>0</v>
      </c>
      <c r="V14" s="33">
        <v>0</v>
      </c>
      <c r="W14" s="33" t="s">
        <v>53</v>
      </c>
      <c r="X14" s="33">
        <v>1</v>
      </c>
      <c r="Y14" s="30" t="s">
        <v>66</v>
      </c>
      <c r="Z14" s="30" t="s">
        <v>153</v>
      </c>
      <c r="AA14" s="30" t="s">
        <v>167</v>
      </c>
      <c r="AB14" s="30" t="s">
        <v>509</v>
      </c>
      <c r="AC14" s="30">
        <v>59</v>
      </c>
      <c r="AD14" s="30" t="s">
        <v>53</v>
      </c>
      <c r="AE14" s="30" t="s">
        <v>53</v>
      </c>
      <c r="AF14" s="30" t="s">
        <v>53</v>
      </c>
      <c r="AG14" s="30" t="s">
        <v>53</v>
      </c>
      <c r="AH14" s="30" t="s">
        <v>53</v>
      </c>
      <c r="AI14" s="30" t="s">
        <v>945</v>
      </c>
      <c r="AJ14" s="30" t="s">
        <v>142</v>
      </c>
      <c r="AK14" s="30" t="s">
        <v>53</v>
      </c>
      <c r="AL14" s="30" t="s">
        <v>53</v>
      </c>
      <c r="AM14" s="30" t="s">
        <v>53</v>
      </c>
      <c r="AN14" s="30" t="s">
        <v>954</v>
      </c>
      <c r="AO14" s="30" t="s">
        <v>53</v>
      </c>
      <c r="AP14" s="30" t="s">
        <v>53</v>
      </c>
      <c r="AQ14" s="30" t="s">
        <v>53</v>
      </c>
      <c r="AR14" s="30" t="s">
        <v>53</v>
      </c>
      <c r="AS14" s="30" t="s">
        <v>53</v>
      </c>
      <c r="AT14" s="30" t="s">
        <v>946</v>
      </c>
      <c r="AU14" s="30" t="s">
        <v>53</v>
      </c>
      <c r="AV14" s="34">
        <v>168905496374</v>
      </c>
    </row>
    <row r="15" spans="2:48" ht="15" customHeight="1">
      <c r="B15" s="28">
        <v>9</v>
      </c>
      <c r="C15" s="29" t="s">
        <v>975</v>
      </c>
      <c r="D15" s="30" t="s">
        <v>53</v>
      </c>
      <c r="E15" s="31" t="s">
        <v>976</v>
      </c>
      <c r="F15" s="31" t="s">
        <v>53</v>
      </c>
      <c r="G15" s="32" t="s">
        <v>977</v>
      </c>
      <c r="H15" s="30" t="s">
        <v>70</v>
      </c>
      <c r="I15" s="30" t="s">
        <v>569</v>
      </c>
      <c r="J15" s="32" t="s">
        <v>940</v>
      </c>
      <c r="K15" s="30" t="s">
        <v>150</v>
      </c>
      <c r="L15" s="32" t="s">
        <v>941</v>
      </c>
      <c r="M15" s="30" t="s">
        <v>942</v>
      </c>
      <c r="N15" s="30" t="s">
        <v>943</v>
      </c>
      <c r="O15" s="33"/>
      <c r="P15" s="33">
        <v>4236</v>
      </c>
      <c r="Q15" s="33">
        <v>0</v>
      </c>
      <c r="R15" s="33">
        <v>0</v>
      </c>
      <c r="S15" s="33">
        <v>0</v>
      </c>
      <c r="T15" s="33">
        <v>0</v>
      </c>
      <c r="U15" s="33">
        <v>0</v>
      </c>
      <c r="V15" s="33">
        <v>0</v>
      </c>
      <c r="W15" s="33" t="s">
        <v>53</v>
      </c>
      <c r="X15" s="33">
        <v>1</v>
      </c>
      <c r="Y15" s="30" t="s">
        <v>72</v>
      </c>
      <c r="Z15" s="30" t="s">
        <v>153</v>
      </c>
      <c r="AA15" s="30" t="s">
        <v>167</v>
      </c>
      <c r="AB15" s="30" t="s">
        <v>508</v>
      </c>
      <c r="AC15" s="30"/>
      <c r="AD15" s="30" t="s">
        <v>53</v>
      </c>
      <c r="AE15" s="30" t="s">
        <v>53</v>
      </c>
      <c r="AF15" s="30" t="s">
        <v>944</v>
      </c>
      <c r="AG15" s="30" t="s">
        <v>53</v>
      </c>
      <c r="AH15" s="30" t="s">
        <v>53</v>
      </c>
      <c r="AI15" s="30" t="s">
        <v>945</v>
      </c>
      <c r="AJ15" s="30" t="s">
        <v>53</v>
      </c>
      <c r="AK15" s="30" t="s">
        <v>53</v>
      </c>
      <c r="AL15" s="30" t="s">
        <v>53</v>
      </c>
      <c r="AM15" s="30" t="s">
        <v>53</v>
      </c>
      <c r="AN15" s="30" t="s">
        <v>53</v>
      </c>
      <c r="AO15" s="30" t="s">
        <v>53</v>
      </c>
      <c r="AP15" s="30" t="s">
        <v>53</v>
      </c>
      <c r="AQ15" s="30" t="s">
        <v>53</v>
      </c>
      <c r="AR15" s="30" t="s">
        <v>53</v>
      </c>
      <c r="AS15" s="30" t="s">
        <v>53</v>
      </c>
      <c r="AT15" s="30" t="s">
        <v>946</v>
      </c>
      <c r="AU15" s="30" t="s">
        <v>53</v>
      </c>
      <c r="AV15" s="34">
        <v>168858827593</v>
      </c>
    </row>
    <row r="16" spans="2:48" ht="15" customHeight="1">
      <c r="B16" s="28">
        <v>10</v>
      </c>
      <c r="C16" s="29" t="s">
        <v>978</v>
      </c>
      <c r="D16" s="30" t="s">
        <v>979</v>
      </c>
      <c r="E16" s="31" t="s">
        <v>980</v>
      </c>
      <c r="F16" s="31" t="s">
        <v>53</v>
      </c>
      <c r="G16" s="32" t="s">
        <v>981</v>
      </c>
      <c r="H16" s="30" t="s">
        <v>84</v>
      </c>
      <c r="I16" s="30" t="s">
        <v>709</v>
      </c>
      <c r="J16" s="32" t="s">
        <v>710</v>
      </c>
      <c r="K16" s="30" t="s">
        <v>154</v>
      </c>
      <c r="L16" s="32" t="s">
        <v>155</v>
      </c>
      <c r="M16" s="30" t="s">
        <v>982</v>
      </c>
      <c r="N16" s="30" t="s">
        <v>974</v>
      </c>
      <c r="O16" s="33"/>
      <c r="P16" s="33">
        <v>0</v>
      </c>
      <c r="Q16" s="33">
        <v>0</v>
      </c>
      <c r="R16" s="33">
        <v>0</v>
      </c>
      <c r="S16" s="33">
        <v>0</v>
      </c>
      <c r="T16" s="33">
        <v>0</v>
      </c>
      <c r="U16" s="33">
        <v>0</v>
      </c>
      <c r="V16" s="33">
        <v>0</v>
      </c>
      <c r="W16" s="33" t="s">
        <v>983</v>
      </c>
      <c r="X16" s="33">
        <v>1</v>
      </c>
      <c r="Y16" s="30" t="s">
        <v>57</v>
      </c>
      <c r="Z16" s="30" t="s">
        <v>156</v>
      </c>
      <c r="AA16" s="30" t="s">
        <v>156</v>
      </c>
      <c r="AB16" s="30" t="s">
        <v>508</v>
      </c>
      <c r="AC16" s="30"/>
      <c r="AD16" s="30" t="s">
        <v>53</v>
      </c>
      <c r="AE16" s="30" t="s">
        <v>53</v>
      </c>
      <c r="AF16" s="30" t="s">
        <v>53</v>
      </c>
      <c r="AG16" s="30" t="s">
        <v>53</v>
      </c>
      <c r="AH16" s="30" t="s">
        <v>53</v>
      </c>
      <c r="AI16" s="30" t="s">
        <v>945</v>
      </c>
      <c r="AJ16" s="30" t="s">
        <v>142</v>
      </c>
      <c r="AK16" s="30" t="s">
        <v>53</v>
      </c>
      <c r="AL16" s="30" t="s">
        <v>53</v>
      </c>
      <c r="AM16" s="30" t="s">
        <v>53</v>
      </c>
      <c r="AN16" s="30" t="s">
        <v>954</v>
      </c>
      <c r="AO16" s="30" t="s">
        <v>53</v>
      </c>
      <c r="AP16" s="30" t="s">
        <v>53</v>
      </c>
      <c r="AQ16" s="30" t="s">
        <v>53</v>
      </c>
      <c r="AR16" s="30" t="s">
        <v>53</v>
      </c>
      <c r="AS16" s="30" t="s">
        <v>53</v>
      </c>
      <c r="AT16" s="30" t="s">
        <v>946</v>
      </c>
      <c r="AU16" s="30" t="s">
        <v>138</v>
      </c>
      <c r="AV16" s="34">
        <v>168954765674</v>
      </c>
    </row>
    <row r="17" spans="2:48" ht="15" customHeight="1">
      <c r="B17" s="28">
        <v>11</v>
      </c>
      <c r="C17" s="29" t="s">
        <v>984</v>
      </c>
      <c r="D17" s="30" t="s">
        <v>979</v>
      </c>
      <c r="E17" s="31" t="s">
        <v>985</v>
      </c>
      <c r="F17" s="31" t="s">
        <v>53</v>
      </c>
      <c r="G17" s="32" t="s">
        <v>986</v>
      </c>
      <c r="H17" s="30" t="s">
        <v>84</v>
      </c>
      <c r="I17" s="30" t="s">
        <v>711</v>
      </c>
      <c r="J17" s="32" t="s">
        <v>712</v>
      </c>
      <c r="K17" s="30" t="s">
        <v>154</v>
      </c>
      <c r="L17" s="32" t="s">
        <v>155</v>
      </c>
      <c r="M17" s="30" t="s">
        <v>982</v>
      </c>
      <c r="N17" s="30" t="s">
        <v>974</v>
      </c>
      <c r="O17" s="33"/>
      <c r="P17" s="33">
        <v>0</v>
      </c>
      <c r="Q17" s="33">
        <v>0</v>
      </c>
      <c r="R17" s="33">
        <v>0</v>
      </c>
      <c r="S17" s="33">
        <v>0</v>
      </c>
      <c r="T17" s="33">
        <v>0</v>
      </c>
      <c r="U17" s="33">
        <v>0</v>
      </c>
      <c r="V17" s="33">
        <v>0</v>
      </c>
      <c r="W17" s="33" t="s">
        <v>987</v>
      </c>
      <c r="X17" s="33">
        <v>1</v>
      </c>
      <c r="Y17" s="30" t="s">
        <v>57</v>
      </c>
      <c r="Z17" s="30" t="s">
        <v>156</v>
      </c>
      <c r="AA17" s="30" t="s">
        <v>156</v>
      </c>
      <c r="AB17" s="30" t="s">
        <v>509</v>
      </c>
      <c r="AC17" s="30"/>
      <c r="AD17" s="30" t="s">
        <v>53</v>
      </c>
      <c r="AE17" s="30" t="s">
        <v>53</v>
      </c>
      <c r="AF17" s="30" t="s">
        <v>53</v>
      </c>
      <c r="AG17" s="30" t="s">
        <v>53</v>
      </c>
      <c r="AH17" s="30" t="s">
        <v>53</v>
      </c>
      <c r="AI17" s="30" t="s">
        <v>945</v>
      </c>
      <c r="AJ17" s="30" t="s">
        <v>142</v>
      </c>
      <c r="AK17" s="30" t="s">
        <v>53</v>
      </c>
      <c r="AL17" s="30" t="s">
        <v>53</v>
      </c>
      <c r="AM17" s="30" t="s">
        <v>53</v>
      </c>
      <c r="AN17" s="30" t="s">
        <v>954</v>
      </c>
      <c r="AO17" s="30" t="s">
        <v>53</v>
      </c>
      <c r="AP17" s="30" t="s">
        <v>53</v>
      </c>
      <c r="AQ17" s="30" t="s">
        <v>53</v>
      </c>
      <c r="AR17" s="30" t="s">
        <v>53</v>
      </c>
      <c r="AS17" s="30" t="s">
        <v>53</v>
      </c>
      <c r="AT17" s="30" t="s">
        <v>946</v>
      </c>
      <c r="AU17" s="30" t="s">
        <v>138</v>
      </c>
      <c r="AV17" s="34">
        <v>168954785221</v>
      </c>
    </row>
    <row r="18" spans="2:48" ht="15" customHeight="1">
      <c r="B18" s="28">
        <v>12</v>
      </c>
      <c r="C18" s="29" t="s">
        <v>988</v>
      </c>
      <c r="D18" s="30" t="s">
        <v>989</v>
      </c>
      <c r="E18" s="31" t="s">
        <v>990</v>
      </c>
      <c r="F18" s="31" t="s">
        <v>991</v>
      </c>
      <c r="G18" s="32" t="s">
        <v>992</v>
      </c>
      <c r="H18" s="30" t="s">
        <v>88</v>
      </c>
      <c r="I18" s="30" t="s">
        <v>301</v>
      </c>
      <c r="J18" s="32" t="s">
        <v>303</v>
      </c>
      <c r="K18" s="30" t="s">
        <v>301</v>
      </c>
      <c r="L18" s="32" t="s">
        <v>303</v>
      </c>
      <c r="M18" s="30" t="s">
        <v>942</v>
      </c>
      <c r="N18" s="30" t="s">
        <v>943</v>
      </c>
      <c r="O18" s="33">
        <v>124</v>
      </c>
      <c r="P18" s="33">
        <v>115000</v>
      </c>
      <c r="Q18" s="33">
        <v>115000</v>
      </c>
      <c r="R18" s="33">
        <v>154</v>
      </c>
      <c r="S18" s="33">
        <v>6</v>
      </c>
      <c r="T18" s="33">
        <v>5</v>
      </c>
      <c r="U18" s="33">
        <v>1</v>
      </c>
      <c r="V18" s="33">
        <v>0</v>
      </c>
      <c r="W18" s="33" t="s">
        <v>53</v>
      </c>
      <c r="X18" s="33">
        <v>1</v>
      </c>
      <c r="Y18" s="30" t="s">
        <v>69</v>
      </c>
      <c r="Z18" s="30" t="s">
        <v>156</v>
      </c>
      <c r="AA18" s="30" t="s">
        <v>156</v>
      </c>
      <c r="AB18" s="30"/>
      <c r="AC18" s="30"/>
      <c r="AD18" s="30" t="s">
        <v>53</v>
      </c>
      <c r="AE18" s="30" t="s">
        <v>53</v>
      </c>
      <c r="AF18" s="30" t="s">
        <v>53</v>
      </c>
      <c r="AG18" s="30" t="s">
        <v>53</v>
      </c>
      <c r="AH18" s="30" t="s">
        <v>53</v>
      </c>
      <c r="AI18" s="30" t="s">
        <v>945</v>
      </c>
      <c r="AJ18" s="30" t="s">
        <v>142</v>
      </c>
      <c r="AK18" s="30" t="s">
        <v>53</v>
      </c>
      <c r="AL18" s="30" t="s">
        <v>53</v>
      </c>
      <c r="AM18" s="30" t="s">
        <v>53</v>
      </c>
      <c r="AN18" s="30" t="s">
        <v>53</v>
      </c>
      <c r="AO18" s="30" t="s">
        <v>53</v>
      </c>
      <c r="AP18" s="30" t="s">
        <v>53</v>
      </c>
      <c r="AQ18" s="30" t="s">
        <v>53</v>
      </c>
      <c r="AR18" s="30" t="s">
        <v>53</v>
      </c>
      <c r="AS18" s="30" t="s">
        <v>53</v>
      </c>
      <c r="AT18" s="30" t="s">
        <v>946</v>
      </c>
      <c r="AU18" s="30" t="s">
        <v>137</v>
      </c>
      <c r="AV18" s="34">
        <v>168797970868</v>
      </c>
    </row>
    <row r="19" spans="2:48" ht="15" customHeight="1">
      <c r="B19" s="28">
        <v>13</v>
      </c>
      <c r="C19" s="29" t="s">
        <v>993</v>
      </c>
      <c r="D19" s="30" t="s">
        <v>53</v>
      </c>
      <c r="E19" s="31" t="s">
        <v>994</v>
      </c>
      <c r="F19" s="31" t="s">
        <v>53</v>
      </c>
      <c r="G19" s="32" t="s">
        <v>995</v>
      </c>
      <c r="H19" s="30" t="s">
        <v>64</v>
      </c>
      <c r="I19" s="30" t="s">
        <v>727</v>
      </c>
      <c r="J19" s="32" t="s">
        <v>728</v>
      </c>
      <c r="K19" s="30" t="s">
        <v>424</v>
      </c>
      <c r="L19" s="32" t="s">
        <v>425</v>
      </c>
      <c r="M19" s="30" t="s">
        <v>953</v>
      </c>
      <c r="N19" s="30" t="s">
        <v>974</v>
      </c>
      <c r="O19" s="33">
        <v>7</v>
      </c>
      <c r="P19" s="33">
        <v>86541</v>
      </c>
      <c r="Q19" s="33">
        <v>1</v>
      </c>
      <c r="R19" s="33">
        <v>0</v>
      </c>
      <c r="S19" s="33">
        <v>0</v>
      </c>
      <c r="T19" s="33">
        <v>0</v>
      </c>
      <c r="U19" s="33">
        <v>0</v>
      </c>
      <c r="V19" s="33">
        <v>0</v>
      </c>
      <c r="W19" s="33" t="s">
        <v>53</v>
      </c>
      <c r="X19" s="33">
        <v>1</v>
      </c>
      <c r="Y19" s="30" t="s">
        <v>66</v>
      </c>
      <c r="Z19" s="30" t="s">
        <v>153</v>
      </c>
      <c r="AA19" s="30" t="s">
        <v>167</v>
      </c>
      <c r="AB19" s="30" t="s">
        <v>509</v>
      </c>
      <c r="AC19" s="30">
        <v>36</v>
      </c>
      <c r="AD19" s="30" t="s">
        <v>520</v>
      </c>
      <c r="AE19" s="30" t="s">
        <v>53</v>
      </c>
      <c r="AF19" s="30" t="s">
        <v>53</v>
      </c>
      <c r="AG19" s="30" t="s">
        <v>53</v>
      </c>
      <c r="AH19" s="30" t="s">
        <v>53</v>
      </c>
      <c r="AI19" s="30" t="s">
        <v>945</v>
      </c>
      <c r="AJ19" s="30" t="s">
        <v>53</v>
      </c>
      <c r="AK19" s="30" t="s">
        <v>53</v>
      </c>
      <c r="AL19" s="30" t="s">
        <v>53</v>
      </c>
      <c r="AM19" s="30" t="s">
        <v>53</v>
      </c>
      <c r="AN19" s="30" t="s">
        <v>954</v>
      </c>
      <c r="AO19" s="30" t="s">
        <v>53</v>
      </c>
      <c r="AP19" s="30" t="s">
        <v>53</v>
      </c>
      <c r="AQ19" s="30" t="s">
        <v>53</v>
      </c>
      <c r="AR19" s="30" t="s">
        <v>53</v>
      </c>
      <c r="AS19" s="30" t="s">
        <v>53</v>
      </c>
      <c r="AT19" s="30" t="s">
        <v>946</v>
      </c>
      <c r="AU19" s="30" t="s">
        <v>53</v>
      </c>
      <c r="AV19" s="34">
        <v>168770432678</v>
      </c>
    </row>
    <row r="20" spans="2:48" ht="15" customHeight="1">
      <c r="B20" s="28">
        <v>14</v>
      </c>
      <c r="C20" s="29" t="s">
        <v>996</v>
      </c>
      <c r="D20" s="30" t="s">
        <v>53</v>
      </c>
      <c r="E20" s="31" t="s">
        <v>997</v>
      </c>
      <c r="F20" s="31" t="s">
        <v>53</v>
      </c>
      <c r="G20" s="32" t="s">
        <v>998</v>
      </c>
      <c r="H20" s="30" t="s">
        <v>64</v>
      </c>
      <c r="I20" s="30" t="s">
        <v>618</v>
      </c>
      <c r="J20" s="32" t="s">
        <v>619</v>
      </c>
      <c r="K20" s="30" t="s">
        <v>384</v>
      </c>
      <c r="L20" s="32" t="s">
        <v>385</v>
      </c>
      <c r="M20" s="30" t="s">
        <v>953</v>
      </c>
      <c r="N20" s="30" t="s">
        <v>974</v>
      </c>
      <c r="O20" s="33">
        <v>1</v>
      </c>
      <c r="P20" s="33">
        <v>17496</v>
      </c>
      <c r="Q20" s="33">
        <v>0</v>
      </c>
      <c r="R20" s="33">
        <v>0</v>
      </c>
      <c r="S20" s="33">
        <v>0</v>
      </c>
      <c r="T20" s="33">
        <v>0</v>
      </c>
      <c r="U20" s="33">
        <v>0</v>
      </c>
      <c r="V20" s="33">
        <v>0</v>
      </c>
      <c r="W20" s="33" t="s">
        <v>53</v>
      </c>
      <c r="X20" s="33">
        <v>1</v>
      </c>
      <c r="Y20" s="30" t="s">
        <v>66</v>
      </c>
      <c r="Z20" s="30" t="s">
        <v>153</v>
      </c>
      <c r="AA20" s="30" t="s">
        <v>167</v>
      </c>
      <c r="AB20" s="30" t="s">
        <v>509</v>
      </c>
      <c r="AC20" s="30">
        <v>37</v>
      </c>
      <c r="AD20" s="30" t="s">
        <v>53</v>
      </c>
      <c r="AE20" s="30" t="s">
        <v>53</v>
      </c>
      <c r="AF20" s="30" t="s">
        <v>53</v>
      </c>
      <c r="AG20" s="30" t="s">
        <v>53</v>
      </c>
      <c r="AH20" s="30" t="s">
        <v>53</v>
      </c>
      <c r="AI20" s="30" t="s">
        <v>945</v>
      </c>
      <c r="AJ20" s="30" t="s">
        <v>142</v>
      </c>
      <c r="AK20" s="30" t="s">
        <v>999</v>
      </c>
      <c r="AL20" s="30" t="s">
        <v>242</v>
      </c>
      <c r="AM20" s="30" t="s">
        <v>53</v>
      </c>
      <c r="AN20" s="30" t="s">
        <v>954</v>
      </c>
      <c r="AO20" s="30" t="s">
        <v>53</v>
      </c>
      <c r="AP20" s="30" t="s">
        <v>53</v>
      </c>
      <c r="AQ20" s="30" t="s">
        <v>53</v>
      </c>
      <c r="AR20" s="30" t="s">
        <v>53</v>
      </c>
      <c r="AS20" s="30" t="s">
        <v>53</v>
      </c>
      <c r="AT20" s="30" t="s">
        <v>946</v>
      </c>
      <c r="AU20" s="30" t="s">
        <v>53</v>
      </c>
      <c r="AV20" s="34">
        <v>168770312377</v>
      </c>
    </row>
    <row r="21" spans="2:48" ht="15" customHeight="1">
      <c r="B21" s="28">
        <v>15</v>
      </c>
      <c r="C21" s="29" t="s">
        <v>1000</v>
      </c>
      <c r="D21" s="30" t="s">
        <v>1001</v>
      </c>
      <c r="E21" s="31" t="s">
        <v>1002</v>
      </c>
      <c r="F21" s="31" t="s">
        <v>1003</v>
      </c>
      <c r="G21" s="32" t="s">
        <v>1004</v>
      </c>
      <c r="H21" s="30" t="s">
        <v>80</v>
      </c>
      <c r="I21" s="30" t="s">
        <v>729</v>
      </c>
      <c r="J21" s="32" t="s">
        <v>730</v>
      </c>
      <c r="K21" s="30" t="s">
        <v>456</v>
      </c>
      <c r="L21" s="32" t="s">
        <v>457</v>
      </c>
      <c r="M21" s="30" t="s">
        <v>982</v>
      </c>
      <c r="N21" s="30" t="s">
        <v>974</v>
      </c>
      <c r="O21" s="33"/>
      <c r="P21" s="33">
        <v>0</v>
      </c>
      <c r="Q21" s="33">
        <v>0</v>
      </c>
      <c r="R21" s="33">
        <v>0</v>
      </c>
      <c r="S21" s="33">
        <v>3</v>
      </c>
      <c r="T21" s="33">
        <v>3</v>
      </c>
      <c r="U21" s="33">
        <v>0</v>
      </c>
      <c r="V21" s="33">
        <v>0</v>
      </c>
      <c r="W21" s="33" t="s">
        <v>983</v>
      </c>
      <c r="X21" s="33">
        <v>1</v>
      </c>
      <c r="Y21" s="30" t="s">
        <v>57</v>
      </c>
      <c r="Z21" s="30" t="s">
        <v>156</v>
      </c>
      <c r="AA21" s="30" t="s">
        <v>156</v>
      </c>
      <c r="AB21" s="30"/>
      <c r="AC21" s="30"/>
      <c r="AD21" s="30" t="s">
        <v>53</v>
      </c>
      <c r="AE21" s="30" t="s">
        <v>53</v>
      </c>
      <c r="AF21" s="30" t="s">
        <v>53</v>
      </c>
      <c r="AG21" s="30" t="s">
        <v>53</v>
      </c>
      <c r="AH21" s="30" t="s">
        <v>53</v>
      </c>
      <c r="AI21" s="30" t="s">
        <v>945</v>
      </c>
      <c r="AJ21" s="30" t="s">
        <v>142</v>
      </c>
      <c r="AK21" s="30" t="s">
        <v>53</v>
      </c>
      <c r="AL21" s="30" t="s">
        <v>53</v>
      </c>
      <c r="AM21" s="30" t="s">
        <v>53</v>
      </c>
      <c r="AN21" s="30" t="s">
        <v>954</v>
      </c>
      <c r="AO21" s="30" t="s">
        <v>53</v>
      </c>
      <c r="AP21" s="30" t="s">
        <v>53</v>
      </c>
      <c r="AQ21" s="30" t="s">
        <v>53</v>
      </c>
      <c r="AR21" s="30" t="s">
        <v>53</v>
      </c>
      <c r="AS21" s="30" t="s">
        <v>53</v>
      </c>
      <c r="AT21" s="30" t="s">
        <v>946</v>
      </c>
      <c r="AU21" s="30" t="s">
        <v>53</v>
      </c>
      <c r="AV21" s="34">
        <v>168768928887</v>
      </c>
    </row>
    <row r="22" spans="2:48" ht="15" customHeight="1">
      <c r="B22" s="28">
        <v>16</v>
      </c>
      <c r="C22" s="29" t="s">
        <v>1005</v>
      </c>
      <c r="D22" s="30" t="s">
        <v>53</v>
      </c>
      <c r="E22" s="31" t="s">
        <v>1006</v>
      </c>
      <c r="F22" s="31" t="s">
        <v>53</v>
      </c>
      <c r="G22" s="32" t="s">
        <v>1007</v>
      </c>
      <c r="H22" s="30" t="s">
        <v>78</v>
      </c>
      <c r="I22" s="30" t="s">
        <v>724</v>
      </c>
      <c r="J22" s="32" t="s">
        <v>725</v>
      </c>
      <c r="K22" s="30" t="s">
        <v>412</v>
      </c>
      <c r="L22" s="32" t="s">
        <v>413</v>
      </c>
      <c r="M22" s="30" t="s">
        <v>953</v>
      </c>
      <c r="N22" s="30" t="s">
        <v>974</v>
      </c>
      <c r="O22" s="33">
        <v>1</v>
      </c>
      <c r="P22" s="33">
        <v>10890</v>
      </c>
      <c r="Q22" s="33">
        <v>0</v>
      </c>
      <c r="R22" s="33">
        <v>0</v>
      </c>
      <c r="S22" s="33">
        <v>0</v>
      </c>
      <c r="T22" s="33">
        <v>0</v>
      </c>
      <c r="U22" s="33">
        <v>0</v>
      </c>
      <c r="V22" s="33">
        <v>0</v>
      </c>
      <c r="W22" s="33" t="s">
        <v>53</v>
      </c>
      <c r="X22" s="33">
        <v>1</v>
      </c>
      <c r="Y22" s="30" t="s">
        <v>66</v>
      </c>
      <c r="Z22" s="30" t="s">
        <v>153</v>
      </c>
      <c r="AA22" s="30" t="s">
        <v>167</v>
      </c>
      <c r="AB22" s="30"/>
      <c r="AC22" s="30"/>
      <c r="AD22" s="30" t="s">
        <v>53</v>
      </c>
      <c r="AE22" s="30" t="s">
        <v>53</v>
      </c>
      <c r="AF22" s="30" t="s">
        <v>53</v>
      </c>
      <c r="AG22" s="30" t="s">
        <v>53</v>
      </c>
      <c r="AH22" s="30" t="s">
        <v>53</v>
      </c>
      <c r="AI22" s="30" t="s">
        <v>945</v>
      </c>
      <c r="AJ22" s="30" t="s">
        <v>142</v>
      </c>
      <c r="AK22" s="30" t="s">
        <v>169</v>
      </c>
      <c r="AL22" s="30" t="s">
        <v>169</v>
      </c>
      <c r="AM22" s="30" t="s">
        <v>53</v>
      </c>
      <c r="AN22" s="30" t="s">
        <v>954</v>
      </c>
      <c r="AO22" s="30" t="s">
        <v>53</v>
      </c>
      <c r="AP22" s="30" t="s">
        <v>53</v>
      </c>
      <c r="AQ22" s="30" t="s">
        <v>53</v>
      </c>
      <c r="AR22" s="30" t="s">
        <v>53</v>
      </c>
      <c r="AS22" s="30" t="s">
        <v>53</v>
      </c>
      <c r="AT22" s="30" t="s">
        <v>946</v>
      </c>
      <c r="AU22" s="30" t="s">
        <v>53</v>
      </c>
      <c r="AV22" s="34">
        <v>168768804668</v>
      </c>
    </row>
    <row r="23" spans="2:48" ht="15" customHeight="1">
      <c r="B23" s="28">
        <v>17</v>
      </c>
      <c r="C23" s="29" t="s">
        <v>1008</v>
      </c>
      <c r="D23" s="30" t="s">
        <v>53</v>
      </c>
      <c r="E23" s="31" t="s">
        <v>1009</v>
      </c>
      <c r="F23" s="31" t="s">
        <v>53</v>
      </c>
      <c r="G23" s="32" t="s">
        <v>1010</v>
      </c>
      <c r="H23" s="30" t="s">
        <v>64</v>
      </c>
      <c r="I23" s="30" t="s">
        <v>778</v>
      </c>
      <c r="J23" s="32" t="s">
        <v>779</v>
      </c>
      <c r="K23" s="30" t="s">
        <v>288</v>
      </c>
      <c r="L23" s="32" t="s">
        <v>289</v>
      </c>
      <c r="M23" s="30" t="s">
        <v>953</v>
      </c>
      <c r="N23" s="30" t="s">
        <v>974</v>
      </c>
      <c r="O23" s="33">
        <v>1</v>
      </c>
      <c r="P23" s="33">
        <v>60187</v>
      </c>
      <c r="Q23" s="33">
        <v>0</v>
      </c>
      <c r="R23" s="33">
        <v>0</v>
      </c>
      <c r="S23" s="33">
        <v>0</v>
      </c>
      <c r="T23" s="33">
        <v>0</v>
      </c>
      <c r="U23" s="33">
        <v>0</v>
      </c>
      <c r="V23" s="33">
        <v>0</v>
      </c>
      <c r="W23" s="33" t="s">
        <v>53</v>
      </c>
      <c r="X23" s="33">
        <v>1</v>
      </c>
      <c r="Y23" s="30" t="s">
        <v>66</v>
      </c>
      <c r="Z23" s="30" t="s">
        <v>153</v>
      </c>
      <c r="AA23" s="30" t="s">
        <v>167</v>
      </c>
      <c r="AB23" s="30" t="s">
        <v>509</v>
      </c>
      <c r="AC23" s="30">
        <v>21</v>
      </c>
      <c r="AD23" s="30" t="s">
        <v>53</v>
      </c>
      <c r="AE23" s="30" t="s">
        <v>53</v>
      </c>
      <c r="AF23" s="30" t="s">
        <v>53</v>
      </c>
      <c r="AG23" s="30" t="s">
        <v>53</v>
      </c>
      <c r="AH23" s="30" t="s">
        <v>53</v>
      </c>
      <c r="AI23" s="30" t="s">
        <v>945</v>
      </c>
      <c r="AJ23" s="30" t="s">
        <v>142</v>
      </c>
      <c r="AK23" s="30" t="s">
        <v>1011</v>
      </c>
      <c r="AL23" s="30" t="s">
        <v>291</v>
      </c>
      <c r="AM23" s="30" t="s">
        <v>53</v>
      </c>
      <c r="AN23" s="30" t="s">
        <v>954</v>
      </c>
      <c r="AO23" s="30" t="s">
        <v>53</v>
      </c>
      <c r="AP23" s="30" t="s">
        <v>53</v>
      </c>
      <c r="AQ23" s="30" t="s">
        <v>53</v>
      </c>
      <c r="AR23" s="30" t="s">
        <v>53</v>
      </c>
      <c r="AS23" s="30" t="s">
        <v>53</v>
      </c>
      <c r="AT23" s="30" t="s">
        <v>1012</v>
      </c>
      <c r="AU23" s="30" t="s">
        <v>53</v>
      </c>
      <c r="AV23" s="34">
        <v>168766185371</v>
      </c>
    </row>
    <row r="24" spans="2:48" ht="15" customHeight="1">
      <c r="B24" s="28">
        <v>18</v>
      </c>
      <c r="C24" s="29" t="s">
        <v>1013</v>
      </c>
      <c r="D24" s="30" t="s">
        <v>53</v>
      </c>
      <c r="E24" s="31" t="s">
        <v>1014</v>
      </c>
      <c r="F24" s="31" t="s">
        <v>53</v>
      </c>
      <c r="G24" s="32" t="s">
        <v>1015</v>
      </c>
      <c r="H24" s="30" t="s">
        <v>64</v>
      </c>
      <c r="I24" s="30" t="s">
        <v>606</v>
      </c>
      <c r="J24" s="32" t="s">
        <v>607</v>
      </c>
      <c r="K24" s="30" t="s">
        <v>221</v>
      </c>
      <c r="L24" s="32" t="s">
        <v>222</v>
      </c>
      <c r="M24" s="30" t="s">
        <v>953</v>
      </c>
      <c r="N24" s="30" t="s">
        <v>943</v>
      </c>
      <c r="O24" s="33">
        <v>2</v>
      </c>
      <c r="P24" s="33">
        <v>39845</v>
      </c>
      <c r="Q24" s="33">
        <v>25</v>
      </c>
      <c r="R24" s="33">
        <v>0</v>
      </c>
      <c r="S24" s="33">
        <v>0</v>
      </c>
      <c r="T24" s="33">
        <v>0</v>
      </c>
      <c r="U24" s="33">
        <v>0</v>
      </c>
      <c r="V24" s="33">
        <v>0</v>
      </c>
      <c r="W24" s="33" t="s">
        <v>53</v>
      </c>
      <c r="X24" s="33">
        <v>1</v>
      </c>
      <c r="Y24" s="30" t="s">
        <v>66</v>
      </c>
      <c r="Z24" s="30" t="s">
        <v>153</v>
      </c>
      <c r="AA24" s="30" t="s">
        <v>167</v>
      </c>
      <c r="AB24" s="30" t="s">
        <v>509</v>
      </c>
      <c r="AC24" s="30"/>
      <c r="AD24" s="30" t="s">
        <v>53</v>
      </c>
      <c r="AE24" s="30" t="s">
        <v>53</v>
      </c>
      <c r="AF24" s="30" t="s">
        <v>1016</v>
      </c>
      <c r="AG24" s="30" t="s">
        <v>53</v>
      </c>
      <c r="AH24" s="30" t="s">
        <v>53</v>
      </c>
      <c r="AI24" s="30" t="s">
        <v>945</v>
      </c>
      <c r="AJ24" s="30" t="s">
        <v>142</v>
      </c>
      <c r="AK24" s="30" t="s">
        <v>1017</v>
      </c>
      <c r="AL24" s="30" t="s">
        <v>213</v>
      </c>
      <c r="AM24" s="30" t="s">
        <v>53</v>
      </c>
      <c r="AN24" s="30" t="s">
        <v>954</v>
      </c>
      <c r="AO24" s="30" t="s">
        <v>53</v>
      </c>
      <c r="AP24" s="30" t="s">
        <v>53</v>
      </c>
      <c r="AQ24" s="30" t="s">
        <v>53</v>
      </c>
      <c r="AR24" s="30" t="s">
        <v>53</v>
      </c>
      <c r="AS24" s="30" t="s">
        <v>53</v>
      </c>
      <c r="AT24" s="30" t="s">
        <v>946</v>
      </c>
      <c r="AU24" s="30" t="s">
        <v>53</v>
      </c>
      <c r="AV24" s="34">
        <v>168746778504</v>
      </c>
    </row>
    <row r="25" spans="2:48" ht="15" customHeight="1">
      <c r="B25" s="28">
        <v>19</v>
      </c>
      <c r="C25" s="29" t="s">
        <v>1018</v>
      </c>
      <c r="D25" s="30" t="s">
        <v>53</v>
      </c>
      <c r="E25" s="31" t="s">
        <v>1019</v>
      </c>
      <c r="F25" s="31" t="s">
        <v>53</v>
      </c>
      <c r="G25" s="32" t="s">
        <v>1020</v>
      </c>
      <c r="H25" s="30" t="s">
        <v>64</v>
      </c>
      <c r="I25" s="30" t="s">
        <v>664</v>
      </c>
      <c r="J25" s="32" t="s">
        <v>665</v>
      </c>
      <c r="K25" s="30" t="s">
        <v>354</v>
      </c>
      <c r="L25" s="32" t="s">
        <v>355</v>
      </c>
      <c r="M25" s="30" t="s">
        <v>953</v>
      </c>
      <c r="N25" s="30" t="s">
        <v>943</v>
      </c>
      <c r="O25" s="33">
        <v>3</v>
      </c>
      <c r="P25" s="33">
        <v>66349</v>
      </c>
      <c r="Q25" s="33">
        <v>786</v>
      </c>
      <c r="R25" s="33">
        <v>0</v>
      </c>
      <c r="S25" s="33">
        <v>0</v>
      </c>
      <c r="T25" s="33">
        <v>0</v>
      </c>
      <c r="U25" s="33">
        <v>0</v>
      </c>
      <c r="V25" s="33">
        <v>0</v>
      </c>
      <c r="W25" s="33" t="s">
        <v>53</v>
      </c>
      <c r="X25" s="33">
        <v>1</v>
      </c>
      <c r="Y25" s="30" t="s">
        <v>66</v>
      </c>
      <c r="Z25" s="30" t="s">
        <v>153</v>
      </c>
      <c r="AA25" s="30" t="s">
        <v>167</v>
      </c>
      <c r="AB25" s="30" t="s">
        <v>509</v>
      </c>
      <c r="AC25" s="30"/>
      <c r="AD25" s="30" t="s">
        <v>53</v>
      </c>
      <c r="AE25" s="30" t="s">
        <v>53</v>
      </c>
      <c r="AF25" s="30" t="s">
        <v>944</v>
      </c>
      <c r="AG25" s="30" t="s">
        <v>53</v>
      </c>
      <c r="AH25" s="30" t="s">
        <v>53</v>
      </c>
      <c r="AI25" s="30" t="s">
        <v>945</v>
      </c>
      <c r="AJ25" s="30" t="s">
        <v>142</v>
      </c>
      <c r="AK25" s="30" t="s">
        <v>1021</v>
      </c>
      <c r="AL25" s="30" t="s">
        <v>357</v>
      </c>
      <c r="AM25" s="30" t="s">
        <v>53</v>
      </c>
      <c r="AN25" s="30" t="s">
        <v>954</v>
      </c>
      <c r="AO25" s="30" t="s">
        <v>53</v>
      </c>
      <c r="AP25" s="30" t="s">
        <v>53</v>
      </c>
      <c r="AQ25" s="30" t="s">
        <v>53</v>
      </c>
      <c r="AR25" s="30" t="s">
        <v>53</v>
      </c>
      <c r="AS25" s="30" t="s">
        <v>53</v>
      </c>
      <c r="AT25" s="30" t="s">
        <v>946</v>
      </c>
      <c r="AU25" s="30" t="s">
        <v>53</v>
      </c>
      <c r="AV25" s="34">
        <v>168733238851</v>
      </c>
    </row>
    <row r="26" spans="2:48" ht="15" customHeight="1">
      <c r="B26" s="28">
        <v>20</v>
      </c>
      <c r="C26" s="29" t="s">
        <v>1022</v>
      </c>
      <c r="D26" s="30" t="s">
        <v>53</v>
      </c>
      <c r="E26" s="31" t="s">
        <v>1023</v>
      </c>
      <c r="F26" s="31" t="s">
        <v>53</v>
      </c>
      <c r="G26" s="32" t="s">
        <v>1024</v>
      </c>
      <c r="H26" s="30" t="s">
        <v>64</v>
      </c>
      <c r="I26" s="30" t="s">
        <v>772</v>
      </c>
      <c r="J26" s="32" t="s">
        <v>773</v>
      </c>
      <c r="K26" s="30" t="s">
        <v>326</v>
      </c>
      <c r="L26" s="32" t="s">
        <v>327</v>
      </c>
      <c r="M26" s="30" t="s">
        <v>953</v>
      </c>
      <c r="N26" s="30" t="s">
        <v>943</v>
      </c>
      <c r="O26" s="33">
        <v>2</v>
      </c>
      <c r="P26" s="33">
        <v>24003</v>
      </c>
      <c r="Q26" s="33">
        <v>0</v>
      </c>
      <c r="R26" s="33">
        <v>0</v>
      </c>
      <c r="S26" s="33">
        <v>0</v>
      </c>
      <c r="T26" s="33">
        <v>0</v>
      </c>
      <c r="U26" s="33">
        <v>0</v>
      </c>
      <c r="V26" s="33">
        <v>0</v>
      </c>
      <c r="W26" s="33" t="s">
        <v>53</v>
      </c>
      <c r="X26" s="33">
        <v>1</v>
      </c>
      <c r="Y26" s="30" t="s">
        <v>66</v>
      </c>
      <c r="Z26" s="30" t="s">
        <v>153</v>
      </c>
      <c r="AA26" s="30" t="s">
        <v>167</v>
      </c>
      <c r="AB26" s="30" t="s">
        <v>509</v>
      </c>
      <c r="AC26" s="30">
        <v>40</v>
      </c>
      <c r="AD26" s="30" t="s">
        <v>53</v>
      </c>
      <c r="AE26" s="30" t="s">
        <v>53</v>
      </c>
      <c r="AF26" s="30" t="s">
        <v>53</v>
      </c>
      <c r="AG26" s="30" t="s">
        <v>53</v>
      </c>
      <c r="AH26" s="30" t="s">
        <v>53</v>
      </c>
      <c r="AI26" s="30" t="s">
        <v>945</v>
      </c>
      <c r="AJ26" s="30" t="s">
        <v>142</v>
      </c>
      <c r="AK26" s="30" t="s">
        <v>238</v>
      </c>
      <c r="AL26" s="30" t="s">
        <v>238</v>
      </c>
      <c r="AM26" s="30" t="s">
        <v>53</v>
      </c>
      <c r="AN26" s="30" t="s">
        <v>954</v>
      </c>
      <c r="AO26" s="30" t="s">
        <v>53</v>
      </c>
      <c r="AP26" s="30" t="s">
        <v>53</v>
      </c>
      <c r="AQ26" s="30" t="s">
        <v>53</v>
      </c>
      <c r="AR26" s="30" t="s">
        <v>53</v>
      </c>
      <c r="AS26" s="30" t="s">
        <v>53</v>
      </c>
      <c r="AT26" s="30" t="s">
        <v>1025</v>
      </c>
      <c r="AU26" s="30" t="s">
        <v>53</v>
      </c>
      <c r="AV26" s="34">
        <v>168697205343</v>
      </c>
    </row>
    <row r="27" spans="2:48" ht="15" customHeight="1">
      <c r="B27" s="28">
        <v>21</v>
      </c>
      <c r="C27" s="29" t="s">
        <v>1026</v>
      </c>
      <c r="D27" s="30" t="s">
        <v>53</v>
      </c>
      <c r="E27" s="31" t="s">
        <v>1027</v>
      </c>
      <c r="F27" s="31" t="s">
        <v>53</v>
      </c>
      <c r="G27" s="32" t="s">
        <v>1028</v>
      </c>
      <c r="H27" s="30" t="s">
        <v>64</v>
      </c>
      <c r="I27" s="30" t="s">
        <v>656</v>
      </c>
      <c r="J27" s="32" t="s">
        <v>657</v>
      </c>
      <c r="K27" s="30" t="s">
        <v>161</v>
      </c>
      <c r="L27" s="32" t="s">
        <v>162</v>
      </c>
      <c r="M27" s="30" t="s">
        <v>953</v>
      </c>
      <c r="N27" s="30" t="s">
        <v>1029</v>
      </c>
      <c r="O27" s="33">
        <v>4</v>
      </c>
      <c r="P27" s="33">
        <v>191376</v>
      </c>
      <c r="Q27" s="33">
        <v>72</v>
      </c>
      <c r="R27" s="33">
        <v>0</v>
      </c>
      <c r="S27" s="33">
        <v>0</v>
      </c>
      <c r="T27" s="33">
        <v>0</v>
      </c>
      <c r="U27" s="33">
        <v>0</v>
      </c>
      <c r="V27" s="33">
        <v>0</v>
      </c>
      <c r="W27" s="33" t="s">
        <v>53</v>
      </c>
      <c r="X27" s="33">
        <v>1</v>
      </c>
      <c r="Y27" s="30" t="s">
        <v>66</v>
      </c>
      <c r="Z27" s="30" t="s">
        <v>153</v>
      </c>
      <c r="AA27" s="30" t="s">
        <v>167</v>
      </c>
      <c r="AB27" s="30" t="s">
        <v>508</v>
      </c>
      <c r="AC27" s="30"/>
      <c r="AD27" s="30" t="s">
        <v>520</v>
      </c>
      <c r="AE27" s="30" t="s">
        <v>53</v>
      </c>
      <c r="AF27" s="30" t="s">
        <v>53</v>
      </c>
      <c r="AG27" s="30" t="s">
        <v>53</v>
      </c>
      <c r="AH27" s="30" t="s">
        <v>53</v>
      </c>
      <c r="AI27" s="30" t="s">
        <v>945</v>
      </c>
      <c r="AJ27" s="30" t="s">
        <v>142</v>
      </c>
      <c r="AK27" s="30" t="s">
        <v>1030</v>
      </c>
      <c r="AL27" s="30" t="s">
        <v>164</v>
      </c>
      <c r="AM27" s="30" t="s">
        <v>53</v>
      </c>
      <c r="AN27" s="30" t="s">
        <v>954</v>
      </c>
      <c r="AO27" s="30" t="s">
        <v>53</v>
      </c>
      <c r="AP27" s="30" t="s">
        <v>53</v>
      </c>
      <c r="AQ27" s="30" t="s">
        <v>53</v>
      </c>
      <c r="AR27" s="30" t="s">
        <v>53</v>
      </c>
      <c r="AS27" s="30" t="s">
        <v>53</v>
      </c>
      <c r="AT27" s="30" t="s">
        <v>946</v>
      </c>
      <c r="AU27" s="30" t="s">
        <v>53</v>
      </c>
      <c r="AV27" s="34">
        <v>168676007575</v>
      </c>
    </row>
    <row r="28" spans="2:48" ht="15" customHeight="1">
      <c r="B28" s="28">
        <v>22</v>
      </c>
      <c r="C28" s="29" t="s">
        <v>1031</v>
      </c>
      <c r="D28" s="30" t="s">
        <v>53</v>
      </c>
      <c r="E28" s="31" t="s">
        <v>1032</v>
      </c>
      <c r="F28" s="31" t="s">
        <v>53</v>
      </c>
      <c r="G28" s="32" t="s">
        <v>1033</v>
      </c>
      <c r="H28" s="30" t="s">
        <v>64</v>
      </c>
      <c r="I28" s="30" t="s">
        <v>618</v>
      </c>
      <c r="J28" s="32" t="s">
        <v>619</v>
      </c>
      <c r="K28" s="30" t="s">
        <v>310</v>
      </c>
      <c r="L28" s="32" t="s">
        <v>311</v>
      </c>
      <c r="M28" s="30" t="s">
        <v>953</v>
      </c>
      <c r="N28" s="30" t="s">
        <v>974</v>
      </c>
      <c r="O28" s="33">
        <v>2</v>
      </c>
      <c r="P28" s="33">
        <v>29359</v>
      </c>
      <c r="Q28" s="33">
        <v>0</v>
      </c>
      <c r="R28" s="33">
        <v>0</v>
      </c>
      <c r="S28" s="33">
        <v>2</v>
      </c>
      <c r="T28" s="33">
        <v>2</v>
      </c>
      <c r="U28" s="33">
        <v>0</v>
      </c>
      <c r="V28" s="33">
        <v>0</v>
      </c>
      <c r="W28" s="33" t="s">
        <v>53</v>
      </c>
      <c r="X28" s="33">
        <v>1</v>
      </c>
      <c r="Y28" s="30" t="s">
        <v>66</v>
      </c>
      <c r="Z28" s="30" t="s">
        <v>153</v>
      </c>
      <c r="AA28" s="30" t="s">
        <v>167</v>
      </c>
      <c r="AB28" s="30" t="s">
        <v>509</v>
      </c>
      <c r="AC28" s="30">
        <v>37</v>
      </c>
      <c r="AD28" s="30" t="s">
        <v>53</v>
      </c>
      <c r="AE28" s="30" t="s">
        <v>53</v>
      </c>
      <c r="AF28" s="30" t="s">
        <v>53</v>
      </c>
      <c r="AG28" s="30" t="s">
        <v>53</v>
      </c>
      <c r="AH28" s="30" t="s">
        <v>53</v>
      </c>
      <c r="AI28" s="30" t="s">
        <v>945</v>
      </c>
      <c r="AJ28" s="30" t="s">
        <v>53</v>
      </c>
      <c r="AK28" s="30" t="s">
        <v>53</v>
      </c>
      <c r="AL28" s="30" t="s">
        <v>53</v>
      </c>
      <c r="AM28" s="30" t="s">
        <v>53</v>
      </c>
      <c r="AN28" s="30" t="s">
        <v>954</v>
      </c>
      <c r="AO28" s="30" t="s">
        <v>53</v>
      </c>
      <c r="AP28" s="30" t="s">
        <v>53</v>
      </c>
      <c r="AQ28" s="30" t="s">
        <v>53</v>
      </c>
      <c r="AR28" s="30" t="s">
        <v>53</v>
      </c>
      <c r="AS28" s="30" t="s">
        <v>53</v>
      </c>
      <c r="AT28" s="30" t="s">
        <v>946</v>
      </c>
      <c r="AU28" s="30" t="s">
        <v>53</v>
      </c>
      <c r="AV28" s="34">
        <v>168661749743</v>
      </c>
    </row>
    <row r="29" spans="2:48" ht="15" customHeight="1">
      <c r="B29" s="28">
        <v>23</v>
      </c>
      <c r="C29" s="29" t="s">
        <v>1034</v>
      </c>
      <c r="D29" s="30" t="s">
        <v>53</v>
      </c>
      <c r="E29" s="31" t="s">
        <v>1035</v>
      </c>
      <c r="F29" s="31" t="s">
        <v>53</v>
      </c>
      <c r="G29" s="32" t="s">
        <v>1036</v>
      </c>
      <c r="H29" s="30" t="s">
        <v>76</v>
      </c>
      <c r="I29" s="30" t="s">
        <v>687</v>
      </c>
      <c r="J29" s="32" t="s">
        <v>688</v>
      </c>
      <c r="K29" s="30" t="s">
        <v>173</v>
      </c>
      <c r="L29" s="32" t="s">
        <v>174</v>
      </c>
      <c r="M29" s="30" t="s">
        <v>953</v>
      </c>
      <c r="N29" s="30" t="s">
        <v>1029</v>
      </c>
      <c r="O29" s="33"/>
      <c r="P29" s="33">
        <v>311</v>
      </c>
      <c r="Q29" s="33">
        <v>13</v>
      </c>
      <c r="R29" s="33">
        <v>0</v>
      </c>
      <c r="S29" s="33">
        <v>0</v>
      </c>
      <c r="T29" s="33">
        <v>0</v>
      </c>
      <c r="U29" s="33">
        <v>0</v>
      </c>
      <c r="V29" s="33">
        <v>0</v>
      </c>
      <c r="W29" s="33" t="s">
        <v>53</v>
      </c>
      <c r="X29" s="33">
        <v>1</v>
      </c>
      <c r="Y29" s="30" t="s">
        <v>66</v>
      </c>
      <c r="Z29" s="30" t="s">
        <v>167</v>
      </c>
      <c r="AA29" s="30" t="s">
        <v>167</v>
      </c>
      <c r="AB29" s="30" t="s">
        <v>509</v>
      </c>
      <c r="AC29" s="30"/>
      <c r="AD29" s="30" t="s">
        <v>53</v>
      </c>
      <c r="AE29" s="30" t="s">
        <v>53</v>
      </c>
      <c r="AF29" s="30" t="s">
        <v>53</v>
      </c>
      <c r="AG29" s="30" t="s">
        <v>53</v>
      </c>
      <c r="AH29" s="30" t="s">
        <v>53</v>
      </c>
      <c r="AI29" s="30" t="s">
        <v>945</v>
      </c>
      <c r="AJ29" s="30" t="s">
        <v>53</v>
      </c>
      <c r="AK29" s="30" t="s">
        <v>53</v>
      </c>
      <c r="AL29" s="30" t="s">
        <v>53</v>
      </c>
      <c r="AM29" s="30" t="s">
        <v>44</v>
      </c>
      <c r="AN29" s="30" t="s">
        <v>954</v>
      </c>
      <c r="AO29" s="30" t="s">
        <v>53</v>
      </c>
      <c r="AP29" s="30" t="s">
        <v>53</v>
      </c>
      <c r="AQ29" s="30" t="s">
        <v>53</v>
      </c>
      <c r="AR29" s="30" t="s">
        <v>53</v>
      </c>
      <c r="AS29" s="30" t="s">
        <v>53</v>
      </c>
      <c r="AT29" s="30" t="s">
        <v>946</v>
      </c>
      <c r="AU29" s="30" t="s">
        <v>53</v>
      </c>
      <c r="AV29" s="34">
        <v>168689198118</v>
      </c>
    </row>
    <row r="30" spans="2:48" ht="15" customHeight="1">
      <c r="B30" s="28">
        <v>24</v>
      </c>
      <c r="C30" s="29" t="s">
        <v>1037</v>
      </c>
      <c r="D30" s="30" t="s">
        <v>1038</v>
      </c>
      <c r="E30" s="31" t="s">
        <v>1039</v>
      </c>
      <c r="F30" s="31" t="s">
        <v>53</v>
      </c>
      <c r="G30" s="32" t="s">
        <v>1040</v>
      </c>
      <c r="H30" s="30" t="s">
        <v>76</v>
      </c>
      <c r="I30" s="30" t="s">
        <v>173</v>
      </c>
      <c r="J30" s="32" t="s">
        <v>174</v>
      </c>
      <c r="K30" s="30" t="s">
        <v>173</v>
      </c>
      <c r="L30" s="32" t="s">
        <v>174</v>
      </c>
      <c r="M30" s="30" t="s">
        <v>942</v>
      </c>
      <c r="N30" s="30" t="s">
        <v>943</v>
      </c>
      <c r="O30" s="33"/>
      <c r="P30" s="33">
        <v>311</v>
      </c>
      <c r="Q30" s="33">
        <v>311</v>
      </c>
      <c r="R30" s="33">
        <v>848</v>
      </c>
      <c r="S30" s="33">
        <v>14</v>
      </c>
      <c r="T30" s="33">
        <v>0</v>
      </c>
      <c r="U30" s="33">
        <v>14</v>
      </c>
      <c r="V30" s="33">
        <v>0</v>
      </c>
      <c r="W30" s="33" t="s">
        <v>53</v>
      </c>
      <c r="X30" s="33">
        <v>1</v>
      </c>
      <c r="Y30" s="30" t="s">
        <v>66</v>
      </c>
      <c r="Z30" s="30" t="s">
        <v>167</v>
      </c>
      <c r="AA30" s="30" t="s">
        <v>167</v>
      </c>
      <c r="AB30" s="30"/>
      <c r="AC30" s="30"/>
      <c r="AD30" s="30" t="s">
        <v>53</v>
      </c>
      <c r="AE30" s="30" t="s">
        <v>53</v>
      </c>
      <c r="AF30" s="30" t="s">
        <v>53</v>
      </c>
      <c r="AG30" s="30" t="s">
        <v>53</v>
      </c>
      <c r="AH30" s="30" t="s">
        <v>53</v>
      </c>
      <c r="AI30" s="30" t="s">
        <v>945</v>
      </c>
      <c r="AJ30" s="30" t="s">
        <v>142</v>
      </c>
      <c r="AK30" s="30" t="s">
        <v>1041</v>
      </c>
      <c r="AL30" s="30" t="s">
        <v>176</v>
      </c>
      <c r="AM30" s="30" t="s">
        <v>53</v>
      </c>
      <c r="AN30" s="30" t="s">
        <v>53</v>
      </c>
      <c r="AO30" s="30" t="s">
        <v>53</v>
      </c>
      <c r="AP30" s="30" t="s">
        <v>53</v>
      </c>
      <c r="AQ30" s="30" t="s">
        <v>53</v>
      </c>
      <c r="AR30" s="30" t="s">
        <v>53</v>
      </c>
      <c r="AS30" s="30" t="s">
        <v>53</v>
      </c>
      <c r="AT30" s="30" t="s">
        <v>946</v>
      </c>
      <c r="AU30" s="30" t="s">
        <v>53</v>
      </c>
      <c r="AV30" s="34">
        <v>168689221161</v>
      </c>
    </row>
    <row r="31" spans="2:48" ht="15" customHeight="1">
      <c r="B31" s="28">
        <v>25</v>
      </c>
      <c r="C31" s="29" t="s">
        <v>1042</v>
      </c>
      <c r="D31" s="30" t="s">
        <v>53</v>
      </c>
      <c r="E31" s="31" t="s">
        <v>1043</v>
      </c>
      <c r="F31" s="31" t="s">
        <v>53</v>
      </c>
      <c r="G31" s="32" t="s">
        <v>1044</v>
      </c>
      <c r="H31" s="30" t="s">
        <v>70</v>
      </c>
      <c r="I31" s="30" t="s">
        <v>569</v>
      </c>
      <c r="J31" s="32" t="s">
        <v>940</v>
      </c>
      <c r="K31" s="30" t="s">
        <v>150</v>
      </c>
      <c r="L31" s="32" t="s">
        <v>941</v>
      </c>
      <c r="M31" s="30" t="s">
        <v>942</v>
      </c>
      <c r="N31" s="30" t="s">
        <v>943</v>
      </c>
      <c r="O31" s="33"/>
      <c r="P31" s="33">
        <v>4256</v>
      </c>
      <c r="Q31" s="33">
        <v>0</v>
      </c>
      <c r="R31" s="33">
        <v>0</v>
      </c>
      <c r="S31" s="33">
        <v>0</v>
      </c>
      <c r="T31" s="33">
        <v>0</v>
      </c>
      <c r="U31" s="33">
        <v>0</v>
      </c>
      <c r="V31" s="33">
        <v>0</v>
      </c>
      <c r="W31" s="33" t="s">
        <v>53</v>
      </c>
      <c r="X31" s="33">
        <v>1</v>
      </c>
      <c r="Y31" s="30" t="s">
        <v>72</v>
      </c>
      <c r="Z31" s="30" t="s">
        <v>153</v>
      </c>
      <c r="AA31" s="30" t="s">
        <v>167</v>
      </c>
      <c r="AB31" s="30" t="s">
        <v>508</v>
      </c>
      <c r="AC31" s="30"/>
      <c r="AD31" s="30" t="s">
        <v>53</v>
      </c>
      <c r="AE31" s="30" t="s">
        <v>53</v>
      </c>
      <c r="AF31" s="30" t="s">
        <v>944</v>
      </c>
      <c r="AG31" s="30" t="s">
        <v>53</v>
      </c>
      <c r="AH31" s="30" t="s">
        <v>53</v>
      </c>
      <c r="AI31" s="30" t="s">
        <v>945</v>
      </c>
      <c r="AJ31" s="30" t="s">
        <v>53</v>
      </c>
      <c r="AK31" s="30" t="s">
        <v>53</v>
      </c>
      <c r="AL31" s="30" t="s">
        <v>53</v>
      </c>
      <c r="AM31" s="30" t="s">
        <v>53</v>
      </c>
      <c r="AN31" s="30" t="s">
        <v>53</v>
      </c>
      <c r="AO31" s="30" t="s">
        <v>53</v>
      </c>
      <c r="AP31" s="30" t="s">
        <v>53</v>
      </c>
      <c r="AQ31" s="30" t="s">
        <v>53</v>
      </c>
      <c r="AR31" s="30" t="s">
        <v>53</v>
      </c>
      <c r="AS31" s="30" t="s">
        <v>53</v>
      </c>
      <c r="AT31" s="30" t="s">
        <v>946</v>
      </c>
      <c r="AU31" s="30" t="s">
        <v>53</v>
      </c>
      <c r="AV31" s="34">
        <v>168651640831</v>
      </c>
    </row>
    <row r="32" spans="2:48" ht="15" customHeight="1">
      <c r="B32" s="28">
        <v>26</v>
      </c>
      <c r="C32" s="29" t="s">
        <v>1045</v>
      </c>
      <c r="D32" s="30" t="s">
        <v>53</v>
      </c>
      <c r="E32" s="31" t="s">
        <v>1046</v>
      </c>
      <c r="F32" s="31" t="s">
        <v>53</v>
      </c>
      <c r="G32" s="32" t="s">
        <v>1047</v>
      </c>
      <c r="H32" s="30" t="s">
        <v>70</v>
      </c>
      <c r="I32" s="30" t="s">
        <v>660</v>
      </c>
      <c r="J32" s="32" t="s">
        <v>1048</v>
      </c>
      <c r="K32" s="30" t="s">
        <v>439</v>
      </c>
      <c r="L32" s="32" t="s">
        <v>1049</v>
      </c>
      <c r="M32" s="30" t="s">
        <v>953</v>
      </c>
      <c r="N32" s="30" t="s">
        <v>943</v>
      </c>
      <c r="O32" s="33">
        <v>5</v>
      </c>
      <c r="P32" s="33">
        <v>8352</v>
      </c>
      <c r="Q32" s="33">
        <v>0</v>
      </c>
      <c r="R32" s="33">
        <v>0</v>
      </c>
      <c r="S32" s="33">
        <v>0</v>
      </c>
      <c r="T32" s="33">
        <v>0</v>
      </c>
      <c r="U32" s="33">
        <v>0</v>
      </c>
      <c r="V32" s="33">
        <v>0</v>
      </c>
      <c r="W32" s="33" t="s">
        <v>53</v>
      </c>
      <c r="X32" s="33">
        <v>1</v>
      </c>
      <c r="Y32" s="30" t="s">
        <v>83</v>
      </c>
      <c r="Z32" s="30" t="s">
        <v>153</v>
      </c>
      <c r="AA32" s="30" t="s">
        <v>156</v>
      </c>
      <c r="AB32" s="30" t="s">
        <v>509</v>
      </c>
      <c r="AC32" s="30"/>
      <c r="AD32" s="30" t="s">
        <v>53</v>
      </c>
      <c r="AE32" s="30" t="s">
        <v>53</v>
      </c>
      <c r="AF32" s="30" t="s">
        <v>53</v>
      </c>
      <c r="AG32" s="30" t="s">
        <v>53</v>
      </c>
      <c r="AH32" s="30" t="s">
        <v>53</v>
      </c>
      <c r="AI32" s="30" t="s">
        <v>945</v>
      </c>
      <c r="AJ32" s="30" t="s">
        <v>53</v>
      </c>
      <c r="AK32" s="30" t="s">
        <v>53</v>
      </c>
      <c r="AL32" s="30" t="s">
        <v>53</v>
      </c>
      <c r="AM32" s="30" t="s">
        <v>53</v>
      </c>
      <c r="AN32" s="30" t="s">
        <v>954</v>
      </c>
      <c r="AO32" s="30" t="s">
        <v>53</v>
      </c>
      <c r="AP32" s="30" t="s">
        <v>53</v>
      </c>
      <c r="AQ32" s="30" t="s">
        <v>53</v>
      </c>
      <c r="AR32" s="30" t="s">
        <v>53</v>
      </c>
      <c r="AS32" s="30" t="s">
        <v>53</v>
      </c>
      <c r="AT32" s="30" t="s">
        <v>946</v>
      </c>
      <c r="AU32" s="30" t="s">
        <v>53</v>
      </c>
      <c r="AV32" s="34">
        <v>168684113171</v>
      </c>
    </row>
    <row r="33" spans="2:48" ht="15" customHeight="1">
      <c r="B33" s="28">
        <v>27</v>
      </c>
      <c r="C33" s="29" t="s">
        <v>1050</v>
      </c>
      <c r="D33" s="30" t="s">
        <v>53</v>
      </c>
      <c r="E33" s="31" t="s">
        <v>1051</v>
      </c>
      <c r="F33" s="31" t="s">
        <v>53</v>
      </c>
      <c r="G33" s="32" t="s">
        <v>1052</v>
      </c>
      <c r="H33" s="30" t="s">
        <v>70</v>
      </c>
      <c r="I33" s="30" t="s">
        <v>569</v>
      </c>
      <c r="J33" s="32" t="s">
        <v>940</v>
      </c>
      <c r="K33" s="30" t="s">
        <v>150</v>
      </c>
      <c r="L33" s="32" t="s">
        <v>941</v>
      </c>
      <c r="M33" s="30" t="s">
        <v>942</v>
      </c>
      <c r="N33" s="30" t="s">
        <v>943</v>
      </c>
      <c r="O33" s="33"/>
      <c r="P33" s="33">
        <v>4256</v>
      </c>
      <c r="Q33" s="33">
        <v>0</v>
      </c>
      <c r="R33" s="33">
        <v>0</v>
      </c>
      <c r="S33" s="33">
        <v>0</v>
      </c>
      <c r="T33" s="33">
        <v>0</v>
      </c>
      <c r="U33" s="33">
        <v>0</v>
      </c>
      <c r="V33" s="33">
        <v>0</v>
      </c>
      <c r="W33" s="33" t="s">
        <v>53</v>
      </c>
      <c r="X33" s="33">
        <v>1</v>
      </c>
      <c r="Y33" s="30" t="s">
        <v>72</v>
      </c>
      <c r="Z33" s="30" t="s">
        <v>153</v>
      </c>
      <c r="AA33" s="30" t="s">
        <v>167</v>
      </c>
      <c r="AB33" s="30" t="s">
        <v>508</v>
      </c>
      <c r="AC33" s="30"/>
      <c r="AD33" s="30" t="s">
        <v>53</v>
      </c>
      <c r="AE33" s="30" t="s">
        <v>53</v>
      </c>
      <c r="AF33" s="30" t="s">
        <v>944</v>
      </c>
      <c r="AG33" s="30" t="s">
        <v>53</v>
      </c>
      <c r="AH33" s="30" t="s">
        <v>53</v>
      </c>
      <c r="AI33" s="30" t="s">
        <v>945</v>
      </c>
      <c r="AJ33" s="30" t="s">
        <v>53</v>
      </c>
      <c r="AK33" s="30" t="s">
        <v>53</v>
      </c>
      <c r="AL33" s="30" t="s">
        <v>53</v>
      </c>
      <c r="AM33" s="30" t="s">
        <v>53</v>
      </c>
      <c r="AN33" s="30" t="s">
        <v>53</v>
      </c>
      <c r="AO33" s="30" t="s">
        <v>53</v>
      </c>
      <c r="AP33" s="30" t="s">
        <v>53</v>
      </c>
      <c r="AQ33" s="30" t="s">
        <v>53</v>
      </c>
      <c r="AR33" s="30" t="s">
        <v>53</v>
      </c>
      <c r="AS33" s="30" t="s">
        <v>53</v>
      </c>
      <c r="AT33" s="30" t="s">
        <v>946</v>
      </c>
      <c r="AU33" s="30" t="s">
        <v>53</v>
      </c>
      <c r="AV33" s="34">
        <v>168646960105</v>
      </c>
    </row>
    <row r="34" spans="2:48" ht="15" customHeight="1">
      <c r="B34" s="28">
        <v>28</v>
      </c>
      <c r="C34" s="29" t="s">
        <v>1053</v>
      </c>
      <c r="D34" s="30" t="s">
        <v>53</v>
      </c>
      <c r="E34" s="31" t="s">
        <v>1054</v>
      </c>
      <c r="F34" s="31" t="s">
        <v>53</v>
      </c>
      <c r="G34" s="32" t="s">
        <v>1055</v>
      </c>
      <c r="H34" s="30" t="s">
        <v>64</v>
      </c>
      <c r="I34" s="30" t="s">
        <v>636</v>
      </c>
      <c r="J34" s="32" t="s">
        <v>637</v>
      </c>
      <c r="K34" s="30" t="s">
        <v>161</v>
      </c>
      <c r="L34" s="32" t="s">
        <v>162</v>
      </c>
      <c r="M34" s="30" t="s">
        <v>953</v>
      </c>
      <c r="N34" s="30" t="s">
        <v>943</v>
      </c>
      <c r="O34" s="33">
        <v>4</v>
      </c>
      <c r="P34" s="33">
        <v>191376</v>
      </c>
      <c r="Q34" s="33">
        <v>152</v>
      </c>
      <c r="R34" s="33">
        <v>0</v>
      </c>
      <c r="S34" s="33">
        <v>0</v>
      </c>
      <c r="T34" s="33">
        <v>0</v>
      </c>
      <c r="U34" s="33">
        <v>0</v>
      </c>
      <c r="V34" s="33">
        <v>0</v>
      </c>
      <c r="W34" s="33" t="s">
        <v>53</v>
      </c>
      <c r="X34" s="33">
        <v>1</v>
      </c>
      <c r="Y34" s="30" t="s">
        <v>66</v>
      </c>
      <c r="Z34" s="30" t="s">
        <v>153</v>
      </c>
      <c r="AA34" s="30" t="s">
        <v>167</v>
      </c>
      <c r="AB34" s="30" t="s">
        <v>509</v>
      </c>
      <c r="AC34" s="30">
        <v>62</v>
      </c>
      <c r="AD34" s="30" t="s">
        <v>53</v>
      </c>
      <c r="AE34" s="30" t="s">
        <v>53</v>
      </c>
      <c r="AF34" s="30" t="s">
        <v>53</v>
      </c>
      <c r="AG34" s="30" t="s">
        <v>53</v>
      </c>
      <c r="AH34" s="30" t="s">
        <v>53</v>
      </c>
      <c r="AI34" s="30" t="s">
        <v>945</v>
      </c>
      <c r="AJ34" s="30" t="s">
        <v>142</v>
      </c>
      <c r="AK34" s="30" t="s">
        <v>1030</v>
      </c>
      <c r="AL34" s="30" t="s">
        <v>164</v>
      </c>
      <c r="AM34" s="30" t="s">
        <v>53</v>
      </c>
      <c r="AN34" s="30" t="s">
        <v>954</v>
      </c>
      <c r="AO34" s="30" t="s">
        <v>53</v>
      </c>
      <c r="AP34" s="30" t="s">
        <v>53</v>
      </c>
      <c r="AQ34" s="30" t="s">
        <v>53</v>
      </c>
      <c r="AR34" s="30" t="s">
        <v>53</v>
      </c>
      <c r="AS34" s="30" t="s">
        <v>53</v>
      </c>
      <c r="AT34" s="30" t="s">
        <v>946</v>
      </c>
      <c r="AU34" s="30" t="s">
        <v>53</v>
      </c>
      <c r="AV34" s="34">
        <v>168639749137</v>
      </c>
    </row>
    <row r="35" spans="2:48" ht="15" customHeight="1">
      <c r="B35" s="28">
        <v>29</v>
      </c>
      <c r="C35" s="29" t="s">
        <v>1056</v>
      </c>
      <c r="D35" s="30" t="s">
        <v>1057</v>
      </c>
      <c r="E35" s="31" t="s">
        <v>1058</v>
      </c>
      <c r="F35" s="31" t="s">
        <v>53</v>
      </c>
      <c r="G35" s="32" t="s">
        <v>1059</v>
      </c>
      <c r="H35" s="30" t="s">
        <v>96</v>
      </c>
      <c r="I35" s="30" t="s">
        <v>776</v>
      </c>
      <c r="J35" s="32" t="s">
        <v>777</v>
      </c>
      <c r="K35" s="30" t="s">
        <v>469</v>
      </c>
      <c r="L35" s="32" t="s">
        <v>470</v>
      </c>
      <c r="M35" s="30" t="s">
        <v>982</v>
      </c>
      <c r="N35" s="30" t="s">
        <v>974</v>
      </c>
      <c r="O35" s="33"/>
      <c r="P35" s="33">
        <v>0</v>
      </c>
      <c r="Q35" s="33">
        <v>0</v>
      </c>
      <c r="R35" s="33">
        <v>0</v>
      </c>
      <c r="S35" s="33">
        <v>0</v>
      </c>
      <c r="T35" s="33">
        <v>0</v>
      </c>
      <c r="U35" s="33">
        <v>0</v>
      </c>
      <c r="V35" s="33">
        <v>0</v>
      </c>
      <c r="W35" s="33" t="s">
        <v>983</v>
      </c>
      <c r="X35" s="33">
        <v>1</v>
      </c>
      <c r="Y35" s="30" t="s">
        <v>57</v>
      </c>
      <c r="Z35" s="30" t="s">
        <v>156</v>
      </c>
      <c r="AA35" s="30" t="s">
        <v>156</v>
      </c>
      <c r="AB35" s="30"/>
      <c r="AC35" s="30"/>
      <c r="AD35" s="30" t="s">
        <v>53</v>
      </c>
      <c r="AE35" s="30" t="s">
        <v>53</v>
      </c>
      <c r="AF35" s="30" t="s">
        <v>53</v>
      </c>
      <c r="AG35" s="30" t="s">
        <v>53</v>
      </c>
      <c r="AH35" s="30" t="s">
        <v>53</v>
      </c>
      <c r="AI35" s="30" t="s">
        <v>945</v>
      </c>
      <c r="AJ35" s="30" t="s">
        <v>142</v>
      </c>
      <c r="AK35" s="30" t="s">
        <v>53</v>
      </c>
      <c r="AL35" s="30" t="s">
        <v>53</v>
      </c>
      <c r="AM35" s="30" t="s">
        <v>53</v>
      </c>
      <c r="AN35" s="30" t="s">
        <v>954</v>
      </c>
      <c r="AO35" s="30" t="s">
        <v>53</v>
      </c>
      <c r="AP35" s="30" t="s">
        <v>53</v>
      </c>
      <c r="AQ35" s="30" t="s">
        <v>53</v>
      </c>
      <c r="AR35" s="30" t="s">
        <v>53</v>
      </c>
      <c r="AS35" s="30" t="s">
        <v>53</v>
      </c>
      <c r="AT35" s="30" t="s">
        <v>946</v>
      </c>
      <c r="AU35" s="30" t="s">
        <v>139</v>
      </c>
      <c r="AV35" s="34">
        <v>168634985463</v>
      </c>
    </row>
    <row r="36" spans="2:48" ht="15" customHeight="1">
      <c r="B36" s="28">
        <v>30</v>
      </c>
      <c r="C36" s="29" t="s">
        <v>1060</v>
      </c>
      <c r="D36" s="30" t="s">
        <v>53</v>
      </c>
      <c r="E36" s="31" t="s">
        <v>1061</v>
      </c>
      <c r="F36" s="31" t="s">
        <v>53</v>
      </c>
      <c r="G36" s="32" t="s">
        <v>1062</v>
      </c>
      <c r="H36" s="30" t="s">
        <v>64</v>
      </c>
      <c r="I36" s="30" t="s">
        <v>774</v>
      </c>
      <c r="J36" s="32" t="s">
        <v>775</v>
      </c>
      <c r="K36" s="30" t="s">
        <v>197</v>
      </c>
      <c r="L36" s="32" t="s">
        <v>199</v>
      </c>
      <c r="M36" s="30" t="s">
        <v>953</v>
      </c>
      <c r="N36" s="30" t="s">
        <v>974</v>
      </c>
      <c r="O36" s="33">
        <v>2</v>
      </c>
      <c r="P36" s="33">
        <v>153200</v>
      </c>
      <c r="Q36" s="33">
        <v>0</v>
      </c>
      <c r="R36" s="33">
        <v>0</v>
      </c>
      <c r="S36" s="33">
        <v>0</v>
      </c>
      <c r="T36" s="33">
        <v>0</v>
      </c>
      <c r="U36" s="33">
        <v>0</v>
      </c>
      <c r="V36" s="33">
        <v>0</v>
      </c>
      <c r="W36" s="33" t="s">
        <v>53</v>
      </c>
      <c r="X36" s="33">
        <v>1</v>
      </c>
      <c r="Y36" s="30" t="s">
        <v>66</v>
      </c>
      <c r="Z36" s="30" t="s">
        <v>153</v>
      </c>
      <c r="AA36" s="30" t="s">
        <v>167</v>
      </c>
      <c r="AB36" s="30"/>
      <c r="AC36" s="30"/>
      <c r="AD36" s="30" t="s">
        <v>53</v>
      </c>
      <c r="AE36" s="30" t="s">
        <v>53</v>
      </c>
      <c r="AF36" s="30" t="s">
        <v>53</v>
      </c>
      <c r="AG36" s="30" t="s">
        <v>53</v>
      </c>
      <c r="AH36" s="30" t="s">
        <v>53</v>
      </c>
      <c r="AI36" s="30" t="s">
        <v>945</v>
      </c>
      <c r="AJ36" s="30" t="s">
        <v>142</v>
      </c>
      <c r="AK36" s="30" t="s">
        <v>1063</v>
      </c>
      <c r="AL36" s="30" t="s">
        <v>201</v>
      </c>
      <c r="AM36" s="30" t="s">
        <v>53</v>
      </c>
      <c r="AN36" s="30" t="s">
        <v>954</v>
      </c>
      <c r="AO36" s="30" t="s">
        <v>53</v>
      </c>
      <c r="AP36" s="30" t="s">
        <v>53</v>
      </c>
      <c r="AQ36" s="30" t="s">
        <v>53</v>
      </c>
      <c r="AR36" s="30" t="s">
        <v>53</v>
      </c>
      <c r="AS36" s="30" t="s">
        <v>53</v>
      </c>
      <c r="AT36" s="30" t="s">
        <v>1012</v>
      </c>
      <c r="AU36" s="30" t="s">
        <v>53</v>
      </c>
      <c r="AV36" s="34">
        <v>168631404401</v>
      </c>
    </row>
    <row r="37" spans="2:48" ht="15" customHeight="1">
      <c r="B37" s="28">
        <v>31</v>
      </c>
      <c r="C37" s="29" t="s">
        <v>1064</v>
      </c>
      <c r="D37" s="30" t="s">
        <v>53</v>
      </c>
      <c r="E37" s="31" t="s">
        <v>1065</v>
      </c>
      <c r="F37" s="31" t="s">
        <v>53</v>
      </c>
      <c r="G37" s="32" t="s">
        <v>1066</v>
      </c>
      <c r="H37" s="30" t="s">
        <v>64</v>
      </c>
      <c r="I37" s="30" t="s">
        <v>572</v>
      </c>
      <c r="J37" s="32" t="s">
        <v>573</v>
      </c>
      <c r="K37" s="30" t="s">
        <v>205</v>
      </c>
      <c r="L37" s="32" t="s">
        <v>207</v>
      </c>
      <c r="M37" s="30" t="s">
        <v>953</v>
      </c>
      <c r="N37" s="30" t="s">
        <v>974</v>
      </c>
      <c r="O37" s="33">
        <v>1</v>
      </c>
      <c r="P37" s="33">
        <v>15658</v>
      </c>
      <c r="Q37" s="33">
        <v>0</v>
      </c>
      <c r="R37" s="33">
        <v>0</v>
      </c>
      <c r="S37" s="33">
        <v>0</v>
      </c>
      <c r="T37" s="33">
        <v>0</v>
      </c>
      <c r="U37" s="33">
        <v>0</v>
      </c>
      <c r="V37" s="33">
        <v>0</v>
      </c>
      <c r="W37" s="33" t="s">
        <v>53</v>
      </c>
      <c r="X37" s="33">
        <v>1</v>
      </c>
      <c r="Y37" s="30" t="s">
        <v>66</v>
      </c>
      <c r="Z37" s="30" t="s">
        <v>153</v>
      </c>
      <c r="AA37" s="30" t="s">
        <v>167</v>
      </c>
      <c r="AB37" s="30" t="s">
        <v>509</v>
      </c>
      <c r="AC37" s="30">
        <v>47</v>
      </c>
      <c r="AD37" s="30" t="s">
        <v>53</v>
      </c>
      <c r="AE37" s="30" t="s">
        <v>53</v>
      </c>
      <c r="AF37" s="30" t="s">
        <v>53</v>
      </c>
      <c r="AG37" s="30" t="s">
        <v>53</v>
      </c>
      <c r="AH37" s="30" t="s">
        <v>53</v>
      </c>
      <c r="AI37" s="30" t="s">
        <v>945</v>
      </c>
      <c r="AJ37" s="30" t="s">
        <v>142</v>
      </c>
      <c r="AK37" s="30" t="s">
        <v>1067</v>
      </c>
      <c r="AL37" s="30" t="s">
        <v>209</v>
      </c>
      <c r="AM37" s="30" t="s">
        <v>53</v>
      </c>
      <c r="AN37" s="30" t="s">
        <v>954</v>
      </c>
      <c r="AO37" s="30" t="s">
        <v>53</v>
      </c>
      <c r="AP37" s="30" t="s">
        <v>53</v>
      </c>
      <c r="AQ37" s="30" t="s">
        <v>53</v>
      </c>
      <c r="AR37" s="30" t="s">
        <v>53</v>
      </c>
      <c r="AS37" s="30" t="s">
        <v>53</v>
      </c>
      <c r="AT37" s="30" t="s">
        <v>946</v>
      </c>
      <c r="AU37" s="30" t="s">
        <v>53</v>
      </c>
      <c r="AV37" s="34">
        <v>168625692639</v>
      </c>
    </row>
    <row r="38" spans="2:48" ht="15" customHeight="1">
      <c r="B38" s="28">
        <v>32</v>
      </c>
      <c r="C38" s="29" t="s">
        <v>1068</v>
      </c>
      <c r="D38" s="30" t="s">
        <v>53</v>
      </c>
      <c r="E38" s="31" t="s">
        <v>1069</v>
      </c>
      <c r="F38" s="31" t="s">
        <v>53</v>
      </c>
      <c r="G38" s="32" t="s">
        <v>1070</v>
      </c>
      <c r="H38" s="30" t="s">
        <v>64</v>
      </c>
      <c r="I38" s="30" t="s">
        <v>592</v>
      </c>
      <c r="J38" s="32" t="s">
        <v>593</v>
      </c>
      <c r="K38" s="30" t="s">
        <v>202</v>
      </c>
      <c r="L38" s="32" t="s">
        <v>203</v>
      </c>
      <c r="M38" s="30" t="s">
        <v>953</v>
      </c>
      <c r="N38" s="30" t="s">
        <v>974</v>
      </c>
      <c r="O38" s="33">
        <v>1</v>
      </c>
      <c r="P38" s="33">
        <v>6100</v>
      </c>
      <c r="Q38" s="33">
        <v>0</v>
      </c>
      <c r="R38" s="33">
        <v>0</v>
      </c>
      <c r="S38" s="33">
        <v>0</v>
      </c>
      <c r="T38" s="33">
        <v>0</v>
      </c>
      <c r="U38" s="33">
        <v>0</v>
      </c>
      <c r="V38" s="33">
        <v>0</v>
      </c>
      <c r="W38" s="33" t="s">
        <v>53</v>
      </c>
      <c r="X38" s="33">
        <v>1</v>
      </c>
      <c r="Y38" s="30" t="s">
        <v>66</v>
      </c>
      <c r="Z38" s="30" t="s">
        <v>153</v>
      </c>
      <c r="AA38" s="30" t="s">
        <v>167</v>
      </c>
      <c r="AB38" s="30" t="s">
        <v>509</v>
      </c>
      <c r="AC38" s="30">
        <v>36</v>
      </c>
      <c r="AD38" s="30" t="s">
        <v>53</v>
      </c>
      <c r="AE38" s="30" t="s">
        <v>53</v>
      </c>
      <c r="AF38" s="30" t="s">
        <v>53</v>
      </c>
      <c r="AG38" s="30" t="s">
        <v>53</v>
      </c>
      <c r="AH38" s="30" t="s">
        <v>53</v>
      </c>
      <c r="AI38" s="30" t="s">
        <v>945</v>
      </c>
      <c r="AJ38" s="30" t="s">
        <v>142</v>
      </c>
      <c r="AK38" s="30" t="s">
        <v>1071</v>
      </c>
      <c r="AL38" s="30" t="s">
        <v>204</v>
      </c>
      <c r="AM38" s="30" t="s">
        <v>53</v>
      </c>
      <c r="AN38" s="30" t="s">
        <v>954</v>
      </c>
      <c r="AO38" s="30" t="s">
        <v>53</v>
      </c>
      <c r="AP38" s="30" t="s">
        <v>53</v>
      </c>
      <c r="AQ38" s="30" t="s">
        <v>53</v>
      </c>
      <c r="AR38" s="30" t="s">
        <v>53</v>
      </c>
      <c r="AS38" s="30" t="s">
        <v>53</v>
      </c>
      <c r="AT38" s="30" t="s">
        <v>946</v>
      </c>
      <c r="AU38" s="30" t="s">
        <v>53</v>
      </c>
      <c r="AV38" s="34">
        <v>168625704398</v>
      </c>
    </row>
    <row r="39" spans="2:48" ht="15" customHeight="1">
      <c r="B39" s="28">
        <v>33</v>
      </c>
      <c r="C39" s="29" t="s">
        <v>1072</v>
      </c>
      <c r="D39" s="30" t="s">
        <v>1073</v>
      </c>
      <c r="E39" s="31" t="s">
        <v>1073</v>
      </c>
      <c r="F39" s="31" t="s">
        <v>1074</v>
      </c>
      <c r="G39" s="32" t="s">
        <v>1075</v>
      </c>
      <c r="H39" s="30" t="s">
        <v>78</v>
      </c>
      <c r="I39" s="30" t="s">
        <v>165</v>
      </c>
      <c r="J39" s="32" t="s">
        <v>166</v>
      </c>
      <c r="K39" s="30" t="s">
        <v>165</v>
      </c>
      <c r="L39" s="32" t="s">
        <v>166</v>
      </c>
      <c r="M39" s="30" t="s">
        <v>942</v>
      </c>
      <c r="N39" s="30" t="s">
        <v>943</v>
      </c>
      <c r="O39" s="33"/>
      <c r="P39" s="33">
        <v>324</v>
      </c>
      <c r="Q39" s="33">
        <v>324</v>
      </c>
      <c r="R39" s="33">
        <v>0</v>
      </c>
      <c r="S39" s="33">
        <v>0</v>
      </c>
      <c r="T39" s="33">
        <v>0</v>
      </c>
      <c r="U39" s="33">
        <v>0</v>
      </c>
      <c r="V39" s="33">
        <v>0</v>
      </c>
      <c r="W39" s="33" t="s">
        <v>53</v>
      </c>
      <c r="X39" s="33">
        <v>4</v>
      </c>
      <c r="Y39" s="30" t="s">
        <v>66</v>
      </c>
      <c r="Z39" s="30" t="s">
        <v>167</v>
      </c>
      <c r="AA39" s="30" t="s">
        <v>167</v>
      </c>
      <c r="AB39" s="30" t="s">
        <v>508</v>
      </c>
      <c r="AC39" s="30">
        <v>83</v>
      </c>
      <c r="AD39" s="30" t="s">
        <v>53</v>
      </c>
      <c r="AE39" s="30" t="s">
        <v>53</v>
      </c>
      <c r="AF39" s="30" t="s">
        <v>53</v>
      </c>
      <c r="AG39" s="30" t="s">
        <v>53</v>
      </c>
      <c r="AH39" s="30" t="s">
        <v>53</v>
      </c>
      <c r="AI39" s="30" t="s">
        <v>945</v>
      </c>
      <c r="AJ39" s="30" t="s">
        <v>142</v>
      </c>
      <c r="AK39" s="30" t="s">
        <v>169</v>
      </c>
      <c r="AL39" s="30" t="s">
        <v>169</v>
      </c>
      <c r="AM39" s="30" t="s">
        <v>53</v>
      </c>
      <c r="AN39" s="30" t="s">
        <v>53</v>
      </c>
      <c r="AO39" s="30" t="s">
        <v>53</v>
      </c>
      <c r="AP39" s="30" t="s">
        <v>53</v>
      </c>
      <c r="AQ39" s="30" t="s">
        <v>53</v>
      </c>
      <c r="AR39" s="30" t="s">
        <v>53</v>
      </c>
      <c r="AS39" s="30" t="s">
        <v>53</v>
      </c>
      <c r="AT39" s="30" t="s">
        <v>946</v>
      </c>
      <c r="AU39" s="30" t="s">
        <v>53</v>
      </c>
      <c r="AV39" s="34">
        <v>168625214026</v>
      </c>
    </row>
    <row r="40" spans="2:48" ht="15" customHeight="1">
      <c r="B40" s="28">
        <v>34</v>
      </c>
      <c r="C40" s="29" t="s">
        <v>1072</v>
      </c>
      <c r="D40" s="30" t="s">
        <v>1076</v>
      </c>
      <c r="E40" s="31" t="s">
        <v>1076</v>
      </c>
      <c r="F40" s="31" t="s">
        <v>1074</v>
      </c>
      <c r="G40" s="32" t="s">
        <v>1077</v>
      </c>
      <c r="H40" s="30" t="s">
        <v>78</v>
      </c>
      <c r="I40" s="30" t="s">
        <v>165</v>
      </c>
      <c r="J40" s="32" t="s">
        <v>166</v>
      </c>
      <c r="K40" s="30" t="s">
        <v>165</v>
      </c>
      <c r="L40" s="32" t="s">
        <v>166</v>
      </c>
      <c r="M40" s="30" t="s">
        <v>942</v>
      </c>
      <c r="N40" s="30" t="s">
        <v>943</v>
      </c>
      <c r="O40" s="33"/>
      <c r="P40" s="33">
        <v>324</v>
      </c>
      <c r="Q40" s="33">
        <v>324</v>
      </c>
      <c r="R40" s="33">
        <v>0</v>
      </c>
      <c r="S40" s="33">
        <v>0</v>
      </c>
      <c r="T40" s="33">
        <v>0</v>
      </c>
      <c r="U40" s="33">
        <v>0</v>
      </c>
      <c r="V40" s="33">
        <v>0</v>
      </c>
      <c r="W40" s="33" t="s">
        <v>53</v>
      </c>
      <c r="X40" s="33">
        <v>4</v>
      </c>
      <c r="Y40" s="30" t="s">
        <v>66</v>
      </c>
      <c r="Z40" s="30" t="s">
        <v>167</v>
      </c>
      <c r="AA40" s="30" t="s">
        <v>167</v>
      </c>
      <c r="AB40" s="30" t="s">
        <v>508</v>
      </c>
      <c r="AC40" s="30">
        <v>83</v>
      </c>
      <c r="AD40" s="30" t="s">
        <v>53</v>
      </c>
      <c r="AE40" s="30" t="s">
        <v>53</v>
      </c>
      <c r="AF40" s="30" t="s">
        <v>53</v>
      </c>
      <c r="AG40" s="30" t="s">
        <v>53</v>
      </c>
      <c r="AH40" s="30" t="s">
        <v>53</v>
      </c>
      <c r="AI40" s="30" t="s">
        <v>945</v>
      </c>
      <c r="AJ40" s="30" t="s">
        <v>142</v>
      </c>
      <c r="AK40" s="30" t="s">
        <v>169</v>
      </c>
      <c r="AL40" s="30" t="s">
        <v>169</v>
      </c>
      <c r="AM40" s="30" t="s">
        <v>53</v>
      </c>
      <c r="AN40" s="30" t="s">
        <v>53</v>
      </c>
      <c r="AO40" s="30" t="s">
        <v>53</v>
      </c>
      <c r="AP40" s="30" t="s">
        <v>53</v>
      </c>
      <c r="AQ40" s="30" t="s">
        <v>53</v>
      </c>
      <c r="AR40" s="30" t="s">
        <v>53</v>
      </c>
      <c r="AS40" s="30" t="s">
        <v>53</v>
      </c>
      <c r="AT40" s="30" t="s">
        <v>946</v>
      </c>
      <c r="AU40" s="30" t="s">
        <v>53</v>
      </c>
      <c r="AV40" s="34">
        <v>168625167029</v>
      </c>
    </row>
    <row r="41" spans="2:48" ht="15" customHeight="1">
      <c r="B41" s="28">
        <v>35</v>
      </c>
      <c r="C41" s="29" t="s">
        <v>1078</v>
      </c>
      <c r="D41" s="30" t="s">
        <v>1076</v>
      </c>
      <c r="E41" s="31" t="s">
        <v>1076</v>
      </c>
      <c r="F41" s="31" t="s">
        <v>1074</v>
      </c>
      <c r="G41" s="32" t="s">
        <v>1079</v>
      </c>
      <c r="H41" s="30" t="s">
        <v>78</v>
      </c>
      <c r="I41" s="30" t="s">
        <v>165</v>
      </c>
      <c r="J41" s="32" t="s">
        <v>166</v>
      </c>
      <c r="K41" s="30" t="s">
        <v>165</v>
      </c>
      <c r="L41" s="32" t="s">
        <v>166</v>
      </c>
      <c r="M41" s="30" t="s">
        <v>942</v>
      </c>
      <c r="N41" s="30" t="s">
        <v>943</v>
      </c>
      <c r="O41" s="33"/>
      <c r="P41" s="33">
        <v>324</v>
      </c>
      <c r="Q41" s="33">
        <v>324</v>
      </c>
      <c r="R41" s="33">
        <v>0</v>
      </c>
      <c r="S41" s="33">
        <v>0</v>
      </c>
      <c r="T41" s="33">
        <v>0</v>
      </c>
      <c r="U41" s="33">
        <v>0</v>
      </c>
      <c r="V41" s="33">
        <v>0</v>
      </c>
      <c r="W41" s="33" t="s">
        <v>53</v>
      </c>
      <c r="X41" s="33">
        <v>4</v>
      </c>
      <c r="Y41" s="30" t="s">
        <v>66</v>
      </c>
      <c r="Z41" s="30" t="s">
        <v>167</v>
      </c>
      <c r="AA41" s="30" t="s">
        <v>167</v>
      </c>
      <c r="AB41" s="30" t="s">
        <v>508</v>
      </c>
      <c r="AC41" s="30">
        <v>83</v>
      </c>
      <c r="AD41" s="30" t="s">
        <v>53</v>
      </c>
      <c r="AE41" s="30" t="s">
        <v>53</v>
      </c>
      <c r="AF41" s="30" t="s">
        <v>53</v>
      </c>
      <c r="AG41" s="30" t="s">
        <v>53</v>
      </c>
      <c r="AH41" s="30" t="s">
        <v>53</v>
      </c>
      <c r="AI41" s="30" t="s">
        <v>945</v>
      </c>
      <c r="AJ41" s="30" t="s">
        <v>142</v>
      </c>
      <c r="AK41" s="30" t="s">
        <v>169</v>
      </c>
      <c r="AL41" s="30" t="s">
        <v>169</v>
      </c>
      <c r="AM41" s="30" t="s">
        <v>53</v>
      </c>
      <c r="AN41" s="30" t="s">
        <v>53</v>
      </c>
      <c r="AO41" s="30" t="s">
        <v>53</v>
      </c>
      <c r="AP41" s="30" t="s">
        <v>53</v>
      </c>
      <c r="AQ41" s="30" t="s">
        <v>53</v>
      </c>
      <c r="AR41" s="30" t="s">
        <v>53</v>
      </c>
      <c r="AS41" s="30" t="s">
        <v>53</v>
      </c>
      <c r="AT41" s="30" t="s">
        <v>946</v>
      </c>
      <c r="AU41" s="30" t="s">
        <v>53</v>
      </c>
      <c r="AV41" s="34">
        <v>168684155043</v>
      </c>
    </row>
    <row r="42" spans="2:48" ht="15" customHeight="1">
      <c r="B42" s="28">
        <v>36</v>
      </c>
      <c r="C42" s="29" t="s">
        <v>1078</v>
      </c>
      <c r="D42" s="30" t="s">
        <v>1073</v>
      </c>
      <c r="E42" s="31" t="s">
        <v>1073</v>
      </c>
      <c r="F42" s="31" t="s">
        <v>1074</v>
      </c>
      <c r="G42" s="32" t="s">
        <v>1080</v>
      </c>
      <c r="H42" s="30" t="s">
        <v>78</v>
      </c>
      <c r="I42" s="30" t="s">
        <v>165</v>
      </c>
      <c r="J42" s="32" t="s">
        <v>166</v>
      </c>
      <c r="K42" s="30" t="s">
        <v>165</v>
      </c>
      <c r="L42" s="32" t="s">
        <v>166</v>
      </c>
      <c r="M42" s="30" t="s">
        <v>942</v>
      </c>
      <c r="N42" s="30" t="s">
        <v>943</v>
      </c>
      <c r="O42" s="33"/>
      <c r="P42" s="33">
        <v>331</v>
      </c>
      <c r="Q42" s="33">
        <v>331</v>
      </c>
      <c r="R42" s="33">
        <v>0</v>
      </c>
      <c r="S42" s="33">
        <v>0</v>
      </c>
      <c r="T42" s="33">
        <v>0</v>
      </c>
      <c r="U42" s="33">
        <v>0</v>
      </c>
      <c r="V42" s="33">
        <v>0</v>
      </c>
      <c r="W42" s="33" t="s">
        <v>53</v>
      </c>
      <c r="X42" s="33">
        <v>4</v>
      </c>
      <c r="Y42" s="30" t="s">
        <v>66</v>
      </c>
      <c r="Z42" s="30" t="s">
        <v>167</v>
      </c>
      <c r="AA42" s="30" t="s">
        <v>167</v>
      </c>
      <c r="AB42" s="30" t="s">
        <v>508</v>
      </c>
      <c r="AC42" s="30">
        <v>83</v>
      </c>
      <c r="AD42" s="30" t="s">
        <v>53</v>
      </c>
      <c r="AE42" s="30" t="s">
        <v>53</v>
      </c>
      <c r="AF42" s="30" t="s">
        <v>53</v>
      </c>
      <c r="AG42" s="30" t="s">
        <v>53</v>
      </c>
      <c r="AH42" s="30" t="s">
        <v>53</v>
      </c>
      <c r="AI42" s="30" t="s">
        <v>945</v>
      </c>
      <c r="AJ42" s="30" t="s">
        <v>142</v>
      </c>
      <c r="AK42" s="30" t="s">
        <v>169</v>
      </c>
      <c r="AL42" s="30" t="s">
        <v>169</v>
      </c>
      <c r="AM42" s="30" t="s">
        <v>53</v>
      </c>
      <c r="AN42" s="30" t="s">
        <v>53</v>
      </c>
      <c r="AO42" s="30" t="s">
        <v>53</v>
      </c>
      <c r="AP42" s="30" t="s">
        <v>53</v>
      </c>
      <c r="AQ42" s="30" t="s">
        <v>53</v>
      </c>
      <c r="AR42" s="30" t="s">
        <v>53</v>
      </c>
      <c r="AS42" s="30" t="s">
        <v>53</v>
      </c>
      <c r="AT42" s="30" t="s">
        <v>946</v>
      </c>
      <c r="AU42" s="30" t="s">
        <v>53</v>
      </c>
      <c r="AV42" s="34">
        <v>168684136516</v>
      </c>
    </row>
    <row r="43" spans="2:48" ht="15" customHeight="1">
      <c r="B43" s="28">
        <v>37</v>
      </c>
      <c r="C43" s="29" t="s">
        <v>1081</v>
      </c>
      <c r="D43" s="30" t="s">
        <v>53</v>
      </c>
      <c r="E43" s="31" t="s">
        <v>1082</v>
      </c>
      <c r="F43" s="31" t="s">
        <v>53</v>
      </c>
      <c r="G43" s="32" t="s">
        <v>1083</v>
      </c>
      <c r="H43" s="30" t="s">
        <v>102</v>
      </c>
      <c r="I43" s="30" t="s">
        <v>780</v>
      </c>
      <c r="J43" s="32" t="s">
        <v>781</v>
      </c>
      <c r="K43" s="30" t="s">
        <v>432</v>
      </c>
      <c r="L43" s="32" t="s">
        <v>433</v>
      </c>
      <c r="M43" s="30" t="s">
        <v>953</v>
      </c>
      <c r="N43" s="30" t="s">
        <v>943</v>
      </c>
      <c r="O43" s="33"/>
      <c r="P43" s="33">
        <v>826</v>
      </c>
      <c r="Q43" s="33">
        <v>0</v>
      </c>
      <c r="R43" s="33">
        <v>0</v>
      </c>
      <c r="S43" s="33">
        <v>0</v>
      </c>
      <c r="T43" s="33">
        <v>0</v>
      </c>
      <c r="U43" s="33">
        <v>0</v>
      </c>
      <c r="V43" s="33">
        <v>0</v>
      </c>
      <c r="W43" s="33" t="s">
        <v>53</v>
      </c>
      <c r="X43" s="33">
        <v>1</v>
      </c>
      <c r="Y43" s="30" t="s">
        <v>69</v>
      </c>
      <c r="Z43" s="30" t="s">
        <v>156</v>
      </c>
      <c r="AA43" s="30" t="s">
        <v>156</v>
      </c>
      <c r="AB43" s="30"/>
      <c r="AC43" s="30"/>
      <c r="AD43" s="30" t="s">
        <v>53</v>
      </c>
      <c r="AE43" s="30" t="s">
        <v>53</v>
      </c>
      <c r="AF43" s="30" t="s">
        <v>53</v>
      </c>
      <c r="AG43" s="30" t="s">
        <v>53</v>
      </c>
      <c r="AH43" s="30" t="s">
        <v>53</v>
      </c>
      <c r="AI43" s="30" t="s">
        <v>945</v>
      </c>
      <c r="AJ43" s="30" t="s">
        <v>53</v>
      </c>
      <c r="AK43" s="30" t="s">
        <v>53</v>
      </c>
      <c r="AL43" s="30" t="s">
        <v>53</v>
      </c>
      <c r="AM43" s="30" t="s">
        <v>53</v>
      </c>
      <c r="AN43" s="30" t="s">
        <v>954</v>
      </c>
      <c r="AO43" s="30" t="s">
        <v>53</v>
      </c>
      <c r="AP43" s="30" t="s">
        <v>53</v>
      </c>
      <c r="AQ43" s="30" t="s">
        <v>53</v>
      </c>
      <c r="AR43" s="30" t="s">
        <v>53</v>
      </c>
      <c r="AS43" s="30" t="s">
        <v>53</v>
      </c>
      <c r="AT43" s="30" t="s">
        <v>946</v>
      </c>
      <c r="AU43" s="30" t="s">
        <v>53</v>
      </c>
      <c r="AV43" s="34">
        <v>168707899990</v>
      </c>
    </row>
    <row r="44" spans="2:48" ht="15" customHeight="1">
      <c r="B44" s="28">
        <v>38</v>
      </c>
      <c r="C44" s="29" t="s">
        <v>1084</v>
      </c>
      <c r="D44" s="30" t="s">
        <v>53</v>
      </c>
      <c r="E44" s="31" t="s">
        <v>1085</v>
      </c>
      <c r="F44" s="31" t="s">
        <v>53</v>
      </c>
      <c r="G44" s="32" t="s">
        <v>1086</v>
      </c>
      <c r="H44" s="30" t="s">
        <v>64</v>
      </c>
      <c r="I44" s="30" t="s">
        <v>575</v>
      </c>
      <c r="J44" s="32" t="s">
        <v>576</v>
      </c>
      <c r="K44" s="30" t="s">
        <v>205</v>
      </c>
      <c r="L44" s="32" t="s">
        <v>207</v>
      </c>
      <c r="M44" s="30" t="s">
        <v>953</v>
      </c>
      <c r="N44" s="30" t="s">
        <v>974</v>
      </c>
      <c r="O44" s="33">
        <v>1</v>
      </c>
      <c r="P44" s="33">
        <v>15658</v>
      </c>
      <c r="Q44" s="33">
        <v>0</v>
      </c>
      <c r="R44" s="33">
        <v>0</v>
      </c>
      <c r="S44" s="33">
        <v>0</v>
      </c>
      <c r="T44" s="33">
        <v>0</v>
      </c>
      <c r="U44" s="33">
        <v>0</v>
      </c>
      <c r="V44" s="33">
        <v>0</v>
      </c>
      <c r="W44" s="33" t="s">
        <v>53</v>
      </c>
      <c r="X44" s="33">
        <v>1</v>
      </c>
      <c r="Y44" s="30" t="s">
        <v>66</v>
      </c>
      <c r="Z44" s="30" t="s">
        <v>153</v>
      </c>
      <c r="AA44" s="30" t="s">
        <v>167</v>
      </c>
      <c r="AB44" s="30" t="s">
        <v>509</v>
      </c>
      <c r="AC44" s="30">
        <v>41</v>
      </c>
      <c r="AD44" s="30" t="s">
        <v>53</v>
      </c>
      <c r="AE44" s="30" t="s">
        <v>53</v>
      </c>
      <c r="AF44" s="30" t="s">
        <v>53</v>
      </c>
      <c r="AG44" s="30" t="s">
        <v>53</v>
      </c>
      <c r="AH44" s="30" t="s">
        <v>53</v>
      </c>
      <c r="AI44" s="30" t="s">
        <v>945</v>
      </c>
      <c r="AJ44" s="30" t="s">
        <v>142</v>
      </c>
      <c r="AK44" s="30" t="s">
        <v>1067</v>
      </c>
      <c r="AL44" s="30" t="s">
        <v>209</v>
      </c>
      <c r="AM44" s="30" t="s">
        <v>53</v>
      </c>
      <c r="AN44" s="30" t="s">
        <v>954</v>
      </c>
      <c r="AO44" s="30" t="s">
        <v>53</v>
      </c>
      <c r="AP44" s="30" t="s">
        <v>53</v>
      </c>
      <c r="AQ44" s="30" t="s">
        <v>53</v>
      </c>
      <c r="AR44" s="30" t="s">
        <v>53</v>
      </c>
      <c r="AS44" s="30" t="s">
        <v>53</v>
      </c>
      <c r="AT44" s="30" t="s">
        <v>946</v>
      </c>
      <c r="AU44" s="30" t="s">
        <v>53</v>
      </c>
      <c r="AV44" s="34">
        <v>168616004565</v>
      </c>
    </row>
    <row r="45" spans="2:48" ht="15" customHeight="1">
      <c r="B45" s="28">
        <v>39</v>
      </c>
      <c r="C45" s="29" t="s">
        <v>1087</v>
      </c>
      <c r="D45" s="30" t="s">
        <v>53</v>
      </c>
      <c r="E45" s="31" t="s">
        <v>1088</v>
      </c>
      <c r="F45" s="31" t="s">
        <v>53</v>
      </c>
      <c r="G45" s="32" t="s">
        <v>1089</v>
      </c>
      <c r="H45" s="30" t="s">
        <v>64</v>
      </c>
      <c r="I45" s="30" t="s">
        <v>575</v>
      </c>
      <c r="J45" s="32" t="s">
        <v>576</v>
      </c>
      <c r="K45" s="30" t="s">
        <v>202</v>
      </c>
      <c r="L45" s="32" t="s">
        <v>203</v>
      </c>
      <c r="M45" s="30" t="s">
        <v>953</v>
      </c>
      <c r="N45" s="30" t="s">
        <v>974</v>
      </c>
      <c r="O45" s="33">
        <v>1</v>
      </c>
      <c r="P45" s="33">
        <v>6100</v>
      </c>
      <c r="Q45" s="33">
        <v>0</v>
      </c>
      <c r="R45" s="33">
        <v>0</v>
      </c>
      <c r="S45" s="33">
        <v>0</v>
      </c>
      <c r="T45" s="33">
        <v>0</v>
      </c>
      <c r="U45" s="33">
        <v>0</v>
      </c>
      <c r="V45" s="33">
        <v>0</v>
      </c>
      <c r="W45" s="33" t="s">
        <v>53</v>
      </c>
      <c r="X45" s="33">
        <v>1</v>
      </c>
      <c r="Y45" s="30" t="s">
        <v>66</v>
      </c>
      <c r="Z45" s="30" t="s">
        <v>153</v>
      </c>
      <c r="AA45" s="30" t="s">
        <v>167</v>
      </c>
      <c r="AB45" s="30" t="s">
        <v>509</v>
      </c>
      <c r="AC45" s="30">
        <v>41</v>
      </c>
      <c r="AD45" s="30" t="s">
        <v>53</v>
      </c>
      <c r="AE45" s="30" t="s">
        <v>53</v>
      </c>
      <c r="AF45" s="30" t="s">
        <v>53</v>
      </c>
      <c r="AG45" s="30" t="s">
        <v>53</v>
      </c>
      <c r="AH45" s="30" t="s">
        <v>53</v>
      </c>
      <c r="AI45" s="30" t="s">
        <v>945</v>
      </c>
      <c r="AJ45" s="30" t="s">
        <v>142</v>
      </c>
      <c r="AK45" s="30" t="s">
        <v>1071</v>
      </c>
      <c r="AL45" s="30" t="s">
        <v>204</v>
      </c>
      <c r="AM45" s="30" t="s">
        <v>53</v>
      </c>
      <c r="AN45" s="30" t="s">
        <v>954</v>
      </c>
      <c r="AO45" s="30" t="s">
        <v>53</v>
      </c>
      <c r="AP45" s="30" t="s">
        <v>53</v>
      </c>
      <c r="AQ45" s="30" t="s">
        <v>53</v>
      </c>
      <c r="AR45" s="30" t="s">
        <v>53</v>
      </c>
      <c r="AS45" s="30" t="s">
        <v>53</v>
      </c>
      <c r="AT45" s="30" t="s">
        <v>946</v>
      </c>
      <c r="AU45" s="30" t="s">
        <v>53</v>
      </c>
      <c r="AV45" s="34">
        <v>168615590757</v>
      </c>
    </row>
    <row r="46" spans="2:48" ht="15" customHeight="1">
      <c r="B46" s="28">
        <v>40</v>
      </c>
      <c r="C46" s="29" t="s">
        <v>1090</v>
      </c>
      <c r="D46" s="30" t="s">
        <v>53</v>
      </c>
      <c r="E46" s="31" t="s">
        <v>1091</v>
      </c>
      <c r="F46" s="31" t="s">
        <v>53</v>
      </c>
      <c r="G46" s="32" t="s">
        <v>1092</v>
      </c>
      <c r="H46" s="30" t="s">
        <v>67</v>
      </c>
      <c r="I46" s="30" t="s">
        <v>189</v>
      </c>
      <c r="J46" s="32" t="s">
        <v>190</v>
      </c>
      <c r="K46" s="30" t="s">
        <v>189</v>
      </c>
      <c r="L46" s="32" t="s">
        <v>190</v>
      </c>
      <c r="M46" s="30" t="s">
        <v>953</v>
      </c>
      <c r="N46" s="30" t="s">
        <v>943</v>
      </c>
      <c r="O46" s="33"/>
      <c r="P46" s="33">
        <v>647</v>
      </c>
      <c r="Q46" s="33">
        <v>647</v>
      </c>
      <c r="R46" s="33">
        <v>0</v>
      </c>
      <c r="S46" s="33">
        <v>0</v>
      </c>
      <c r="T46" s="33">
        <v>0</v>
      </c>
      <c r="U46" s="33">
        <v>0</v>
      </c>
      <c r="V46" s="33">
        <v>0</v>
      </c>
      <c r="W46" s="33" t="s">
        <v>53</v>
      </c>
      <c r="X46" s="33">
        <v>1</v>
      </c>
      <c r="Y46" s="30" t="s">
        <v>69</v>
      </c>
      <c r="Z46" s="30" t="s">
        <v>156</v>
      </c>
      <c r="AA46" s="30" t="s">
        <v>156</v>
      </c>
      <c r="AB46" s="30"/>
      <c r="AC46" s="30"/>
      <c r="AD46" s="30" t="s">
        <v>53</v>
      </c>
      <c r="AE46" s="30" t="s">
        <v>53</v>
      </c>
      <c r="AF46" s="30" t="s">
        <v>53</v>
      </c>
      <c r="AG46" s="30" t="s">
        <v>53</v>
      </c>
      <c r="AH46" s="30" t="s">
        <v>53</v>
      </c>
      <c r="AI46" s="30" t="s">
        <v>945</v>
      </c>
      <c r="AJ46" s="30" t="s">
        <v>53</v>
      </c>
      <c r="AK46" s="30" t="s">
        <v>53</v>
      </c>
      <c r="AL46" s="30" t="s">
        <v>53</v>
      </c>
      <c r="AM46" s="30" t="s">
        <v>53</v>
      </c>
      <c r="AN46" s="30" t="s">
        <v>954</v>
      </c>
      <c r="AO46" s="30" t="s">
        <v>53</v>
      </c>
      <c r="AP46" s="30" t="s">
        <v>53</v>
      </c>
      <c r="AQ46" s="30" t="s">
        <v>53</v>
      </c>
      <c r="AR46" s="30" t="s">
        <v>53</v>
      </c>
      <c r="AS46" s="30" t="s">
        <v>53</v>
      </c>
      <c r="AT46" s="30" t="s">
        <v>946</v>
      </c>
      <c r="AU46" s="30" t="s">
        <v>53</v>
      </c>
      <c r="AV46" s="34">
        <v>168594814706</v>
      </c>
    </row>
    <row r="47" spans="2:48" ht="15" customHeight="1">
      <c r="B47" s="28">
        <v>41</v>
      </c>
      <c r="C47" s="29" t="s">
        <v>1093</v>
      </c>
      <c r="D47" s="30" t="s">
        <v>53</v>
      </c>
      <c r="E47" s="31" t="s">
        <v>1094</v>
      </c>
      <c r="F47" s="31" t="s">
        <v>53</v>
      </c>
      <c r="G47" s="32" t="s">
        <v>1095</v>
      </c>
      <c r="H47" s="30" t="s">
        <v>86</v>
      </c>
      <c r="I47" s="30" t="s">
        <v>475</v>
      </c>
      <c r="J47" s="32" t="s">
        <v>476</v>
      </c>
      <c r="K47" s="30" t="s">
        <v>475</v>
      </c>
      <c r="L47" s="32" t="s">
        <v>476</v>
      </c>
      <c r="M47" s="30" t="s">
        <v>953</v>
      </c>
      <c r="N47" s="30" t="s">
        <v>943</v>
      </c>
      <c r="O47" s="33"/>
      <c r="P47" s="33">
        <v>12</v>
      </c>
      <c r="Q47" s="33">
        <v>12</v>
      </c>
      <c r="R47" s="33">
        <v>0</v>
      </c>
      <c r="S47" s="33">
        <v>0</v>
      </c>
      <c r="T47" s="33">
        <v>0</v>
      </c>
      <c r="U47" s="33">
        <v>0</v>
      </c>
      <c r="V47" s="33">
        <v>0</v>
      </c>
      <c r="W47" s="33" t="s">
        <v>53</v>
      </c>
      <c r="X47" s="33">
        <v>1</v>
      </c>
      <c r="Y47" s="30" t="s">
        <v>69</v>
      </c>
      <c r="Z47" s="30" t="s">
        <v>167</v>
      </c>
      <c r="AA47" s="30" t="s">
        <v>167</v>
      </c>
      <c r="AB47" s="30" t="s">
        <v>509</v>
      </c>
      <c r="AC47" s="30"/>
      <c r="AD47" s="30" t="s">
        <v>53</v>
      </c>
      <c r="AE47" s="30" t="s">
        <v>53</v>
      </c>
      <c r="AF47" s="30" t="s">
        <v>53</v>
      </c>
      <c r="AG47" s="30" t="s">
        <v>53</v>
      </c>
      <c r="AH47" s="30" t="s">
        <v>53</v>
      </c>
      <c r="AI47" s="30" t="s">
        <v>945</v>
      </c>
      <c r="AJ47" s="30" t="s">
        <v>53</v>
      </c>
      <c r="AK47" s="30" t="s">
        <v>53</v>
      </c>
      <c r="AL47" s="30" t="s">
        <v>53</v>
      </c>
      <c r="AM47" s="30" t="s">
        <v>53</v>
      </c>
      <c r="AN47" s="30" t="s">
        <v>954</v>
      </c>
      <c r="AO47" s="30" t="s">
        <v>53</v>
      </c>
      <c r="AP47" s="30" t="s">
        <v>53</v>
      </c>
      <c r="AQ47" s="30" t="s">
        <v>53</v>
      </c>
      <c r="AR47" s="30" t="s">
        <v>53</v>
      </c>
      <c r="AS47" s="30" t="s">
        <v>53</v>
      </c>
      <c r="AT47" s="30" t="s">
        <v>946</v>
      </c>
      <c r="AU47" s="30" t="s">
        <v>53</v>
      </c>
      <c r="AV47" s="34">
        <v>168575261748</v>
      </c>
    </row>
    <row r="48" spans="2:48" ht="15" customHeight="1">
      <c r="B48" s="28">
        <v>42</v>
      </c>
      <c r="C48" s="29" t="s">
        <v>1096</v>
      </c>
      <c r="D48" s="30" t="s">
        <v>53</v>
      </c>
      <c r="E48" s="31" t="s">
        <v>1097</v>
      </c>
      <c r="F48" s="31" t="s">
        <v>53</v>
      </c>
      <c r="G48" s="32" t="s">
        <v>1098</v>
      </c>
      <c r="H48" s="30" t="s">
        <v>64</v>
      </c>
      <c r="I48" s="30" t="s">
        <v>770</v>
      </c>
      <c r="J48" s="32" t="s">
        <v>771</v>
      </c>
      <c r="K48" s="30" t="s">
        <v>239</v>
      </c>
      <c r="L48" s="32" t="s">
        <v>240</v>
      </c>
      <c r="M48" s="30" t="s">
        <v>953</v>
      </c>
      <c r="N48" s="30" t="s">
        <v>943</v>
      </c>
      <c r="O48" s="33">
        <v>3</v>
      </c>
      <c r="P48" s="33">
        <v>42011</v>
      </c>
      <c r="Q48" s="33">
        <v>0</v>
      </c>
      <c r="R48" s="33">
        <v>0</v>
      </c>
      <c r="S48" s="33">
        <v>0</v>
      </c>
      <c r="T48" s="33">
        <v>0</v>
      </c>
      <c r="U48" s="33">
        <v>0</v>
      </c>
      <c r="V48" s="33">
        <v>0</v>
      </c>
      <c r="W48" s="33" t="s">
        <v>53</v>
      </c>
      <c r="X48" s="33">
        <v>1</v>
      </c>
      <c r="Y48" s="30" t="s">
        <v>66</v>
      </c>
      <c r="Z48" s="30" t="s">
        <v>153</v>
      </c>
      <c r="AA48" s="30" t="s">
        <v>167</v>
      </c>
      <c r="AB48" s="30"/>
      <c r="AC48" s="30"/>
      <c r="AD48" s="30" t="s">
        <v>53</v>
      </c>
      <c r="AE48" s="30" t="s">
        <v>53</v>
      </c>
      <c r="AF48" s="30" t="s">
        <v>944</v>
      </c>
      <c r="AG48" s="30" t="s">
        <v>53</v>
      </c>
      <c r="AH48" s="30" t="s">
        <v>53</v>
      </c>
      <c r="AI48" s="30" t="s">
        <v>945</v>
      </c>
      <c r="AJ48" s="30" t="s">
        <v>142</v>
      </c>
      <c r="AK48" s="30" t="s">
        <v>999</v>
      </c>
      <c r="AL48" s="30" t="s">
        <v>242</v>
      </c>
      <c r="AM48" s="30" t="s">
        <v>53</v>
      </c>
      <c r="AN48" s="30" t="s">
        <v>954</v>
      </c>
      <c r="AO48" s="30" t="s">
        <v>53</v>
      </c>
      <c r="AP48" s="30" t="s">
        <v>53</v>
      </c>
      <c r="AQ48" s="30" t="s">
        <v>53</v>
      </c>
      <c r="AR48" s="30" t="s">
        <v>53</v>
      </c>
      <c r="AS48" s="30" t="s">
        <v>53</v>
      </c>
      <c r="AT48" s="30" t="s">
        <v>1025</v>
      </c>
      <c r="AU48" s="30" t="s">
        <v>53</v>
      </c>
      <c r="AV48" s="34">
        <v>168564339733</v>
      </c>
    </row>
    <row r="49" spans="2:48" ht="15" customHeight="1">
      <c r="B49" s="28">
        <v>43</v>
      </c>
      <c r="C49" s="29" t="s">
        <v>1099</v>
      </c>
      <c r="D49" s="30" t="s">
        <v>1100</v>
      </c>
      <c r="E49" s="31" t="s">
        <v>1101</v>
      </c>
      <c r="F49" s="31" t="s">
        <v>53</v>
      </c>
      <c r="G49" s="32" t="s">
        <v>1102</v>
      </c>
      <c r="H49" s="30" t="s">
        <v>100</v>
      </c>
      <c r="I49" s="30" t="s">
        <v>652</v>
      </c>
      <c r="J49" s="32" t="s">
        <v>658</v>
      </c>
      <c r="K49" s="30" t="s">
        <v>249</v>
      </c>
      <c r="L49" s="32" t="s">
        <v>260</v>
      </c>
      <c r="M49" s="30" t="s">
        <v>982</v>
      </c>
      <c r="N49" s="30" t="s">
        <v>974</v>
      </c>
      <c r="O49" s="33"/>
      <c r="P49" s="33">
        <v>0</v>
      </c>
      <c r="Q49" s="33">
        <v>0</v>
      </c>
      <c r="R49" s="33">
        <v>0</v>
      </c>
      <c r="S49" s="33">
        <v>0</v>
      </c>
      <c r="T49" s="33">
        <v>0</v>
      </c>
      <c r="U49" s="33">
        <v>0</v>
      </c>
      <c r="V49" s="33">
        <v>0</v>
      </c>
      <c r="W49" s="33" t="s">
        <v>983</v>
      </c>
      <c r="X49" s="33">
        <v>1</v>
      </c>
      <c r="Y49" s="30" t="s">
        <v>57</v>
      </c>
      <c r="Z49" s="30" t="s">
        <v>156</v>
      </c>
      <c r="AA49" s="30" t="s">
        <v>156</v>
      </c>
      <c r="AB49" s="30" t="s">
        <v>509</v>
      </c>
      <c r="AC49" s="30"/>
      <c r="AD49" s="30" t="s">
        <v>53</v>
      </c>
      <c r="AE49" s="30" t="s">
        <v>53</v>
      </c>
      <c r="AF49" s="30" t="s">
        <v>53</v>
      </c>
      <c r="AG49" s="30" t="s">
        <v>53</v>
      </c>
      <c r="AH49" s="30" t="s">
        <v>53</v>
      </c>
      <c r="AI49" s="30" t="s">
        <v>945</v>
      </c>
      <c r="AJ49" s="30" t="s">
        <v>142</v>
      </c>
      <c r="AK49" s="30" t="s">
        <v>53</v>
      </c>
      <c r="AL49" s="30" t="s">
        <v>53</v>
      </c>
      <c r="AM49" s="30" t="s">
        <v>53</v>
      </c>
      <c r="AN49" s="30" t="s">
        <v>954</v>
      </c>
      <c r="AO49" s="30" t="s">
        <v>53</v>
      </c>
      <c r="AP49" s="30" t="s">
        <v>53</v>
      </c>
      <c r="AQ49" s="30" t="s">
        <v>53</v>
      </c>
      <c r="AR49" s="30" t="s">
        <v>53</v>
      </c>
      <c r="AS49" s="30" t="s">
        <v>53</v>
      </c>
      <c r="AT49" s="30" t="s">
        <v>946</v>
      </c>
      <c r="AU49" s="30" t="s">
        <v>53</v>
      </c>
      <c r="AV49" s="34">
        <v>168552940781</v>
      </c>
    </row>
    <row r="50" spans="2:48" ht="15" customHeight="1">
      <c r="B50" s="28">
        <v>44</v>
      </c>
      <c r="C50" s="29" t="s">
        <v>1103</v>
      </c>
      <c r="D50" s="30" t="s">
        <v>1104</v>
      </c>
      <c r="E50" s="31" t="s">
        <v>1101</v>
      </c>
      <c r="F50" s="31" t="s">
        <v>53</v>
      </c>
      <c r="G50" s="32" t="s">
        <v>1105</v>
      </c>
      <c r="H50" s="30" t="s">
        <v>98</v>
      </c>
      <c r="I50" s="30" t="s">
        <v>652</v>
      </c>
      <c r="J50" s="32" t="s">
        <v>653</v>
      </c>
      <c r="K50" s="30" t="s">
        <v>249</v>
      </c>
      <c r="L50" s="32" t="s">
        <v>250</v>
      </c>
      <c r="M50" s="30" t="s">
        <v>982</v>
      </c>
      <c r="N50" s="30" t="s">
        <v>974</v>
      </c>
      <c r="O50" s="33"/>
      <c r="P50" s="33">
        <v>0</v>
      </c>
      <c r="Q50" s="33">
        <v>0</v>
      </c>
      <c r="R50" s="33">
        <v>0</v>
      </c>
      <c r="S50" s="33">
        <v>0</v>
      </c>
      <c r="T50" s="33">
        <v>0</v>
      </c>
      <c r="U50" s="33">
        <v>0</v>
      </c>
      <c r="V50" s="33">
        <v>0</v>
      </c>
      <c r="W50" s="33" t="s">
        <v>983</v>
      </c>
      <c r="X50" s="33">
        <v>1</v>
      </c>
      <c r="Y50" s="30" t="s">
        <v>57</v>
      </c>
      <c r="Z50" s="30" t="s">
        <v>156</v>
      </c>
      <c r="AA50" s="30" t="s">
        <v>156</v>
      </c>
      <c r="AB50" s="30" t="s">
        <v>509</v>
      </c>
      <c r="AC50" s="30"/>
      <c r="AD50" s="30" t="s">
        <v>53</v>
      </c>
      <c r="AE50" s="30" t="s">
        <v>53</v>
      </c>
      <c r="AF50" s="30" t="s">
        <v>53</v>
      </c>
      <c r="AG50" s="30" t="s">
        <v>53</v>
      </c>
      <c r="AH50" s="30" t="s">
        <v>53</v>
      </c>
      <c r="AI50" s="30" t="s">
        <v>945</v>
      </c>
      <c r="AJ50" s="30" t="s">
        <v>142</v>
      </c>
      <c r="AK50" s="30" t="s">
        <v>53</v>
      </c>
      <c r="AL50" s="30" t="s">
        <v>53</v>
      </c>
      <c r="AM50" s="30" t="s">
        <v>53</v>
      </c>
      <c r="AN50" s="30" t="s">
        <v>954</v>
      </c>
      <c r="AO50" s="30" t="s">
        <v>53</v>
      </c>
      <c r="AP50" s="30" t="s">
        <v>53</v>
      </c>
      <c r="AQ50" s="30" t="s">
        <v>53</v>
      </c>
      <c r="AR50" s="30" t="s">
        <v>53</v>
      </c>
      <c r="AS50" s="30" t="s">
        <v>53</v>
      </c>
      <c r="AT50" s="30" t="s">
        <v>946</v>
      </c>
      <c r="AU50" s="30" t="s">
        <v>53</v>
      </c>
      <c r="AV50" s="34">
        <v>168545210740</v>
      </c>
    </row>
    <row r="51" spans="2:48" ht="15" customHeight="1">
      <c r="B51" s="28">
        <v>45</v>
      </c>
      <c r="C51" s="29" t="s">
        <v>1106</v>
      </c>
      <c r="D51" s="30" t="s">
        <v>53</v>
      </c>
      <c r="E51" s="31" t="s">
        <v>1107</v>
      </c>
      <c r="F51" s="31" t="s">
        <v>53</v>
      </c>
      <c r="G51" s="32" t="s">
        <v>1108</v>
      </c>
      <c r="H51" s="30" t="s">
        <v>94</v>
      </c>
      <c r="I51" s="30" t="s">
        <v>767</v>
      </c>
      <c r="J51" s="32" t="s">
        <v>768</v>
      </c>
      <c r="K51" s="30" t="s">
        <v>265</v>
      </c>
      <c r="L51" s="32" t="s">
        <v>266</v>
      </c>
      <c r="M51" s="30" t="s">
        <v>953</v>
      </c>
      <c r="N51" s="30" t="s">
        <v>974</v>
      </c>
      <c r="O51" s="33"/>
      <c r="P51" s="33">
        <v>0</v>
      </c>
      <c r="Q51" s="33">
        <v>0</v>
      </c>
      <c r="R51" s="33" t="s">
        <v>129</v>
      </c>
      <c r="S51" s="33">
        <v>0</v>
      </c>
      <c r="T51" s="33" t="s">
        <v>129</v>
      </c>
      <c r="U51" s="33" t="s">
        <v>129</v>
      </c>
      <c r="V51" s="33" t="s">
        <v>129</v>
      </c>
      <c r="W51" s="33" t="s">
        <v>53</v>
      </c>
      <c r="X51" s="33">
        <v>1</v>
      </c>
      <c r="Y51" s="30" t="s">
        <v>75</v>
      </c>
      <c r="Z51" s="30" t="s">
        <v>156</v>
      </c>
      <c r="AA51" s="30" t="s">
        <v>156</v>
      </c>
      <c r="AB51" s="30"/>
      <c r="AC51" s="30"/>
      <c r="AD51" s="30" t="s">
        <v>53</v>
      </c>
      <c r="AE51" s="30" t="s">
        <v>53</v>
      </c>
      <c r="AF51" s="30" t="s">
        <v>53</v>
      </c>
      <c r="AG51" s="30" t="s">
        <v>53</v>
      </c>
      <c r="AH51" s="30" t="s">
        <v>53</v>
      </c>
      <c r="AI51" s="30" t="s">
        <v>945</v>
      </c>
      <c r="AJ51" s="30" t="s">
        <v>142</v>
      </c>
      <c r="AK51" s="30" t="s">
        <v>53</v>
      </c>
      <c r="AL51" s="30" t="s">
        <v>53</v>
      </c>
      <c r="AM51" s="30" t="s">
        <v>53</v>
      </c>
      <c r="AN51" s="30" t="s">
        <v>954</v>
      </c>
      <c r="AO51" s="30" t="s">
        <v>53</v>
      </c>
      <c r="AP51" s="30" t="s">
        <v>53</v>
      </c>
      <c r="AQ51" s="30" t="s">
        <v>53</v>
      </c>
      <c r="AR51" s="30" t="s">
        <v>53</v>
      </c>
      <c r="AS51" s="30" t="s">
        <v>53</v>
      </c>
      <c r="AT51" s="30" t="s">
        <v>946</v>
      </c>
      <c r="AU51" s="30" t="s">
        <v>53</v>
      </c>
      <c r="AV51" s="34">
        <v>168531147366</v>
      </c>
    </row>
    <row r="52" spans="2:48" ht="15" customHeight="1">
      <c r="B52" s="28">
        <v>46</v>
      </c>
      <c r="C52" s="29" t="s">
        <v>1109</v>
      </c>
      <c r="D52" s="30" t="s">
        <v>53</v>
      </c>
      <c r="E52" s="31" t="s">
        <v>1110</v>
      </c>
      <c r="F52" s="31" t="s">
        <v>53</v>
      </c>
      <c r="G52" s="32" t="s">
        <v>1111</v>
      </c>
      <c r="H52" s="30" t="s">
        <v>64</v>
      </c>
      <c r="I52" s="30" t="s">
        <v>600</v>
      </c>
      <c r="J52" s="32" t="s">
        <v>601</v>
      </c>
      <c r="K52" s="30" t="s">
        <v>157</v>
      </c>
      <c r="L52" s="32" t="s">
        <v>158</v>
      </c>
      <c r="M52" s="30" t="s">
        <v>953</v>
      </c>
      <c r="N52" s="30" t="s">
        <v>974</v>
      </c>
      <c r="O52" s="33">
        <v>1</v>
      </c>
      <c r="P52" s="33">
        <v>8655</v>
      </c>
      <c r="Q52" s="33">
        <v>4</v>
      </c>
      <c r="R52" s="33">
        <v>0</v>
      </c>
      <c r="S52" s="33">
        <v>3</v>
      </c>
      <c r="T52" s="33">
        <v>3</v>
      </c>
      <c r="U52" s="33">
        <v>0</v>
      </c>
      <c r="V52" s="33">
        <v>0</v>
      </c>
      <c r="W52" s="33" t="s">
        <v>53</v>
      </c>
      <c r="X52" s="33">
        <v>1</v>
      </c>
      <c r="Y52" s="30" t="s">
        <v>66</v>
      </c>
      <c r="Z52" s="30" t="s">
        <v>153</v>
      </c>
      <c r="AA52" s="30" t="s">
        <v>167</v>
      </c>
      <c r="AB52" s="30" t="s">
        <v>509</v>
      </c>
      <c r="AC52" s="30"/>
      <c r="AD52" s="30" t="s">
        <v>53</v>
      </c>
      <c r="AE52" s="30" t="s">
        <v>53</v>
      </c>
      <c r="AF52" s="30" t="s">
        <v>53</v>
      </c>
      <c r="AG52" s="30" t="s">
        <v>53</v>
      </c>
      <c r="AH52" s="30" t="s">
        <v>53</v>
      </c>
      <c r="AI52" s="30" t="s">
        <v>945</v>
      </c>
      <c r="AJ52" s="30" t="s">
        <v>142</v>
      </c>
      <c r="AK52" s="30" t="s">
        <v>1112</v>
      </c>
      <c r="AL52" s="30" t="s">
        <v>160</v>
      </c>
      <c r="AM52" s="30" t="s">
        <v>53</v>
      </c>
      <c r="AN52" s="30" t="s">
        <v>954</v>
      </c>
      <c r="AO52" s="30" t="s">
        <v>53</v>
      </c>
      <c r="AP52" s="30" t="s">
        <v>53</v>
      </c>
      <c r="AQ52" s="30" t="s">
        <v>53</v>
      </c>
      <c r="AR52" s="30" t="s">
        <v>53</v>
      </c>
      <c r="AS52" s="30" t="s">
        <v>53</v>
      </c>
      <c r="AT52" s="30" t="s">
        <v>946</v>
      </c>
      <c r="AU52" s="30" t="s">
        <v>53</v>
      </c>
      <c r="AV52" s="34">
        <v>168529183495</v>
      </c>
    </row>
    <row r="53" spans="2:48" ht="15" customHeight="1">
      <c r="B53" s="28">
        <v>47</v>
      </c>
      <c r="C53" s="29" t="s">
        <v>1113</v>
      </c>
      <c r="D53" s="30" t="s">
        <v>979</v>
      </c>
      <c r="E53" s="31" t="s">
        <v>1114</v>
      </c>
      <c r="F53" s="31" t="s">
        <v>53</v>
      </c>
      <c r="G53" s="32" t="s">
        <v>1115</v>
      </c>
      <c r="H53" s="30" t="s">
        <v>84</v>
      </c>
      <c r="I53" s="30" t="s">
        <v>705</v>
      </c>
      <c r="J53" s="32" t="s">
        <v>706</v>
      </c>
      <c r="K53" s="30" t="s">
        <v>154</v>
      </c>
      <c r="L53" s="32" t="s">
        <v>155</v>
      </c>
      <c r="M53" s="30" t="s">
        <v>982</v>
      </c>
      <c r="N53" s="30" t="s">
        <v>974</v>
      </c>
      <c r="O53" s="33"/>
      <c r="P53" s="33">
        <v>0</v>
      </c>
      <c r="Q53" s="33">
        <v>0</v>
      </c>
      <c r="R53" s="33">
        <v>0</v>
      </c>
      <c r="S53" s="33">
        <v>0</v>
      </c>
      <c r="T53" s="33">
        <v>0</v>
      </c>
      <c r="U53" s="33">
        <v>0</v>
      </c>
      <c r="V53" s="33">
        <v>0</v>
      </c>
      <c r="W53" s="33" t="s">
        <v>983</v>
      </c>
      <c r="X53" s="33">
        <v>3</v>
      </c>
      <c r="Y53" s="30" t="s">
        <v>57</v>
      </c>
      <c r="Z53" s="30" t="s">
        <v>156</v>
      </c>
      <c r="AA53" s="30" t="s">
        <v>156</v>
      </c>
      <c r="AB53" s="30"/>
      <c r="AC53" s="30"/>
      <c r="AD53" s="30" t="s">
        <v>53</v>
      </c>
      <c r="AE53" s="30" t="s">
        <v>53</v>
      </c>
      <c r="AF53" s="30" t="s">
        <v>53</v>
      </c>
      <c r="AG53" s="30" t="s">
        <v>53</v>
      </c>
      <c r="AH53" s="30" t="s">
        <v>53</v>
      </c>
      <c r="AI53" s="30" t="s">
        <v>945</v>
      </c>
      <c r="AJ53" s="30" t="s">
        <v>142</v>
      </c>
      <c r="AK53" s="30" t="s">
        <v>53</v>
      </c>
      <c r="AL53" s="30" t="s">
        <v>53</v>
      </c>
      <c r="AM53" s="30" t="s">
        <v>53</v>
      </c>
      <c r="AN53" s="30" t="s">
        <v>954</v>
      </c>
      <c r="AO53" s="30" t="s">
        <v>53</v>
      </c>
      <c r="AP53" s="30" t="s">
        <v>53</v>
      </c>
      <c r="AQ53" s="30" t="s">
        <v>53</v>
      </c>
      <c r="AR53" s="30" t="s">
        <v>53</v>
      </c>
      <c r="AS53" s="30" t="s">
        <v>53</v>
      </c>
      <c r="AT53" s="30" t="s">
        <v>946</v>
      </c>
      <c r="AU53" s="30" t="s">
        <v>138</v>
      </c>
      <c r="AV53" s="34">
        <v>168596000771</v>
      </c>
    </row>
    <row r="54" spans="2:48" ht="15" customHeight="1">
      <c r="B54" s="28">
        <v>48</v>
      </c>
      <c r="C54" s="29" t="s">
        <v>1116</v>
      </c>
      <c r="D54" s="30" t="s">
        <v>53</v>
      </c>
      <c r="E54" s="31" t="s">
        <v>1117</v>
      </c>
      <c r="F54" s="31" t="s">
        <v>53</v>
      </c>
      <c r="G54" s="32" t="s">
        <v>1118</v>
      </c>
      <c r="H54" s="30" t="s">
        <v>70</v>
      </c>
      <c r="I54" s="30" t="s">
        <v>604</v>
      </c>
      <c r="J54" s="32" t="s">
        <v>1119</v>
      </c>
      <c r="K54" s="30" t="s">
        <v>243</v>
      </c>
      <c r="L54" s="32" t="s">
        <v>1120</v>
      </c>
      <c r="M54" s="30" t="s">
        <v>953</v>
      </c>
      <c r="N54" s="30" t="s">
        <v>943</v>
      </c>
      <c r="O54" s="33"/>
      <c r="P54" s="33">
        <v>10565</v>
      </c>
      <c r="Q54" s="33">
        <v>0</v>
      </c>
      <c r="R54" s="33">
        <v>0</v>
      </c>
      <c r="S54" s="33">
        <v>0</v>
      </c>
      <c r="T54" s="33">
        <v>0</v>
      </c>
      <c r="U54" s="33">
        <v>0</v>
      </c>
      <c r="V54" s="33">
        <v>0</v>
      </c>
      <c r="W54" s="33" t="s">
        <v>53</v>
      </c>
      <c r="X54" s="33">
        <v>1</v>
      </c>
      <c r="Y54" s="30" t="s">
        <v>72</v>
      </c>
      <c r="Z54" s="30" t="s">
        <v>153</v>
      </c>
      <c r="AA54" s="30" t="s">
        <v>156</v>
      </c>
      <c r="AB54" s="30" t="s">
        <v>509</v>
      </c>
      <c r="AC54" s="30"/>
      <c r="AD54" s="30" t="s">
        <v>53</v>
      </c>
      <c r="AE54" s="30" t="s">
        <v>53</v>
      </c>
      <c r="AF54" s="30" t="s">
        <v>53</v>
      </c>
      <c r="AG54" s="30" t="s">
        <v>53</v>
      </c>
      <c r="AH54" s="30" t="s">
        <v>53</v>
      </c>
      <c r="AI54" s="30" t="s">
        <v>945</v>
      </c>
      <c r="AJ54" s="30" t="s">
        <v>53</v>
      </c>
      <c r="AK54" s="30" t="s">
        <v>53</v>
      </c>
      <c r="AL54" s="30" t="s">
        <v>53</v>
      </c>
      <c r="AM54" s="30" t="s">
        <v>53</v>
      </c>
      <c r="AN54" s="30" t="s">
        <v>954</v>
      </c>
      <c r="AO54" s="30" t="s">
        <v>53</v>
      </c>
      <c r="AP54" s="30" t="s">
        <v>53</v>
      </c>
      <c r="AQ54" s="30" t="s">
        <v>53</v>
      </c>
      <c r="AR54" s="30" t="s">
        <v>53</v>
      </c>
      <c r="AS54" s="30" t="s">
        <v>53</v>
      </c>
      <c r="AT54" s="30" t="s">
        <v>946</v>
      </c>
      <c r="AU54" s="30" t="s">
        <v>53</v>
      </c>
      <c r="AV54" s="34">
        <v>168515304882</v>
      </c>
    </row>
    <row r="55" spans="2:48" ht="15" customHeight="1">
      <c r="B55" s="28">
        <v>49</v>
      </c>
      <c r="C55" s="29" t="s">
        <v>1121</v>
      </c>
      <c r="D55" s="30" t="s">
        <v>53</v>
      </c>
      <c r="E55" s="31" t="s">
        <v>1122</v>
      </c>
      <c r="F55" s="31" t="s">
        <v>1123</v>
      </c>
      <c r="G55" s="32" t="s">
        <v>1124</v>
      </c>
      <c r="H55" s="30" t="s">
        <v>64</v>
      </c>
      <c r="I55" s="30" t="s">
        <v>396</v>
      </c>
      <c r="J55" s="32" t="s">
        <v>397</v>
      </c>
      <c r="K55" s="30" t="s">
        <v>396</v>
      </c>
      <c r="L55" s="32" t="s">
        <v>397</v>
      </c>
      <c r="M55" s="30" t="s">
        <v>1125</v>
      </c>
      <c r="N55" s="30" t="s">
        <v>943</v>
      </c>
      <c r="O55" s="33">
        <v>3</v>
      </c>
      <c r="P55" s="33">
        <v>3996</v>
      </c>
      <c r="Q55" s="33">
        <v>3996</v>
      </c>
      <c r="R55" s="33">
        <v>48</v>
      </c>
      <c r="S55" s="33">
        <v>1</v>
      </c>
      <c r="T55" s="33">
        <v>1</v>
      </c>
      <c r="U55" s="33">
        <v>0</v>
      </c>
      <c r="V55" s="33">
        <v>0</v>
      </c>
      <c r="W55" s="33" t="s">
        <v>53</v>
      </c>
      <c r="X55" s="33">
        <v>2</v>
      </c>
      <c r="Y55" s="30" t="s">
        <v>66</v>
      </c>
      <c r="Z55" s="30" t="s">
        <v>167</v>
      </c>
      <c r="AA55" s="30" t="s">
        <v>167</v>
      </c>
      <c r="AB55" s="30" t="s">
        <v>509</v>
      </c>
      <c r="AC55" s="30"/>
      <c r="AD55" s="30" t="s">
        <v>520</v>
      </c>
      <c r="AE55" s="30" t="s">
        <v>53</v>
      </c>
      <c r="AF55" s="30" t="s">
        <v>53</v>
      </c>
      <c r="AG55" s="30" t="s">
        <v>53</v>
      </c>
      <c r="AH55" s="30" t="s">
        <v>53</v>
      </c>
      <c r="AI55" s="30" t="s">
        <v>945</v>
      </c>
      <c r="AJ55" s="30" t="s">
        <v>142</v>
      </c>
      <c r="AK55" s="30" t="s">
        <v>1126</v>
      </c>
      <c r="AL55" s="30" t="s">
        <v>232</v>
      </c>
      <c r="AM55" s="30" t="s">
        <v>53</v>
      </c>
      <c r="AN55" s="30" t="s">
        <v>53</v>
      </c>
      <c r="AO55" s="30" t="s">
        <v>53</v>
      </c>
      <c r="AP55" s="30" t="s">
        <v>53</v>
      </c>
      <c r="AQ55" s="30" t="s">
        <v>53</v>
      </c>
      <c r="AR55" s="30" t="s">
        <v>53</v>
      </c>
      <c r="AS55" s="30" t="s">
        <v>53</v>
      </c>
      <c r="AT55" s="30" t="s">
        <v>946</v>
      </c>
      <c r="AU55" s="30" t="s">
        <v>53</v>
      </c>
      <c r="AV55" s="34">
        <v>168464967382</v>
      </c>
    </row>
    <row r="56" spans="2:48" ht="15" customHeight="1">
      <c r="B56" s="28">
        <v>50</v>
      </c>
      <c r="C56" s="29" t="s">
        <v>1127</v>
      </c>
      <c r="D56" s="30" t="s">
        <v>53</v>
      </c>
      <c r="E56" s="31" t="s">
        <v>1128</v>
      </c>
      <c r="F56" s="31" t="s">
        <v>53</v>
      </c>
      <c r="G56" s="32" t="s">
        <v>1129</v>
      </c>
      <c r="H56" s="30" t="s">
        <v>70</v>
      </c>
      <c r="I56" s="30" t="s">
        <v>662</v>
      </c>
      <c r="J56" s="32" t="s">
        <v>1130</v>
      </c>
      <c r="K56" s="30" t="s">
        <v>471</v>
      </c>
      <c r="L56" s="32" t="s">
        <v>1131</v>
      </c>
      <c r="M56" s="30" t="s">
        <v>942</v>
      </c>
      <c r="N56" s="30" t="s">
        <v>943</v>
      </c>
      <c r="O56" s="33"/>
      <c r="P56" s="33">
        <v>1033</v>
      </c>
      <c r="Q56" s="33">
        <v>0</v>
      </c>
      <c r="R56" s="33">
        <v>0</v>
      </c>
      <c r="S56" s="33">
        <v>0</v>
      </c>
      <c r="T56" s="33">
        <v>0</v>
      </c>
      <c r="U56" s="33">
        <v>0</v>
      </c>
      <c r="V56" s="33">
        <v>0</v>
      </c>
      <c r="W56" s="33" t="s">
        <v>53</v>
      </c>
      <c r="X56" s="33">
        <v>1</v>
      </c>
      <c r="Y56" s="30" t="s">
        <v>72</v>
      </c>
      <c r="Z56" s="30" t="s">
        <v>153</v>
      </c>
      <c r="AA56" s="30" t="s">
        <v>167</v>
      </c>
      <c r="AB56" s="30" t="s">
        <v>509</v>
      </c>
      <c r="AC56" s="30"/>
      <c r="AD56" s="30" t="s">
        <v>53</v>
      </c>
      <c r="AE56" s="30" t="s">
        <v>53</v>
      </c>
      <c r="AF56" s="30" t="s">
        <v>53</v>
      </c>
      <c r="AG56" s="30" t="s">
        <v>53</v>
      </c>
      <c r="AH56" s="30" t="s">
        <v>53</v>
      </c>
      <c r="AI56" s="30" t="s">
        <v>945</v>
      </c>
      <c r="AJ56" s="30" t="s">
        <v>53</v>
      </c>
      <c r="AK56" s="30" t="s">
        <v>53</v>
      </c>
      <c r="AL56" s="30" t="s">
        <v>53</v>
      </c>
      <c r="AM56" s="30" t="s">
        <v>53</v>
      </c>
      <c r="AN56" s="30" t="s">
        <v>53</v>
      </c>
      <c r="AO56" s="30" t="s">
        <v>53</v>
      </c>
      <c r="AP56" s="30" t="s">
        <v>53</v>
      </c>
      <c r="AQ56" s="30" t="s">
        <v>53</v>
      </c>
      <c r="AR56" s="30" t="s">
        <v>53</v>
      </c>
      <c r="AS56" s="30" t="s">
        <v>53</v>
      </c>
      <c r="AT56" s="30" t="s">
        <v>946</v>
      </c>
      <c r="AU56" s="30" t="s">
        <v>53</v>
      </c>
      <c r="AV56" s="34">
        <v>168447085545</v>
      </c>
    </row>
    <row r="57" spans="2:48" ht="15" customHeight="1">
      <c r="B57" s="28">
        <v>51</v>
      </c>
      <c r="C57" s="29" t="s">
        <v>1132</v>
      </c>
      <c r="D57" s="30" t="s">
        <v>53</v>
      </c>
      <c r="E57" s="31" t="s">
        <v>1133</v>
      </c>
      <c r="F57" s="31" t="s">
        <v>53</v>
      </c>
      <c r="G57" s="32" t="s">
        <v>1134</v>
      </c>
      <c r="H57" s="30" t="s">
        <v>64</v>
      </c>
      <c r="I57" s="30" t="s">
        <v>624</v>
      </c>
      <c r="J57" s="32" t="s">
        <v>625</v>
      </c>
      <c r="K57" s="30" t="s">
        <v>161</v>
      </c>
      <c r="L57" s="32" t="s">
        <v>162</v>
      </c>
      <c r="M57" s="30" t="s">
        <v>953</v>
      </c>
      <c r="N57" s="30" t="s">
        <v>943</v>
      </c>
      <c r="O57" s="33">
        <v>4</v>
      </c>
      <c r="P57" s="33">
        <v>190515</v>
      </c>
      <c r="Q57" s="33">
        <v>91</v>
      </c>
      <c r="R57" s="33">
        <v>0</v>
      </c>
      <c r="S57" s="33">
        <v>0</v>
      </c>
      <c r="T57" s="33">
        <v>0</v>
      </c>
      <c r="U57" s="33">
        <v>0</v>
      </c>
      <c r="V57" s="33">
        <v>0</v>
      </c>
      <c r="W57" s="33" t="s">
        <v>53</v>
      </c>
      <c r="X57" s="33">
        <v>1</v>
      </c>
      <c r="Y57" s="30" t="s">
        <v>66</v>
      </c>
      <c r="Z57" s="30" t="s">
        <v>153</v>
      </c>
      <c r="AA57" s="30" t="s">
        <v>167</v>
      </c>
      <c r="AB57" s="30" t="s">
        <v>509</v>
      </c>
      <c r="AC57" s="30"/>
      <c r="AD57" s="30" t="s">
        <v>53</v>
      </c>
      <c r="AE57" s="30" t="s">
        <v>53</v>
      </c>
      <c r="AF57" s="30" t="s">
        <v>53</v>
      </c>
      <c r="AG57" s="30" t="s">
        <v>53</v>
      </c>
      <c r="AH57" s="30" t="s">
        <v>53</v>
      </c>
      <c r="AI57" s="30" t="s">
        <v>945</v>
      </c>
      <c r="AJ57" s="30" t="s">
        <v>142</v>
      </c>
      <c r="AK57" s="30" t="s">
        <v>1030</v>
      </c>
      <c r="AL57" s="30" t="s">
        <v>164</v>
      </c>
      <c r="AM57" s="30" t="s">
        <v>53</v>
      </c>
      <c r="AN57" s="30" t="s">
        <v>954</v>
      </c>
      <c r="AO57" s="30" t="s">
        <v>53</v>
      </c>
      <c r="AP57" s="30" t="s">
        <v>53</v>
      </c>
      <c r="AQ57" s="30" t="s">
        <v>53</v>
      </c>
      <c r="AR57" s="30" t="s">
        <v>53</v>
      </c>
      <c r="AS57" s="30" t="s">
        <v>53</v>
      </c>
      <c r="AT57" s="30" t="s">
        <v>946</v>
      </c>
      <c r="AU57" s="30" t="s">
        <v>53</v>
      </c>
      <c r="AV57" s="34">
        <v>168441937371</v>
      </c>
    </row>
    <row r="58" spans="2:48" ht="15" customHeight="1">
      <c r="B58" s="28">
        <v>52</v>
      </c>
      <c r="C58" s="29" t="s">
        <v>1135</v>
      </c>
      <c r="D58" s="30" t="s">
        <v>53</v>
      </c>
      <c r="E58" s="31" t="s">
        <v>1136</v>
      </c>
      <c r="F58" s="31" t="s">
        <v>53</v>
      </c>
      <c r="G58" s="32" t="s">
        <v>1137</v>
      </c>
      <c r="H58" s="30" t="s">
        <v>64</v>
      </c>
      <c r="I58" s="30" t="s">
        <v>606</v>
      </c>
      <c r="J58" s="32" t="s">
        <v>607</v>
      </c>
      <c r="K58" s="30" t="s">
        <v>394</v>
      </c>
      <c r="L58" s="32" t="s">
        <v>395</v>
      </c>
      <c r="M58" s="30" t="s">
        <v>953</v>
      </c>
      <c r="N58" s="30" t="s">
        <v>974</v>
      </c>
      <c r="O58" s="33">
        <v>2</v>
      </c>
      <c r="P58" s="33">
        <v>18682</v>
      </c>
      <c r="Q58" s="33">
        <v>25</v>
      </c>
      <c r="R58" s="33">
        <v>0</v>
      </c>
      <c r="S58" s="33">
        <v>0</v>
      </c>
      <c r="T58" s="33">
        <v>0</v>
      </c>
      <c r="U58" s="33">
        <v>0</v>
      </c>
      <c r="V58" s="33">
        <v>0</v>
      </c>
      <c r="W58" s="33" t="s">
        <v>53</v>
      </c>
      <c r="X58" s="33">
        <v>1</v>
      </c>
      <c r="Y58" s="30" t="s">
        <v>66</v>
      </c>
      <c r="Z58" s="30" t="s">
        <v>153</v>
      </c>
      <c r="AA58" s="30" t="s">
        <v>167</v>
      </c>
      <c r="AB58" s="30" t="s">
        <v>509</v>
      </c>
      <c r="AC58" s="30"/>
      <c r="AD58" s="30" t="s">
        <v>53</v>
      </c>
      <c r="AE58" s="30" t="s">
        <v>53</v>
      </c>
      <c r="AF58" s="30" t="s">
        <v>53</v>
      </c>
      <c r="AG58" s="30" t="s">
        <v>53</v>
      </c>
      <c r="AH58" s="30" t="s">
        <v>53</v>
      </c>
      <c r="AI58" s="30" t="s">
        <v>945</v>
      </c>
      <c r="AJ58" s="30" t="s">
        <v>142</v>
      </c>
      <c r="AK58" s="30" t="s">
        <v>1017</v>
      </c>
      <c r="AL58" s="30" t="s">
        <v>213</v>
      </c>
      <c r="AM58" s="30" t="s">
        <v>53</v>
      </c>
      <c r="AN58" s="30" t="s">
        <v>954</v>
      </c>
      <c r="AO58" s="30" t="s">
        <v>53</v>
      </c>
      <c r="AP58" s="30" t="s">
        <v>53</v>
      </c>
      <c r="AQ58" s="30" t="s">
        <v>53</v>
      </c>
      <c r="AR58" s="30" t="s">
        <v>53</v>
      </c>
      <c r="AS58" s="30" t="s">
        <v>53</v>
      </c>
      <c r="AT58" s="30" t="s">
        <v>946</v>
      </c>
      <c r="AU58" s="30" t="s">
        <v>53</v>
      </c>
      <c r="AV58" s="34">
        <v>168425598531</v>
      </c>
    </row>
    <row r="59" spans="2:48" ht="15" customHeight="1">
      <c r="B59" s="28">
        <v>53</v>
      </c>
      <c r="C59" s="29" t="s">
        <v>1138</v>
      </c>
      <c r="D59" s="30" t="s">
        <v>1139</v>
      </c>
      <c r="E59" s="31" t="s">
        <v>1140</v>
      </c>
      <c r="F59" s="31" t="s">
        <v>53</v>
      </c>
      <c r="G59" s="32" t="s">
        <v>1141</v>
      </c>
      <c r="H59" s="30" t="s">
        <v>76</v>
      </c>
      <c r="I59" s="30" t="s">
        <v>173</v>
      </c>
      <c r="J59" s="32" t="s">
        <v>174</v>
      </c>
      <c r="K59" s="30" t="s">
        <v>173</v>
      </c>
      <c r="L59" s="32" t="s">
        <v>174</v>
      </c>
      <c r="M59" s="30" t="s">
        <v>942</v>
      </c>
      <c r="N59" s="30" t="s">
        <v>943</v>
      </c>
      <c r="O59" s="33"/>
      <c r="P59" s="33">
        <v>310</v>
      </c>
      <c r="Q59" s="33">
        <v>311</v>
      </c>
      <c r="R59" s="33">
        <v>826</v>
      </c>
      <c r="S59" s="33">
        <v>9</v>
      </c>
      <c r="T59" s="33">
        <v>0</v>
      </c>
      <c r="U59" s="33">
        <v>9</v>
      </c>
      <c r="V59" s="33">
        <v>0</v>
      </c>
      <c r="W59" s="33" t="s">
        <v>53</v>
      </c>
      <c r="X59" s="33">
        <v>1</v>
      </c>
      <c r="Y59" s="30" t="s">
        <v>66</v>
      </c>
      <c r="Z59" s="30" t="s">
        <v>167</v>
      </c>
      <c r="AA59" s="30" t="s">
        <v>167</v>
      </c>
      <c r="AB59" s="30"/>
      <c r="AC59" s="30"/>
      <c r="AD59" s="30" t="s">
        <v>53</v>
      </c>
      <c r="AE59" s="30" t="s">
        <v>53</v>
      </c>
      <c r="AF59" s="30" t="s">
        <v>53</v>
      </c>
      <c r="AG59" s="30" t="s">
        <v>53</v>
      </c>
      <c r="AH59" s="30" t="s">
        <v>53</v>
      </c>
      <c r="AI59" s="30" t="s">
        <v>945</v>
      </c>
      <c r="AJ59" s="30" t="s">
        <v>142</v>
      </c>
      <c r="AK59" s="30" t="s">
        <v>1041</v>
      </c>
      <c r="AL59" s="30" t="s">
        <v>176</v>
      </c>
      <c r="AM59" s="30" t="s">
        <v>42</v>
      </c>
      <c r="AN59" s="30" t="s">
        <v>954</v>
      </c>
      <c r="AO59" s="30" t="s">
        <v>53</v>
      </c>
      <c r="AP59" s="30" t="s">
        <v>53</v>
      </c>
      <c r="AQ59" s="30" t="s">
        <v>53</v>
      </c>
      <c r="AR59" s="30" t="s">
        <v>53</v>
      </c>
      <c r="AS59" s="30" t="s">
        <v>53</v>
      </c>
      <c r="AT59" s="30" t="s">
        <v>946</v>
      </c>
      <c r="AU59" s="30" t="s">
        <v>53</v>
      </c>
      <c r="AV59" s="34">
        <v>168590383425</v>
      </c>
    </row>
    <row r="60" spans="2:48" ht="15" customHeight="1">
      <c r="B60" s="28">
        <v>54</v>
      </c>
      <c r="C60" s="29" t="s">
        <v>1142</v>
      </c>
      <c r="D60" s="30" t="s">
        <v>53</v>
      </c>
      <c r="E60" s="31" t="s">
        <v>1143</v>
      </c>
      <c r="F60" s="31" t="s">
        <v>53</v>
      </c>
      <c r="G60" s="32" t="s">
        <v>1144</v>
      </c>
      <c r="H60" s="30" t="s">
        <v>67</v>
      </c>
      <c r="I60" s="30" t="s">
        <v>746</v>
      </c>
      <c r="J60" s="32" t="s">
        <v>747</v>
      </c>
      <c r="K60" s="30" t="s">
        <v>189</v>
      </c>
      <c r="L60" s="32" t="s">
        <v>190</v>
      </c>
      <c r="M60" s="30" t="s">
        <v>953</v>
      </c>
      <c r="N60" s="30" t="s">
        <v>974</v>
      </c>
      <c r="O60" s="33"/>
      <c r="P60" s="33">
        <v>647</v>
      </c>
      <c r="Q60" s="33">
        <v>0</v>
      </c>
      <c r="R60" s="33">
        <v>0</v>
      </c>
      <c r="S60" s="33">
        <v>0</v>
      </c>
      <c r="T60" s="33">
        <v>0</v>
      </c>
      <c r="U60" s="33">
        <v>0</v>
      </c>
      <c r="V60" s="33">
        <v>0</v>
      </c>
      <c r="W60" s="33" t="s">
        <v>53</v>
      </c>
      <c r="X60" s="33">
        <v>1</v>
      </c>
      <c r="Y60" s="30" t="s">
        <v>69</v>
      </c>
      <c r="Z60" s="30" t="s">
        <v>156</v>
      </c>
      <c r="AA60" s="30" t="s">
        <v>156</v>
      </c>
      <c r="AB60" s="30" t="s">
        <v>509</v>
      </c>
      <c r="AC60" s="30"/>
      <c r="AD60" s="30" t="s">
        <v>53</v>
      </c>
      <c r="AE60" s="30" t="s">
        <v>53</v>
      </c>
      <c r="AF60" s="30" t="s">
        <v>53</v>
      </c>
      <c r="AG60" s="30" t="s">
        <v>53</v>
      </c>
      <c r="AH60" s="30" t="s">
        <v>53</v>
      </c>
      <c r="AI60" s="30" t="s">
        <v>945</v>
      </c>
      <c r="AJ60" s="30" t="s">
        <v>53</v>
      </c>
      <c r="AK60" s="30" t="s">
        <v>53</v>
      </c>
      <c r="AL60" s="30" t="s">
        <v>53</v>
      </c>
      <c r="AM60" s="30" t="s">
        <v>53</v>
      </c>
      <c r="AN60" s="30" t="s">
        <v>954</v>
      </c>
      <c r="AO60" s="30" t="s">
        <v>53</v>
      </c>
      <c r="AP60" s="30" t="s">
        <v>53</v>
      </c>
      <c r="AQ60" s="30" t="s">
        <v>53</v>
      </c>
      <c r="AR60" s="30" t="s">
        <v>53</v>
      </c>
      <c r="AS60" s="30" t="s">
        <v>53</v>
      </c>
      <c r="AT60" s="30" t="s">
        <v>946</v>
      </c>
      <c r="AU60" s="30" t="s">
        <v>53</v>
      </c>
      <c r="AV60" s="34">
        <v>168408053913</v>
      </c>
    </row>
    <row r="61" spans="2:48" ht="15" customHeight="1">
      <c r="B61" s="28">
        <v>55</v>
      </c>
      <c r="C61" s="29" t="s">
        <v>1145</v>
      </c>
      <c r="D61" s="30" t="s">
        <v>53</v>
      </c>
      <c r="E61" s="31" t="s">
        <v>1146</v>
      </c>
      <c r="F61" s="31" t="s">
        <v>53</v>
      </c>
      <c r="G61" s="32" t="s">
        <v>1147</v>
      </c>
      <c r="H61" s="30" t="s">
        <v>86</v>
      </c>
      <c r="I61" s="30" t="s">
        <v>493</v>
      </c>
      <c r="J61" s="32" t="s">
        <v>494</v>
      </c>
      <c r="K61" s="30" t="s">
        <v>493</v>
      </c>
      <c r="L61" s="32" t="s">
        <v>494</v>
      </c>
      <c r="M61" s="30" t="s">
        <v>953</v>
      </c>
      <c r="N61" s="30" t="s">
        <v>974</v>
      </c>
      <c r="O61" s="33"/>
      <c r="P61" s="33">
        <v>0</v>
      </c>
      <c r="Q61" s="33">
        <v>0</v>
      </c>
      <c r="R61" s="33">
        <v>0</v>
      </c>
      <c r="S61" s="33">
        <v>0</v>
      </c>
      <c r="T61" s="33">
        <v>0</v>
      </c>
      <c r="U61" s="33">
        <v>0</v>
      </c>
      <c r="V61" s="33">
        <v>0</v>
      </c>
      <c r="W61" s="33" t="s">
        <v>53</v>
      </c>
      <c r="X61" s="33">
        <v>1</v>
      </c>
      <c r="Y61" s="30" t="s">
        <v>69</v>
      </c>
      <c r="Z61" s="30" t="s">
        <v>167</v>
      </c>
      <c r="AA61" s="30" t="s">
        <v>167</v>
      </c>
      <c r="AB61" s="30"/>
      <c r="AC61" s="30"/>
      <c r="AD61" s="30" t="s">
        <v>53</v>
      </c>
      <c r="AE61" s="30" t="s">
        <v>53</v>
      </c>
      <c r="AF61" s="30" t="s">
        <v>53</v>
      </c>
      <c r="AG61" s="30" t="s">
        <v>53</v>
      </c>
      <c r="AH61" s="30" t="s">
        <v>53</v>
      </c>
      <c r="AI61" s="30" t="s">
        <v>945</v>
      </c>
      <c r="AJ61" s="30" t="s">
        <v>53</v>
      </c>
      <c r="AK61" s="30" t="s">
        <v>53</v>
      </c>
      <c r="AL61" s="30" t="s">
        <v>53</v>
      </c>
      <c r="AM61" s="30" t="s">
        <v>53</v>
      </c>
      <c r="AN61" s="30" t="s">
        <v>954</v>
      </c>
      <c r="AO61" s="30" t="s">
        <v>53</v>
      </c>
      <c r="AP61" s="30" t="s">
        <v>53</v>
      </c>
      <c r="AQ61" s="30" t="s">
        <v>53</v>
      </c>
      <c r="AR61" s="30" t="s">
        <v>53</v>
      </c>
      <c r="AS61" s="30" t="s">
        <v>53</v>
      </c>
      <c r="AT61" s="30" t="s">
        <v>946</v>
      </c>
      <c r="AU61" s="30" t="s">
        <v>53</v>
      </c>
      <c r="AV61" s="34">
        <v>168408000143</v>
      </c>
    </row>
    <row r="62" spans="2:48" ht="15" customHeight="1">
      <c r="B62" s="28">
        <v>56</v>
      </c>
      <c r="C62" s="29" t="s">
        <v>1148</v>
      </c>
      <c r="D62" s="30" t="s">
        <v>53</v>
      </c>
      <c r="E62" s="31" t="s">
        <v>1149</v>
      </c>
      <c r="F62" s="31" t="s">
        <v>53</v>
      </c>
      <c r="G62" s="32" t="s">
        <v>1150</v>
      </c>
      <c r="H62" s="30" t="s">
        <v>64</v>
      </c>
      <c r="I62" s="30" t="s">
        <v>731</v>
      </c>
      <c r="J62" s="32" t="s">
        <v>732</v>
      </c>
      <c r="K62" s="30" t="s">
        <v>361</v>
      </c>
      <c r="L62" s="32" t="s">
        <v>362</v>
      </c>
      <c r="M62" s="30" t="s">
        <v>953</v>
      </c>
      <c r="N62" s="30" t="s">
        <v>974</v>
      </c>
      <c r="O62" s="33">
        <v>2</v>
      </c>
      <c r="P62" s="33">
        <v>21668</v>
      </c>
      <c r="Q62" s="33">
        <v>0</v>
      </c>
      <c r="R62" s="33">
        <v>0</v>
      </c>
      <c r="S62" s="33">
        <v>0</v>
      </c>
      <c r="T62" s="33">
        <v>0</v>
      </c>
      <c r="U62" s="33">
        <v>0</v>
      </c>
      <c r="V62" s="33">
        <v>0</v>
      </c>
      <c r="W62" s="33" t="s">
        <v>53</v>
      </c>
      <c r="X62" s="33">
        <v>1</v>
      </c>
      <c r="Y62" s="30" t="s">
        <v>66</v>
      </c>
      <c r="Z62" s="30" t="s">
        <v>153</v>
      </c>
      <c r="AA62" s="30" t="s">
        <v>167</v>
      </c>
      <c r="AB62" s="30" t="s">
        <v>509</v>
      </c>
      <c r="AC62" s="30">
        <v>35</v>
      </c>
      <c r="AD62" s="30" t="s">
        <v>53</v>
      </c>
      <c r="AE62" s="30" t="s">
        <v>53</v>
      </c>
      <c r="AF62" s="30" t="s">
        <v>53</v>
      </c>
      <c r="AG62" s="30" t="s">
        <v>53</v>
      </c>
      <c r="AH62" s="30" t="s">
        <v>53</v>
      </c>
      <c r="AI62" s="30" t="s">
        <v>945</v>
      </c>
      <c r="AJ62" s="30" t="s">
        <v>142</v>
      </c>
      <c r="AK62" s="30" t="s">
        <v>1151</v>
      </c>
      <c r="AL62" s="30" t="s">
        <v>363</v>
      </c>
      <c r="AM62" s="30" t="s">
        <v>53</v>
      </c>
      <c r="AN62" s="30" t="s">
        <v>954</v>
      </c>
      <c r="AO62" s="30" t="s">
        <v>53</v>
      </c>
      <c r="AP62" s="30" t="s">
        <v>53</v>
      </c>
      <c r="AQ62" s="30" t="s">
        <v>53</v>
      </c>
      <c r="AR62" s="30" t="s">
        <v>53</v>
      </c>
      <c r="AS62" s="30" t="s">
        <v>53</v>
      </c>
      <c r="AT62" s="30" t="s">
        <v>946</v>
      </c>
      <c r="AU62" s="30" t="s">
        <v>53</v>
      </c>
      <c r="AV62" s="34">
        <v>168402116063</v>
      </c>
    </row>
    <row r="63" spans="2:48" ht="15" customHeight="1">
      <c r="B63" s="28">
        <v>57</v>
      </c>
      <c r="C63" s="29" t="s">
        <v>1152</v>
      </c>
      <c r="D63" s="30" t="s">
        <v>53</v>
      </c>
      <c r="E63" s="31" t="s">
        <v>1153</v>
      </c>
      <c r="F63" s="31" t="s">
        <v>53</v>
      </c>
      <c r="G63" s="32" t="s">
        <v>1154</v>
      </c>
      <c r="H63" s="30" t="s">
        <v>64</v>
      </c>
      <c r="I63" s="30" t="s">
        <v>596</v>
      </c>
      <c r="J63" s="32" t="s">
        <v>597</v>
      </c>
      <c r="K63" s="30" t="s">
        <v>239</v>
      </c>
      <c r="L63" s="32" t="s">
        <v>240</v>
      </c>
      <c r="M63" s="30" t="s">
        <v>953</v>
      </c>
      <c r="N63" s="30" t="s">
        <v>943</v>
      </c>
      <c r="O63" s="33">
        <v>3</v>
      </c>
      <c r="P63" s="33">
        <v>42006</v>
      </c>
      <c r="Q63" s="33">
        <v>0</v>
      </c>
      <c r="R63" s="33">
        <v>0</v>
      </c>
      <c r="S63" s="33">
        <v>0</v>
      </c>
      <c r="T63" s="33">
        <v>0</v>
      </c>
      <c r="U63" s="33">
        <v>0</v>
      </c>
      <c r="V63" s="33">
        <v>0</v>
      </c>
      <c r="W63" s="33" t="s">
        <v>53</v>
      </c>
      <c r="X63" s="33">
        <v>1</v>
      </c>
      <c r="Y63" s="30" t="s">
        <v>66</v>
      </c>
      <c r="Z63" s="30" t="s">
        <v>153</v>
      </c>
      <c r="AA63" s="30" t="s">
        <v>167</v>
      </c>
      <c r="AB63" s="30" t="s">
        <v>509</v>
      </c>
      <c r="AC63" s="30">
        <v>35</v>
      </c>
      <c r="AD63" s="30" t="s">
        <v>53</v>
      </c>
      <c r="AE63" s="30" t="s">
        <v>53</v>
      </c>
      <c r="AF63" s="30" t="s">
        <v>944</v>
      </c>
      <c r="AG63" s="30" t="s">
        <v>53</v>
      </c>
      <c r="AH63" s="30" t="s">
        <v>53</v>
      </c>
      <c r="AI63" s="30" t="s">
        <v>945</v>
      </c>
      <c r="AJ63" s="30" t="s">
        <v>142</v>
      </c>
      <c r="AK63" s="30" t="s">
        <v>999</v>
      </c>
      <c r="AL63" s="30" t="s">
        <v>242</v>
      </c>
      <c r="AM63" s="30" t="s">
        <v>53</v>
      </c>
      <c r="AN63" s="30" t="s">
        <v>954</v>
      </c>
      <c r="AO63" s="30" t="s">
        <v>53</v>
      </c>
      <c r="AP63" s="30" t="s">
        <v>53</v>
      </c>
      <c r="AQ63" s="30" t="s">
        <v>53</v>
      </c>
      <c r="AR63" s="30" t="s">
        <v>53</v>
      </c>
      <c r="AS63" s="30" t="s">
        <v>53</v>
      </c>
      <c r="AT63" s="30" t="s">
        <v>1012</v>
      </c>
      <c r="AU63" s="30" t="s">
        <v>53</v>
      </c>
      <c r="AV63" s="34">
        <v>168396469142</v>
      </c>
    </row>
    <row r="64" spans="2:48" ht="15" customHeight="1">
      <c r="B64" s="28">
        <v>58</v>
      </c>
      <c r="C64" s="29" t="s">
        <v>1155</v>
      </c>
      <c r="D64" s="30" t="s">
        <v>53</v>
      </c>
      <c r="E64" s="31" t="s">
        <v>1156</v>
      </c>
      <c r="F64" s="31" t="s">
        <v>53</v>
      </c>
      <c r="G64" s="32" t="s">
        <v>1157</v>
      </c>
      <c r="H64" s="30" t="s">
        <v>67</v>
      </c>
      <c r="I64" s="30" t="s">
        <v>671</v>
      </c>
      <c r="J64" s="32" t="s">
        <v>672</v>
      </c>
      <c r="K64" s="30" t="s">
        <v>428</v>
      </c>
      <c r="L64" s="32" t="s">
        <v>429</v>
      </c>
      <c r="M64" s="30" t="s">
        <v>953</v>
      </c>
      <c r="N64" s="30" t="s">
        <v>943</v>
      </c>
      <c r="O64" s="33"/>
      <c r="P64" s="33">
        <v>40156</v>
      </c>
      <c r="Q64" s="33">
        <v>1</v>
      </c>
      <c r="R64" s="33">
        <v>0</v>
      </c>
      <c r="S64" s="33">
        <v>0</v>
      </c>
      <c r="T64" s="33">
        <v>0</v>
      </c>
      <c r="U64" s="33">
        <v>0</v>
      </c>
      <c r="V64" s="33">
        <v>0</v>
      </c>
      <c r="W64" s="33" t="s">
        <v>53</v>
      </c>
      <c r="X64" s="33">
        <v>1</v>
      </c>
      <c r="Y64" s="30" t="s">
        <v>69</v>
      </c>
      <c r="Z64" s="30" t="s">
        <v>156</v>
      </c>
      <c r="AA64" s="30" t="s">
        <v>156</v>
      </c>
      <c r="AB64" s="30"/>
      <c r="AC64" s="30"/>
      <c r="AD64" s="30" t="s">
        <v>53</v>
      </c>
      <c r="AE64" s="30" t="s">
        <v>53</v>
      </c>
      <c r="AF64" s="30" t="s">
        <v>53</v>
      </c>
      <c r="AG64" s="30" t="s">
        <v>53</v>
      </c>
      <c r="AH64" s="30" t="s">
        <v>53</v>
      </c>
      <c r="AI64" s="30" t="s">
        <v>945</v>
      </c>
      <c r="AJ64" s="30" t="s">
        <v>53</v>
      </c>
      <c r="AK64" s="30" t="s">
        <v>53</v>
      </c>
      <c r="AL64" s="30" t="s">
        <v>53</v>
      </c>
      <c r="AM64" s="30" t="s">
        <v>53</v>
      </c>
      <c r="AN64" s="30" t="s">
        <v>954</v>
      </c>
      <c r="AO64" s="30" t="s">
        <v>53</v>
      </c>
      <c r="AP64" s="30" t="s">
        <v>53</v>
      </c>
      <c r="AQ64" s="30" t="s">
        <v>53</v>
      </c>
      <c r="AR64" s="30" t="s">
        <v>53</v>
      </c>
      <c r="AS64" s="30" t="s">
        <v>53</v>
      </c>
      <c r="AT64" s="30" t="s">
        <v>1012</v>
      </c>
      <c r="AU64" s="30" t="s">
        <v>53</v>
      </c>
      <c r="AV64" s="34">
        <v>168397770134</v>
      </c>
    </row>
    <row r="65" spans="2:48" ht="15" customHeight="1">
      <c r="B65" s="28">
        <v>59</v>
      </c>
      <c r="C65" s="29" t="s">
        <v>1158</v>
      </c>
      <c r="D65" s="30" t="s">
        <v>53</v>
      </c>
      <c r="E65" s="31" t="s">
        <v>1159</v>
      </c>
      <c r="F65" s="31" t="s">
        <v>53</v>
      </c>
      <c r="G65" s="32" t="s">
        <v>1160</v>
      </c>
      <c r="H65" s="30" t="s">
        <v>70</v>
      </c>
      <c r="I65" s="30" t="s">
        <v>673</v>
      </c>
      <c r="J65" s="32" t="s">
        <v>1161</v>
      </c>
      <c r="K65" s="30" t="s">
        <v>477</v>
      </c>
      <c r="L65" s="32" t="s">
        <v>1162</v>
      </c>
      <c r="M65" s="30" t="s">
        <v>942</v>
      </c>
      <c r="N65" s="30" t="s">
        <v>943</v>
      </c>
      <c r="O65" s="33"/>
      <c r="P65" s="33">
        <v>30711</v>
      </c>
      <c r="Q65" s="33">
        <v>0</v>
      </c>
      <c r="R65" s="33">
        <v>0</v>
      </c>
      <c r="S65" s="33">
        <v>0</v>
      </c>
      <c r="T65" s="33">
        <v>0</v>
      </c>
      <c r="U65" s="33">
        <v>0</v>
      </c>
      <c r="V65" s="33">
        <v>0</v>
      </c>
      <c r="W65" s="33" t="s">
        <v>53</v>
      </c>
      <c r="X65" s="33">
        <v>1</v>
      </c>
      <c r="Y65" s="30" t="s">
        <v>72</v>
      </c>
      <c r="Z65" s="30" t="s">
        <v>153</v>
      </c>
      <c r="AA65" s="30" t="s">
        <v>167</v>
      </c>
      <c r="AB65" s="30" t="s">
        <v>509</v>
      </c>
      <c r="AC65" s="30"/>
      <c r="AD65" s="30" t="s">
        <v>53</v>
      </c>
      <c r="AE65" s="30" t="s">
        <v>53</v>
      </c>
      <c r="AF65" s="30" t="s">
        <v>53</v>
      </c>
      <c r="AG65" s="30" t="s">
        <v>53</v>
      </c>
      <c r="AH65" s="30" t="s">
        <v>53</v>
      </c>
      <c r="AI65" s="30" t="s">
        <v>945</v>
      </c>
      <c r="AJ65" s="30" t="s">
        <v>53</v>
      </c>
      <c r="AK65" s="30" t="s">
        <v>53</v>
      </c>
      <c r="AL65" s="30" t="s">
        <v>53</v>
      </c>
      <c r="AM65" s="30" t="s">
        <v>53</v>
      </c>
      <c r="AN65" s="30" t="s">
        <v>53</v>
      </c>
      <c r="AO65" s="30" t="s">
        <v>53</v>
      </c>
      <c r="AP65" s="30" t="s">
        <v>53</v>
      </c>
      <c r="AQ65" s="30" t="s">
        <v>53</v>
      </c>
      <c r="AR65" s="30" t="s">
        <v>53</v>
      </c>
      <c r="AS65" s="30" t="s">
        <v>53</v>
      </c>
      <c r="AT65" s="30" t="s">
        <v>946</v>
      </c>
      <c r="AU65" s="30" t="s">
        <v>53</v>
      </c>
      <c r="AV65" s="34">
        <v>168392972480</v>
      </c>
    </row>
    <row r="66" spans="2:48" ht="15" customHeight="1">
      <c r="B66" s="28">
        <v>60</v>
      </c>
      <c r="C66" s="29" t="s">
        <v>1163</v>
      </c>
      <c r="D66" s="30" t="s">
        <v>1164</v>
      </c>
      <c r="E66" s="31" t="s">
        <v>1165</v>
      </c>
      <c r="F66" s="31" t="s">
        <v>1166</v>
      </c>
      <c r="G66" s="32" t="s">
        <v>1167</v>
      </c>
      <c r="H66" s="30" t="s">
        <v>80</v>
      </c>
      <c r="I66" s="30" t="s">
        <v>748</v>
      </c>
      <c r="J66" s="32" t="s">
        <v>749</v>
      </c>
      <c r="K66" s="30" t="s">
        <v>179</v>
      </c>
      <c r="L66" s="32" t="s">
        <v>180</v>
      </c>
      <c r="M66" s="30" t="s">
        <v>982</v>
      </c>
      <c r="N66" s="30" t="s">
        <v>974</v>
      </c>
      <c r="O66" s="33"/>
      <c r="P66" s="33">
        <v>0</v>
      </c>
      <c r="Q66" s="33">
        <v>0</v>
      </c>
      <c r="R66" s="33">
        <v>0</v>
      </c>
      <c r="S66" s="33">
        <v>1</v>
      </c>
      <c r="T66" s="33">
        <v>1</v>
      </c>
      <c r="U66" s="33">
        <v>0</v>
      </c>
      <c r="V66" s="33">
        <v>0</v>
      </c>
      <c r="W66" s="33" t="s">
        <v>983</v>
      </c>
      <c r="X66" s="33">
        <v>1</v>
      </c>
      <c r="Y66" s="30" t="s">
        <v>57</v>
      </c>
      <c r="Z66" s="30" t="s">
        <v>156</v>
      </c>
      <c r="AA66" s="30" t="s">
        <v>156</v>
      </c>
      <c r="AB66" s="30"/>
      <c r="AC66" s="30"/>
      <c r="AD66" s="30" t="s">
        <v>53</v>
      </c>
      <c r="AE66" s="30" t="s">
        <v>53</v>
      </c>
      <c r="AF66" s="30" t="s">
        <v>53</v>
      </c>
      <c r="AG66" s="30" t="s">
        <v>53</v>
      </c>
      <c r="AH66" s="30" t="s">
        <v>53</v>
      </c>
      <c r="AI66" s="30" t="s">
        <v>945</v>
      </c>
      <c r="AJ66" s="30" t="s">
        <v>53</v>
      </c>
      <c r="AK66" s="30" t="s">
        <v>53</v>
      </c>
      <c r="AL66" s="30" t="s">
        <v>53</v>
      </c>
      <c r="AM66" s="30" t="s">
        <v>53</v>
      </c>
      <c r="AN66" s="30" t="s">
        <v>954</v>
      </c>
      <c r="AO66" s="30" t="s">
        <v>53</v>
      </c>
      <c r="AP66" s="30" t="s">
        <v>53</v>
      </c>
      <c r="AQ66" s="30" t="s">
        <v>53</v>
      </c>
      <c r="AR66" s="30" t="s">
        <v>53</v>
      </c>
      <c r="AS66" s="30" t="s">
        <v>53</v>
      </c>
      <c r="AT66" s="30" t="s">
        <v>946</v>
      </c>
      <c r="AU66" s="30" t="s">
        <v>53</v>
      </c>
      <c r="AV66" s="34">
        <v>168380415293</v>
      </c>
    </row>
    <row r="67" spans="2:48" ht="15" customHeight="1">
      <c r="B67" s="28">
        <v>61</v>
      </c>
      <c r="C67" s="29" t="s">
        <v>1168</v>
      </c>
      <c r="D67" s="30" t="s">
        <v>1169</v>
      </c>
      <c r="E67" s="31" t="s">
        <v>1170</v>
      </c>
      <c r="F67" s="31" t="s">
        <v>53</v>
      </c>
      <c r="G67" s="32" t="s">
        <v>1171</v>
      </c>
      <c r="H67" s="30" t="s">
        <v>114</v>
      </c>
      <c r="I67" s="30" t="s">
        <v>644</v>
      </c>
      <c r="J67" s="32" t="s">
        <v>645</v>
      </c>
      <c r="K67" s="30" t="s">
        <v>416</v>
      </c>
      <c r="L67" s="32" t="s">
        <v>417</v>
      </c>
      <c r="M67" s="30" t="s">
        <v>982</v>
      </c>
      <c r="N67" s="30" t="s">
        <v>974</v>
      </c>
      <c r="O67" s="33"/>
      <c r="P67" s="33">
        <v>0</v>
      </c>
      <c r="Q67" s="33">
        <v>0</v>
      </c>
      <c r="R67" s="33">
        <v>0</v>
      </c>
      <c r="S67" s="33">
        <v>0</v>
      </c>
      <c r="T67" s="33">
        <v>0</v>
      </c>
      <c r="U67" s="33">
        <v>0</v>
      </c>
      <c r="V67" s="33">
        <v>0</v>
      </c>
      <c r="W67" s="33" t="s">
        <v>983</v>
      </c>
      <c r="X67" s="33">
        <v>1</v>
      </c>
      <c r="Y67" s="30" t="s">
        <v>57</v>
      </c>
      <c r="Z67" s="30" t="s">
        <v>156</v>
      </c>
      <c r="AA67" s="30" t="s">
        <v>156</v>
      </c>
      <c r="AB67" s="30" t="s">
        <v>509</v>
      </c>
      <c r="AC67" s="30"/>
      <c r="AD67" s="30" t="s">
        <v>53</v>
      </c>
      <c r="AE67" s="30" t="s">
        <v>53</v>
      </c>
      <c r="AF67" s="30" t="s">
        <v>53</v>
      </c>
      <c r="AG67" s="30" t="s">
        <v>53</v>
      </c>
      <c r="AH67" s="30" t="s">
        <v>53</v>
      </c>
      <c r="AI67" s="30" t="s">
        <v>945</v>
      </c>
      <c r="AJ67" s="30" t="s">
        <v>142</v>
      </c>
      <c r="AK67" s="30" t="s">
        <v>53</v>
      </c>
      <c r="AL67" s="30" t="s">
        <v>53</v>
      </c>
      <c r="AM67" s="30" t="s">
        <v>53</v>
      </c>
      <c r="AN67" s="30" t="s">
        <v>954</v>
      </c>
      <c r="AO67" s="30" t="s">
        <v>53</v>
      </c>
      <c r="AP67" s="30" t="s">
        <v>53</v>
      </c>
      <c r="AQ67" s="30" t="s">
        <v>53</v>
      </c>
      <c r="AR67" s="30" t="s">
        <v>53</v>
      </c>
      <c r="AS67" s="30" t="s">
        <v>53</v>
      </c>
      <c r="AT67" s="30" t="s">
        <v>946</v>
      </c>
      <c r="AU67" s="30" t="s">
        <v>53</v>
      </c>
      <c r="AV67" s="34">
        <v>168350840990</v>
      </c>
    </row>
    <row r="68" spans="2:48" ht="15" customHeight="1">
      <c r="B68" s="28">
        <v>62</v>
      </c>
      <c r="C68" s="29" t="s">
        <v>1172</v>
      </c>
      <c r="D68" s="30" t="s">
        <v>53</v>
      </c>
      <c r="E68" s="31" t="s">
        <v>1173</v>
      </c>
      <c r="F68" s="31" t="s">
        <v>53</v>
      </c>
      <c r="G68" s="32" t="s">
        <v>1174</v>
      </c>
      <c r="H68" s="30" t="s">
        <v>94</v>
      </c>
      <c r="I68" s="30" t="s">
        <v>765</v>
      </c>
      <c r="J68" s="32" t="s">
        <v>766</v>
      </c>
      <c r="K68" s="30" t="s">
        <v>265</v>
      </c>
      <c r="L68" s="32" t="s">
        <v>266</v>
      </c>
      <c r="M68" s="30" t="s">
        <v>953</v>
      </c>
      <c r="N68" s="30" t="s">
        <v>974</v>
      </c>
      <c r="O68" s="33"/>
      <c r="P68" s="33">
        <v>0</v>
      </c>
      <c r="Q68" s="33">
        <v>0</v>
      </c>
      <c r="R68" s="33" t="s">
        <v>129</v>
      </c>
      <c r="S68" s="33">
        <v>0</v>
      </c>
      <c r="T68" s="33" t="s">
        <v>129</v>
      </c>
      <c r="U68" s="33" t="s">
        <v>129</v>
      </c>
      <c r="V68" s="33" t="s">
        <v>129</v>
      </c>
      <c r="W68" s="33" t="s">
        <v>53</v>
      </c>
      <c r="X68" s="33">
        <v>1</v>
      </c>
      <c r="Y68" s="30" t="s">
        <v>75</v>
      </c>
      <c r="Z68" s="30" t="s">
        <v>156</v>
      </c>
      <c r="AA68" s="30" t="s">
        <v>156</v>
      </c>
      <c r="AB68" s="30"/>
      <c r="AC68" s="30"/>
      <c r="AD68" s="30" t="s">
        <v>53</v>
      </c>
      <c r="AE68" s="30" t="s">
        <v>53</v>
      </c>
      <c r="AF68" s="30" t="s">
        <v>53</v>
      </c>
      <c r="AG68" s="30" t="s">
        <v>53</v>
      </c>
      <c r="AH68" s="30" t="s">
        <v>53</v>
      </c>
      <c r="AI68" s="30" t="s">
        <v>945</v>
      </c>
      <c r="AJ68" s="30" t="s">
        <v>142</v>
      </c>
      <c r="AK68" s="30" t="s">
        <v>53</v>
      </c>
      <c r="AL68" s="30" t="s">
        <v>53</v>
      </c>
      <c r="AM68" s="30" t="s">
        <v>53</v>
      </c>
      <c r="AN68" s="30" t="s">
        <v>954</v>
      </c>
      <c r="AO68" s="30" t="s">
        <v>53</v>
      </c>
      <c r="AP68" s="30" t="s">
        <v>53</v>
      </c>
      <c r="AQ68" s="30" t="s">
        <v>53</v>
      </c>
      <c r="AR68" s="30" t="s">
        <v>53</v>
      </c>
      <c r="AS68" s="30" t="s">
        <v>53</v>
      </c>
      <c r="AT68" s="30" t="s">
        <v>946</v>
      </c>
      <c r="AU68" s="30" t="s">
        <v>53</v>
      </c>
      <c r="AV68" s="34">
        <v>168531124085</v>
      </c>
    </row>
    <row r="69" spans="2:48" ht="15" customHeight="1">
      <c r="B69" s="28">
        <v>63</v>
      </c>
      <c r="C69" s="29" t="s">
        <v>1175</v>
      </c>
      <c r="D69" s="30" t="s">
        <v>53</v>
      </c>
      <c r="E69" s="31" t="s">
        <v>1176</v>
      </c>
      <c r="F69" s="31" t="s">
        <v>53</v>
      </c>
      <c r="G69" s="32" t="s">
        <v>1177</v>
      </c>
      <c r="H69" s="30" t="s">
        <v>70</v>
      </c>
      <c r="I69" s="30" t="s">
        <v>604</v>
      </c>
      <c r="J69" s="32" t="s">
        <v>1119</v>
      </c>
      <c r="K69" s="30" t="s">
        <v>243</v>
      </c>
      <c r="L69" s="32" t="s">
        <v>1120</v>
      </c>
      <c r="M69" s="30" t="s">
        <v>953</v>
      </c>
      <c r="N69" s="30" t="s">
        <v>1029</v>
      </c>
      <c r="O69" s="33"/>
      <c r="P69" s="33">
        <v>10565</v>
      </c>
      <c r="Q69" s="33">
        <v>0</v>
      </c>
      <c r="R69" s="33">
        <v>0</v>
      </c>
      <c r="S69" s="33">
        <v>0</v>
      </c>
      <c r="T69" s="33">
        <v>0</v>
      </c>
      <c r="U69" s="33">
        <v>0</v>
      </c>
      <c r="V69" s="33">
        <v>0</v>
      </c>
      <c r="W69" s="33" t="s">
        <v>53</v>
      </c>
      <c r="X69" s="33">
        <v>1</v>
      </c>
      <c r="Y69" s="30" t="s">
        <v>72</v>
      </c>
      <c r="Z69" s="30" t="s">
        <v>153</v>
      </c>
      <c r="AA69" s="30" t="s">
        <v>156</v>
      </c>
      <c r="AB69" s="30" t="s">
        <v>509</v>
      </c>
      <c r="AC69" s="30"/>
      <c r="AD69" s="30" t="s">
        <v>53</v>
      </c>
      <c r="AE69" s="30" t="s">
        <v>53</v>
      </c>
      <c r="AF69" s="30" t="s">
        <v>1016</v>
      </c>
      <c r="AG69" s="30" t="s">
        <v>53</v>
      </c>
      <c r="AH69" s="30" t="s">
        <v>53</v>
      </c>
      <c r="AI69" s="30" t="s">
        <v>945</v>
      </c>
      <c r="AJ69" s="30" t="s">
        <v>53</v>
      </c>
      <c r="AK69" s="30" t="s">
        <v>53</v>
      </c>
      <c r="AL69" s="30" t="s">
        <v>53</v>
      </c>
      <c r="AM69" s="30" t="s">
        <v>53</v>
      </c>
      <c r="AN69" s="30" t="s">
        <v>954</v>
      </c>
      <c r="AO69" s="30" t="s">
        <v>53</v>
      </c>
      <c r="AP69" s="30" t="s">
        <v>53</v>
      </c>
      <c r="AQ69" s="30" t="s">
        <v>53</v>
      </c>
      <c r="AR69" s="30" t="s">
        <v>53</v>
      </c>
      <c r="AS69" s="30" t="s">
        <v>53</v>
      </c>
      <c r="AT69" s="30" t="s">
        <v>946</v>
      </c>
      <c r="AU69" s="30" t="s">
        <v>53</v>
      </c>
      <c r="AV69" s="34">
        <v>168323865868</v>
      </c>
    </row>
    <row r="70" spans="2:48" ht="15" customHeight="1">
      <c r="B70" s="28">
        <v>64</v>
      </c>
      <c r="C70" s="29" t="s">
        <v>1178</v>
      </c>
      <c r="D70" s="30" t="s">
        <v>53</v>
      </c>
      <c r="E70" s="31" t="s">
        <v>1179</v>
      </c>
      <c r="F70" s="31" t="s">
        <v>53</v>
      </c>
      <c r="G70" s="32" t="s">
        <v>1180</v>
      </c>
      <c r="H70" s="30" t="s">
        <v>64</v>
      </c>
      <c r="I70" s="30" t="s">
        <v>675</v>
      </c>
      <c r="J70" s="32" t="s">
        <v>676</v>
      </c>
      <c r="K70" s="30" t="s">
        <v>214</v>
      </c>
      <c r="L70" s="32" t="s">
        <v>216</v>
      </c>
      <c r="M70" s="30" t="s">
        <v>953</v>
      </c>
      <c r="N70" s="30" t="s">
        <v>943</v>
      </c>
      <c r="O70" s="33">
        <v>3</v>
      </c>
      <c r="P70" s="33">
        <v>98770</v>
      </c>
      <c r="Q70" s="33">
        <v>171</v>
      </c>
      <c r="R70" s="33">
        <v>0</v>
      </c>
      <c r="S70" s="33">
        <v>1</v>
      </c>
      <c r="T70" s="33">
        <v>1</v>
      </c>
      <c r="U70" s="33">
        <v>0</v>
      </c>
      <c r="V70" s="33">
        <v>0</v>
      </c>
      <c r="W70" s="33" t="s">
        <v>53</v>
      </c>
      <c r="X70" s="33">
        <v>1</v>
      </c>
      <c r="Y70" s="30" t="s">
        <v>66</v>
      </c>
      <c r="Z70" s="30" t="s">
        <v>153</v>
      </c>
      <c r="AA70" s="30" t="s">
        <v>167</v>
      </c>
      <c r="AB70" s="30" t="s">
        <v>509</v>
      </c>
      <c r="AC70" s="30">
        <v>35</v>
      </c>
      <c r="AD70" s="30" t="s">
        <v>53</v>
      </c>
      <c r="AE70" s="30" t="s">
        <v>53</v>
      </c>
      <c r="AF70" s="30" t="s">
        <v>53</v>
      </c>
      <c r="AG70" s="30" t="s">
        <v>53</v>
      </c>
      <c r="AH70" s="30" t="s">
        <v>53</v>
      </c>
      <c r="AI70" s="30" t="s">
        <v>945</v>
      </c>
      <c r="AJ70" s="30" t="s">
        <v>142</v>
      </c>
      <c r="AK70" s="30" t="s">
        <v>1030</v>
      </c>
      <c r="AL70" s="30" t="s">
        <v>164</v>
      </c>
      <c r="AM70" s="30" t="s">
        <v>53</v>
      </c>
      <c r="AN70" s="30" t="s">
        <v>954</v>
      </c>
      <c r="AO70" s="30" t="s">
        <v>53</v>
      </c>
      <c r="AP70" s="30" t="s">
        <v>53</v>
      </c>
      <c r="AQ70" s="30" t="s">
        <v>53</v>
      </c>
      <c r="AR70" s="30" t="s">
        <v>53</v>
      </c>
      <c r="AS70" s="30" t="s">
        <v>53</v>
      </c>
      <c r="AT70" s="30" t="s">
        <v>946</v>
      </c>
      <c r="AU70" s="30" t="s">
        <v>53</v>
      </c>
      <c r="AV70" s="34">
        <v>168318820022</v>
      </c>
    </row>
    <row r="71" spans="2:48" ht="15" customHeight="1">
      <c r="B71" s="28">
        <v>65</v>
      </c>
      <c r="C71" s="29" t="s">
        <v>1181</v>
      </c>
      <c r="D71" s="30" t="s">
        <v>53</v>
      </c>
      <c r="E71" s="31" t="s">
        <v>1182</v>
      </c>
      <c r="F71" s="31" t="s">
        <v>53</v>
      </c>
      <c r="G71" s="32" t="s">
        <v>1183</v>
      </c>
      <c r="H71" s="30" t="s">
        <v>64</v>
      </c>
      <c r="I71" s="30" t="s">
        <v>446</v>
      </c>
      <c r="J71" s="32" t="s">
        <v>447</v>
      </c>
      <c r="K71" s="30" t="s">
        <v>446</v>
      </c>
      <c r="L71" s="32" t="s">
        <v>447</v>
      </c>
      <c r="M71" s="30" t="s">
        <v>942</v>
      </c>
      <c r="N71" s="30" t="s">
        <v>943</v>
      </c>
      <c r="O71" s="33"/>
      <c r="P71" s="33">
        <v>50</v>
      </c>
      <c r="Q71" s="33">
        <v>50</v>
      </c>
      <c r="R71" s="33">
        <v>7</v>
      </c>
      <c r="S71" s="33">
        <v>0</v>
      </c>
      <c r="T71" s="33">
        <v>0</v>
      </c>
      <c r="U71" s="33">
        <v>0</v>
      </c>
      <c r="V71" s="33">
        <v>0</v>
      </c>
      <c r="W71" s="33" t="s">
        <v>53</v>
      </c>
      <c r="X71" s="33">
        <v>1</v>
      </c>
      <c r="Y71" s="30" t="s">
        <v>66</v>
      </c>
      <c r="Z71" s="30" t="s">
        <v>153</v>
      </c>
      <c r="AA71" s="30" t="s">
        <v>153</v>
      </c>
      <c r="AB71" s="30"/>
      <c r="AC71" s="30"/>
      <c r="AD71" s="30" t="s">
        <v>53</v>
      </c>
      <c r="AE71" s="30" t="s">
        <v>53</v>
      </c>
      <c r="AF71" s="30" t="s">
        <v>53</v>
      </c>
      <c r="AG71" s="30" t="s">
        <v>53</v>
      </c>
      <c r="AH71" s="30" t="s">
        <v>53</v>
      </c>
      <c r="AI71" s="30" t="s">
        <v>945</v>
      </c>
      <c r="AJ71" s="30" t="s">
        <v>142</v>
      </c>
      <c r="AK71" s="30" t="s">
        <v>169</v>
      </c>
      <c r="AL71" s="30" t="s">
        <v>169</v>
      </c>
      <c r="AM71" s="30" t="s">
        <v>53</v>
      </c>
      <c r="AN71" s="30" t="s">
        <v>53</v>
      </c>
      <c r="AO71" s="30" t="s">
        <v>53</v>
      </c>
      <c r="AP71" s="30" t="s">
        <v>53</v>
      </c>
      <c r="AQ71" s="30" t="s">
        <v>53</v>
      </c>
      <c r="AR71" s="30" t="s">
        <v>53</v>
      </c>
      <c r="AS71" s="30" t="s">
        <v>53</v>
      </c>
      <c r="AT71" s="30" t="s">
        <v>1184</v>
      </c>
      <c r="AU71" s="30" t="s">
        <v>53</v>
      </c>
      <c r="AV71" s="34">
        <v>168316985005</v>
      </c>
    </row>
    <row r="72" spans="2:48" ht="15" customHeight="1">
      <c r="B72" s="28">
        <v>66</v>
      </c>
      <c r="C72" s="29" t="s">
        <v>1185</v>
      </c>
      <c r="D72" s="30" t="s">
        <v>53</v>
      </c>
      <c r="E72" s="31" t="s">
        <v>1186</v>
      </c>
      <c r="F72" s="31" t="s">
        <v>53</v>
      </c>
      <c r="G72" s="32" t="s">
        <v>1187</v>
      </c>
      <c r="H72" s="30" t="s">
        <v>64</v>
      </c>
      <c r="I72" s="30" t="s">
        <v>596</v>
      </c>
      <c r="J72" s="32" t="s">
        <v>597</v>
      </c>
      <c r="K72" s="30" t="s">
        <v>348</v>
      </c>
      <c r="L72" s="32" t="s">
        <v>349</v>
      </c>
      <c r="M72" s="30" t="s">
        <v>953</v>
      </c>
      <c r="N72" s="30" t="s">
        <v>943</v>
      </c>
      <c r="O72" s="33">
        <v>3</v>
      </c>
      <c r="P72" s="33">
        <v>87176</v>
      </c>
      <c r="Q72" s="33">
        <v>0</v>
      </c>
      <c r="R72" s="33">
        <v>0</v>
      </c>
      <c r="S72" s="33">
        <v>1</v>
      </c>
      <c r="T72" s="33">
        <v>1</v>
      </c>
      <c r="U72" s="33">
        <v>0</v>
      </c>
      <c r="V72" s="33">
        <v>0</v>
      </c>
      <c r="W72" s="33" t="s">
        <v>53</v>
      </c>
      <c r="X72" s="33">
        <v>1</v>
      </c>
      <c r="Y72" s="30" t="s">
        <v>66</v>
      </c>
      <c r="Z72" s="30" t="s">
        <v>153</v>
      </c>
      <c r="AA72" s="30" t="s">
        <v>167</v>
      </c>
      <c r="AB72" s="30" t="s">
        <v>509</v>
      </c>
      <c r="AC72" s="30">
        <v>35</v>
      </c>
      <c r="AD72" s="30" t="s">
        <v>53</v>
      </c>
      <c r="AE72" s="30" t="s">
        <v>53</v>
      </c>
      <c r="AF72" s="30" t="s">
        <v>53</v>
      </c>
      <c r="AG72" s="30" t="s">
        <v>53</v>
      </c>
      <c r="AH72" s="30" t="s">
        <v>53</v>
      </c>
      <c r="AI72" s="30" t="s">
        <v>945</v>
      </c>
      <c r="AJ72" s="30" t="s">
        <v>142</v>
      </c>
      <c r="AK72" s="30" t="s">
        <v>238</v>
      </c>
      <c r="AL72" s="30" t="s">
        <v>238</v>
      </c>
      <c r="AM72" s="30" t="s">
        <v>53</v>
      </c>
      <c r="AN72" s="30" t="s">
        <v>954</v>
      </c>
      <c r="AO72" s="30" t="s">
        <v>53</v>
      </c>
      <c r="AP72" s="30" t="s">
        <v>53</v>
      </c>
      <c r="AQ72" s="30" t="s">
        <v>53</v>
      </c>
      <c r="AR72" s="30" t="s">
        <v>53</v>
      </c>
      <c r="AS72" s="30" t="s">
        <v>53</v>
      </c>
      <c r="AT72" s="30" t="s">
        <v>1012</v>
      </c>
      <c r="AU72" s="30" t="s">
        <v>53</v>
      </c>
      <c r="AV72" s="34">
        <v>168316397552</v>
      </c>
    </row>
    <row r="73" spans="2:48" ht="15" customHeight="1">
      <c r="B73" s="28">
        <v>67</v>
      </c>
      <c r="C73" s="29" t="s">
        <v>1188</v>
      </c>
      <c r="D73" s="30" t="s">
        <v>53</v>
      </c>
      <c r="E73" s="31" t="s">
        <v>1189</v>
      </c>
      <c r="F73" s="31" t="s">
        <v>53</v>
      </c>
      <c r="G73" s="32" t="s">
        <v>1190</v>
      </c>
      <c r="H73" s="30" t="s">
        <v>64</v>
      </c>
      <c r="I73" s="30" t="s">
        <v>616</v>
      </c>
      <c r="J73" s="32" t="s">
        <v>617</v>
      </c>
      <c r="K73" s="30" t="s">
        <v>251</v>
      </c>
      <c r="L73" s="32" t="s">
        <v>253</v>
      </c>
      <c r="M73" s="30" t="s">
        <v>953</v>
      </c>
      <c r="N73" s="30" t="s">
        <v>943</v>
      </c>
      <c r="O73" s="33">
        <v>7</v>
      </c>
      <c r="P73" s="33">
        <v>289001</v>
      </c>
      <c r="Q73" s="33">
        <v>204</v>
      </c>
      <c r="R73" s="33">
        <v>0</v>
      </c>
      <c r="S73" s="33">
        <v>0</v>
      </c>
      <c r="T73" s="33">
        <v>0</v>
      </c>
      <c r="U73" s="33">
        <v>0</v>
      </c>
      <c r="V73" s="33">
        <v>0</v>
      </c>
      <c r="W73" s="33" t="s">
        <v>53</v>
      </c>
      <c r="X73" s="33">
        <v>1</v>
      </c>
      <c r="Y73" s="30" t="s">
        <v>66</v>
      </c>
      <c r="Z73" s="30" t="s">
        <v>153</v>
      </c>
      <c r="AA73" s="30" t="s">
        <v>167</v>
      </c>
      <c r="AB73" s="30" t="s">
        <v>509</v>
      </c>
      <c r="AC73" s="30">
        <v>55</v>
      </c>
      <c r="AD73" s="30" t="s">
        <v>53</v>
      </c>
      <c r="AE73" s="30" t="s">
        <v>53</v>
      </c>
      <c r="AF73" s="30" t="s">
        <v>53</v>
      </c>
      <c r="AG73" s="30" t="s">
        <v>53</v>
      </c>
      <c r="AH73" s="30" t="s">
        <v>53</v>
      </c>
      <c r="AI73" s="30" t="s">
        <v>945</v>
      </c>
      <c r="AJ73" s="30" t="s">
        <v>53</v>
      </c>
      <c r="AK73" s="30" t="s">
        <v>53</v>
      </c>
      <c r="AL73" s="30" t="s">
        <v>53</v>
      </c>
      <c r="AM73" s="30" t="s">
        <v>53</v>
      </c>
      <c r="AN73" s="30" t="s">
        <v>954</v>
      </c>
      <c r="AO73" s="30" t="s">
        <v>53</v>
      </c>
      <c r="AP73" s="30" t="s">
        <v>53</v>
      </c>
      <c r="AQ73" s="30" t="s">
        <v>53</v>
      </c>
      <c r="AR73" s="30" t="s">
        <v>53</v>
      </c>
      <c r="AS73" s="30" t="s">
        <v>53</v>
      </c>
      <c r="AT73" s="30" t="s">
        <v>946</v>
      </c>
      <c r="AU73" s="30" t="s">
        <v>53</v>
      </c>
      <c r="AV73" s="34">
        <v>168284668118</v>
      </c>
    </row>
    <row r="74" spans="2:48" ht="15" customHeight="1">
      <c r="B74" s="28">
        <v>68</v>
      </c>
      <c r="C74" s="29" t="s">
        <v>1191</v>
      </c>
      <c r="D74" s="30" t="s">
        <v>1192</v>
      </c>
      <c r="E74" s="31" t="s">
        <v>1193</v>
      </c>
      <c r="F74" s="31" t="s">
        <v>53</v>
      </c>
      <c r="G74" s="32" t="s">
        <v>1194</v>
      </c>
      <c r="H74" s="30" t="s">
        <v>100</v>
      </c>
      <c r="I74" s="30" t="s">
        <v>654</v>
      </c>
      <c r="J74" s="32" t="s">
        <v>659</v>
      </c>
      <c r="K74" s="30" t="s">
        <v>249</v>
      </c>
      <c r="L74" s="32" t="s">
        <v>260</v>
      </c>
      <c r="M74" s="30" t="s">
        <v>982</v>
      </c>
      <c r="N74" s="30" t="s">
        <v>974</v>
      </c>
      <c r="O74" s="33"/>
      <c r="P74" s="33">
        <v>0</v>
      </c>
      <c r="Q74" s="33">
        <v>0</v>
      </c>
      <c r="R74" s="33">
        <v>0</v>
      </c>
      <c r="S74" s="33">
        <v>0</v>
      </c>
      <c r="T74" s="33">
        <v>0</v>
      </c>
      <c r="U74" s="33">
        <v>0</v>
      </c>
      <c r="V74" s="33">
        <v>0</v>
      </c>
      <c r="W74" s="33" t="s">
        <v>983</v>
      </c>
      <c r="X74" s="33">
        <v>1</v>
      </c>
      <c r="Y74" s="30" t="s">
        <v>57</v>
      </c>
      <c r="Z74" s="30" t="s">
        <v>156</v>
      </c>
      <c r="AA74" s="30" t="s">
        <v>156</v>
      </c>
      <c r="AB74" s="30" t="s">
        <v>509</v>
      </c>
      <c r="AC74" s="30"/>
      <c r="AD74" s="30" t="s">
        <v>53</v>
      </c>
      <c r="AE74" s="30" t="s">
        <v>53</v>
      </c>
      <c r="AF74" s="30" t="s">
        <v>53</v>
      </c>
      <c r="AG74" s="30" t="s">
        <v>53</v>
      </c>
      <c r="AH74" s="30" t="s">
        <v>53</v>
      </c>
      <c r="AI74" s="30" t="s">
        <v>945</v>
      </c>
      <c r="AJ74" s="30" t="s">
        <v>142</v>
      </c>
      <c r="AK74" s="30" t="s">
        <v>53</v>
      </c>
      <c r="AL74" s="30" t="s">
        <v>53</v>
      </c>
      <c r="AM74" s="30" t="s">
        <v>53</v>
      </c>
      <c r="AN74" s="30" t="s">
        <v>954</v>
      </c>
      <c r="AO74" s="30" t="s">
        <v>53</v>
      </c>
      <c r="AP74" s="30" t="s">
        <v>53</v>
      </c>
      <c r="AQ74" s="30" t="s">
        <v>53</v>
      </c>
      <c r="AR74" s="30" t="s">
        <v>53</v>
      </c>
      <c r="AS74" s="30" t="s">
        <v>53</v>
      </c>
      <c r="AT74" s="30" t="s">
        <v>946</v>
      </c>
      <c r="AU74" s="30" t="s">
        <v>53</v>
      </c>
      <c r="AV74" s="34">
        <v>168276648901</v>
      </c>
    </row>
    <row r="75" spans="2:48" ht="15" customHeight="1">
      <c r="B75" s="28">
        <v>69</v>
      </c>
      <c r="C75" s="29" t="s">
        <v>1195</v>
      </c>
      <c r="D75" s="30" t="s">
        <v>53</v>
      </c>
      <c r="E75" s="31" t="s">
        <v>1196</v>
      </c>
      <c r="F75" s="31" t="s">
        <v>53</v>
      </c>
      <c r="G75" s="32" t="s">
        <v>1197</v>
      </c>
      <c r="H75" s="30" t="s">
        <v>86</v>
      </c>
      <c r="I75" s="30" t="s">
        <v>483</v>
      </c>
      <c r="J75" s="32" t="s">
        <v>484</v>
      </c>
      <c r="K75" s="30" t="s">
        <v>483</v>
      </c>
      <c r="L75" s="32" t="s">
        <v>484</v>
      </c>
      <c r="M75" s="30" t="s">
        <v>953</v>
      </c>
      <c r="N75" s="30" t="s">
        <v>974</v>
      </c>
      <c r="O75" s="33"/>
      <c r="P75" s="33">
        <v>2</v>
      </c>
      <c r="Q75" s="33">
        <v>2</v>
      </c>
      <c r="R75" s="33">
        <v>0</v>
      </c>
      <c r="S75" s="33">
        <v>1</v>
      </c>
      <c r="T75" s="33">
        <v>0</v>
      </c>
      <c r="U75" s="33">
        <v>1</v>
      </c>
      <c r="V75" s="33">
        <v>0</v>
      </c>
      <c r="W75" s="33" t="s">
        <v>53</v>
      </c>
      <c r="X75" s="33">
        <v>1</v>
      </c>
      <c r="Y75" s="30" t="s">
        <v>69</v>
      </c>
      <c r="Z75" s="30" t="s">
        <v>167</v>
      </c>
      <c r="AA75" s="30" t="s">
        <v>167</v>
      </c>
      <c r="AB75" s="30"/>
      <c r="AC75" s="30"/>
      <c r="AD75" s="30" t="s">
        <v>53</v>
      </c>
      <c r="AE75" s="30" t="s">
        <v>53</v>
      </c>
      <c r="AF75" s="30" t="s">
        <v>53</v>
      </c>
      <c r="AG75" s="30" t="s">
        <v>53</v>
      </c>
      <c r="AH75" s="30" t="s">
        <v>53</v>
      </c>
      <c r="AI75" s="30" t="s">
        <v>945</v>
      </c>
      <c r="AJ75" s="30" t="s">
        <v>53</v>
      </c>
      <c r="AK75" s="30" t="s">
        <v>53</v>
      </c>
      <c r="AL75" s="30" t="s">
        <v>53</v>
      </c>
      <c r="AM75" s="30" t="s">
        <v>53</v>
      </c>
      <c r="AN75" s="30" t="s">
        <v>954</v>
      </c>
      <c r="AO75" s="30" t="s">
        <v>53</v>
      </c>
      <c r="AP75" s="30" t="s">
        <v>53</v>
      </c>
      <c r="AQ75" s="30" t="s">
        <v>53</v>
      </c>
      <c r="AR75" s="30" t="s">
        <v>53</v>
      </c>
      <c r="AS75" s="30" t="s">
        <v>53</v>
      </c>
      <c r="AT75" s="30" t="s">
        <v>946</v>
      </c>
      <c r="AU75" s="30" t="s">
        <v>53</v>
      </c>
      <c r="AV75" s="34">
        <v>168420706438</v>
      </c>
    </row>
    <row r="76" spans="2:48" ht="15" customHeight="1">
      <c r="B76" s="28">
        <v>70</v>
      </c>
      <c r="C76" s="29" t="s">
        <v>1198</v>
      </c>
      <c r="D76" s="30" t="s">
        <v>53</v>
      </c>
      <c r="E76" s="31" t="s">
        <v>1199</v>
      </c>
      <c r="F76" s="31" t="s">
        <v>53</v>
      </c>
      <c r="G76" s="32" t="s">
        <v>1200</v>
      </c>
      <c r="H76" s="30" t="s">
        <v>64</v>
      </c>
      <c r="I76" s="30" t="s">
        <v>572</v>
      </c>
      <c r="J76" s="32" t="s">
        <v>573</v>
      </c>
      <c r="K76" s="30" t="s">
        <v>359</v>
      </c>
      <c r="L76" s="32" t="s">
        <v>360</v>
      </c>
      <c r="M76" s="30" t="s">
        <v>953</v>
      </c>
      <c r="N76" s="30" t="s">
        <v>974</v>
      </c>
      <c r="O76" s="33">
        <v>2</v>
      </c>
      <c r="P76" s="33">
        <v>135552</v>
      </c>
      <c r="Q76" s="33">
        <v>0</v>
      </c>
      <c r="R76" s="33">
        <v>0</v>
      </c>
      <c r="S76" s="33">
        <v>0</v>
      </c>
      <c r="T76" s="33">
        <v>0</v>
      </c>
      <c r="U76" s="33">
        <v>0</v>
      </c>
      <c r="V76" s="33">
        <v>0</v>
      </c>
      <c r="W76" s="33" t="s">
        <v>53</v>
      </c>
      <c r="X76" s="33">
        <v>1</v>
      </c>
      <c r="Y76" s="30" t="s">
        <v>66</v>
      </c>
      <c r="Z76" s="30" t="s">
        <v>153</v>
      </c>
      <c r="AA76" s="30" t="s">
        <v>167</v>
      </c>
      <c r="AB76" s="30" t="s">
        <v>509</v>
      </c>
      <c r="AC76" s="30">
        <v>47</v>
      </c>
      <c r="AD76" s="30" t="s">
        <v>53</v>
      </c>
      <c r="AE76" s="30" t="s">
        <v>53</v>
      </c>
      <c r="AF76" s="30" t="s">
        <v>53</v>
      </c>
      <c r="AG76" s="30" t="s">
        <v>53</v>
      </c>
      <c r="AH76" s="30" t="s">
        <v>53</v>
      </c>
      <c r="AI76" s="30" t="s">
        <v>945</v>
      </c>
      <c r="AJ76" s="30" t="s">
        <v>53</v>
      </c>
      <c r="AK76" s="30" t="s">
        <v>53</v>
      </c>
      <c r="AL76" s="30" t="s">
        <v>53</v>
      </c>
      <c r="AM76" s="30" t="s">
        <v>53</v>
      </c>
      <c r="AN76" s="30" t="s">
        <v>954</v>
      </c>
      <c r="AO76" s="30" t="s">
        <v>53</v>
      </c>
      <c r="AP76" s="30" t="s">
        <v>53</v>
      </c>
      <c r="AQ76" s="30" t="s">
        <v>53</v>
      </c>
      <c r="AR76" s="30" t="s">
        <v>53</v>
      </c>
      <c r="AS76" s="30" t="s">
        <v>53</v>
      </c>
      <c r="AT76" s="30" t="s">
        <v>946</v>
      </c>
      <c r="AU76" s="30" t="s">
        <v>53</v>
      </c>
      <c r="AV76" s="34">
        <v>168271388806</v>
      </c>
    </row>
    <row r="77" spans="2:48" ht="15" customHeight="1">
      <c r="B77" s="28">
        <v>71</v>
      </c>
      <c r="C77" s="29" t="s">
        <v>1201</v>
      </c>
      <c r="D77" s="30" t="s">
        <v>53</v>
      </c>
      <c r="E77" s="31" t="s">
        <v>1202</v>
      </c>
      <c r="F77" s="31" t="s">
        <v>53</v>
      </c>
      <c r="G77" s="32" t="s">
        <v>1203</v>
      </c>
      <c r="H77" s="30" t="s">
        <v>64</v>
      </c>
      <c r="I77" s="30" t="s">
        <v>695</v>
      </c>
      <c r="J77" s="32" t="s">
        <v>696</v>
      </c>
      <c r="K77" s="30" t="s">
        <v>170</v>
      </c>
      <c r="L77" s="32" t="s">
        <v>171</v>
      </c>
      <c r="M77" s="30" t="s">
        <v>953</v>
      </c>
      <c r="N77" s="30" t="s">
        <v>974</v>
      </c>
      <c r="O77" s="33">
        <v>1</v>
      </c>
      <c r="P77" s="33">
        <v>13924</v>
      </c>
      <c r="Q77" s="33">
        <v>0</v>
      </c>
      <c r="R77" s="33">
        <v>0</v>
      </c>
      <c r="S77" s="33">
        <v>2</v>
      </c>
      <c r="T77" s="33">
        <v>2</v>
      </c>
      <c r="U77" s="33">
        <v>0</v>
      </c>
      <c r="V77" s="33">
        <v>0</v>
      </c>
      <c r="W77" s="33" t="s">
        <v>53</v>
      </c>
      <c r="X77" s="33">
        <v>1</v>
      </c>
      <c r="Y77" s="30" t="s">
        <v>66</v>
      </c>
      <c r="Z77" s="30" t="s">
        <v>153</v>
      </c>
      <c r="AA77" s="30" t="s">
        <v>167</v>
      </c>
      <c r="AB77" s="30" t="s">
        <v>509</v>
      </c>
      <c r="AC77" s="30"/>
      <c r="AD77" s="30" t="s">
        <v>53</v>
      </c>
      <c r="AE77" s="30" t="s">
        <v>53</v>
      </c>
      <c r="AF77" s="30" t="s">
        <v>53</v>
      </c>
      <c r="AG77" s="30" t="s">
        <v>53</v>
      </c>
      <c r="AH77" s="30" t="s">
        <v>53</v>
      </c>
      <c r="AI77" s="30" t="s">
        <v>945</v>
      </c>
      <c r="AJ77" s="30" t="s">
        <v>142</v>
      </c>
      <c r="AK77" s="30" t="s">
        <v>1112</v>
      </c>
      <c r="AL77" s="30" t="s">
        <v>172</v>
      </c>
      <c r="AM77" s="30" t="s">
        <v>53</v>
      </c>
      <c r="AN77" s="30" t="s">
        <v>954</v>
      </c>
      <c r="AO77" s="30" t="s">
        <v>53</v>
      </c>
      <c r="AP77" s="30" t="s">
        <v>53</v>
      </c>
      <c r="AQ77" s="30" t="s">
        <v>53</v>
      </c>
      <c r="AR77" s="30" t="s">
        <v>53</v>
      </c>
      <c r="AS77" s="30" t="s">
        <v>53</v>
      </c>
      <c r="AT77" s="30" t="s">
        <v>946</v>
      </c>
      <c r="AU77" s="30" t="s">
        <v>53</v>
      </c>
      <c r="AV77" s="34">
        <v>168270464573</v>
      </c>
    </row>
    <row r="78" spans="2:48" ht="15" customHeight="1">
      <c r="B78" s="28">
        <v>72</v>
      </c>
      <c r="C78" s="29" t="s">
        <v>1204</v>
      </c>
      <c r="D78" s="30" t="s">
        <v>53</v>
      </c>
      <c r="E78" s="31" t="s">
        <v>1205</v>
      </c>
      <c r="F78" s="31" t="s">
        <v>53</v>
      </c>
      <c r="G78" s="32" t="s">
        <v>1206</v>
      </c>
      <c r="H78" s="30" t="s">
        <v>67</v>
      </c>
      <c r="I78" s="30" t="s">
        <v>735</v>
      </c>
      <c r="J78" s="32" t="s">
        <v>736</v>
      </c>
      <c r="K78" s="30" t="s">
        <v>254</v>
      </c>
      <c r="L78" s="32" t="s">
        <v>255</v>
      </c>
      <c r="M78" s="30" t="s">
        <v>953</v>
      </c>
      <c r="N78" s="30" t="s">
        <v>943</v>
      </c>
      <c r="O78" s="33"/>
      <c r="P78" s="33">
        <v>2228</v>
      </c>
      <c r="Q78" s="33">
        <v>0</v>
      </c>
      <c r="R78" s="33">
        <v>0</v>
      </c>
      <c r="S78" s="33">
        <v>0</v>
      </c>
      <c r="T78" s="33">
        <v>0</v>
      </c>
      <c r="U78" s="33">
        <v>0</v>
      </c>
      <c r="V78" s="33">
        <v>0</v>
      </c>
      <c r="W78" s="33" t="s">
        <v>53</v>
      </c>
      <c r="X78" s="33">
        <v>1</v>
      </c>
      <c r="Y78" s="30" t="s">
        <v>69</v>
      </c>
      <c r="Z78" s="30" t="s">
        <v>156</v>
      </c>
      <c r="AA78" s="30" t="s">
        <v>156</v>
      </c>
      <c r="AB78" s="30"/>
      <c r="AC78" s="30"/>
      <c r="AD78" s="30" t="s">
        <v>53</v>
      </c>
      <c r="AE78" s="30" t="s">
        <v>53</v>
      </c>
      <c r="AF78" s="30" t="s">
        <v>1016</v>
      </c>
      <c r="AG78" s="30" t="s">
        <v>53</v>
      </c>
      <c r="AH78" s="30" t="s">
        <v>53</v>
      </c>
      <c r="AI78" s="30" t="s">
        <v>945</v>
      </c>
      <c r="AJ78" s="30" t="s">
        <v>53</v>
      </c>
      <c r="AK78" s="30" t="s">
        <v>53</v>
      </c>
      <c r="AL78" s="30" t="s">
        <v>53</v>
      </c>
      <c r="AM78" s="30" t="s">
        <v>53</v>
      </c>
      <c r="AN78" s="30" t="s">
        <v>954</v>
      </c>
      <c r="AO78" s="30" t="s">
        <v>53</v>
      </c>
      <c r="AP78" s="30" t="s">
        <v>53</v>
      </c>
      <c r="AQ78" s="30" t="s">
        <v>53</v>
      </c>
      <c r="AR78" s="30" t="s">
        <v>53</v>
      </c>
      <c r="AS78" s="30" t="s">
        <v>53</v>
      </c>
      <c r="AT78" s="30" t="s">
        <v>946</v>
      </c>
      <c r="AU78" s="30" t="s">
        <v>53</v>
      </c>
      <c r="AV78" s="34">
        <v>168269637036</v>
      </c>
    </row>
    <row r="79" spans="2:48" ht="15" customHeight="1">
      <c r="B79" s="28">
        <v>73</v>
      </c>
      <c r="C79" s="29" t="s">
        <v>1207</v>
      </c>
      <c r="D79" s="30" t="s">
        <v>53</v>
      </c>
      <c r="E79" s="31" t="s">
        <v>1208</v>
      </c>
      <c r="F79" s="31" t="s">
        <v>53</v>
      </c>
      <c r="G79" s="32" t="s">
        <v>1209</v>
      </c>
      <c r="H79" s="30" t="s">
        <v>64</v>
      </c>
      <c r="I79" s="30" t="s">
        <v>610</v>
      </c>
      <c r="J79" s="32" t="s">
        <v>611</v>
      </c>
      <c r="K79" s="30" t="s">
        <v>210</v>
      </c>
      <c r="L79" s="32" t="s">
        <v>211</v>
      </c>
      <c r="M79" s="30" t="s">
        <v>953</v>
      </c>
      <c r="N79" s="30" t="s">
        <v>974</v>
      </c>
      <c r="O79" s="33">
        <v>2</v>
      </c>
      <c r="P79" s="33">
        <v>26805</v>
      </c>
      <c r="Q79" s="33">
        <v>0</v>
      </c>
      <c r="R79" s="33">
        <v>0</v>
      </c>
      <c r="S79" s="33">
        <v>3</v>
      </c>
      <c r="T79" s="33">
        <v>3</v>
      </c>
      <c r="U79" s="33">
        <v>0</v>
      </c>
      <c r="V79" s="33">
        <v>0</v>
      </c>
      <c r="W79" s="33" t="s">
        <v>53</v>
      </c>
      <c r="X79" s="33">
        <v>1</v>
      </c>
      <c r="Y79" s="30" t="s">
        <v>66</v>
      </c>
      <c r="Z79" s="30" t="s">
        <v>153</v>
      </c>
      <c r="AA79" s="30" t="s">
        <v>167</v>
      </c>
      <c r="AB79" s="30" t="s">
        <v>509</v>
      </c>
      <c r="AC79" s="30"/>
      <c r="AD79" s="30" t="s">
        <v>53</v>
      </c>
      <c r="AE79" s="30" t="s">
        <v>53</v>
      </c>
      <c r="AF79" s="30" t="s">
        <v>53</v>
      </c>
      <c r="AG79" s="30" t="s">
        <v>53</v>
      </c>
      <c r="AH79" s="30" t="s">
        <v>53</v>
      </c>
      <c r="AI79" s="30" t="s">
        <v>945</v>
      </c>
      <c r="AJ79" s="30" t="s">
        <v>142</v>
      </c>
      <c r="AK79" s="30" t="s">
        <v>1017</v>
      </c>
      <c r="AL79" s="30" t="s">
        <v>213</v>
      </c>
      <c r="AM79" s="30" t="s">
        <v>53</v>
      </c>
      <c r="AN79" s="30" t="s">
        <v>954</v>
      </c>
      <c r="AO79" s="30" t="s">
        <v>53</v>
      </c>
      <c r="AP79" s="30" t="s">
        <v>53</v>
      </c>
      <c r="AQ79" s="30" t="s">
        <v>53</v>
      </c>
      <c r="AR79" s="30" t="s">
        <v>53</v>
      </c>
      <c r="AS79" s="30" t="s">
        <v>53</v>
      </c>
      <c r="AT79" s="30" t="s">
        <v>946</v>
      </c>
      <c r="AU79" s="30" t="s">
        <v>53</v>
      </c>
      <c r="AV79" s="34">
        <v>168269508642</v>
      </c>
    </row>
    <row r="80" spans="2:48" ht="15" customHeight="1">
      <c r="B80" s="28">
        <v>74</v>
      </c>
      <c r="C80" s="29" t="s">
        <v>1210</v>
      </c>
      <c r="D80" s="30" t="s">
        <v>53</v>
      </c>
      <c r="E80" s="31" t="s">
        <v>1211</v>
      </c>
      <c r="F80" s="31" t="s">
        <v>53</v>
      </c>
      <c r="G80" s="32" t="s">
        <v>1212</v>
      </c>
      <c r="H80" s="30" t="s">
        <v>64</v>
      </c>
      <c r="I80" s="30" t="s">
        <v>646</v>
      </c>
      <c r="J80" s="32" t="s">
        <v>647</v>
      </c>
      <c r="K80" s="30" t="s">
        <v>170</v>
      </c>
      <c r="L80" s="32" t="s">
        <v>171</v>
      </c>
      <c r="M80" s="30" t="s">
        <v>953</v>
      </c>
      <c r="N80" s="30" t="s">
        <v>1029</v>
      </c>
      <c r="O80" s="33">
        <v>1</v>
      </c>
      <c r="P80" s="33">
        <v>13924</v>
      </c>
      <c r="Q80" s="33">
        <v>13</v>
      </c>
      <c r="R80" s="33">
        <v>0</v>
      </c>
      <c r="S80" s="33">
        <v>3</v>
      </c>
      <c r="T80" s="33">
        <v>3</v>
      </c>
      <c r="U80" s="33">
        <v>0</v>
      </c>
      <c r="V80" s="33">
        <v>0</v>
      </c>
      <c r="W80" s="33" t="s">
        <v>53</v>
      </c>
      <c r="X80" s="33">
        <v>1</v>
      </c>
      <c r="Y80" s="30" t="s">
        <v>66</v>
      </c>
      <c r="Z80" s="30" t="s">
        <v>153</v>
      </c>
      <c r="AA80" s="30" t="s">
        <v>167</v>
      </c>
      <c r="AB80" s="30" t="s">
        <v>509</v>
      </c>
      <c r="AC80" s="30">
        <v>48</v>
      </c>
      <c r="AD80" s="30" t="s">
        <v>520</v>
      </c>
      <c r="AE80" s="30" t="s">
        <v>53</v>
      </c>
      <c r="AF80" s="30" t="s">
        <v>53</v>
      </c>
      <c r="AG80" s="30" t="s">
        <v>53</v>
      </c>
      <c r="AH80" s="30" t="s">
        <v>53</v>
      </c>
      <c r="AI80" s="30" t="s">
        <v>945</v>
      </c>
      <c r="AJ80" s="30" t="s">
        <v>142</v>
      </c>
      <c r="AK80" s="30" t="s">
        <v>1112</v>
      </c>
      <c r="AL80" s="30" t="s">
        <v>172</v>
      </c>
      <c r="AM80" s="30" t="s">
        <v>53</v>
      </c>
      <c r="AN80" s="30" t="s">
        <v>954</v>
      </c>
      <c r="AO80" s="30" t="s">
        <v>53</v>
      </c>
      <c r="AP80" s="30" t="s">
        <v>53</v>
      </c>
      <c r="AQ80" s="30" t="s">
        <v>53</v>
      </c>
      <c r="AR80" s="30" t="s">
        <v>53</v>
      </c>
      <c r="AS80" s="30" t="s">
        <v>53</v>
      </c>
      <c r="AT80" s="30" t="s">
        <v>946</v>
      </c>
      <c r="AU80" s="30" t="s">
        <v>53</v>
      </c>
      <c r="AV80" s="34">
        <v>168269164815</v>
      </c>
    </row>
    <row r="81" spans="2:48" ht="15" customHeight="1">
      <c r="B81" s="28">
        <v>75</v>
      </c>
      <c r="C81" s="29" t="s">
        <v>1213</v>
      </c>
      <c r="D81" s="30" t="s">
        <v>1214</v>
      </c>
      <c r="E81" s="31" t="s">
        <v>1215</v>
      </c>
      <c r="F81" s="31" t="s">
        <v>1216</v>
      </c>
      <c r="G81" s="32" t="s">
        <v>1217</v>
      </c>
      <c r="H81" s="30" t="s">
        <v>80</v>
      </c>
      <c r="I81" s="30" t="s">
        <v>760</v>
      </c>
      <c r="J81" s="32" t="s">
        <v>761</v>
      </c>
      <c r="K81" s="30" t="s">
        <v>179</v>
      </c>
      <c r="L81" s="32" t="s">
        <v>180</v>
      </c>
      <c r="M81" s="30" t="s">
        <v>982</v>
      </c>
      <c r="N81" s="30" t="s">
        <v>974</v>
      </c>
      <c r="O81" s="33"/>
      <c r="P81" s="33">
        <v>0</v>
      </c>
      <c r="Q81" s="33">
        <v>0</v>
      </c>
      <c r="R81" s="33">
        <v>0</v>
      </c>
      <c r="S81" s="33">
        <v>3</v>
      </c>
      <c r="T81" s="33">
        <v>3</v>
      </c>
      <c r="U81" s="33">
        <v>0</v>
      </c>
      <c r="V81" s="33">
        <v>0</v>
      </c>
      <c r="W81" s="33" t="s">
        <v>983</v>
      </c>
      <c r="X81" s="33">
        <v>1</v>
      </c>
      <c r="Y81" s="30" t="s">
        <v>57</v>
      </c>
      <c r="Z81" s="30" t="s">
        <v>156</v>
      </c>
      <c r="AA81" s="30" t="s">
        <v>156</v>
      </c>
      <c r="AB81" s="30"/>
      <c r="AC81" s="30"/>
      <c r="AD81" s="30" t="s">
        <v>53</v>
      </c>
      <c r="AE81" s="30" t="s">
        <v>53</v>
      </c>
      <c r="AF81" s="30" t="s">
        <v>53</v>
      </c>
      <c r="AG81" s="30" t="s">
        <v>53</v>
      </c>
      <c r="AH81" s="30" t="s">
        <v>53</v>
      </c>
      <c r="AI81" s="30" t="s">
        <v>945</v>
      </c>
      <c r="AJ81" s="30" t="s">
        <v>142</v>
      </c>
      <c r="AK81" s="30" t="s">
        <v>53</v>
      </c>
      <c r="AL81" s="30" t="s">
        <v>53</v>
      </c>
      <c r="AM81" s="30" t="s">
        <v>53</v>
      </c>
      <c r="AN81" s="30" t="s">
        <v>954</v>
      </c>
      <c r="AO81" s="30" t="s">
        <v>53</v>
      </c>
      <c r="AP81" s="30" t="s">
        <v>53</v>
      </c>
      <c r="AQ81" s="30" t="s">
        <v>53</v>
      </c>
      <c r="AR81" s="30" t="s">
        <v>53</v>
      </c>
      <c r="AS81" s="30" t="s">
        <v>53</v>
      </c>
      <c r="AT81" s="30" t="s">
        <v>946</v>
      </c>
      <c r="AU81" s="30" t="s">
        <v>53</v>
      </c>
      <c r="AV81" s="34">
        <v>168261790500</v>
      </c>
    </row>
    <row r="82" spans="2:48" ht="15" customHeight="1">
      <c r="B82" s="28">
        <v>76</v>
      </c>
      <c r="C82" s="29" t="s">
        <v>1218</v>
      </c>
      <c r="D82" s="30" t="s">
        <v>53</v>
      </c>
      <c r="E82" s="31" t="s">
        <v>1219</v>
      </c>
      <c r="F82" s="31" t="s">
        <v>53</v>
      </c>
      <c r="G82" s="32" t="s">
        <v>1220</v>
      </c>
      <c r="H82" s="30" t="s">
        <v>67</v>
      </c>
      <c r="I82" s="30" t="s">
        <v>581</v>
      </c>
      <c r="J82" s="32" t="s">
        <v>762</v>
      </c>
      <c r="K82" s="30" t="s">
        <v>452</v>
      </c>
      <c r="L82" s="32" t="s">
        <v>453</v>
      </c>
      <c r="M82" s="30" t="s">
        <v>953</v>
      </c>
      <c r="N82" s="30" t="s">
        <v>943</v>
      </c>
      <c r="O82" s="33"/>
      <c r="P82" s="33">
        <v>6679</v>
      </c>
      <c r="Q82" s="33">
        <v>0</v>
      </c>
      <c r="R82" s="33">
        <v>0</v>
      </c>
      <c r="S82" s="33">
        <v>0</v>
      </c>
      <c r="T82" s="33">
        <v>0</v>
      </c>
      <c r="U82" s="33">
        <v>0</v>
      </c>
      <c r="V82" s="33">
        <v>0</v>
      </c>
      <c r="W82" s="33" t="s">
        <v>53</v>
      </c>
      <c r="X82" s="33">
        <v>1</v>
      </c>
      <c r="Y82" s="30" t="s">
        <v>69</v>
      </c>
      <c r="Z82" s="30" t="s">
        <v>156</v>
      </c>
      <c r="AA82" s="30" t="s">
        <v>156</v>
      </c>
      <c r="AB82" s="30"/>
      <c r="AC82" s="30"/>
      <c r="AD82" s="30" t="s">
        <v>53</v>
      </c>
      <c r="AE82" s="30" t="s">
        <v>53</v>
      </c>
      <c r="AF82" s="30" t="s">
        <v>1016</v>
      </c>
      <c r="AG82" s="30" t="s">
        <v>53</v>
      </c>
      <c r="AH82" s="30" t="s">
        <v>53</v>
      </c>
      <c r="AI82" s="30" t="s">
        <v>945</v>
      </c>
      <c r="AJ82" s="30" t="s">
        <v>53</v>
      </c>
      <c r="AK82" s="30" t="s">
        <v>53</v>
      </c>
      <c r="AL82" s="30" t="s">
        <v>53</v>
      </c>
      <c r="AM82" s="30" t="s">
        <v>53</v>
      </c>
      <c r="AN82" s="30" t="s">
        <v>954</v>
      </c>
      <c r="AO82" s="30" t="s">
        <v>53</v>
      </c>
      <c r="AP82" s="30" t="s">
        <v>53</v>
      </c>
      <c r="AQ82" s="30" t="s">
        <v>53</v>
      </c>
      <c r="AR82" s="30" t="s">
        <v>53</v>
      </c>
      <c r="AS82" s="30" t="s">
        <v>53</v>
      </c>
      <c r="AT82" s="30" t="s">
        <v>1012</v>
      </c>
      <c r="AU82" s="30" t="s">
        <v>53</v>
      </c>
      <c r="AV82" s="34">
        <v>168263011224</v>
      </c>
    </row>
    <row r="83" spans="2:48" ht="15" customHeight="1">
      <c r="B83" s="28">
        <v>77</v>
      </c>
      <c r="C83" s="29" t="s">
        <v>1221</v>
      </c>
      <c r="D83" s="30" t="s">
        <v>53</v>
      </c>
      <c r="E83" s="31" t="s">
        <v>1222</v>
      </c>
      <c r="F83" s="31" t="s">
        <v>53</v>
      </c>
      <c r="G83" s="32" t="s">
        <v>1223</v>
      </c>
      <c r="H83" s="30" t="s">
        <v>64</v>
      </c>
      <c r="I83" s="30" t="s">
        <v>598</v>
      </c>
      <c r="J83" s="32" t="s">
        <v>599</v>
      </c>
      <c r="K83" s="30" t="s">
        <v>324</v>
      </c>
      <c r="L83" s="32" t="s">
        <v>325</v>
      </c>
      <c r="M83" s="30" t="s">
        <v>953</v>
      </c>
      <c r="N83" s="30" t="s">
        <v>943</v>
      </c>
      <c r="O83" s="33">
        <v>3</v>
      </c>
      <c r="P83" s="33">
        <v>173962</v>
      </c>
      <c r="Q83" s="33">
        <v>0</v>
      </c>
      <c r="R83" s="33">
        <v>0</v>
      </c>
      <c r="S83" s="33">
        <v>1</v>
      </c>
      <c r="T83" s="33">
        <v>1</v>
      </c>
      <c r="U83" s="33">
        <v>0</v>
      </c>
      <c r="V83" s="33">
        <v>0</v>
      </c>
      <c r="W83" s="33" t="s">
        <v>53</v>
      </c>
      <c r="X83" s="33">
        <v>1</v>
      </c>
      <c r="Y83" s="30" t="s">
        <v>66</v>
      </c>
      <c r="Z83" s="30" t="s">
        <v>153</v>
      </c>
      <c r="AA83" s="30" t="s">
        <v>167</v>
      </c>
      <c r="AB83" s="30" t="s">
        <v>509</v>
      </c>
      <c r="AC83" s="30">
        <v>39</v>
      </c>
      <c r="AD83" s="30" t="s">
        <v>53</v>
      </c>
      <c r="AE83" s="30" t="s">
        <v>53</v>
      </c>
      <c r="AF83" s="30" t="s">
        <v>53</v>
      </c>
      <c r="AG83" s="30" t="s">
        <v>53</v>
      </c>
      <c r="AH83" s="30" t="s">
        <v>53</v>
      </c>
      <c r="AI83" s="30" t="s">
        <v>945</v>
      </c>
      <c r="AJ83" s="30" t="s">
        <v>53</v>
      </c>
      <c r="AK83" s="30" t="s">
        <v>53</v>
      </c>
      <c r="AL83" s="30" t="s">
        <v>53</v>
      </c>
      <c r="AM83" s="30" t="s">
        <v>53</v>
      </c>
      <c r="AN83" s="30" t="s">
        <v>954</v>
      </c>
      <c r="AO83" s="30" t="s">
        <v>53</v>
      </c>
      <c r="AP83" s="30" t="s">
        <v>53</v>
      </c>
      <c r="AQ83" s="30" t="s">
        <v>53</v>
      </c>
      <c r="AR83" s="30" t="s">
        <v>53</v>
      </c>
      <c r="AS83" s="30" t="s">
        <v>53</v>
      </c>
      <c r="AT83" s="30" t="s">
        <v>1025</v>
      </c>
      <c r="AU83" s="30" t="s">
        <v>53</v>
      </c>
      <c r="AV83" s="34">
        <v>168260319435</v>
      </c>
    </row>
    <row r="84" spans="2:48" ht="15" customHeight="1">
      <c r="B84" s="28">
        <v>78</v>
      </c>
      <c r="C84" s="29" t="s">
        <v>1224</v>
      </c>
      <c r="D84" s="30" t="s">
        <v>53</v>
      </c>
      <c r="E84" s="31" t="s">
        <v>1225</v>
      </c>
      <c r="F84" s="31" t="s">
        <v>53</v>
      </c>
      <c r="G84" s="32" t="s">
        <v>1226</v>
      </c>
      <c r="H84" s="30" t="s">
        <v>64</v>
      </c>
      <c r="I84" s="30" t="s">
        <v>588</v>
      </c>
      <c r="J84" s="32" t="s">
        <v>589</v>
      </c>
      <c r="K84" s="30" t="s">
        <v>217</v>
      </c>
      <c r="L84" s="32" t="s">
        <v>218</v>
      </c>
      <c r="M84" s="30" t="s">
        <v>953</v>
      </c>
      <c r="N84" s="30" t="s">
        <v>943</v>
      </c>
      <c r="O84" s="33">
        <v>2</v>
      </c>
      <c r="P84" s="33">
        <v>33595</v>
      </c>
      <c r="Q84" s="33">
        <v>3</v>
      </c>
      <c r="R84" s="33">
        <v>0</v>
      </c>
      <c r="S84" s="33">
        <v>0</v>
      </c>
      <c r="T84" s="33">
        <v>0</v>
      </c>
      <c r="U84" s="33">
        <v>0</v>
      </c>
      <c r="V84" s="33">
        <v>0</v>
      </c>
      <c r="W84" s="33" t="s">
        <v>53</v>
      </c>
      <c r="X84" s="33">
        <v>1</v>
      </c>
      <c r="Y84" s="30" t="s">
        <v>66</v>
      </c>
      <c r="Z84" s="30" t="s">
        <v>153</v>
      </c>
      <c r="AA84" s="30" t="s">
        <v>167</v>
      </c>
      <c r="AB84" s="30" t="s">
        <v>509</v>
      </c>
      <c r="AC84" s="30"/>
      <c r="AD84" s="30" t="s">
        <v>53</v>
      </c>
      <c r="AE84" s="30" t="s">
        <v>53</v>
      </c>
      <c r="AF84" s="30" t="s">
        <v>53</v>
      </c>
      <c r="AG84" s="30" t="s">
        <v>53</v>
      </c>
      <c r="AH84" s="30" t="s">
        <v>53</v>
      </c>
      <c r="AI84" s="30" t="s">
        <v>945</v>
      </c>
      <c r="AJ84" s="30" t="s">
        <v>142</v>
      </c>
      <c r="AK84" s="30" t="s">
        <v>1227</v>
      </c>
      <c r="AL84" s="30" t="s">
        <v>220</v>
      </c>
      <c r="AM84" s="30" t="s">
        <v>53</v>
      </c>
      <c r="AN84" s="30" t="s">
        <v>954</v>
      </c>
      <c r="AO84" s="30" t="s">
        <v>53</v>
      </c>
      <c r="AP84" s="30" t="s">
        <v>53</v>
      </c>
      <c r="AQ84" s="30" t="s">
        <v>53</v>
      </c>
      <c r="AR84" s="30" t="s">
        <v>954</v>
      </c>
      <c r="AS84" s="30" t="s">
        <v>53</v>
      </c>
      <c r="AT84" s="30" t="s">
        <v>946</v>
      </c>
      <c r="AU84" s="30" t="s">
        <v>53</v>
      </c>
      <c r="AV84" s="34">
        <v>168256903493</v>
      </c>
    </row>
    <row r="85" spans="2:48" ht="15" customHeight="1">
      <c r="B85" s="28">
        <v>79</v>
      </c>
      <c r="C85" s="29" t="s">
        <v>1228</v>
      </c>
      <c r="D85" s="30" t="s">
        <v>1104</v>
      </c>
      <c r="E85" s="31" t="s">
        <v>1193</v>
      </c>
      <c r="F85" s="31" t="s">
        <v>53</v>
      </c>
      <c r="G85" s="32" t="s">
        <v>1229</v>
      </c>
      <c r="H85" s="30" t="s">
        <v>98</v>
      </c>
      <c r="I85" s="30" t="s">
        <v>654</v>
      </c>
      <c r="J85" s="32" t="s">
        <v>655</v>
      </c>
      <c r="K85" s="30" t="s">
        <v>249</v>
      </c>
      <c r="L85" s="32" t="s">
        <v>250</v>
      </c>
      <c r="M85" s="30" t="s">
        <v>982</v>
      </c>
      <c r="N85" s="30" t="s">
        <v>974</v>
      </c>
      <c r="O85" s="33"/>
      <c r="P85" s="33">
        <v>0</v>
      </c>
      <c r="Q85" s="33">
        <v>0</v>
      </c>
      <c r="R85" s="33">
        <v>0</v>
      </c>
      <c r="S85" s="33">
        <v>0</v>
      </c>
      <c r="T85" s="33">
        <v>0</v>
      </c>
      <c r="U85" s="33">
        <v>0</v>
      </c>
      <c r="V85" s="33">
        <v>0</v>
      </c>
      <c r="W85" s="33" t="s">
        <v>983</v>
      </c>
      <c r="X85" s="33">
        <v>1</v>
      </c>
      <c r="Y85" s="30" t="s">
        <v>57</v>
      </c>
      <c r="Z85" s="30" t="s">
        <v>156</v>
      </c>
      <c r="AA85" s="30" t="s">
        <v>156</v>
      </c>
      <c r="AB85" s="30" t="s">
        <v>509</v>
      </c>
      <c r="AC85" s="30"/>
      <c r="AD85" s="30" t="s">
        <v>53</v>
      </c>
      <c r="AE85" s="30" t="s">
        <v>53</v>
      </c>
      <c r="AF85" s="30" t="s">
        <v>53</v>
      </c>
      <c r="AG85" s="30" t="s">
        <v>53</v>
      </c>
      <c r="AH85" s="30" t="s">
        <v>53</v>
      </c>
      <c r="AI85" s="30" t="s">
        <v>945</v>
      </c>
      <c r="AJ85" s="30" t="s">
        <v>142</v>
      </c>
      <c r="AK85" s="30" t="s">
        <v>53</v>
      </c>
      <c r="AL85" s="30" t="s">
        <v>53</v>
      </c>
      <c r="AM85" s="30" t="s">
        <v>53</v>
      </c>
      <c r="AN85" s="30" t="s">
        <v>954</v>
      </c>
      <c r="AO85" s="30" t="s">
        <v>53</v>
      </c>
      <c r="AP85" s="30" t="s">
        <v>53</v>
      </c>
      <c r="AQ85" s="30" t="s">
        <v>53</v>
      </c>
      <c r="AR85" s="30" t="s">
        <v>53</v>
      </c>
      <c r="AS85" s="30" t="s">
        <v>53</v>
      </c>
      <c r="AT85" s="30" t="s">
        <v>946</v>
      </c>
      <c r="AU85" s="30" t="s">
        <v>53</v>
      </c>
      <c r="AV85" s="34">
        <v>168266453977</v>
      </c>
    </row>
    <row r="86" spans="2:48" ht="15" customHeight="1">
      <c r="B86" s="28">
        <v>80</v>
      </c>
      <c r="C86" s="29" t="s">
        <v>1230</v>
      </c>
      <c r="D86" s="30" t="s">
        <v>53</v>
      </c>
      <c r="E86" s="31" t="s">
        <v>1231</v>
      </c>
      <c r="F86" s="31" t="s">
        <v>53</v>
      </c>
      <c r="G86" s="32" t="s">
        <v>1232</v>
      </c>
      <c r="H86" s="30" t="s">
        <v>64</v>
      </c>
      <c r="I86" s="30" t="s">
        <v>590</v>
      </c>
      <c r="J86" s="32" t="s">
        <v>591</v>
      </c>
      <c r="K86" s="30" t="s">
        <v>320</v>
      </c>
      <c r="L86" s="32" t="s">
        <v>321</v>
      </c>
      <c r="M86" s="30" t="s">
        <v>953</v>
      </c>
      <c r="N86" s="30" t="s">
        <v>974</v>
      </c>
      <c r="O86" s="33">
        <v>2</v>
      </c>
      <c r="P86" s="33">
        <v>21913</v>
      </c>
      <c r="Q86" s="33">
        <v>0</v>
      </c>
      <c r="R86" s="33">
        <v>0</v>
      </c>
      <c r="S86" s="33">
        <v>1</v>
      </c>
      <c r="T86" s="33">
        <v>1</v>
      </c>
      <c r="U86" s="33">
        <v>0</v>
      </c>
      <c r="V86" s="33">
        <v>0</v>
      </c>
      <c r="W86" s="33" t="s">
        <v>53</v>
      </c>
      <c r="X86" s="33">
        <v>1</v>
      </c>
      <c r="Y86" s="30" t="s">
        <v>66</v>
      </c>
      <c r="Z86" s="30" t="s">
        <v>153</v>
      </c>
      <c r="AA86" s="30" t="s">
        <v>167</v>
      </c>
      <c r="AB86" s="30" t="s">
        <v>509</v>
      </c>
      <c r="AC86" s="30">
        <v>47</v>
      </c>
      <c r="AD86" s="30" t="s">
        <v>53</v>
      </c>
      <c r="AE86" s="30" t="s">
        <v>53</v>
      </c>
      <c r="AF86" s="30" t="s">
        <v>53</v>
      </c>
      <c r="AG86" s="30" t="s">
        <v>53</v>
      </c>
      <c r="AH86" s="30" t="s">
        <v>53</v>
      </c>
      <c r="AI86" s="30" t="s">
        <v>945</v>
      </c>
      <c r="AJ86" s="30" t="s">
        <v>142</v>
      </c>
      <c r="AK86" s="30" t="s">
        <v>1233</v>
      </c>
      <c r="AL86" s="30" t="s">
        <v>323</v>
      </c>
      <c r="AM86" s="30" t="s">
        <v>53</v>
      </c>
      <c r="AN86" s="30" t="s">
        <v>954</v>
      </c>
      <c r="AO86" s="30" t="s">
        <v>53</v>
      </c>
      <c r="AP86" s="30" t="s">
        <v>53</v>
      </c>
      <c r="AQ86" s="30" t="s">
        <v>53</v>
      </c>
      <c r="AR86" s="30" t="s">
        <v>53</v>
      </c>
      <c r="AS86" s="30" t="s">
        <v>53</v>
      </c>
      <c r="AT86" s="30" t="s">
        <v>946</v>
      </c>
      <c r="AU86" s="30" t="s">
        <v>53</v>
      </c>
      <c r="AV86" s="34">
        <v>168247782954</v>
      </c>
    </row>
    <row r="87" spans="2:48" ht="15" customHeight="1">
      <c r="B87" s="28">
        <v>81</v>
      </c>
      <c r="C87" s="29" t="s">
        <v>1234</v>
      </c>
      <c r="D87" s="30" t="s">
        <v>53</v>
      </c>
      <c r="E87" s="31" t="s">
        <v>1235</v>
      </c>
      <c r="F87" s="31" t="s">
        <v>53</v>
      </c>
      <c r="G87" s="32" t="s">
        <v>1236</v>
      </c>
      <c r="H87" s="30" t="s">
        <v>64</v>
      </c>
      <c r="I87" s="30" t="s">
        <v>600</v>
      </c>
      <c r="J87" s="32" t="s">
        <v>601</v>
      </c>
      <c r="K87" s="30" t="s">
        <v>170</v>
      </c>
      <c r="L87" s="32" t="s">
        <v>171</v>
      </c>
      <c r="M87" s="30" t="s">
        <v>953</v>
      </c>
      <c r="N87" s="30" t="s">
        <v>974</v>
      </c>
      <c r="O87" s="33">
        <v>1</v>
      </c>
      <c r="P87" s="33">
        <v>13924</v>
      </c>
      <c r="Q87" s="33">
        <v>4</v>
      </c>
      <c r="R87" s="33">
        <v>0</v>
      </c>
      <c r="S87" s="33">
        <v>3</v>
      </c>
      <c r="T87" s="33">
        <v>3</v>
      </c>
      <c r="U87" s="33">
        <v>0</v>
      </c>
      <c r="V87" s="33">
        <v>0</v>
      </c>
      <c r="W87" s="33" t="s">
        <v>53</v>
      </c>
      <c r="X87" s="33">
        <v>1</v>
      </c>
      <c r="Y87" s="30" t="s">
        <v>66</v>
      </c>
      <c r="Z87" s="30" t="s">
        <v>153</v>
      </c>
      <c r="AA87" s="30" t="s">
        <v>167</v>
      </c>
      <c r="AB87" s="30" t="s">
        <v>509</v>
      </c>
      <c r="AC87" s="30"/>
      <c r="AD87" s="30" t="s">
        <v>53</v>
      </c>
      <c r="AE87" s="30" t="s">
        <v>53</v>
      </c>
      <c r="AF87" s="30" t="s">
        <v>53</v>
      </c>
      <c r="AG87" s="30" t="s">
        <v>53</v>
      </c>
      <c r="AH87" s="30" t="s">
        <v>53</v>
      </c>
      <c r="AI87" s="30" t="s">
        <v>945</v>
      </c>
      <c r="AJ87" s="30" t="s">
        <v>142</v>
      </c>
      <c r="AK87" s="30" t="s">
        <v>1112</v>
      </c>
      <c r="AL87" s="30" t="s">
        <v>172</v>
      </c>
      <c r="AM87" s="30" t="s">
        <v>53</v>
      </c>
      <c r="AN87" s="30" t="s">
        <v>954</v>
      </c>
      <c r="AO87" s="30" t="s">
        <v>53</v>
      </c>
      <c r="AP87" s="30" t="s">
        <v>53</v>
      </c>
      <c r="AQ87" s="30" t="s">
        <v>53</v>
      </c>
      <c r="AR87" s="30" t="s">
        <v>53</v>
      </c>
      <c r="AS87" s="30" t="s">
        <v>53</v>
      </c>
      <c r="AT87" s="30" t="s">
        <v>946</v>
      </c>
      <c r="AU87" s="30" t="s">
        <v>53</v>
      </c>
      <c r="AV87" s="34">
        <v>168247748183</v>
      </c>
    </row>
    <row r="88" spans="2:48" ht="15" customHeight="1">
      <c r="B88" s="28">
        <v>82</v>
      </c>
      <c r="C88" s="29" t="s">
        <v>1237</v>
      </c>
      <c r="D88" s="30" t="s">
        <v>53</v>
      </c>
      <c r="E88" s="31" t="s">
        <v>1238</v>
      </c>
      <c r="F88" s="31" t="s">
        <v>53</v>
      </c>
      <c r="G88" s="32" t="s">
        <v>1239</v>
      </c>
      <c r="H88" s="30" t="s">
        <v>64</v>
      </c>
      <c r="I88" s="30" t="s">
        <v>614</v>
      </c>
      <c r="J88" s="32" t="s">
        <v>615</v>
      </c>
      <c r="K88" s="30" t="s">
        <v>217</v>
      </c>
      <c r="L88" s="32" t="s">
        <v>218</v>
      </c>
      <c r="M88" s="30" t="s">
        <v>953</v>
      </c>
      <c r="N88" s="30" t="s">
        <v>974</v>
      </c>
      <c r="O88" s="33">
        <v>2</v>
      </c>
      <c r="P88" s="33">
        <v>33595</v>
      </c>
      <c r="Q88" s="33">
        <v>0</v>
      </c>
      <c r="R88" s="33">
        <v>0</v>
      </c>
      <c r="S88" s="33">
        <v>4</v>
      </c>
      <c r="T88" s="33">
        <v>4</v>
      </c>
      <c r="U88" s="33">
        <v>0</v>
      </c>
      <c r="V88" s="33">
        <v>0</v>
      </c>
      <c r="W88" s="33" t="s">
        <v>53</v>
      </c>
      <c r="X88" s="33">
        <v>1</v>
      </c>
      <c r="Y88" s="30" t="s">
        <v>66</v>
      </c>
      <c r="Z88" s="30" t="s">
        <v>153</v>
      </c>
      <c r="AA88" s="30" t="s">
        <v>167</v>
      </c>
      <c r="AB88" s="30" t="s">
        <v>509</v>
      </c>
      <c r="AC88" s="30"/>
      <c r="AD88" s="30" t="s">
        <v>53</v>
      </c>
      <c r="AE88" s="30" t="s">
        <v>53</v>
      </c>
      <c r="AF88" s="30" t="s">
        <v>53</v>
      </c>
      <c r="AG88" s="30" t="s">
        <v>53</v>
      </c>
      <c r="AH88" s="30" t="s">
        <v>53</v>
      </c>
      <c r="AI88" s="30" t="s">
        <v>945</v>
      </c>
      <c r="AJ88" s="30" t="s">
        <v>142</v>
      </c>
      <c r="AK88" s="30" t="s">
        <v>1227</v>
      </c>
      <c r="AL88" s="30" t="s">
        <v>220</v>
      </c>
      <c r="AM88" s="30" t="s">
        <v>53</v>
      </c>
      <c r="AN88" s="30" t="s">
        <v>954</v>
      </c>
      <c r="AO88" s="30" t="s">
        <v>53</v>
      </c>
      <c r="AP88" s="30" t="s">
        <v>53</v>
      </c>
      <c r="AQ88" s="30" t="s">
        <v>53</v>
      </c>
      <c r="AR88" s="30" t="s">
        <v>53</v>
      </c>
      <c r="AS88" s="30" t="s">
        <v>53</v>
      </c>
      <c r="AT88" s="30" t="s">
        <v>946</v>
      </c>
      <c r="AU88" s="30" t="s">
        <v>53</v>
      </c>
      <c r="AV88" s="34">
        <v>168248299981</v>
      </c>
    </row>
    <row r="89" spans="2:48" ht="15" customHeight="1">
      <c r="B89" s="28">
        <v>83</v>
      </c>
      <c r="C89" s="29" t="s">
        <v>1240</v>
      </c>
      <c r="D89" s="30" t="s">
        <v>1241</v>
      </c>
      <c r="E89" s="31" t="s">
        <v>1242</v>
      </c>
      <c r="F89" s="31" t="s">
        <v>53</v>
      </c>
      <c r="G89" s="32" t="s">
        <v>1243</v>
      </c>
      <c r="H89" s="30" t="s">
        <v>436</v>
      </c>
      <c r="I89" s="30" t="s">
        <v>434</v>
      </c>
      <c r="J89" s="32" t="s">
        <v>435</v>
      </c>
      <c r="K89" s="30" t="s">
        <v>434</v>
      </c>
      <c r="L89" s="32" t="s">
        <v>435</v>
      </c>
      <c r="M89" s="30" t="s">
        <v>942</v>
      </c>
      <c r="N89" s="30" t="s">
        <v>943</v>
      </c>
      <c r="O89" s="33"/>
      <c r="P89" s="33">
        <v>81</v>
      </c>
      <c r="Q89" s="33">
        <v>81</v>
      </c>
      <c r="R89" s="33">
        <v>0</v>
      </c>
      <c r="S89" s="33">
        <v>0</v>
      </c>
      <c r="T89" s="33">
        <v>0</v>
      </c>
      <c r="U89" s="33">
        <v>0</v>
      </c>
      <c r="V89" s="33">
        <v>0</v>
      </c>
      <c r="W89" s="33" t="s">
        <v>53</v>
      </c>
      <c r="X89" s="33">
        <v>1</v>
      </c>
      <c r="Y89" s="30" t="s">
        <v>61</v>
      </c>
      <c r="Z89" s="30" t="s">
        <v>167</v>
      </c>
      <c r="AA89" s="30" t="s">
        <v>167</v>
      </c>
      <c r="AB89" s="30"/>
      <c r="AC89" s="30">
        <v>42</v>
      </c>
      <c r="AD89" s="30" t="s">
        <v>53</v>
      </c>
      <c r="AE89" s="30" t="s">
        <v>53</v>
      </c>
      <c r="AF89" s="30" t="s">
        <v>53</v>
      </c>
      <c r="AG89" s="30" t="s">
        <v>53</v>
      </c>
      <c r="AH89" s="30" t="s">
        <v>53</v>
      </c>
      <c r="AI89" s="30" t="s">
        <v>945</v>
      </c>
      <c r="AJ89" s="30" t="s">
        <v>142</v>
      </c>
      <c r="AK89" s="30" t="s">
        <v>53</v>
      </c>
      <c r="AL89" s="30" t="s">
        <v>53</v>
      </c>
      <c r="AM89" s="30" t="s">
        <v>53</v>
      </c>
      <c r="AN89" s="30" t="s">
        <v>954</v>
      </c>
      <c r="AO89" s="30" t="s">
        <v>53</v>
      </c>
      <c r="AP89" s="30" t="s">
        <v>53</v>
      </c>
      <c r="AQ89" s="30" t="s">
        <v>53</v>
      </c>
      <c r="AR89" s="30" t="s">
        <v>53</v>
      </c>
      <c r="AS89" s="30" t="s">
        <v>53</v>
      </c>
      <c r="AT89" s="30" t="s">
        <v>946</v>
      </c>
      <c r="AU89" s="30" t="s">
        <v>53</v>
      </c>
      <c r="AV89" s="34">
        <v>168227698244</v>
      </c>
    </row>
    <row r="90" spans="2:48" ht="15" customHeight="1">
      <c r="B90" s="28">
        <v>84</v>
      </c>
      <c r="C90" s="29" t="s">
        <v>1244</v>
      </c>
      <c r="D90" s="30" t="s">
        <v>53</v>
      </c>
      <c r="E90" s="31" t="s">
        <v>1245</v>
      </c>
      <c r="F90" s="31" t="s">
        <v>53</v>
      </c>
      <c r="G90" s="32" t="s">
        <v>1246</v>
      </c>
      <c r="H90" s="30" t="s">
        <v>64</v>
      </c>
      <c r="I90" s="30" t="s">
        <v>575</v>
      </c>
      <c r="J90" s="32" t="s">
        <v>576</v>
      </c>
      <c r="K90" s="30" t="s">
        <v>292</v>
      </c>
      <c r="L90" s="32" t="s">
        <v>294</v>
      </c>
      <c r="M90" s="30" t="s">
        <v>953</v>
      </c>
      <c r="N90" s="30" t="s">
        <v>974</v>
      </c>
      <c r="O90" s="33">
        <v>3</v>
      </c>
      <c r="P90" s="33">
        <v>37647</v>
      </c>
      <c r="Q90" s="33">
        <v>0</v>
      </c>
      <c r="R90" s="33">
        <v>0</v>
      </c>
      <c r="S90" s="33">
        <v>0</v>
      </c>
      <c r="T90" s="33">
        <v>0</v>
      </c>
      <c r="U90" s="33">
        <v>0</v>
      </c>
      <c r="V90" s="33">
        <v>0</v>
      </c>
      <c r="W90" s="33" t="s">
        <v>53</v>
      </c>
      <c r="X90" s="33">
        <v>1</v>
      </c>
      <c r="Y90" s="30" t="s">
        <v>66</v>
      </c>
      <c r="Z90" s="30" t="s">
        <v>153</v>
      </c>
      <c r="AA90" s="30" t="s">
        <v>167</v>
      </c>
      <c r="AB90" s="30" t="s">
        <v>509</v>
      </c>
      <c r="AC90" s="30">
        <v>41</v>
      </c>
      <c r="AD90" s="30" t="s">
        <v>53</v>
      </c>
      <c r="AE90" s="30" t="s">
        <v>53</v>
      </c>
      <c r="AF90" s="30" t="s">
        <v>53</v>
      </c>
      <c r="AG90" s="30" t="s">
        <v>53</v>
      </c>
      <c r="AH90" s="30" t="s">
        <v>53</v>
      </c>
      <c r="AI90" s="30" t="s">
        <v>945</v>
      </c>
      <c r="AJ90" s="30" t="s">
        <v>142</v>
      </c>
      <c r="AK90" s="30" t="s">
        <v>1030</v>
      </c>
      <c r="AL90" s="30" t="s">
        <v>164</v>
      </c>
      <c r="AM90" s="30" t="s">
        <v>42</v>
      </c>
      <c r="AN90" s="30" t="s">
        <v>954</v>
      </c>
      <c r="AO90" s="30" t="s">
        <v>53</v>
      </c>
      <c r="AP90" s="30" t="s">
        <v>53</v>
      </c>
      <c r="AQ90" s="30" t="s">
        <v>53</v>
      </c>
      <c r="AR90" s="30" t="s">
        <v>53</v>
      </c>
      <c r="AS90" s="30" t="s">
        <v>53</v>
      </c>
      <c r="AT90" s="30" t="s">
        <v>946</v>
      </c>
      <c r="AU90" s="30" t="s">
        <v>53</v>
      </c>
      <c r="AV90" s="34">
        <v>168193802644</v>
      </c>
    </row>
    <row r="91" spans="2:48" ht="15" customHeight="1">
      <c r="B91" s="28">
        <v>85</v>
      </c>
      <c r="C91" s="29" t="s">
        <v>1247</v>
      </c>
      <c r="D91" s="30" t="s">
        <v>53</v>
      </c>
      <c r="E91" s="31" t="s">
        <v>1248</v>
      </c>
      <c r="F91" s="31" t="s">
        <v>53</v>
      </c>
      <c r="G91" s="32" t="s">
        <v>1249</v>
      </c>
      <c r="H91" s="30" t="s">
        <v>64</v>
      </c>
      <c r="I91" s="30" t="s">
        <v>572</v>
      </c>
      <c r="J91" s="32" t="s">
        <v>573</v>
      </c>
      <c r="K91" s="30" t="s">
        <v>410</v>
      </c>
      <c r="L91" s="32" t="s">
        <v>411</v>
      </c>
      <c r="M91" s="30" t="s">
        <v>953</v>
      </c>
      <c r="N91" s="30" t="s">
        <v>974</v>
      </c>
      <c r="O91" s="33"/>
      <c r="P91" s="33">
        <v>1317</v>
      </c>
      <c r="Q91" s="33">
        <v>0</v>
      </c>
      <c r="R91" s="33">
        <v>0</v>
      </c>
      <c r="S91" s="33">
        <v>0</v>
      </c>
      <c r="T91" s="33">
        <v>0</v>
      </c>
      <c r="U91" s="33">
        <v>0</v>
      </c>
      <c r="V91" s="33">
        <v>0</v>
      </c>
      <c r="W91" s="33" t="s">
        <v>53</v>
      </c>
      <c r="X91" s="33">
        <v>1</v>
      </c>
      <c r="Y91" s="30" t="s">
        <v>66</v>
      </c>
      <c r="Z91" s="30" t="s">
        <v>153</v>
      </c>
      <c r="AA91" s="30" t="s">
        <v>167</v>
      </c>
      <c r="AB91" s="30" t="s">
        <v>509</v>
      </c>
      <c r="AC91" s="30">
        <v>47</v>
      </c>
      <c r="AD91" s="30" t="s">
        <v>53</v>
      </c>
      <c r="AE91" s="30" t="s">
        <v>53</v>
      </c>
      <c r="AF91" s="30" t="s">
        <v>53</v>
      </c>
      <c r="AG91" s="30" t="s">
        <v>53</v>
      </c>
      <c r="AH91" s="30" t="s">
        <v>53</v>
      </c>
      <c r="AI91" s="30" t="s">
        <v>945</v>
      </c>
      <c r="AJ91" s="30" t="s">
        <v>53</v>
      </c>
      <c r="AK91" s="30" t="s">
        <v>53</v>
      </c>
      <c r="AL91" s="30" t="s">
        <v>53</v>
      </c>
      <c r="AM91" s="30" t="s">
        <v>53</v>
      </c>
      <c r="AN91" s="30" t="s">
        <v>954</v>
      </c>
      <c r="AO91" s="30" t="s">
        <v>53</v>
      </c>
      <c r="AP91" s="30" t="s">
        <v>53</v>
      </c>
      <c r="AQ91" s="30" t="s">
        <v>53</v>
      </c>
      <c r="AR91" s="30" t="s">
        <v>53</v>
      </c>
      <c r="AS91" s="30" t="s">
        <v>53</v>
      </c>
      <c r="AT91" s="30" t="s">
        <v>946</v>
      </c>
      <c r="AU91" s="30" t="s">
        <v>53</v>
      </c>
      <c r="AV91" s="34">
        <v>168193725229</v>
      </c>
    </row>
    <row r="92" spans="2:48" ht="15" customHeight="1">
      <c r="B92" s="28">
        <v>86</v>
      </c>
      <c r="C92" s="29" t="s">
        <v>1250</v>
      </c>
      <c r="D92" s="30" t="s">
        <v>1251</v>
      </c>
      <c r="E92" s="31" t="s">
        <v>1252</v>
      </c>
      <c r="F92" s="31" t="s">
        <v>1253</v>
      </c>
      <c r="G92" s="32" t="s">
        <v>1254</v>
      </c>
      <c r="H92" s="30" t="s">
        <v>80</v>
      </c>
      <c r="I92" s="30" t="s">
        <v>703</v>
      </c>
      <c r="J92" s="32" t="s">
        <v>704</v>
      </c>
      <c r="K92" s="30" t="s">
        <v>181</v>
      </c>
      <c r="L92" s="32" t="s">
        <v>182</v>
      </c>
      <c r="M92" s="30" t="s">
        <v>982</v>
      </c>
      <c r="N92" s="30" t="s">
        <v>974</v>
      </c>
      <c r="O92" s="33"/>
      <c r="P92" s="33">
        <v>0</v>
      </c>
      <c r="Q92" s="33">
        <v>0</v>
      </c>
      <c r="R92" s="33">
        <v>0</v>
      </c>
      <c r="S92" s="33">
        <v>1</v>
      </c>
      <c r="T92" s="33">
        <v>1</v>
      </c>
      <c r="U92" s="33">
        <v>0</v>
      </c>
      <c r="V92" s="33">
        <v>0</v>
      </c>
      <c r="W92" s="33" t="s">
        <v>983</v>
      </c>
      <c r="X92" s="33">
        <v>1</v>
      </c>
      <c r="Y92" s="30" t="s">
        <v>57</v>
      </c>
      <c r="Z92" s="30" t="s">
        <v>156</v>
      </c>
      <c r="AA92" s="30" t="s">
        <v>156</v>
      </c>
      <c r="AB92" s="30"/>
      <c r="AC92" s="30"/>
      <c r="AD92" s="30" t="s">
        <v>53</v>
      </c>
      <c r="AE92" s="30" t="s">
        <v>53</v>
      </c>
      <c r="AF92" s="30" t="s">
        <v>53</v>
      </c>
      <c r="AG92" s="30" t="s">
        <v>53</v>
      </c>
      <c r="AH92" s="30" t="s">
        <v>53</v>
      </c>
      <c r="AI92" s="30" t="s">
        <v>945</v>
      </c>
      <c r="AJ92" s="30" t="s">
        <v>142</v>
      </c>
      <c r="AK92" s="30" t="s">
        <v>169</v>
      </c>
      <c r="AL92" s="30" t="s">
        <v>169</v>
      </c>
      <c r="AM92" s="30" t="s">
        <v>53</v>
      </c>
      <c r="AN92" s="30" t="s">
        <v>954</v>
      </c>
      <c r="AO92" s="30" t="s">
        <v>53</v>
      </c>
      <c r="AP92" s="30" t="s">
        <v>53</v>
      </c>
      <c r="AQ92" s="30" t="s">
        <v>53</v>
      </c>
      <c r="AR92" s="30" t="s">
        <v>53</v>
      </c>
      <c r="AS92" s="30" t="s">
        <v>53</v>
      </c>
      <c r="AT92" s="30" t="s">
        <v>1012</v>
      </c>
      <c r="AU92" s="30" t="s">
        <v>139</v>
      </c>
      <c r="AV92" s="34">
        <v>168193283752</v>
      </c>
    </row>
    <row r="93" spans="2:48" ht="15" customHeight="1">
      <c r="B93" s="28">
        <v>87</v>
      </c>
      <c r="C93" s="29" t="s">
        <v>1255</v>
      </c>
      <c r="D93" s="30" t="s">
        <v>53</v>
      </c>
      <c r="E93" s="31" t="s">
        <v>1256</v>
      </c>
      <c r="F93" s="31" t="s">
        <v>53</v>
      </c>
      <c r="G93" s="32" t="s">
        <v>1257</v>
      </c>
      <c r="H93" s="30" t="s">
        <v>67</v>
      </c>
      <c r="I93" s="30" t="s">
        <v>737</v>
      </c>
      <c r="J93" s="32" t="s">
        <v>745</v>
      </c>
      <c r="K93" s="30" t="s">
        <v>406</v>
      </c>
      <c r="L93" s="32" t="s">
        <v>407</v>
      </c>
      <c r="M93" s="30" t="s">
        <v>953</v>
      </c>
      <c r="N93" s="30" t="s">
        <v>943</v>
      </c>
      <c r="O93" s="33"/>
      <c r="P93" s="33">
        <v>209511</v>
      </c>
      <c r="Q93" s="33">
        <v>0</v>
      </c>
      <c r="R93" s="33">
        <v>0</v>
      </c>
      <c r="S93" s="33">
        <v>0</v>
      </c>
      <c r="T93" s="33">
        <v>0</v>
      </c>
      <c r="U93" s="33">
        <v>0</v>
      </c>
      <c r="V93" s="33">
        <v>0</v>
      </c>
      <c r="W93" s="33" t="s">
        <v>53</v>
      </c>
      <c r="X93" s="33">
        <v>1</v>
      </c>
      <c r="Y93" s="30" t="s">
        <v>69</v>
      </c>
      <c r="Z93" s="30" t="s">
        <v>156</v>
      </c>
      <c r="AA93" s="30" t="s">
        <v>167</v>
      </c>
      <c r="AB93" s="30" t="s">
        <v>509</v>
      </c>
      <c r="AC93" s="30"/>
      <c r="AD93" s="30" t="s">
        <v>53</v>
      </c>
      <c r="AE93" s="30" t="s">
        <v>53</v>
      </c>
      <c r="AF93" s="30" t="s">
        <v>53</v>
      </c>
      <c r="AG93" s="30" t="s">
        <v>53</v>
      </c>
      <c r="AH93" s="30" t="s">
        <v>53</v>
      </c>
      <c r="AI93" s="30" t="s">
        <v>945</v>
      </c>
      <c r="AJ93" s="30" t="s">
        <v>53</v>
      </c>
      <c r="AK93" s="30" t="s">
        <v>53</v>
      </c>
      <c r="AL93" s="30" t="s">
        <v>53</v>
      </c>
      <c r="AM93" s="30" t="s">
        <v>53</v>
      </c>
      <c r="AN93" s="30" t="s">
        <v>954</v>
      </c>
      <c r="AO93" s="30" t="s">
        <v>53</v>
      </c>
      <c r="AP93" s="30" t="s">
        <v>53</v>
      </c>
      <c r="AQ93" s="30" t="s">
        <v>53</v>
      </c>
      <c r="AR93" s="30" t="s">
        <v>53</v>
      </c>
      <c r="AS93" s="30" t="s">
        <v>53</v>
      </c>
      <c r="AT93" s="30" t="s">
        <v>1012</v>
      </c>
      <c r="AU93" s="30" t="s">
        <v>53</v>
      </c>
      <c r="AV93" s="34">
        <v>168187164250</v>
      </c>
    </row>
    <row r="94" spans="2:48" ht="15" customHeight="1">
      <c r="B94" s="28">
        <v>88</v>
      </c>
      <c r="C94" s="29" t="s">
        <v>1258</v>
      </c>
      <c r="D94" s="30" t="s">
        <v>53</v>
      </c>
      <c r="E94" s="31" t="s">
        <v>1259</v>
      </c>
      <c r="F94" s="31" t="s">
        <v>53</v>
      </c>
      <c r="G94" s="32" t="s">
        <v>1260</v>
      </c>
      <c r="H94" s="30" t="s">
        <v>64</v>
      </c>
      <c r="I94" s="30" t="s">
        <v>598</v>
      </c>
      <c r="J94" s="32" t="s">
        <v>599</v>
      </c>
      <c r="K94" s="30" t="s">
        <v>336</v>
      </c>
      <c r="L94" s="32" t="s">
        <v>337</v>
      </c>
      <c r="M94" s="30" t="s">
        <v>953</v>
      </c>
      <c r="N94" s="30" t="s">
        <v>943</v>
      </c>
      <c r="O94" s="33">
        <v>2</v>
      </c>
      <c r="P94" s="33">
        <v>27256</v>
      </c>
      <c r="Q94" s="33">
        <v>0</v>
      </c>
      <c r="R94" s="33">
        <v>0</v>
      </c>
      <c r="S94" s="33">
        <v>0</v>
      </c>
      <c r="T94" s="33">
        <v>0</v>
      </c>
      <c r="U94" s="33">
        <v>0</v>
      </c>
      <c r="V94" s="33">
        <v>0</v>
      </c>
      <c r="W94" s="33" t="s">
        <v>53</v>
      </c>
      <c r="X94" s="33">
        <v>1</v>
      </c>
      <c r="Y94" s="30" t="s">
        <v>66</v>
      </c>
      <c r="Z94" s="30" t="s">
        <v>153</v>
      </c>
      <c r="AA94" s="30" t="s">
        <v>167</v>
      </c>
      <c r="AB94" s="30" t="s">
        <v>509</v>
      </c>
      <c r="AC94" s="30">
        <v>39</v>
      </c>
      <c r="AD94" s="30" t="s">
        <v>53</v>
      </c>
      <c r="AE94" s="30" t="s">
        <v>53</v>
      </c>
      <c r="AF94" s="30" t="s">
        <v>53</v>
      </c>
      <c r="AG94" s="30" t="s">
        <v>53</v>
      </c>
      <c r="AH94" s="30" t="s">
        <v>53</v>
      </c>
      <c r="AI94" s="30" t="s">
        <v>945</v>
      </c>
      <c r="AJ94" s="30" t="s">
        <v>142</v>
      </c>
      <c r="AK94" s="30" t="s">
        <v>552</v>
      </c>
      <c r="AL94" s="30" t="s">
        <v>339</v>
      </c>
      <c r="AM94" s="30" t="s">
        <v>53</v>
      </c>
      <c r="AN94" s="30" t="s">
        <v>954</v>
      </c>
      <c r="AO94" s="30" t="s">
        <v>53</v>
      </c>
      <c r="AP94" s="30" t="s">
        <v>53</v>
      </c>
      <c r="AQ94" s="30" t="s">
        <v>53</v>
      </c>
      <c r="AR94" s="30" t="s">
        <v>53</v>
      </c>
      <c r="AS94" s="30" t="s">
        <v>53</v>
      </c>
      <c r="AT94" s="30" t="s">
        <v>1012</v>
      </c>
      <c r="AU94" s="30" t="s">
        <v>53</v>
      </c>
      <c r="AV94" s="34">
        <v>168186902244</v>
      </c>
    </row>
    <row r="95" spans="2:48" ht="15" customHeight="1">
      <c r="B95" s="28">
        <v>89</v>
      </c>
      <c r="C95" s="29" t="s">
        <v>1261</v>
      </c>
      <c r="D95" s="30" t="s">
        <v>53</v>
      </c>
      <c r="E95" s="31" t="s">
        <v>1122</v>
      </c>
      <c r="F95" s="31" t="s">
        <v>1123</v>
      </c>
      <c r="G95" s="32" t="s">
        <v>1262</v>
      </c>
      <c r="H95" s="30" t="s">
        <v>64</v>
      </c>
      <c r="I95" s="30" t="s">
        <v>386</v>
      </c>
      <c r="J95" s="32" t="s">
        <v>387</v>
      </c>
      <c r="K95" s="30" t="s">
        <v>386</v>
      </c>
      <c r="L95" s="32" t="s">
        <v>387</v>
      </c>
      <c r="M95" s="30" t="s">
        <v>1125</v>
      </c>
      <c r="N95" s="30" t="s">
        <v>943</v>
      </c>
      <c r="O95" s="33"/>
      <c r="P95" s="33">
        <v>112</v>
      </c>
      <c r="Q95" s="33">
        <v>112</v>
      </c>
      <c r="R95" s="33">
        <v>12</v>
      </c>
      <c r="S95" s="33">
        <v>0</v>
      </c>
      <c r="T95" s="33">
        <v>0</v>
      </c>
      <c r="U95" s="33">
        <v>0</v>
      </c>
      <c r="V95" s="33">
        <v>0</v>
      </c>
      <c r="W95" s="33" t="s">
        <v>53</v>
      </c>
      <c r="X95" s="33">
        <v>2</v>
      </c>
      <c r="Y95" s="30" t="s">
        <v>66</v>
      </c>
      <c r="Z95" s="30" t="s">
        <v>167</v>
      </c>
      <c r="AA95" s="30" t="s">
        <v>167</v>
      </c>
      <c r="AB95" s="30" t="s">
        <v>509</v>
      </c>
      <c r="AC95" s="30">
        <v>61</v>
      </c>
      <c r="AD95" s="30" t="s">
        <v>520</v>
      </c>
      <c r="AE95" s="30" t="s">
        <v>53</v>
      </c>
      <c r="AF95" s="30" t="s">
        <v>53</v>
      </c>
      <c r="AG95" s="30" t="s">
        <v>53</v>
      </c>
      <c r="AH95" s="30" t="s">
        <v>53</v>
      </c>
      <c r="AI95" s="30" t="s">
        <v>945</v>
      </c>
      <c r="AJ95" s="30" t="s">
        <v>53</v>
      </c>
      <c r="AK95" s="30" t="s">
        <v>53</v>
      </c>
      <c r="AL95" s="30" t="s">
        <v>53</v>
      </c>
      <c r="AM95" s="30" t="s">
        <v>53</v>
      </c>
      <c r="AN95" s="30" t="s">
        <v>53</v>
      </c>
      <c r="AO95" s="30" t="s">
        <v>53</v>
      </c>
      <c r="AP95" s="30" t="s">
        <v>53</v>
      </c>
      <c r="AQ95" s="30" t="s">
        <v>53</v>
      </c>
      <c r="AR95" s="30" t="s">
        <v>53</v>
      </c>
      <c r="AS95" s="30" t="s">
        <v>53</v>
      </c>
      <c r="AT95" s="30" t="s">
        <v>946</v>
      </c>
      <c r="AU95" s="30" t="s">
        <v>53</v>
      </c>
      <c r="AV95" s="34">
        <v>168162521611</v>
      </c>
    </row>
    <row r="96" spans="2:48" ht="15" customHeight="1">
      <c r="B96" s="28">
        <v>90</v>
      </c>
      <c r="C96" s="29" t="s">
        <v>1263</v>
      </c>
      <c r="D96" s="30" t="s">
        <v>53</v>
      </c>
      <c r="E96" s="31" t="s">
        <v>1264</v>
      </c>
      <c r="F96" s="31" t="s">
        <v>53</v>
      </c>
      <c r="G96" s="32" t="s">
        <v>1265</v>
      </c>
      <c r="H96" s="30" t="s">
        <v>86</v>
      </c>
      <c r="I96" s="30" t="s">
        <v>491</v>
      </c>
      <c r="J96" s="32" t="s">
        <v>492</v>
      </c>
      <c r="K96" s="30" t="s">
        <v>491</v>
      </c>
      <c r="L96" s="32" t="s">
        <v>492</v>
      </c>
      <c r="M96" s="30" t="s">
        <v>953</v>
      </c>
      <c r="N96" s="30" t="s">
        <v>974</v>
      </c>
      <c r="O96" s="33"/>
      <c r="P96" s="33">
        <v>0</v>
      </c>
      <c r="Q96" s="33">
        <v>0</v>
      </c>
      <c r="R96" s="33">
        <v>0</v>
      </c>
      <c r="S96" s="33">
        <v>0</v>
      </c>
      <c r="T96" s="33">
        <v>0</v>
      </c>
      <c r="U96" s="33">
        <v>0</v>
      </c>
      <c r="V96" s="33">
        <v>0</v>
      </c>
      <c r="W96" s="33" t="s">
        <v>53</v>
      </c>
      <c r="X96" s="33">
        <v>1</v>
      </c>
      <c r="Y96" s="30" t="s">
        <v>69</v>
      </c>
      <c r="Z96" s="30" t="s">
        <v>167</v>
      </c>
      <c r="AA96" s="30" t="s">
        <v>167</v>
      </c>
      <c r="AB96" s="30"/>
      <c r="AC96" s="30"/>
      <c r="AD96" s="30" t="s">
        <v>53</v>
      </c>
      <c r="AE96" s="30" t="s">
        <v>53</v>
      </c>
      <c r="AF96" s="30" t="s">
        <v>53</v>
      </c>
      <c r="AG96" s="30" t="s">
        <v>53</v>
      </c>
      <c r="AH96" s="30" t="s">
        <v>53</v>
      </c>
      <c r="AI96" s="30" t="s">
        <v>945</v>
      </c>
      <c r="AJ96" s="30" t="s">
        <v>53</v>
      </c>
      <c r="AK96" s="30" t="s">
        <v>53</v>
      </c>
      <c r="AL96" s="30" t="s">
        <v>53</v>
      </c>
      <c r="AM96" s="30" t="s">
        <v>53</v>
      </c>
      <c r="AN96" s="30" t="s">
        <v>954</v>
      </c>
      <c r="AO96" s="30" t="s">
        <v>53</v>
      </c>
      <c r="AP96" s="30" t="s">
        <v>53</v>
      </c>
      <c r="AQ96" s="30" t="s">
        <v>53</v>
      </c>
      <c r="AR96" s="30" t="s">
        <v>53</v>
      </c>
      <c r="AS96" s="30" t="s">
        <v>53</v>
      </c>
      <c r="AT96" s="30" t="s">
        <v>946</v>
      </c>
      <c r="AU96" s="30" t="s">
        <v>139</v>
      </c>
      <c r="AV96" s="34">
        <v>168176962679</v>
      </c>
    </row>
    <row r="97" spans="2:48" ht="15" customHeight="1">
      <c r="B97" s="28">
        <v>91</v>
      </c>
      <c r="C97" s="29" t="s">
        <v>1266</v>
      </c>
      <c r="D97" s="30" t="s">
        <v>53</v>
      </c>
      <c r="E97" s="31" t="s">
        <v>1267</v>
      </c>
      <c r="F97" s="31" t="s">
        <v>53</v>
      </c>
      <c r="G97" s="32" t="s">
        <v>1268</v>
      </c>
      <c r="H97" s="30" t="s">
        <v>88</v>
      </c>
      <c r="I97" s="30" t="s">
        <v>377</v>
      </c>
      <c r="J97" s="32" t="s">
        <v>378</v>
      </c>
      <c r="K97" s="30" t="s">
        <v>377</v>
      </c>
      <c r="L97" s="32" t="s">
        <v>378</v>
      </c>
      <c r="M97" s="30" t="s">
        <v>953</v>
      </c>
      <c r="N97" s="30" t="s">
        <v>943</v>
      </c>
      <c r="O97" s="33">
        <v>9</v>
      </c>
      <c r="P97" s="33">
        <v>1380000</v>
      </c>
      <c r="Q97" s="33">
        <v>1380000</v>
      </c>
      <c r="R97" s="33">
        <v>0</v>
      </c>
      <c r="S97" s="33">
        <v>0</v>
      </c>
      <c r="T97" s="33">
        <v>0</v>
      </c>
      <c r="U97" s="33">
        <v>0</v>
      </c>
      <c r="V97" s="33">
        <v>0</v>
      </c>
      <c r="W97" s="33" t="s">
        <v>53</v>
      </c>
      <c r="X97" s="33">
        <v>1</v>
      </c>
      <c r="Y97" s="30" t="s">
        <v>69</v>
      </c>
      <c r="Z97" s="30" t="s">
        <v>156</v>
      </c>
      <c r="AA97" s="30" t="s">
        <v>156</v>
      </c>
      <c r="AB97" s="30"/>
      <c r="AC97" s="30"/>
      <c r="AD97" s="30" t="s">
        <v>53</v>
      </c>
      <c r="AE97" s="30" t="s">
        <v>53</v>
      </c>
      <c r="AF97" s="30" t="s">
        <v>53</v>
      </c>
      <c r="AG97" s="30" t="s">
        <v>53</v>
      </c>
      <c r="AH97" s="30" t="s">
        <v>53</v>
      </c>
      <c r="AI97" s="30" t="s">
        <v>945</v>
      </c>
      <c r="AJ97" s="30" t="s">
        <v>142</v>
      </c>
      <c r="AK97" s="30" t="s">
        <v>53</v>
      </c>
      <c r="AL97" s="30" t="s">
        <v>53</v>
      </c>
      <c r="AM97" s="30" t="s">
        <v>42</v>
      </c>
      <c r="AN97" s="30" t="s">
        <v>954</v>
      </c>
      <c r="AO97" s="30" t="s">
        <v>53</v>
      </c>
      <c r="AP97" s="30" t="s">
        <v>53</v>
      </c>
      <c r="AQ97" s="30" t="s">
        <v>53</v>
      </c>
      <c r="AR97" s="30" t="s">
        <v>53</v>
      </c>
      <c r="AS97" s="30" t="s">
        <v>53</v>
      </c>
      <c r="AT97" s="30" t="s">
        <v>946</v>
      </c>
      <c r="AU97" s="30" t="s">
        <v>53</v>
      </c>
      <c r="AV97" s="34">
        <v>168157795234</v>
      </c>
    </row>
    <row r="98" spans="2:48" ht="15" customHeight="1">
      <c r="B98" s="28">
        <v>92</v>
      </c>
      <c r="C98" s="29" t="s">
        <v>1269</v>
      </c>
      <c r="D98" s="30" t="s">
        <v>53</v>
      </c>
      <c r="E98" s="31" t="s">
        <v>1270</v>
      </c>
      <c r="F98" s="31" t="s">
        <v>53</v>
      </c>
      <c r="G98" s="32" t="s">
        <v>1271</v>
      </c>
      <c r="H98" s="30" t="s">
        <v>67</v>
      </c>
      <c r="I98" s="30" t="s">
        <v>577</v>
      </c>
      <c r="J98" s="32" t="s">
        <v>578</v>
      </c>
      <c r="K98" s="30" t="s">
        <v>247</v>
      </c>
      <c r="L98" s="32" t="s">
        <v>248</v>
      </c>
      <c r="M98" s="30" t="s">
        <v>953</v>
      </c>
      <c r="N98" s="30" t="s">
        <v>943</v>
      </c>
      <c r="O98" s="33"/>
      <c r="P98" s="33">
        <v>43179</v>
      </c>
      <c r="Q98" s="33">
        <v>0</v>
      </c>
      <c r="R98" s="33">
        <v>0</v>
      </c>
      <c r="S98" s="33">
        <v>0</v>
      </c>
      <c r="T98" s="33">
        <v>0</v>
      </c>
      <c r="U98" s="33">
        <v>0</v>
      </c>
      <c r="V98" s="33">
        <v>0</v>
      </c>
      <c r="W98" s="33" t="s">
        <v>53</v>
      </c>
      <c r="X98" s="33">
        <v>1</v>
      </c>
      <c r="Y98" s="30" t="s">
        <v>69</v>
      </c>
      <c r="Z98" s="30" t="s">
        <v>156</v>
      </c>
      <c r="AA98" s="30" t="s">
        <v>156</v>
      </c>
      <c r="AB98" s="30"/>
      <c r="AC98" s="30"/>
      <c r="AD98" s="30" t="s">
        <v>53</v>
      </c>
      <c r="AE98" s="30" t="s">
        <v>53</v>
      </c>
      <c r="AF98" s="30" t="s">
        <v>53</v>
      </c>
      <c r="AG98" s="30" t="s">
        <v>53</v>
      </c>
      <c r="AH98" s="30" t="s">
        <v>53</v>
      </c>
      <c r="AI98" s="30" t="s">
        <v>945</v>
      </c>
      <c r="AJ98" s="30" t="s">
        <v>53</v>
      </c>
      <c r="AK98" s="30" t="s">
        <v>53</v>
      </c>
      <c r="AL98" s="30" t="s">
        <v>53</v>
      </c>
      <c r="AM98" s="30" t="s">
        <v>53</v>
      </c>
      <c r="AN98" s="30" t="s">
        <v>954</v>
      </c>
      <c r="AO98" s="30" t="s">
        <v>53</v>
      </c>
      <c r="AP98" s="30" t="s">
        <v>53</v>
      </c>
      <c r="AQ98" s="30" t="s">
        <v>53</v>
      </c>
      <c r="AR98" s="30" t="s">
        <v>53</v>
      </c>
      <c r="AS98" s="30" t="s">
        <v>53</v>
      </c>
      <c r="AT98" s="30" t="s">
        <v>1012</v>
      </c>
      <c r="AU98" s="30" t="s">
        <v>53</v>
      </c>
      <c r="AV98" s="34">
        <v>168125699871</v>
      </c>
    </row>
    <row r="99" spans="2:48" ht="15" customHeight="1">
      <c r="B99" s="28">
        <v>93</v>
      </c>
      <c r="C99" s="29" t="s">
        <v>1272</v>
      </c>
      <c r="D99" s="30" t="s">
        <v>1273</v>
      </c>
      <c r="E99" s="31" t="s">
        <v>1274</v>
      </c>
      <c r="F99" s="31" t="s">
        <v>1275</v>
      </c>
      <c r="G99" s="32" t="s">
        <v>1276</v>
      </c>
      <c r="H99" s="30" t="s">
        <v>110</v>
      </c>
      <c r="I99" s="30" t="s">
        <v>758</v>
      </c>
      <c r="J99" s="32" t="s">
        <v>759</v>
      </c>
      <c r="K99" s="30" t="s">
        <v>388</v>
      </c>
      <c r="L99" s="32" t="s">
        <v>389</v>
      </c>
      <c r="M99" s="30" t="s">
        <v>982</v>
      </c>
      <c r="N99" s="30" t="s">
        <v>974</v>
      </c>
      <c r="O99" s="33"/>
      <c r="P99" s="33">
        <v>0</v>
      </c>
      <c r="Q99" s="33">
        <v>0</v>
      </c>
      <c r="R99" s="33">
        <v>0</v>
      </c>
      <c r="S99" s="33">
        <v>0</v>
      </c>
      <c r="T99" s="33">
        <v>0</v>
      </c>
      <c r="U99" s="33">
        <v>0</v>
      </c>
      <c r="V99" s="33">
        <v>0</v>
      </c>
      <c r="W99" s="33" t="s">
        <v>987</v>
      </c>
      <c r="X99" s="33">
        <v>1</v>
      </c>
      <c r="Y99" s="30" t="s">
        <v>57</v>
      </c>
      <c r="Z99" s="30" t="s">
        <v>156</v>
      </c>
      <c r="AA99" s="30" t="s">
        <v>156</v>
      </c>
      <c r="AB99" s="30"/>
      <c r="AC99" s="30"/>
      <c r="AD99" s="30" t="s">
        <v>53</v>
      </c>
      <c r="AE99" s="30" t="s">
        <v>53</v>
      </c>
      <c r="AF99" s="30" t="s">
        <v>53</v>
      </c>
      <c r="AG99" s="30" t="s">
        <v>53</v>
      </c>
      <c r="AH99" s="30" t="s">
        <v>53</v>
      </c>
      <c r="AI99" s="30" t="s">
        <v>945</v>
      </c>
      <c r="AJ99" s="30" t="s">
        <v>142</v>
      </c>
      <c r="AK99" s="30" t="s">
        <v>53</v>
      </c>
      <c r="AL99" s="30" t="s">
        <v>53</v>
      </c>
      <c r="AM99" s="30" t="s">
        <v>53</v>
      </c>
      <c r="AN99" s="30" t="s">
        <v>954</v>
      </c>
      <c r="AO99" s="30" t="s">
        <v>53</v>
      </c>
      <c r="AP99" s="30" t="s">
        <v>53</v>
      </c>
      <c r="AQ99" s="30" t="s">
        <v>53</v>
      </c>
      <c r="AR99" s="30" t="s">
        <v>53</v>
      </c>
      <c r="AS99" s="30" t="s">
        <v>53</v>
      </c>
      <c r="AT99" s="30" t="s">
        <v>946</v>
      </c>
      <c r="AU99" s="30" t="s">
        <v>53</v>
      </c>
      <c r="AV99" s="34">
        <v>168146677659</v>
      </c>
    </row>
    <row r="100" spans="2:48" ht="15" customHeight="1">
      <c r="B100" s="28">
        <v>94</v>
      </c>
      <c r="C100" s="29" t="s">
        <v>1277</v>
      </c>
      <c r="D100" s="30" t="s">
        <v>53</v>
      </c>
      <c r="E100" s="31" t="s">
        <v>1278</v>
      </c>
      <c r="F100" s="31" t="s">
        <v>53</v>
      </c>
      <c r="G100" s="32" t="s">
        <v>1279</v>
      </c>
      <c r="H100" s="30" t="s">
        <v>70</v>
      </c>
      <c r="I100" s="30" t="s">
        <v>420</v>
      </c>
      <c r="J100" s="32" t="s">
        <v>1280</v>
      </c>
      <c r="K100" s="30" t="s">
        <v>420</v>
      </c>
      <c r="L100" s="32" t="s">
        <v>1280</v>
      </c>
      <c r="M100" s="30" t="s">
        <v>942</v>
      </c>
      <c r="N100" s="30" t="s">
        <v>943</v>
      </c>
      <c r="O100" s="33">
        <v>328</v>
      </c>
      <c r="P100" s="33">
        <v>10458</v>
      </c>
      <c r="Q100" s="33">
        <v>10458</v>
      </c>
      <c r="R100" s="33">
        <v>1420</v>
      </c>
      <c r="S100" s="33">
        <v>83</v>
      </c>
      <c r="T100" s="33">
        <v>67</v>
      </c>
      <c r="U100" s="33">
        <v>16</v>
      </c>
      <c r="V100" s="33">
        <v>0</v>
      </c>
      <c r="W100" s="33" t="s">
        <v>53</v>
      </c>
      <c r="X100" s="33">
        <v>1</v>
      </c>
      <c r="Y100" s="30" t="s">
        <v>83</v>
      </c>
      <c r="Z100" s="30" t="s">
        <v>153</v>
      </c>
      <c r="AA100" s="30" t="s">
        <v>153</v>
      </c>
      <c r="AB100" s="30" t="s">
        <v>508</v>
      </c>
      <c r="AC100" s="30"/>
      <c r="AD100" s="30" t="s">
        <v>53</v>
      </c>
      <c r="AE100" s="30" t="s">
        <v>53</v>
      </c>
      <c r="AF100" s="30" t="s">
        <v>1016</v>
      </c>
      <c r="AG100" s="30" t="s">
        <v>53</v>
      </c>
      <c r="AH100" s="30" t="s">
        <v>53</v>
      </c>
      <c r="AI100" s="30" t="s">
        <v>945</v>
      </c>
      <c r="AJ100" s="30" t="s">
        <v>53</v>
      </c>
      <c r="AK100" s="30" t="s">
        <v>53</v>
      </c>
      <c r="AL100" s="30" t="s">
        <v>53</v>
      </c>
      <c r="AM100" s="30" t="s">
        <v>53</v>
      </c>
      <c r="AN100" s="30" t="s">
        <v>53</v>
      </c>
      <c r="AO100" s="30" t="s">
        <v>53</v>
      </c>
      <c r="AP100" s="30" t="s">
        <v>53</v>
      </c>
      <c r="AQ100" s="30" t="s">
        <v>53</v>
      </c>
      <c r="AR100" s="30" t="s">
        <v>53</v>
      </c>
      <c r="AS100" s="30" t="s">
        <v>53</v>
      </c>
      <c r="AT100" s="30" t="s">
        <v>946</v>
      </c>
      <c r="AU100" s="30" t="s">
        <v>53</v>
      </c>
      <c r="AV100" s="34">
        <v>168154574635</v>
      </c>
    </row>
    <row r="101" spans="2:48" ht="15" customHeight="1">
      <c r="B101" s="28">
        <v>95</v>
      </c>
      <c r="C101" s="29" t="s">
        <v>1281</v>
      </c>
      <c r="D101" s="30" t="s">
        <v>53</v>
      </c>
      <c r="E101" s="31" t="s">
        <v>1282</v>
      </c>
      <c r="F101" s="31" t="s">
        <v>53</v>
      </c>
      <c r="G101" s="32" t="s">
        <v>1283</v>
      </c>
      <c r="H101" s="30" t="s">
        <v>67</v>
      </c>
      <c r="I101" s="30" t="s">
        <v>733</v>
      </c>
      <c r="J101" s="32" t="s">
        <v>734</v>
      </c>
      <c r="K101" s="30" t="s">
        <v>463</v>
      </c>
      <c r="L101" s="32" t="s">
        <v>464</v>
      </c>
      <c r="M101" s="30" t="s">
        <v>953</v>
      </c>
      <c r="N101" s="30" t="s">
        <v>974</v>
      </c>
      <c r="O101" s="33"/>
      <c r="P101" s="33">
        <v>999</v>
      </c>
      <c r="Q101" s="33">
        <v>0</v>
      </c>
      <c r="R101" s="33">
        <v>0</v>
      </c>
      <c r="S101" s="33">
        <v>2</v>
      </c>
      <c r="T101" s="33">
        <v>2</v>
      </c>
      <c r="U101" s="33">
        <v>0</v>
      </c>
      <c r="V101" s="33">
        <v>0</v>
      </c>
      <c r="W101" s="33" t="s">
        <v>53</v>
      </c>
      <c r="X101" s="33">
        <v>1</v>
      </c>
      <c r="Y101" s="30" t="s">
        <v>69</v>
      </c>
      <c r="Z101" s="30" t="s">
        <v>156</v>
      </c>
      <c r="AA101" s="30" t="s">
        <v>156</v>
      </c>
      <c r="AB101" s="30" t="s">
        <v>509</v>
      </c>
      <c r="AC101" s="30"/>
      <c r="AD101" s="30" t="s">
        <v>53</v>
      </c>
      <c r="AE101" s="30" t="s">
        <v>53</v>
      </c>
      <c r="AF101" s="30" t="s">
        <v>53</v>
      </c>
      <c r="AG101" s="30" t="s">
        <v>53</v>
      </c>
      <c r="AH101" s="30" t="s">
        <v>53</v>
      </c>
      <c r="AI101" s="30" t="s">
        <v>945</v>
      </c>
      <c r="AJ101" s="30" t="s">
        <v>53</v>
      </c>
      <c r="AK101" s="30" t="s">
        <v>53</v>
      </c>
      <c r="AL101" s="30" t="s">
        <v>53</v>
      </c>
      <c r="AM101" s="30" t="s">
        <v>53</v>
      </c>
      <c r="AN101" s="30" t="s">
        <v>954</v>
      </c>
      <c r="AO101" s="30" t="s">
        <v>53</v>
      </c>
      <c r="AP101" s="30" t="s">
        <v>53</v>
      </c>
      <c r="AQ101" s="30" t="s">
        <v>53</v>
      </c>
      <c r="AR101" s="30" t="s">
        <v>53</v>
      </c>
      <c r="AS101" s="30" t="s">
        <v>53</v>
      </c>
      <c r="AT101" s="30" t="s">
        <v>946</v>
      </c>
      <c r="AU101" s="30" t="s">
        <v>53</v>
      </c>
      <c r="AV101" s="34">
        <v>167958552484</v>
      </c>
    </row>
    <row r="102" spans="2:48" ht="15" customHeight="1">
      <c r="B102" s="28">
        <v>96</v>
      </c>
      <c r="C102" s="29" t="s">
        <v>1284</v>
      </c>
      <c r="D102" s="30" t="s">
        <v>53</v>
      </c>
      <c r="E102" s="31" t="s">
        <v>1285</v>
      </c>
      <c r="F102" s="31" t="s">
        <v>53</v>
      </c>
      <c r="G102" s="32" t="s">
        <v>1286</v>
      </c>
      <c r="H102" s="30" t="s">
        <v>64</v>
      </c>
      <c r="I102" s="30" t="s">
        <v>592</v>
      </c>
      <c r="J102" s="32" t="s">
        <v>593</v>
      </c>
      <c r="K102" s="30" t="s">
        <v>282</v>
      </c>
      <c r="L102" s="32" t="s">
        <v>283</v>
      </c>
      <c r="M102" s="30" t="s">
        <v>953</v>
      </c>
      <c r="N102" s="30" t="s">
        <v>974</v>
      </c>
      <c r="O102" s="33">
        <v>3</v>
      </c>
      <c r="P102" s="33">
        <v>53969</v>
      </c>
      <c r="Q102" s="33">
        <v>0</v>
      </c>
      <c r="R102" s="33">
        <v>0</v>
      </c>
      <c r="S102" s="33">
        <v>0</v>
      </c>
      <c r="T102" s="33">
        <v>0</v>
      </c>
      <c r="U102" s="33">
        <v>0</v>
      </c>
      <c r="V102" s="33">
        <v>0</v>
      </c>
      <c r="W102" s="33" t="s">
        <v>53</v>
      </c>
      <c r="X102" s="33">
        <v>1</v>
      </c>
      <c r="Y102" s="30" t="s">
        <v>66</v>
      </c>
      <c r="Z102" s="30" t="s">
        <v>153</v>
      </c>
      <c r="AA102" s="30" t="s">
        <v>167</v>
      </c>
      <c r="AB102" s="30" t="s">
        <v>509</v>
      </c>
      <c r="AC102" s="30">
        <v>36</v>
      </c>
      <c r="AD102" s="30" t="s">
        <v>53</v>
      </c>
      <c r="AE102" s="30" t="s">
        <v>53</v>
      </c>
      <c r="AF102" s="30" t="s">
        <v>53</v>
      </c>
      <c r="AG102" s="30" t="s">
        <v>53</v>
      </c>
      <c r="AH102" s="30" t="s">
        <v>53</v>
      </c>
      <c r="AI102" s="30" t="s">
        <v>945</v>
      </c>
      <c r="AJ102" s="30" t="s">
        <v>142</v>
      </c>
      <c r="AK102" s="30" t="s">
        <v>169</v>
      </c>
      <c r="AL102" s="30" t="s">
        <v>169</v>
      </c>
      <c r="AM102" s="30" t="s">
        <v>53</v>
      </c>
      <c r="AN102" s="30" t="s">
        <v>954</v>
      </c>
      <c r="AO102" s="30" t="s">
        <v>53</v>
      </c>
      <c r="AP102" s="30" t="s">
        <v>53</v>
      </c>
      <c r="AQ102" s="30" t="s">
        <v>53</v>
      </c>
      <c r="AR102" s="30" t="s">
        <v>53</v>
      </c>
      <c r="AS102" s="30" t="s">
        <v>53</v>
      </c>
      <c r="AT102" s="30" t="s">
        <v>946</v>
      </c>
      <c r="AU102" s="30" t="s">
        <v>53</v>
      </c>
      <c r="AV102" s="34">
        <v>167957286056</v>
      </c>
    </row>
    <row r="103" spans="2:48" ht="15" customHeight="1">
      <c r="B103" s="28">
        <v>97</v>
      </c>
      <c r="C103" s="29" t="s">
        <v>1287</v>
      </c>
      <c r="D103" s="30" t="s">
        <v>53</v>
      </c>
      <c r="E103" s="31" t="s">
        <v>1288</v>
      </c>
      <c r="F103" s="31" t="s">
        <v>53</v>
      </c>
      <c r="G103" s="32" t="s">
        <v>1289</v>
      </c>
      <c r="H103" s="30" t="s">
        <v>64</v>
      </c>
      <c r="I103" s="30" t="s">
        <v>612</v>
      </c>
      <c r="J103" s="32" t="s">
        <v>613</v>
      </c>
      <c r="K103" s="30" t="s">
        <v>458</v>
      </c>
      <c r="L103" s="32" t="s">
        <v>459</v>
      </c>
      <c r="M103" s="30" t="s">
        <v>953</v>
      </c>
      <c r="N103" s="30" t="s">
        <v>974</v>
      </c>
      <c r="O103" s="33">
        <v>4</v>
      </c>
      <c r="P103" s="33">
        <v>24742</v>
      </c>
      <c r="Q103" s="33">
        <v>1</v>
      </c>
      <c r="R103" s="33">
        <v>0</v>
      </c>
      <c r="S103" s="33">
        <v>0</v>
      </c>
      <c r="T103" s="33">
        <v>0</v>
      </c>
      <c r="U103" s="33">
        <v>0</v>
      </c>
      <c r="V103" s="33">
        <v>0</v>
      </c>
      <c r="W103" s="33" t="s">
        <v>53</v>
      </c>
      <c r="X103" s="33">
        <v>1</v>
      </c>
      <c r="Y103" s="30" t="s">
        <v>66</v>
      </c>
      <c r="Z103" s="30" t="s">
        <v>153</v>
      </c>
      <c r="AA103" s="30" t="s">
        <v>167</v>
      </c>
      <c r="AB103" s="30" t="s">
        <v>509</v>
      </c>
      <c r="AC103" s="30"/>
      <c r="AD103" s="30" t="s">
        <v>53</v>
      </c>
      <c r="AE103" s="30" t="s">
        <v>53</v>
      </c>
      <c r="AF103" s="30" t="s">
        <v>53</v>
      </c>
      <c r="AG103" s="30" t="s">
        <v>53</v>
      </c>
      <c r="AH103" s="30" t="s">
        <v>53</v>
      </c>
      <c r="AI103" s="30" t="s">
        <v>945</v>
      </c>
      <c r="AJ103" s="30" t="s">
        <v>53</v>
      </c>
      <c r="AK103" s="30" t="s">
        <v>53</v>
      </c>
      <c r="AL103" s="30" t="s">
        <v>53</v>
      </c>
      <c r="AM103" s="30" t="s">
        <v>53</v>
      </c>
      <c r="AN103" s="30" t="s">
        <v>954</v>
      </c>
      <c r="AO103" s="30" t="s">
        <v>53</v>
      </c>
      <c r="AP103" s="30" t="s">
        <v>53</v>
      </c>
      <c r="AQ103" s="30" t="s">
        <v>53</v>
      </c>
      <c r="AR103" s="30" t="s">
        <v>53</v>
      </c>
      <c r="AS103" s="30" t="s">
        <v>53</v>
      </c>
      <c r="AT103" s="30" t="s">
        <v>946</v>
      </c>
      <c r="AU103" s="30" t="s">
        <v>53</v>
      </c>
      <c r="AV103" s="34">
        <v>167957040491</v>
      </c>
    </row>
    <row r="104" spans="2:48" ht="15" customHeight="1">
      <c r="B104" s="28">
        <v>98</v>
      </c>
      <c r="C104" s="29" t="s">
        <v>1290</v>
      </c>
      <c r="D104" s="30" t="s">
        <v>53</v>
      </c>
      <c r="E104" s="31" t="s">
        <v>1291</v>
      </c>
      <c r="F104" s="31" t="s">
        <v>53</v>
      </c>
      <c r="G104" s="32" t="s">
        <v>1292</v>
      </c>
      <c r="H104" s="30" t="s">
        <v>64</v>
      </c>
      <c r="I104" s="30" t="s">
        <v>590</v>
      </c>
      <c r="J104" s="32" t="s">
        <v>591</v>
      </c>
      <c r="K104" s="30" t="s">
        <v>221</v>
      </c>
      <c r="L104" s="32" t="s">
        <v>222</v>
      </c>
      <c r="M104" s="30" t="s">
        <v>953</v>
      </c>
      <c r="N104" s="30" t="s">
        <v>974</v>
      </c>
      <c r="O104" s="33">
        <v>2</v>
      </c>
      <c r="P104" s="33">
        <v>39844</v>
      </c>
      <c r="Q104" s="33">
        <v>0</v>
      </c>
      <c r="R104" s="33">
        <v>0</v>
      </c>
      <c r="S104" s="33">
        <v>3</v>
      </c>
      <c r="T104" s="33">
        <v>3</v>
      </c>
      <c r="U104" s="33">
        <v>0</v>
      </c>
      <c r="V104" s="33">
        <v>0</v>
      </c>
      <c r="W104" s="33" t="s">
        <v>53</v>
      </c>
      <c r="X104" s="33">
        <v>1</v>
      </c>
      <c r="Y104" s="30" t="s">
        <v>66</v>
      </c>
      <c r="Z104" s="30" t="s">
        <v>153</v>
      </c>
      <c r="AA104" s="30" t="s">
        <v>167</v>
      </c>
      <c r="AB104" s="30" t="s">
        <v>509</v>
      </c>
      <c r="AC104" s="30">
        <v>47</v>
      </c>
      <c r="AD104" s="30" t="s">
        <v>53</v>
      </c>
      <c r="AE104" s="30" t="s">
        <v>53</v>
      </c>
      <c r="AF104" s="30" t="s">
        <v>53</v>
      </c>
      <c r="AG104" s="30" t="s">
        <v>53</v>
      </c>
      <c r="AH104" s="30" t="s">
        <v>53</v>
      </c>
      <c r="AI104" s="30" t="s">
        <v>945</v>
      </c>
      <c r="AJ104" s="30" t="s">
        <v>142</v>
      </c>
      <c r="AK104" s="30" t="s">
        <v>1017</v>
      </c>
      <c r="AL104" s="30" t="s">
        <v>213</v>
      </c>
      <c r="AM104" s="30" t="s">
        <v>53</v>
      </c>
      <c r="AN104" s="30" t="s">
        <v>954</v>
      </c>
      <c r="AO104" s="30" t="s">
        <v>53</v>
      </c>
      <c r="AP104" s="30" t="s">
        <v>53</v>
      </c>
      <c r="AQ104" s="30" t="s">
        <v>53</v>
      </c>
      <c r="AR104" s="30" t="s">
        <v>53</v>
      </c>
      <c r="AS104" s="30" t="s">
        <v>53</v>
      </c>
      <c r="AT104" s="30" t="s">
        <v>946</v>
      </c>
      <c r="AU104" s="30" t="s">
        <v>53</v>
      </c>
      <c r="AV104" s="34">
        <v>167956702785</v>
      </c>
    </row>
    <row r="105" spans="2:48" ht="15" customHeight="1">
      <c r="B105" s="28">
        <v>99</v>
      </c>
      <c r="C105" s="29" t="s">
        <v>1293</v>
      </c>
      <c r="D105" s="30" t="s">
        <v>53</v>
      </c>
      <c r="E105" s="31" t="s">
        <v>1294</v>
      </c>
      <c r="F105" s="31" t="s">
        <v>53</v>
      </c>
      <c r="G105" s="32" t="s">
        <v>1295</v>
      </c>
      <c r="H105" s="30" t="s">
        <v>64</v>
      </c>
      <c r="I105" s="30" t="s">
        <v>572</v>
      </c>
      <c r="J105" s="32" t="s">
        <v>573</v>
      </c>
      <c r="K105" s="30" t="s">
        <v>270</v>
      </c>
      <c r="L105" s="32" t="s">
        <v>271</v>
      </c>
      <c r="M105" s="30" t="s">
        <v>953</v>
      </c>
      <c r="N105" s="30" t="s">
        <v>974</v>
      </c>
      <c r="O105" s="33">
        <v>2</v>
      </c>
      <c r="P105" s="33">
        <v>38542</v>
      </c>
      <c r="Q105" s="33">
        <v>0</v>
      </c>
      <c r="R105" s="33">
        <v>0</v>
      </c>
      <c r="S105" s="33">
        <v>0</v>
      </c>
      <c r="T105" s="33">
        <v>0</v>
      </c>
      <c r="U105" s="33">
        <v>0</v>
      </c>
      <c r="V105" s="33">
        <v>0</v>
      </c>
      <c r="W105" s="33" t="s">
        <v>53</v>
      </c>
      <c r="X105" s="33">
        <v>1</v>
      </c>
      <c r="Y105" s="30" t="s">
        <v>66</v>
      </c>
      <c r="Z105" s="30" t="s">
        <v>153</v>
      </c>
      <c r="AA105" s="30" t="s">
        <v>167</v>
      </c>
      <c r="AB105" s="30" t="s">
        <v>509</v>
      </c>
      <c r="AC105" s="30">
        <v>47</v>
      </c>
      <c r="AD105" s="30" t="s">
        <v>53</v>
      </c>
      <c r="AE105" s="30" t="s">
        <v>53</v>
      </c>
      <c r="AF105" s="30" t="s">
        <v>53</v>
      </c>
      <c r="AG105" s="30" t="s">
        <v>53</v>
      </c>
      <c r="AH105" s="30" t="s">
        <v>53</v>
      </c>
      <c r="AI105" s="30" t="s">
        <v>945</v>
      </c>
      <c r="AJ105" s="30" t="s">
        <v>142</v>
      </c>
      <c r="AK105" s="30" t="s">
        <v>1112</v>
      </c>
      <c r="AL105" s="30" t="s">
        <v>172</v>
      </c>
      <c r="AM105" s="30" t="s">
        <v>53</v>
      </c>
      <c r="AN105" s="30" t="s">
        <v>954</v>
      </c>
      <c r="AO105" s="30" t="s">
        <v>53</v>
      </c>
      <c r="AP105" s="30" t="s">
        <v>53</v>
      </c>
      <c r="AQ105" s="30" t="s">
        <v>53</v>
      </c>
      <c r="AR105" s="30" t="s">
        <v>53</v>
      </c>
      <c r="AS105" s="30" t="s">
        <v>53</v>
      </c>
      <c r="AT105" s="30" t="s">
        <v>946</v>
      </c>
      <c r="AU105" s="30" t="s">
        <v>53</v>
      </c>
      <c r="AV105" s="34">
        <v>167956186878</v>
      </c>
    </row>
    <row r="106" spans="2:48" ht="15" customHeight="1">
      <c r="B106" s="28">
        <v>100</v>
      </c>
      <c r="C106" s="29" t="s">
        <v>1296</v>
      </c>
      <c r="D106" s="30" t="s">
        <v>53</v>
      </c>
      <c r="E106" s="31" t="s">
        <v>1297</v>
      </c>
      <c r="F106" s="31" t="s">
        <v>53</v>
      </c>
      <c r="G106" s="32" t="s">
        <v>1298</v>
      </c>
      <c r="H106" s="30" t="s">
        <v>64</v>
      </c>
      <c r="I106" s="30" t="s">
        <v>602</v>
      </c>
      <c r="J106" s="32" t="s">
        <v>603</v>
      </c>
      <c r="K106" s="30" t="s">
        <v>233</v>
      </c>
      <c r="L106" s="32" t="s">
        <v>234</v>
      </c>
      <c r="M106" s="30" t="s">
        <v>953</v>
      </c>
      <c r="N106" s="30" t="s">
        <v>943</v>
      </c>
      <c r="O106" s="33">
        <v>1</v>
      </c>
      <c r="P106" s="33">
        <v>7454</v>
      </c>
      <c r="Q106" s="33">
        <v>95</v>
      </c>
      <c r="R106" s="33">
        <v>0</v>
      </c>
      <c r="S106" s="33">
        <v>0</v>
      </c>
      <c r="T106" s="33">
        <v>0</v>
      </c>
      <c r="U106" s="33">
        <v>0</v>
      </c>
      <c r="V106" s="33">
        <v>0</v>
      </c>
      <c r="W106" s="33" t="s">
        <v>53</v>
      </c>
      <c r="X106" s="33">
        <v>1</v>
      </c>
      <c r="Y106" s="30" t="s">
        <v>66</v>
      </c>
      <c r="Z106" s="30" t="s">
        <v>153</v>
      </c>
      <c r="AA106" s="30" t="s">
        <v>167</v>
      </c>
      <c r="AB106" s="30" t="s">
        <v>509</v>
      </c>
      <c r="AC106" s="30"/>
      <c r="AD106" s="30" t="s">
        <v>53</v>
      </c>
      <c r="AE106" s="30" t="s">
        <v>53</v>
      </c>
      <c r="AF106" s="30" t="s">
        <v>53</v>
      </c>
      <c r="AG106" s="30" t="s">
        <v>53</v>
      </c>
      <c r="AH106" s="30" t="s">
        <v>53</v>
      </c>
      <c r="AI106" s="30" t="s">
        <v>945</v>
      </c>
      <c r="AJ106" s="30" t="s">
        <v>142</v>
      </c>
      <c r="AK106" s="30" t="s">
        <v>169</v>
      </c>
      <c r="AL106" s="30" t="s">
        <v>169</v>
      </c>
      <c r="AM106" s="30" t="s">
        <v>53</v>
      </c>
      <c r="AN106" s="30" t="s">
        <v>954</v>
      </c>
      <c r="AO106" s="30" t="s">
        <v>53</v>
      </c>
      <c r="AP106" s="30" t="s">
        <v>53</v>
      </c>
      <c r="AQ106" s="30" t="s">
        <v>53</v>
      </c>
      <c r="AR106" s="30" t="s">
        <v>53</v>
      </c>
      <c r="AS106" s="30" t="s">
        <v>53</v>
      </c>
      <c r="AT106" s="30" t="s">
        <v>946</v>
      </c>
      <c r="AU106" s="30" t="s">
        <v>53</v>
      </c>
      <c r="AV106" s="34">
        <v>167949003696</v>
      </c>
    </row>
    <row r="107" spans="2:48" ht="15" customHeight="1">
      <c r="B107" s="28">
        <v>101</v>
      </c>
      <c r="C107" s="29" t="s">
        <v>1299</v>
      </c>
      <c r="D107" s="30" t="s">
        <v>53</v>
      </c>
      <c r="E107" s="31" t="s">
        <v>1300</v>
      </c>
      <c r="F107" s="31" t="s">
        <v>53</v>
      </c>
      <c r="G107" s="32" t="s">
        <v>1301</v>
      </c>
      <c r="H107" s="30" t="s">
        <v>64</v>
      </c>
      <c r="I107" s="30" t="s">
        <v>586</v>
      </c>
      <c r="J107" s="32" t="s">
        <v>587</v>
      </c>
      <c r="K107" s="30" t="s">
        <v>345</v>
      </c>
      <c r="L107" s="32" t="s">
        <v>346</v>
      </c>
      <c r="M107" s="30" t="s">
        <v>953</v>
      </c>
      <c r="N107" s="30" t="s">
        <v>943</v>
      </c>
      <c r="O107" s="33">
        <v>2</v>
      </c>
      <c r="P107" s="33">
        <v>507238</v>
      </c>
      <c r="Q107" s="33">
        <v>0</v>
      </c>
      <c r="R107" s="33">
        <v>0</v>
      </c>
      <c r="S107" s="33">
        <v>0</v>
      </c>
      <c r="T107" s="33">
        <v>0</v>
      </c>
      <c r="U107" s="33">
        <v>0</v>
      </c>
      <c r="V107" s="33">
        <v>0</v>
      </c>
      <c r="W107" s="33" t="s">
        <v>53</v>
      </c>
      <c r="X107" s="33">
        <v>1</v>
      </c>
      <c r="Y107" s="30" t="s">
        <v>66</v>
      </c>
      <c r="Z107" s="30" t="s">
        <v>153</v>
      </c>
      <c r="AA107" s="30" t="s">
        <v>167</v>
      </c>
      <c r="AB107" s="30"/>
      <c r="AC107" s="30"/>
      <c r="AD107" s="30" t="s">
        <v>53</v>
      </c>
      <c r="AE107" s="30" t="s">
        <v>53</v>
      </c>
      <c r="AF107" s="30" t="s">
        <v>53</v>
      </c>
      <c r="AG107" s="30" t="s">
        <v>53</v>
      </c>
      <c r="AH107" s="30" t="s">
        <v>53</v>
      </c>
      <c r="AI107" s="30" t="s">
        <v>945</v>
      </c>
      <c r="AJ107" s="30" t="s">
        <v>53</v>
      </c>
      <c r="AK107" s="30" t="s">
        <v>53</v>
      </c>
      <c r="AL107" s="30" t="s">
        <v>53</v>
      </c>
      <c r="AM107" s="30" t="s">
        <v>53</v>
      </c>
      <c r="AN107" s="30" t="s">
        <v>954</v>
      </c>
      <c r="AO107" s="30" t="s">
        <v>53</v>
      </c>
      <c r="AP107" s="30" t="s">
        <v>53</v>
      </c>
      <c r="AQ107" s="30" t="s">
        <v>53</v>
      </c>
      <c r="AR107" s="30" t="s">
        <v>53</v>
      </c>
      <c r="AS107" s="30" t="s">
        <v>53</v>
      </c>
      <c r="AT107" s="30" t="s">
        <v>1012</v>
      </c>
      <c r="AU107" s="30" t="s">
        <v>53</v>
      </c>
      <c r="AV107" s="34">
        <v>167945271823</v>
      </c>
    </row>
    <row r="108" spans="2:48" ht="15" customHeight="1">
      <c r="B108" s="28">
        <v>102</v>
      </c>
      <c r="C108" s="29" t="s">
        <v>1302</v>
      </c>
      <c r="D108" s="30" t="s">
        <v>53</v>
      </c>
      <c r="E108" s="31" t="s">
        <v>1303</v>
      </c>
      <c r="F108" s="31" t="s">
        <v>53</v>
      </c>
      <c r="G108" s="32" t="s">
        <v>1304</v>
      </c>
      <c r="H108" s="30" t="s">
        <v>67</v>
      </c>
      <c r="I108" s="30" t="s">
        <v>577</v>
      </c>
      <c r="J108" s="32" t="s">
        <v>578</v>
      </c>
      <c r="K108" s="30" t="s">
        <v>408</v>
      </c>
      <c r="L108" s="32" t="s">
        <v>409</v>
      </c>
      <c r="M108" s="30" t="s">
        <v>953</v>
      </c>
      <c r="N108" s="30" t="s">
        <v>943</v>
      </c>
      <c r="O108" s="33"/>
      <c r="P108" s="33">
        <v>50202</v>
      </c>
      <c r="Q108" s="33">
        <v>0</v>
      </c>
      <c r="R108" s="33">
        <v>0</v>
      </c>
      <c r="S108" s="33">
        <v>0</v>
      </c>
      <c r="T108" s="33">
        <v>0</v>
      </c>
      <c r="U108" s="33">
        <v>0</v>
      </c>
      <c r="V108" s="33">
        <v>0</v>
      </c>
      <c r="W108" s="33" t="s">
        <v>53</v>
      </c>
      <c r="X108" s="33">
        <v>1</v>
      </c>
      <c r="Y108" s="30" t="s">
        <v>69</v>
      </c>
      <c r="Z108" s="30" t="s">
        <v>156</v>
      </c>
      <c r="AA108" s="30" t="s">
        <v>156</v>
      </c>
      <c r="AB108" s="30"/>
      <c r="AC108" s="30"/>
      <c r="AD108" s="30" t="s">
        <v>53</v>
      </c>
      <c r="AE108" s="30" t="s">
        <v>53</v>
      </c>
      <c r="AF108" s="30" t="s">
        <v>53</v>
      </c>
      <c r="AG108" s="30" t="s">
        <v>53</v>
      </c>
      <c r="AH108" s="30" t="s">
        <v>53</v>
      </c>
      <c r="AI108" s="30" t="s">
        <v>945</v>
      </c>
      <c r="AJ108" s="30" t="s">
        <v>53</v>
      </c>
      <c r="AK108" s="30" t="s">
        <v>53</v>
      </c>
      <c r="AL108" s="30" t="s">
        <v>53</v>
      </c>
      <c r="AM108" s="30" t="s">
        <v>53</v>
      </c>
      <c r="AN108" s="30" t="s">
        <v>954</v>
      </c>
      <c r="AO108" s="30" t="s">
        <v>53</v>
      </c>
      <c r="AP108" s="30" t="s">
        <v>53</v>
      </c>
      <c r="AQ108" s="30" t="s">
        <v>53</v>
      </c>
      <c r="AR108" s="30" t="s">
        <v>53</v>
      </c>
      <c r="AS108" s="30" t="s">
        <v>53</v>
      </c>
      <c r="AT108" s="30" t="s">
        <v>1012</v>
      </c>
      <c r="AU108" s="30" t="s">
        <v>53</v>
      </c>
      <c r="AV108" s="34">
        <v>167945410181</v>
      </c>
    </row>
    <row r="109" spans="2:48" ht="15" customHeight="1">
      <c r="B109" s="28">
        <v>103</v>
      </c>
      <c r="C109" s="29" t="s">
        <v>1305</v>
      </c>
      <c r="D109" s="30" t="s">
        <v>53</v>
      </c>
      <c r="E109" s="31" t="s">
        <v>1306</v>
      </c>
      <c r="F109" s="31" t="s">
        <v>53</v>
      </c>
      <c r="G109" s="32" t="s">
        <v>1307</v>
      </c>
      <c r="H109" s="30" t="s">
        <v>64</v>
      </c>
      <c r="I109" s="30" t="s">
        <v>586</v>
      </c>
      <c r="J109" s="32" t="s">
        <v>587</v>
      </c>
      <c r="K109" s="30" t="s">
        <v>390</v>
      </c>
      <c r="L109" s="32" t="s">
        <v>391</v>
      </c>
      <c r="M109" s="30" t="s">
        <v>953</v>
      </c>
      <c r="N109" s="30" t="s">
        <v>974</v>
      </c>
      <c r="O109" s="33">
        <v>1</v>
      </c>
      <c r="P109" s="33">
        <v>9410</v>
      </c>
      <c r="Q109" s="33">
        <v>0</v>
      </c>
      <c r="R109" s="33">
        <v>0</v>
      </c>
      <c r="S109" s="33">
        <v>0</v>
      </c>
      <c r="T109" s="33">
        <v>0</v>
      </c>
      <c r="U109" s="33">
        <v>0</v>
      </c>
      <c r="V109" s="33">
        <v>0</v>
      </c>
      <c r="W109" s="33" t="s">
        <v>53</v>
      </c>
      <c r="X109" s="33">
        <v>1</v>
      </c>
      <c r="Y109" s="30" t="s">
        <v>66</v>
      </c>
      <c r="Z109" s="30" t="s">
        <v>153</v>
      </c>
      <c r="AA109" s="30" t="s">
        <v>167</v>
      </c>
      <c r="AB109" s="30"/>
      <c r="AC109" s="30"/>
      <c r="AD109" s="30" t="s">
        <v>53</v>
      </c>
      <c r="AE109" s="30" t="s">
        <v>53</v>
      </c>
      <c r="AF109" s="30" t="s">
        <v>944</v>
      </c>
      <c r="AG109" s="30" t="s">
        <v>53</v>
      </c>
      <c r="AH109" s="30" t="s">
        <v>53</v>
      </c>
      <c r="AI109" s="30" t="s">
        <v>945</v>
      </c>
      <c r="AJ109" s="30" t="s">
        <v>142</v>
      </c>
      <c r="AK109" s="30" t="s">
        <v>1308</v>
      </c>
      <c r="AL109" s="30" t="s">
        <v>393</v>
      </c>
      <c r="AM109" s="30" t="s">
        <v>53</v>
      </c>
      <c r="AN109" s="30" t="s">
        <v>954</v>
      </c>
      <c r="AO109" s="30" t="s">
        <v>53</v>
      </c>
      <c r="AP109" s="30" t="s">
        <v>53</v>
      </c>
      <c r="AQ109" s="30" t="s">
        <v>53</v>
      </c>
      <c r="AR109" s="30" t="s">
        <v>53</v>
      </c>
      <c r="AS109" s="30" t="s">
        <v>53</v>
      </c>
      <c r="AT109" s="30" t="s">
        <v>1012</v>
      </c>
      <c r="AU109" s="30" t="s">
        <v>53</v>
      </c>
      <c r="AV109" s="34">
        <v>167944560276</v>
      </c>
    </row>
    <row r="110" spans="2:48" ht="15" customHeight="1">
      <c r="B110" s="28">
        <v>104</v>
      </c>
      <c r="C110" s="29" t="s">
        <v>1309</v>
      </c>
      <c r="D110" s="30" t="s">
        <v>1310</v>
      </c>
      <c r="E110" s="31" t="s">
        <v>1311</v>
      </c>
      <c r="F110" s="31" t="s">
        <v>1312</v>
      </c>
      <c r="G110" s="32" t="s">
        <v>1313</v>
      </c>
      <c r="H110" s="30" t="s">
        <v>80</v>
      </c>
      <c r="I110" s="30" t="s">
        <v>756</v>
      </c>
      <c r="J110" s="32" t="s">
        <v>757</v>
      </c>
      <c r="K110" s="30" t="s">
        <v>179</v>
      </c>
      <c r="L110" s="32" t="s">
        <v>180</v>
      </c>
      <c r="M110" s="30" t="s">
        <v>982</v>
      </c>
      <c r="N110" s="30" t="s">
        <v>974</v>
      </c>
      <c r="O110" s="33"/>
      <c r="P110" s="33">
        <v>0</v>
      </c>
      <c r="Q110" s="33">
        <v>0</v>
      </c>
      <c r="R110" s="33">
        <v>0</v>
      </c>
      <c r="S110" s="33">
        <v>6</v>
      </c>
      <c r="T110" s="33">
        <v>6</v>
      </c>
      <c r="U110" s="33">
        <v>0</v>
      </c>
      <c r="V110" s="33">
        <v>0</v>
      </c>
      <c r="W110" s="33" t="s">
        <v>983</v>
      </c>
      <c r="X110" s="33">
        <v>1</v>
      </c>
      <c r="Y110" s="30" t="s">
        <v>57</v>
      </c>
      <c r="Z110" s="30" t="s">
        <v>156</v>
      </c>
      <c r="AA110" s="30" t="s">
        <v>156</v>
      </c>
      <c r="AB110" s="30"/>
      <c r="AC110" s="30"/>
      <c r="AD110" s="30" t="s">
        <v>53</v>
      </c>
      <c r="AE110" s="30" t="s">
        <v>53</v>
      </c>
      <c r="AF110" s="30" t="s">
        <v>53</v>
      </c>
      <c r="AG110" s="30" t="s">
        <v>53</v>
      </c>
      <c r="AH110" s="30" t="s">
        <v>53</v>
      </c>
      <c r="AI110" s="30" t="s">
        <v>945</v>
      </c>
      <c r="AJ110" s="30" t="s">
        <v>142</v>
      </c>
      <c r="AK110" s="30" t="s">
        <v>53</v>
      </c>
      <c r="AL110" s="30" t="s">
        <v>53</v>
      </c>
      <c r="AM110" s="30" t="s">
        <v>53</v>
      </c>
      <c r="AN110" s="30" t="s">
        <v>954</v>
      </c>
      <c r="AO110" s="30" t="s">
        <v>53</v>
      </c>
      <c r="AP110" s="30" t="s">
        <v>53</v>
      </c>
      <c r="AQ110" s="30" t="s">
        <v>53</v>
      </c>
      <c r="AR110" s="30" t="s">
        <v>53</v>
      </c>
      <c r="AS110" s="30" t="s">
        <v>53</v>
      </c>
      <c r="AT110" s="30" t="s">
        <v>946</v>
      </c>
      <c r="AU110" s="30" t="s">
        <v>53</v>
      </c>
      <c r="AV110" s="34">
        <v>167937546017</v>
      </c>
    </row>
    <row r="111" spans="2:48" ht="15" customHeight="1">
      <c r="B111" s="28">
        <v>105</v>
      </c>
      <c r="C111" s="29" t="s">
        <v>1314</v>
      </c>
      <c r="D111" s="30" t="s">
        <v>53</v>
      </c>
      <c r="E111" s="31" t="s">
        <v>1315</v>
      </c>
      <c r="F111" s="31" t="s">
        <v>53</v>
      </c>
      <c r="G111" s="32" t="s">
        <v>1316</v>
      </c>
      <c r="H111" s="30" t="s">
        <v>67</v>
      </c>
      <c r="I111" s="30" t="s">
        <v>699</v>
      </c>
      <c r="J111" s="32" t="s">
        <v>700</v>
      </c>
      <c r="K111" s="30" t="s">
        <v>426</v>
      </c>
      <c r="L111" s="32" t="s">
        <v>427</v>
      </c>
      <c r="M111" s="30" t="s">
        <v>953</v>
      </c>
      <c r="N111" s="30" t="s">
        <v>943</v>
      </c>
      <c r="O111" s="33"/>
      <c r="P111" s="33">
        <v>170966</v>
      </c>
      <c r="Q111" s="33">
        <v>1</v>
      </c>
      <c r="R111" s="33">
        <v>0</v>
      </c>
      <c r="S111" s="33">
        <v>1</v>
      </c>
      <c r="T111" s="33">
        <v>1</v>
      </c>
      <c r="U111" s="33">
        <v>0</v>
      </c>
      <c r="V111" s="33">
        <v>0</v>
      </c>
      <c r="W111" s="33" t="s">
        <v>53</v>
      </c>
      <c r="X111" s="33">
        <v>1</v>
      </c>
      <c r="Y111" s="30" t="s">
        <v>69</v>
      </c>
      <c r="Z111" s="30" t="s">
        <v>156</v>
      </c>
      <c r="AA111" s="30" t="s">
        <v>167</v>
      </c>
      <c r="AB111" s="30" t="s">
        <v>509</v>
      </c>
      <c r="AC111" s="30"/>
      <c r="AD111" s="30" t="s">
        <v>53</v>
      </c>
      <c r="AE111" s="30" t="s">
        <v>53</v>
      </c>
      <c r="AF111" s="30" t="s">
        <v>1016</v>
      </c>
      <c r="AG111" s="30" t="s">
        <v>53</v>
      </c>
      <c r="AH111" s="30" t="s">
        <v>53</v>
      </c>
      <c r="AI111" s="30" t="s">
        <v>945</v>
      </c>
      <c r="AJ111" s="30" t="s">
        <v>53</v>
      </c>
      <c r="AK111" s="30" t="s">
        <v>53</v>
      </c>
      <c r="AL111" s="30" t="s">
        <v>53</v>
      </c>
      <c r="AM111" s="30" t="s">
        <v>53</v>
      </c>
      <c r="AN111" s="30" t="s">
        <v>954</v>
      </c>
      <c r="AO111" s="30" t="s">
        <v>53</v>
      </c>
      <c r="AP111" s="30" t="s">
        <v>53</v>
      </c>
      <c r="AQ111" s="30" t="s">
        <v>53</v>
      </c>
      <c r="AR111" s="30" t="s">
        <v>53</v>
      </c>
      <c r="AS111" s="30" t="s">
        <v>53</v>
      </c>
      <c r="AT111" s="30" t="s">
        <v>946</v>
      </c>
      <c r="AU111" s="30" t="s">
        <v>53</v>
      </c>
      <c r="AV111" s="34">
        <v>167928860319</v>
      </c>
    </row>
    <row r="112" spans="2:48" ht="15" customHeight="1">
      <c r="B112" s="28">
        <v>106</v>
      </c>
      <c r="C112" s="29" t="s">
        <v>1317</v>
      </c>
      <c r="D112" s="30" t="s">
        <v>53</v>
      </c>
      <c r="E112" s="31" t="s">
        <v>1318</v>
      </c>
      <c r="F112" s="31" t="s">
        <v>53</v>
      </c>
      <c r="G112" s="32" t="s">
        <v>1319</v>
      </c>
      <c r="H112" s="30" t="s">
        <v>64</v>
      </c>
      <c r="I112" s="30" t="s">
        <v>630</v>
      </c>
      <c r="J112" s="32" t="s">
        <v>631</v>
      </c>
      <c r="K112" s="30" t="s">
        <v>228</v>
      </c>
      <c r="L112" s="32" t="s">
        <v>230</v>
      </c>
      <c r="M112" s="30" t="s">
        <v>953</v>
      </c>
      <c r="N112" s="30" t="s">
        <v>943</v>
      </c>
      <c r="O112" s="33">
        <v>1</v>
      </c>
      <c r="P112" s="33">
        <v>20907</v>
      </c>
      <c r="Q112" s="33">
        <v>158</v>
      </c>
      <c r="R112" s="33">
        <v>0</v>
      </c>
      <c r="S112" s="33">
        <v>1</v>
      </c>
      <c r="T112" s="33">
        <v>1</v>
      </c>
      <c r="U112" s="33">
        <v>0</v>
      </c>
      <c r="V112" s="33">
        <v>0</v>
      </c>
      <c r="W112" s="33" t="s">
        <v>53</v>
      </c>
      <c r="X112" s="33">
        <v>1</v>
      </c>
      <c r="Y112" s="30" t="s">
        <v>66</v>
      </c>
      <c r="Z112" s="30" t="s">
        <v>153</v>
      </c>
      <c r="AA112" s="30" t="s">
        <v>167</v>
      </c>
      <c r="AB112" s="30" t="s">
        <v>509</v>
      </c>
      <c r="AC112" s="30"/>
      <c r="AD112" s="30" t="s">
        <v>53</v>
      </c>
      <c r="AE112" s="30" t="s">
        <v>53</v>
      </c>
      <c r="AF112" s="30" t="s">
        <v>53</v>
      </c>
      <c r="AG112" s="30" t="s">
        <v>53</v>
      </c>
      <c r="AH112" s="30" t="s">
        <v>53</v>
      </c>
      <c r="AI112" s="30" t="s">
        <v>945</v>
      </c>
      <c r="AJ112" s="30" t="s">
        <v>142</v>
      </c>
      <c r="AK112" s="30" t="s">
        <v>1320</v>
      </c>
      <c r="AL112" s="30" t="s">
        <v>548</v>
      </c>
      <c r="AM112" s="30" t="s">
        <v>53</v>
      </c>
      <c r="AN112" s="30" t="s">
        <v>954</v>
      </c>
      <c r="AO112" s="30" t="s">
        <v>53</v>
      </c>
      <c r="AP112" s="30" t="s">
        <v>53</v>
      </c>
      <c r="AQ112" s="30" t="s">
        <v>53</v>
      </c>
      <c r="AR112" s="30" t="s">
        <v>53</v>
      </c>
      <c r="AS112" s="30" t="s">
        <v>53</v>
      </c>
      <c r="AT112" s="30" t="s">
        <v>946</v>
      </c>
      <c r="AU112" s="30" t="s">
        <v>53</v>
      </c>
      <c r="AV112" s="34">
        <v>167891633942</v>
      </c>
    </row>
    <row r="113" spans="2:48" ht="15" customHeight="1">
      <c r="B113" s="28">
        <v>107</v>
      </c>
      <c r="C113" s="29" t="s">
        <v>1321</v>
      </c>
      <c r="D113" s="30" t="s">
        <v>53</v>
      </c>
      <c r="E113" s="31" t="s">
        <v>1322</v>
      </c>
      <c r="F113" s="31" t="s">
        <v>53</v>
      </c>
      <c r="G113" s="32" t="s">
        <v>1323</v>
      </c>
      <c r="H113" s="30" t="s">
        <v>64</v>
      </c>
      <c r="I113" s="30" t="s">
        <v>638</v>
      </c>
      <c r="J113" s="32" t="s">
        <v>639</v>
      </c>
      <c r="K113" s="30" t="s">
        <v>228</v>
      </c>
      <c r="L113" s="32" t="s">
        <v>230</v>
      </c>
      <c r="M113" s="30" t="s">
        <v>953</v>
      </c>
      <c r="N113" s="30" t="s">
        <v>974</v>
      </c>
      <c r="O113" s="33">
        <v>1</v>
      </c>
      <c r="P113" s="33">
        <v>20907</v>
      </c>
      <c r="Q113" s="33">
        <v>207</v>
      </c>
      <c r="R113" s="33">
        <v>0</v>
      </c>
      <c r="S113" s="33">
        <v>0</v>
      </c>
      <c r="T113" s="33">
        <v>0</v>
      </c>
      <c r="U113" s="33">
        <v>0</v>
      </c>
      <c r="V113" s="33">
        <v>0</v>
      </c>
      <c r="W113" s="33" t="s">
        <v>53</v>
      </c>
      <c r="X113" s="33">
        <v>1</v>
      </c>
      <c r="Y113" s="30" t="s">
        <v>66</v>
      </c>
      <c r="Z113" s="30" t="s">
        <v>153</v>
      </c>
      <c r="AA113" s="30" t="s">
        <v>167</v>
      </c>
      <c r="AB113" s="30" t="s">
        <v>509</v>
      </c>
      <c r="AC113" s="30"/>
      <c r="AD113" s="30" t="s">
        <v>53</v>
      </c>
      <c r="AE113" s="30" t="s">
        <v>53</v>
      </c>
      <c r="AF113" s="30" t="s">
        <v>53</v>
      </c>
      <c r="AG113" s="30" t="s">
        <v>53</v>
      </c>
      <c r="AH113" s="30" t="s">
        <v>53</v>
      </c>
      <c r="AI113" s="30" t="s">
        <v>945</v>
      </c>
      <c r="AJ113" s="30" t="s">
        <v>142</v>
      </c>
      <c r="AK113" s="30" t="s">
        <v>1126</v>
      </c>
      <c r="AL113" s="30" t="s">
        <v>232</v>
      </c>
      <c r="AM113" s="30" t="s">
        <v>53</v>
      </c>
      <c r="AN113" s="30" t="s">
        <v>954</v>
      </c>
      <c r="AO113" s="30" t="s">
        <v>53</v>
      </c>
      <c r="AP113" s="30" t="s">
        <v>53</v>
      </c>
      <c r="AQ113" s="30" t="s">
        <v>53</v>
      </c>
      <c r="AR113" s="30" t="s">
        <v>53</v>
      </c>
      <c r="AS113" s="30" t="s">
        <v>53</v>
      </c>
      <c r="AT113" s="30" t="s">
        <v>946</v>
      </c>
      <c r="AU113" s="30" t="s">
        <v>53</v>
      </c>
      <c r="AV113" s="34">
        <v>167891448596</v>
      </c>
    </row>
    <row r="114" spans="2:48" ht="15" customHeight="1">
      <c r="B114" s="28">
        <v>108</v>
      </c>
      <c r="C114" s="29" t="s">
        <v>1324</v>
      </c>
      <c r="D114" s="30" t="s">
        <v>53</v>
      </c>
      <c r="E114" s="31" t="s">
        <v>1325</v>
      </c>
      <c r="F114" s="31" t="s">
        <v>53</v>
      </c>
      <c r="G114" s="32" t="s">
        <v>1326</v>
      </c>
      <c r="H114" s="30" t="s">
        <v>76</v>
      </c>
      <c r="I114" s="30" t="s">
        <v>681</v>
      </c>
      <c r="J114" s="32" t="s">
        <v>682</v>
      </c>
      <c r="K114" s="30" t="s">
        <v>185</v>
      </c>
      <c r="L114" s="32" t="s">
        <v>186</v>
      </c>
      <c r="M114" s="30" t="s">
        <v>953</v>
      </c>
      <c r="N114" s="30" t="s">
        <v>943</v>
      </c>
      <c r="O114" s="33"/>
      <c r="P114" s="33">
        <v>0</v>
      </c>
      <c r="Q114" s="33">
        <v>59</v>
      </c>
      <c r="R114" s="33">
        <v>0</v>
      </c>
      <c r="S114" s="33">
        <v>0</v>
      </c>
      <c r="T114" s="33">
        <v>0</v>
      </c>
      <c r="U114" s="33">
        <v>0</v>
      </c>
      <c r="V114" s="33">
        <v>0</v>
      </c>
      <c r="W114" s="33" t="s">
        <v>53</v>
      </c>
      <c r="X114" s="33">
        <v>1</v>
      </c>
      <c r="Y114" s="30" t="s">
        <v>66</v>
      </c>
      <c r="Z114" s="30" t="s">
        <v>153</v>
      </c>
      <c r="AA114" s="30" t="s">
        <v>167</v>
      </c>
      <c r="AB114" s="30" t="s">
        <v>509</v>
      </c>
      <c r="AC114" s="30"/>
      <c r="AD114" s="30" t="s">
        <v>53</v>
      </c>
      <c r="AE114" s="30" t="s">
        <v>53</v>
      </c>
      <c r="AF114" s="30" t="s">
        <v>53</v>
      </c>
      <c r="AG114" s="30" t="s">
        <v>53</v>
      </c>
      <c r="AH114" s="30" t="s">
        <v>53</v>
      </c>
      <c r="AI114" s="30" t="s">
        <v>945</v>
      </c>
      <c r="AJ114" s="30" t="s">
        <v>53</v>
      </c>
      <c r="AK114" s="30" t="s">
        <v>53</v>
      </c>
      <c r="AL114" s="30" t="s">
        <v>53</v>
      </c>
      <c r="AM114" s="30" t="s">
        <v>53</v>
      </c>
      <c r="AN114" s="30" t="s">
        <v>954</v>
      </c>
      <c r="AO114" s="30" t="s">
        <v>53</v>
      </c>
      <c r="AP114" s="30" t="s">
        <v>53</v>
      </c>
      <c r="AQ114" s="30" t="s">
        <v>53</v>
      </c>
      <c r="AR114" s="30" t="s">
        <v>53</v>
      </c>
      <c r="AS114" s="30" t="s">
        <v>53</v>
      </c>
      <c r="AT114" s="30" t="s">
        <v>946</v>
      </c>
      <c r="AU114" s="30" t="s">
        <v>53</v>
      </c>
      <c r="AV114" s="34">
        <v>167884369328</v>
      </c>
    </row>
    <row r="115" spans="2:48" ht="15" customHeight="1">
      <c r="B115" s="28">
        <v>109</v>
      </c>
      <c r="C115" s="29" t="s">
        <v>1327</v>
      </c>
      <c r="D115" s="30" t="s">
        <v>53</v>
      </c>
      <c r="E115" s="31" t="s">
        <v>1328</v>
      </c>
      <c r="F115" s="31" t="s">
        <v>53</v>
      </c>
      <c r="G115" s="32" t="s">
        <v>1329</v>
      </c>
      <c r="H115" s="30" t="s">
        <v>64</v>
      </c>
      <c r="I115" s="30" t="s">
        <v>632</v>
      </c>
      <c r="J115" s="32" t="s">
        <v>633</v>
      </c>
      <c r="K115" s="30" t="s">
        <v>443</v>
      </c>
      <c r="L115" s="32" t="s">
        <v>444</v>
      </c>
      <c r="M115" s="30" t="s">
        <v>953</v>
      </c>
      <c r="N115" s="30" t="s">
        <v>943</v>
      </c>
      <c r="O115" s="33">
        <v>2</v>
      </c>
      <c r="P115" s="33">
        <v>778810</v>
      </c>
      <c r="Q115" s="33">
        <v>348</v>
      </c>
      <c r="R115" s="33">
        <v>0</v>
      </c>
      <c r="S115" s="33">
        <v>0</v>
      </c>
      <c r="T115" s="33">
        <v>0</v>
      </c>
      <c r="U115" s="33">
        <v>0</v>
      </c>
      <c r="V115" s="33">
        <v>0</v>
      </c>
      <c r="W115" s="33" t="s">
        <v>53</v>
      </c>
      <c r="X115" s="33">
        <v>1</v>
      </c>
      <c r="Y115" s="30" t="s">
        <v>66</v>
      </c>
      <c r="Z115" s="30" t="s">
        <v>153</v>
      </c>
      <c r="AA115" s="30" t="s">
        <v>167</v>
      </c>
      <c r="AB115" s="30" t="s">
        <v>509</v>
      </c>
      <c r="AC115" s="30">
        <v>58</v>
      </c>
      <c r="AD115" s="30" t="s">
        <v>53</v>
      </c>
      <c r="AE115" s="30" t="s">
        <v>53</v>
      </c>
      <c r="AF115" s="30" t="s">
        <v>53</v>
      </c>
      <c r="AG115" s="30" t="s">
        <v>53</v>
      </c>
      <c r="AH115" s="30" t="s">
        <v>53</v>
      </c>
      <c r="AI115" s="30" t="s">
        <v>945</v>
      </c>
      <c r="AJ115" s="30" t="s">
        <v>142</v>
      </c>
      <c r="AK115" s="30" t="s">
        <v>1071</v>
      </c>
      <c r="AL115" s="30" t="s">
        <v>445</v>
      </c>
      <c r="AM115" s="30" t="s">
        <v>53</v>
      </c>
      <c r="AN115" s="30" t="s">
        <v>954</v>
      </c>
      <c r="AO115" s="30" t="s">
        <v>53</v>
      </c>
      <c r="AP115" s="30" t="s">
        <v>53</v>
      </c>
      <c r="AQ115" s="30" t="s">
        <v>53</v>
      </c>
      <c r="AR115" s="30" t="s">
        <v>53</v>
      </c>
      <c r="AS115" s="30" t="s">
        <v>53</v>
      </c>
      <c r="AT115" s="30" t="s">
        <v>946</v>
      </c>
      <c r="AU115" s="30" t="s">
        <v>53</v>
      </c>
      <c r="AV115" s="34">
        <v>167869475568</v>
      </c>
    </row>
    <row r="116" spans="2:48" ht="15" customHeight="1">
      <c r="B116" s="28">
        <v>110</v>
      </c>
      <c r="C116" s="29" t="s">
        <v>1330</v>
      </c>
      <c r="D116" s="30" t="s">
        <v>53</v>
      </c>
      <c r="E116" s="31" t="s">
        <v>1331</v>
      </c>
      <c r="F116" s="31" t="s">
        <v>53</v>
      </c>
      <c r="G116" s="32" t="s">
        <v>1332</v>
      </c>
      <c r="H116" s="30" t="s">
        <v>64</v>
      </c>
      <c r="I116" s="30" t="s">
        <v>586</v>
      </c>
      <c r="J116" s="32" t="s">
        <v>587</v>
      </c>
      <c r="K116" s="30" t="s">
        <v>328</v>
      </c>
      <c r="L116" s="32" t="s">
        <v>329</v>
      </c>
      <c r="M116" s="30" t="s">
        <v>953</v>
      </c>
      <c r="N116" s="30" t="s">
        <v>943</v>
      </c>
      <c r="O116" s="33">
        <v>2</v>
      </c>
      <c r="P116" s="33">
        <v>22250</v>
      </c>
      <c r="Q116" s="33">
        <v>0</v>
      </c>
      <c r="R116" s="33">
        <v>0</v>
      </c>
      <c r="S116" s="33">
        <v>0</v>
      </c>
      <c r="T116" s="33">
        <v>0</v>
      </c>
      <c r="U116" s="33">
        <v>0</v>
      </c>
      <c r="V116" s="33">
        <v>0</v>
      </c>
      <c r="W116" s="33" t="s">
        <v>53</v>
      </c>
      <c r="X116" s="33">
        <v>1</v>
      </c>
      <c r="Y116" s="30" t="s">
        <v>66</v>
      </c>
      <c r="Z116" s="30" t="s">
        <v>153</v>
      </c>
      <c r="AA116" s="30" t="s">
        <v>167</v>
      </c>
      <c r="AB116" s="30"/>
      <c r="AC116" s="30"/>
      <c r="AD116" s="30" t="s">
        <v>53</v>
      </c>
      <c r="AE116" s="30" t="s">
        <v>53</v>
      </c>
      <c r="AF116" s="30" t="s">
        <v>53</v>
      </c>
      <c r="AG116" s="30" t="s">
        <v>53</v>
      </c>
      <c r="AH116" s="30" t="s">
        <v>53</v>
      </c>
      <c r="AI116" s="30" t="s">
        <v>945</v>
      </c>
      <c r="AJ116" s="30" t="s">
        <v>142</v>
      </c>
      <c r="AK116" s="30" t="s">
        <v>1333</v>
      </c>
      <c r="AL116" s="30" t="s">
        <v>331</v>
      </c>
      <c r="AM116" s="30" t="s">
        <v>53</v>
      </c>
      <c r="AN116" s="30" t="s">
        <v>954</v>
      </c>
      <c r="AO116" s="30" t="s">
        <v>53</v>
      </c>
      <c r="AP116" s="30" t="s">
        <v>53</v>
      </c>
      <c r="AQ116" s="30" t="s">
        <v>53</v>
      </c>
      <c r="AR116" s="30" t="s">
        <v>53</v>
      </c>
      <c r="AS116" s="30" t="s">
        <v>53</v>
      </c>
      <c r="AT116" s="30" t="s">
        <v>1012</v>
      </c>
      <c r="AU116" s="30" t="s">
        <v>53</v>
      </c>
      <c r="AV116" s="34">
        <v>167868067836</v>
      </c>
    </row>
    <row r="117" spans="2:48" ht="15" customHeight="1">
      <c r="B117" s="28">
        <v>111</v>
      </c>
      <c r="C117" s="29" t="s">
        <v>1334</v>
      </c>
      <c r="D117" s="30" t="s">
        <v>53</v>
      </c>
      <c r="E117" s="31" t="s">
        <v>1335</v>
      </c>
      <c r="F117" s="31" t="s">
        <v>53</v>
      </c>
      <c r="G117" s="32" t="s">
        <v>1336</v>
      </c>
      <c r="H117" s="30" t="s">
        <v>64</v>
      </c>
      <c r="I117" s="30" t="s">
        <v>586</v>
      </c>
      <c r="J117" s="32" t="s">
        <v>587</v>
      </c>
      <c r="K117" s="30" t="s">
        <v>235</v>
      </c>
      <c r="L117" s="32" t="s">
        <v>236</v>
      </c>
      <c r="M117" s="30" t="s">
        <v>953</v>
      </c>
      <c r="N117" s="30" t="s">
        <v>943</v>
      </c>
      <c r="O117" s="33">
        <v>2</v>
      </c>
      <c r="P117" s="33">
        <v>559854</v>
      </c>
      <c r="Q117" s="33">
        <v>0</v>
      </c>
      <c r="R117" s="33">
        <v>0</v>
      </c>
      <c r="S117" s="33">
        <v>0</v>
      </c>
      <c r="T117" s="33">
        <v>0</v>
      </c>
      <c r="U117" s="33">
        <v>0</v>
      </c>
      <c r="V117" s="33">
        <v>0</v>
      </c>
      <c r="W117" s="33" t="s">
        <v>53</v>
      </c>
      <c r="X117" s="33">
        <v>1</v>
      </c>
      <c r="Y117" s="30" t="s">
        <v>66</v>
      </c>
      <c r="Z117" s="30" t="s">
        <v>153</v>
      </c>
      <c r="AA117" s="30" t="s">
        <v>167</v>
      </c>
      <c r="AB117" s="30"/>
      <c r="AC117" s="30"/>
      <c r="AD117" s="30" t="s">
        <v>53</v>
      </c>
      <c r="AE117" s="30" t="s">
        <v>53</v>
      </c>
      <c r="AF117" s="30" t="s">
        <v>53</v>
      </c>
      <c r="AG117" s="30" t="s">
        <v>53</v>
      </c>
      <c r="AH117" s="30" t="s">
        <v>53</v>
      </c>
      <c r="AI117" s="30" t="s">
        <v>945</v>
      </c>
      <c r="AJ117" s="30" t="s">
        <v>142</v>
      </c>
      <c r="AK117" s="30" t="s">
        <v>238</v>
      </c>
      <c r="AL117" s="30" t="s">
        <v>238</v>
      </c>
      <c r="AM117" s="30" t="s">
        <v>53</v>
      </c>
      <c r="AN117" s="30" t="s">
        <v>954</v>
      </c>
      <c r="AO117" s="30" t="s">
        <v>53</v>
      </c>
      <c r="AP117" s="30" t="s">
        <v>53</v>
      </c>
      <c r="AQ117" s="30" t="s">
        <v>53</v>
      </c>
      <c r="AR117" s="30" t="s">
        <v>53</v>
      </c>
      <c r="AS117" s="30" t="s">
        <v>53</v>
      </c>
      <c r="AT117" s="30" t="s">
        <v>1012</v>
      </c>
      <c r="AU117" s="30" t="s">
        <v>53</v>
      </c>
      <c r="AV117" s="34">
        <v>167867828712</v>
      </c>
    </row>
    <row r="118" spans="2:48" ht="15" customHeight="1">
      <c r="B118" s="28">
        <v>112</v>
      </c>
      <c r="C118" s="29" t="s">
        <v>1337</v>
      </c>
      <c r="D118" s="30" t="s">
        <v>53</v>
      </c>
      <c r="E118" s="31" t="s">
        <v>1338</v>
      </c>
      <c r="F118" s="31" t="s">
        <v>53</v>
      </c>
      <c r="G118" s="32" t="s">
        <v>1339</v>
      </c>
      <c r="H118" s="30" t="s">
        <v>67</v>
      </c>
      <c r="I118" s="30" t="s">
        <v>754</v>
      </c>
      <c r="J118" s="32" t="s">
        <v>755</v>
      </c>
      <c r="K118" s="30" t="s">
        <v>189</v>
      </c>
      <c r="L118" s="32" t="s">
        <v>190</v>
      </c>
      <c r="M118" s="30" t="s">
        <v>953</v>
      </c>
      <c r="N118" s="30" t="s">
        <v>974</v>
      </c>
      <c r="O118" s="33"/>
      <c r="P118" s="33">
        <v>647</v>
      </c>
      <c r="Q118" s="33">
        <v>0</v>
      </c>
      <c r="R118" s="33">
        <v>0</v>
      </c>
      <c r="S118" s="33">
        <v>0</v>
      </c>
      <c r="T118" s="33">
        <v>0</v>
      </c>
      <c r="U118" s="33">
        <v>0</v>
      </c>
      <c r="V118" s="33">
        <v>0</v>
      </c>
      <c r="W118" s="33" t="s">
        <v>53</v>
      </c>
      <c r="X118" s="33">
        <v>1</v>
      </c>
      <c r="Y118" s="30" t="s">
        <v>69</v>
      </c>
      <c r="Z118" s="30" t="s">
        <v>156</v>
      </c>
      <c r="AA118" s="30" t="s">
        <v>156</v>
      </c>
      <c r="AB118" s="30"/>
      <c r="AC118" s="30"/>
      <c r="AD118" s="30" t="s">
        <v>53</v>
      </c>
      <c r="AE118" s="30" t="s">
        <v>53</v>
      </c>
      <c r="AF118" s="30" t="s">
        <v>1016</v>
      </c>
      <c r="AG118" s="30" t="s">
        <v>53</v>
      </c>
      <c r="AH118" s="30" t="s">
        <v>53</v>
      </c>
      <c r="AI118" s="30" t="s">
        <v>945</v>
      </c>
      <c r="AJ118" s="30" t="s">
        <v>53</v>
      </c>
      <c r="AK118" s="30" t="s">
        <v>53</v>
      </c>
      <c r="AL118" s="30" t="s">
        <v>53</v>
      </c>
      <c r="AM118" s="30" t="s">
        <v>53</v>
      </c>
      <c r="AN118" s="30" t="s">
        <v>954</v>
      </c>
      <c r="AO118" s="30" t="s">
        <v>53</v>
      </c>
      <c r="AP118" s="30" t="s">
        <v>53</v>
      </c>
      <c r="AQ118" s="30" t="s">
        <v>53</v>
      </c>
      <c r="AR118" s="30" t="s">
        <v>53</v>
      </c>
      <c r="AS118" s="30" t="s">
        <v>53</v>
      </c>
      <c r="AT118" s="30" t="s">
        <v>946</v>
      </c>
      <c r="AU118" s="30" t="s">
        <v>53</v>
      </c>
      <c r="AV118" s="34">
        <v>167828747188</v>
      </c>
    </row>
    <row r="119" spans="2:48" ht="15" customHeight="1">
      <c r="B119" s="28">
        <v>113</v>
      </c>
      <c r="C119" s="29" t="s">
        <v>1340</v>
      </c>
      <c r="D119" s="30" t="s">
        <v>53</v>
      </c>
      <c r="E119" s="31" t="s">
        <v>1341</v>
      </c>
      <c r="F119" s="31" t="s">
        <v>53</v>
      </c>
      <c r="G119" s="32" t="s">
        <v>1342</v>
      </c>
      <c r="H119" s="30" t="s">
        <v>64</v>
      </c>
      <c r="I119" s="30" t="s">
        <v>588</v>
      </c>
      <c r="J119" s="32" t="s">
        <v>589</v>
      </c>
      <c r="K119" s="30" t="s">
        <v>210</v>
      </c>
      <c r="L119" s="32" t="s">
        <v>211</v>
      </c>
      <c r="M119" s="30" t="s">
        <v>953</v>
      </c>
      <c r="N119" s="30" t="s">
        <v>974</v>
      </c>
      <c r="O119" s="33">
        <v>2</v>
      </c>
      <c r="P119" s="33">
        <v>26795</v>
      </c>
      <c r="Q119" s="33">
        <v>3</v>
      </c>
      <c r="R119" s="33">
        <v>0</v>
      </c>
      <c r="S119" s="33">
        <v>3</v>
      </c>
      <c r="T119" s="33">
        <v>3</v>
      </c>
      <c r="U119" s="33">
        <v>0</v>
      </c>
      <c r="V119" s="33">
        <v>0</v>
      </c>
      <c r="W119" s="33" t="s">
        <v>53</v>
      </c>
      <c r="X119" s="33">
        <v>1</v>
      </c>
      <c r="Y119" s="30" t="s">
        <v>66</v>
      </c>
      <c r="Z119" s="30" t="s">
        <v>153</v>
      </c>
      <c r="AA119" s="30" t="s">
        <v>167</v>
      </c>
      <c r="AB119" s="30" t="s">
        <v>509</v>
      </c>
      <c r="AC119" s="30"/>
      <c r="AD119" s="30" t="s">
        <v>53</v>
      </c>
      <c r="AE119" s="30" t="s">
        <v>53</v>
      </c>
      <c r="AF119" s="30" t="s">
        <v>53</v>
      </c>
      <c r="AG119" s="30" t="s">
        <v>53</v>
      </c>
      <c r="AH119" s="30" t="s">
        <v>53</v>
      </c>
      <c r="AI119" s="30" t="s">
        <v>945</v>
      </c>
      <c r="AJ119" s="30" t="s">
        <v>142</v>
      </c>
      <c r="AK119" s="30" t="s">
        <v>1017</v>
      </c>
      <c r="AL119" s="30" t="s">
        <v>213</v>
      </c>
      <c r="AM119" s="30" t="s">
        <v>53</v>
      </c>
      <c r="AN119" s="30" t="s">
        <v>954</v>
      </c>
      <c r="AO119" s="30" t="s">
        <v>53</v>
      </c>
      <c r="AP119" s="30" t="s">
        <v>53</v>
      </c>
      <c r="AQ119" s="30" t="s">
        <v>53</v>
      </c>
      <c r="AR119" s="30" t="s">
        <v>53</v>
      </c>
      <c r="AS119" s="30" t="s">
        <v>53</v>
      </c>
      <c r="AT119" s="30" t="s">
        <v>946</v>
      </c>
      <c r="AU119" s="30" t="s">
        <v>53</v>
      </c>
      <c r="AV119" s="34">
        <v>167824432930</v>
      </c>
    </row>
    <row r="120" spans="2:48" ht="15" customHeight="1">
      <c r="B120" s="28">
        <v>114</v>
      </c>
      <c r="C120" s="29" t="s">
        <v>1343</v>
      </c>
      <c r="D120" s="30" t="s">
        <v>53</v>
      </c>
      <c r="E120" s="31" t="s">
        <v>1344</v>
      </c>
      <c r="F120" s="31" t="s">
        <v>53</v>
      </c>
      <c r="G120" s="32" t="s">
        <v>1345</v>
      </c>
      <c r="H120" s="30" t="s">
        <v>64</v>
      </c>
      <c r="I120" s="30" t="s">
        <v>616</v>
      </c>
      <c r="J120" s="32" t="s">
        <v>617</v>
      </c>
      <c r="K120" s="30" t="s">
        <v>251</v>
      </c>
      <c r="L120" s="32" t="s">
        <v>253</v>
      </c>
      <c r="M120" s="30" t="s">
        <v>953</v>
      </c>
      <c r="N120" s="30" t="s">
        <v>943</v>
      </c>
      <c r="O120" s="33">
        <v>7</v>
      </c>
      <c r="P120" s="33">
        <v>288533</v>
      </c>
      <c r="Q120" s="33">
        <v>192</v>
      </c>
      <c r="R120" s="33">
        <v>0</v>
      </c>
      <c r="S120" s="33">
        <v>0</v>
      </c>
      <c r="T120" s="33">
        <v>0</v>
      </c>
      <c r="U120" s="33">
        <v>0</v>
      </c>
      <c r="V120" s="33">
        <v>0</v>
      </c>
      <c r="W120" s="33" t="s">
        <v>53</v>
      </c>
      <c r="X120" s="33">
        <v>1</v>
      </c>
      <c r="Y120" s="30" t="s">
        <v>66</v>
      </c>
      <c r="Z120" s="30" t="s">
        <v>153</v>
      </c>
      <c r="AA120" s="30" t="s">
        <v>167</v>
      </c>
      <c r="AB120" s="30" t="s">
        <v>509</v>
      </c>
      <c r="AC120" s="30">
        <v>55</v>
      </c>
      <c r="AD120" s="30" t="s">
        <v>53</v>
      </c>
      <c r="AE120" s="30" t="s">
        <v>53</v>
      </c>
      <c r="AF120" s="30" t="s">
        <v>53</v>
      </c>
      <c r="AG120" s="30" t="s">
        <v>53</v>
      </c>
      <c r="AH120" s="30" t="s">
        <v>53</v>
      </c>
      <c r="AI120" s="30" t="s">
        <v>945</v>
      </c>
      <c r="AJ120" s="30" t="s">
        <v>53</v>
      </c>
      <c r="AK120" s="30" t="s">
        <v>53</v>
      </c>
      <c r="AL120" s="30" t="s">
        <v>53</v>
      </c>
      <c r="AM120" s="30" t="s">
        <v>53</v>
      </c>
      <c r="AN120" s="30" t="s">
        <v>954</v>
      </c>
      <c r="AO120" s="30" t="s">
        <v>53</v>
      </c>
      <c r="AP120" s="30" t="s">
        <v>53</v>
      </c>
      <c r="AQ120" s="30" t="s">
        <v>53</v>
      </c>
      <c r="AR120" s="30" t="s">
        <v>53</v>
      </c>
      <c r="AS120" s="30" t="s">
        <v>53</v>
      </c>
      <c r="AT120" s="30" t="s">
        <v>1012</v>
      </c>
      <c r="AU120" s="30" t="s">
        <v>53</v>
      </c>
      <c r="AV120" s="34">
        <v>167823655856</v>
      </c>
    </row>
    <row r="121" spans="2:48" ht="15" customHeight="1">
      <c r="B121" s="28">
        <v>115</v>
      </c>
      <c r="C121" s="29" t="s">
        <v>1346</v>
      </c>
      <c r="D121" s="30" t="s">
        <v>53</v>
      </c>
      <c r="E121" s="31" t="s">
        <v>1347</v>
      </c>
      <c r="F121" s="31" t="s">
        <v>53</v>
      </c>
      <c r="G121" s="32" t="s">
        <v>1348</v>
      </c>
      <c r="H121" s="30" t="s">
        <v>64</v>
      </c>
      <c r="I121" s="30" t="s">
        <v>642</v>
      </c>
      <c r="J121" s="32" t="s">
        <v>643</v>
      </c>
      <c r="K121" s="30" t="s">
        <v>161</v>
      </c>
      <c r="L121" s="32" t="s">
        <v>162</v>
      </c>
      <c r="M121" s="30" t="s">
        <v>953</v>
      </c>
      <c r="N121" s="30" t="s">
        <v>943</v>
      </c>
      <c r="O121" s="33">
        <v>4</v>
      </c>
      <c r="P121" s="33">
        <v>189883</v>
      </c>
      <c r="Q121" s="33">
        <v>18</v>
      </c>
      <c r="R121" s="33">
        <v>0</v>
      </c>
      <c r="S121" s="33">
        <v>0</v>
      </c>
      <c r="T121" s="33">
        <v>0</v>
      </c>
      <c r="U121" s="33">
        <v>0</v>
      </c>
      <c r="V121" s="33">
        <v>0</v>
      </c>
      <c r="W121" s="33" t="s">
        <v>53</v>
      </c>
      <c r="X121" s="33">
        <v>1</v>
      </c>
      <c r="Y121" s="30" t="s">
        <v>66</v>
      </c>
      <c r="Z121" s="30" t="s">
        <v>153</v>
      </c>
      <c r="AA121" s="30" t="s">
        <v>167</v>
      </c>
      <c r="AB121" s="30" t="s">
        <v>509</v>
      </c>
      <c r="AC121" s="30"/>
      <c r="AD121" s="30" t="s">
        <v>53</v>
      </c>
      <c r="AE121" s="30" t="s">
        <v>53</v>
      </c>
      <c r="AF121" s="30" t="s">
        <v>53</v>
      </c>
      <c r="AG121" s="30" t="s">
        <v>53</v>
      </c>
      <c r="AH121" s="30" t="s">
        <v>53</v>
      </c>
      <c r="AI121" s="30" t="s">
        <v>945</v>
      </c>
      <c r="AJ121" s="30" t="s">
        <v>142</v>
      </c>
      <c r="AK121" s="30" t="s">
        <v>1030</v>
      </c>
      <c r="AL121" s="30" t="s">
        <v>164</v>
      </c>
      <c r="AM121" s="30" t="s">
        <v>53</v>
      </c>
      <c r="AN121" s="30" t="s">
        <v>954</v>
      </c>
      <c r="AO121" s="30" t="s">
        <v>53</v>
      </c>
      <c r="AP121" s="30" t="s">
        <v>53</v>
      </c>
      <c r="AQ121" s="30" t="s">
        <v>53</v>
      </c>
      <c r="AR121" s="30" t="s">
        <v>53</v>
      </c>
      <c r="AS121" s="30" t="s">
        <v>53</v>
      </c>
      <c r="AT121" s="30" t="s">
        <v>946</v>
      </c>
      <c r="AU121" s="30" t="s">
        <v>53</v>
      </c>
      <c r="AV121" s="34">
        <v>167805975060</v>
      </c>
    </row>
    <row r="122" spans="2:48" ht="15" customHeight="1">
      <c r="B122" s="28">
        <v>116</v>
      </c>
      <c r="C122" s="29" t="s">
        <v>1349</v>
      </c>
      <c r="D122" s="30" t="s">
        <v>53</v>
      </c>
      <c r="E122" s="31" t="s">
        <v>1350</v>
      </c>
      <c r="F122" s="31" t="s">
        <v>53</v>
      </c>
      <c r="G122" s="32" t="s">
        <v>1351</v>
      </c>
      <c r="H122" s="30" t="s">
        <v>67</v>
      </c>
      <c r="I122" s="30" t="s">
        <v>577</v>
      </c>
      <c r="J122" s="32" t="s">
        <v>578</v>
      </c>
      <c r="K122" s="30" t="s">
        <v>256</v>
      </c>
      <c r="L122" s="32" t="s">
        <v>257</v>
      </c>
      <c r="M122" s="30" t="s">
        <v>953</v>
      </c>
      <c r="N122" s="30" t="s">
        <v>943</v>
      </c>
      <c r="O122" s="33"/>
      <c r="P122" s="33">
        <v>52937</v>
      </c>
      <c r="Q122" s="33">
        <v>0</v>
      </c>
      <c r="R122" s="33">
        <v>0</v>
      </c>
      <c r="S122" s="33">
        <v>0</v>
      </c>
      <c r="T122" s="33">
        <v>0</v>
      </c>
      <c r="U122" s="33">
        <v>0</v>
      </c>
      <c r="V122" s="33">
        <v>0</v>
      </c>
      <c r="W122" s="33" t="s">
        <v>53</v>
      </c>
      <c r="X122" s="33">
        <v>1</v>
      </c>
      <c r="Y122" s="30" t="s">
        <v>69</v>
      </c>
      <c r="Z122" s="30" t="s">
        <v>156</v>
      </c>
      <c r="AA122" s="30" t="s">
        <v>156</v>
      </c>
      <c r="AB122" s="30"/>
      <c r="AC122" s="30"/>
      <c r="AD122" s="30" t="s">
        <v>53</v>
      </c>
      <c r="AE122" s="30" t="s">
        <v>53</v>
      </c>
      <c r="AF122" s="30" t="s">
        <v>53</v>
      </c>
      <c r="AG122" s="30" t="s">
        <v>53</v>
      </c>
      <c r="AH122" s="30" t="s">
        <v>53</v>
      </c>
      <c r="AI122" s="30" t="s">
        <v>945</v>
      </c>
      <c r="AJ122" s="30" t="s">
        <v>53</v>
      </c>
      <c r="AK122" s="30" t="s">
        <v>53</v>
      </c>
      <c r="AL122" s="30" t="s">
        <v>53</v>
      </c>
      <c r="AM122" s="30" t="s">
        <v>53</v>
      </c>
      <c r="AN122" s="30" t="s">
        <v>954</v>
      </c>
      <c r="AO122" s="30" t="s">
        <v>53</v>
      </c>
      <c r="AP122" s="30" t="s">
        <v>53</v>
      </c>
      <c r="AQ122" s="30" t="s">
        <v>53</v>
      </c>
      <c r="AR122" s="30" t="s">
        <v>53</v>
      </c>
      <c r="AS122" s="30" t="s">
        <v>53</v>
      </c>
      <c r="AT122" s="30" t="s">
        <v>1012</v>
      </c>
      <c r="AU122" s="30" t="s">
        <v>53</v>
      </c>
      <c r="AV122" s="34">
        <v>167802482495</v>
      </c>
    </row>
    <row r="123" spans="2:48" ht="15" customHeight="1">
      <c r="B123" s="28">
        <v>117</v>
      </c>
      <c r="C123" s="29" t="s">
        <v>1352</v>
      </c>
      <c r="D123" s="30" t="s">
        <v>53</v>
      </c>
      <c r="E123" s="31" t="s">
        <v>1353</v>
      </c>
      <c r="F123" s="31" t="s">
        <v>53</v>
      </c>
      <c r="G123" s="32" t="s">
        <v>1354</v>
      </c>
      <c r="H123" s="30" t="s">
        <v>64</v>
      </c>
      <c r="I123" s="30" t="s">
        <v>598</v>
      </c>
      <c r="J123" s="32" t="s">
        <v>599</v>
      </c>
      <c r="K123" s="30" t="s">
        <v>160</v>
      </c>
      <c r="L123" s="32" t="s">
        <v>370</v>
      </c>
      <c r="M123" s="30" t="s">
        <v>953</v>
      </c>
      <c r="N123" s="30" t="s">
        <v>943</v>
      </c>
      <c r="O123" s="33">
        <v>1</v>
      </c>
      <c r="P123" s="33">
        <v>53188</v>
      </c>
      <c r="Q123" s="33">
        <v>0</v>
      </c>
      <c r="R123" s="33">
        <v>0</v>
      </c>
      <c r="S123" s="33">
        <v>0</v>
      </c>
      <c r="T123" s="33">
        <v>0</v>
      </c>
      <c r="U123" s="33">
        <v>0</v>
      </c>
      <c r="V123" s="33">
        <v>0</v>
      </c>
      <c r="W123" s="33" t="s">
        <v>53</v>
      </c>
      <c r="X123" s="33">
        <v>1</v>
      </c>
      <c r="Y123" s="30" t="s">
        <v>66</v>
      </c>
      <c r="Z123" s="30" t="s">
        <v>153</v>
      </c>
      <c r="AA123" s="30" t="s">
        <v>167</v>
      </c>
      <c r="AB123" s="30"/>
      <c r="AC123" s="30"/>
      <c r="AD123" s="30" t="s">
        <v>53</v>
      </c>
      <c r="AE123" s="30" t="s">
        <v>53</v>
      </c>
      <c r="AF123" s="30" t="s">
        <v>53</v>
      </c>
      <c r="AG123" s="30" t="s">
        <v>53</v>
      </c>
      <c r="AH123" s="30" t="s">
        <v>53</v>
      </c>
      <c r="AI123" s="30" t="s">
        <v>945</v>
      </c>
      <c r="AJ123" s="30" t="s">
        <v>142</v>
      </c>
      <c r="AK123" s="30" t="s">
        <v>1112</v>
      </c>
      <c r="AL123" s="30" t="s">
        <v>160</v>
      </c>
      <c r="AM123" s="30" t="s">
        <v>53</v>
      </c>
      <c r="AN123" s="30" t="s">
        <v>954</v>
      </c>
      <c r="AO123" s="30" t="s">
        <v>53</v>
      </c>
      <c r="AP123" s="30" t="s">
        <v>53</v>
      </c>
      <c r="AQ123" s="30" t="s">
        <v>53</v>
      </c>
      <c r="AR123" s="30" t="s">
        <v>53</v>
      </c>
      <c r="AS123" s="30" t="s">
        <v>53</v>
      </c>
      <c r="AT123" s="30" t="s">
        <v>1012</v>
      </c>
      <c r="AU123" s="30" t="s">
        <v>53</v>
      </c>
      <c r="AV123" s="34">
        <v>167800891006</v>
      </c>
    </row>
    <row r="124" spans="2:48" ht="15" customHeight="1">
      <c r="B124" s="28">
        <v>118</v>
      </c>
      <c r="C124" s="29" t="s">
        <v>1355</v>
      </c>
      <c r="D124" s="30" t="s">
        <v>53</v>
      </c>
      <c r="E124" s="31" t="s">
        <v>1356</v>
      </c>
      <c r="F124" s="31" t="s">
        <v>53</v>
      </c>
      <c r="G124" s="32" t="s">
        <v>1357</v>
      </c>
      <c r="H124" s="30" t="s">
        <v>67</v>
      </c>
      <c r="I124" s="30" t="s">
        <v>577</v>
      </c>
      <c r="J124" s="32" t="s">
        <v>578</v>
      </c>
      <c r="K124" s="30" t="s">
        <v>267</v>
      </c>
      <c r="L124" s="32" t="s">
        <v>383</v>
      </c>
      <c r="M124" s="30" t="s">
        <v>953</v>
      </c>
      <c r="N124" s="30" t="s">
        <v>974</v>
      </c>
      <c r="O124" s="33"/>
      <c r="P124" s="33">
        <v>280517</v>
      </c>
      <c r="Q124" s="33">
        <v>0</v>
      </c>
      <c r="R124" s="33">
        <v>0</v>
      </c>
      <c r="S124" s="33">
        <v>0</v>
      </c>
      <c r="T124" s="33">
        <v>0</v>
      </c>
      <c r="U124" s="33">
        <v>0</v>
      </c>
      <c r="V124" s="33">
        <v>0</v>
      </c>
      <c r="W124" s="33" t="s">
        <v>53</v>
      </c>
      <c r="X124" s="33">
        <v>1</v>
      </c>
      <c r="Y124" s="30" t="s">
        <v>69</v>
      </c>
      <c r="Z124" s="30" t="s">
        <v>156</v>
      </c>
      <c r="AA124" s="30" t="s">
        <v>156</v>
      </c>
      <c r="AB124" s="30"/>
      <c r="AC124" s="30"/>
      <c r="AD124" s="30" t="s">
        <v>53</v>
      </c>
      <c r="AE124" s="30" t="s">
        <v>53</v>
      </c>
      <c r="AF124" s="30" t="s">
        <v>53</v>
      </c>
      <c r="AG124" s="30" t="s">
        <v>53</v>
      </c>
      <c r="AH124" s="30" t="s">
        <v>53</v>
      </c>
      <c r="AI124" s="30" t="s">
        <v>945</v>
      </c>
      <c r="AJ124" s="30" t="s">
        <v>53</v>
      </c>
      <c r="AK124" s="30" t="s">
        <v>53</v>
      </c>
      <c r="AL124" s="30" t="s">
        <v>53</v>
      </c>
      <c r="AM124" s="30" t="s">
        <v>53</v>
      </c>
      <c r="AN124" s="30" t="s">
        <v>954</v>
      </c>
      <c r="AO124" s="30" t="s">
        <v>53</v>
      </c>
      <c r="AP124" s="30" t="s">
        <v>53</v>
      </c>
      <c r="AQ124" s="30" t="s">
        <v>53</v>
      </c>
      <c r="AR124" s="30" t="s">
        <v>53</v>
      </c>
      <c r="AS124" s="30" t="s">
        <v>53</v>
      </c>
      <c r="AT124" s="30" t="s">
        <v>1025</v>
      </c>
      <c r="AU124" s="30" t="s">
        <v>53</v>
      </c>
      <c r="AV124" s="34">
        <v>167800462082</v>
      </c>
    </row>
    <row r="125" spans="2:48" ht="15" customHeight="1">
      <c r="B125" s="28">
        <v>119</v>
      </c>
      <c r="C125" s="29" t="s">
        <v>1358</v>
      </c>
      <c r="D125" s="30" t="s">
        <v>53</v>
      </c>
      <c r="E125" s="31" t="s">
        <v>1359</v>
      </c>
      <c r="F125" s="31" t="s">
        <v>53</v>
      </c>
      <c r="G125" s="32" t="s">
        <v>1360</v>
      </c>
      <c r="H125" s="30" t="s">
        <v>67</v>
      </c>
      <c r="I125" s="30" t="s">
        <v>715</v>
      </c>
      <c r="J125" s="32" t="s">
        <v>716</v>
      </c>
      <c r="K125" s="30" t="s">
        <v>254</v>
      </c>
      <c r="L125" s="32" t="s">
        <v>255</v>
      </c>
      <c r="M125" s="30" t="s">
        <v>953</v>
      </c>
      <c r="N125" s="30" t="s">
        <v>974</v>
      </c>
      <c r="O125" s="33"/>
      <c r="P125" s="33">
        <v>2023</v>
      </c>
      <c r="Q125" s="33">
        <v>1</v>
      </c>
      <c r="R125" s="33">
        <v>0</v>
      </c>
      <c r="S125" s="33">
        <v>0</v>
      </c>
      <c r="T125" s="33">
        <v>0</v>
      </c>
      <c r="U125" s="33">
        <v>0</v>
      </c>
      <c r="V125" s="33">
        <v>0</v>
      </c>
      <c r="W125" s="33" t="s">
        <v>53</v>
      </c>
      <c r="X125" s="33">
        <v>1</v>
      </c>
      <c r="Y125" s="30" t="s">
        <v>69</v>
      </c>
      <c r="Z125" s="30" t="s">
        <v>156</v>
      </c>
      <c r="AA125" s="30" t="s">
        <v>156</v>
      </c>
      <c r="AB125" s="30"/>
      <c r="AC125" s="30"/>
      <c r="AD125" s="30" t="s">
        <v>53</v>
      </c>
      <c r="AE125" s="30" t="s">
        <v>53</v>
      </c>
      <c r="AF125" s="30" t="s">
        <v>53</v>
      </c>
      <c r="AG125" s="30" t="s">
        <v>53</v>
      </c>
      <c r="AH125" s="30" t="s">
        <v>53</v>
      </c>
      <c r="AI125" s="30" t="s">
        <v>945</v>
      </c>
      <c r="AJ125" s="30" t="s">
        <v>53</v>
      </c>
      <c r="AK125" s="30" t="s">
        <v>53</v>
      </c>
      <c r="AL125" s="30" t="s">
        <v>53</v>
      </c>
      <c r="AM125" s="30" t="s">
        <v>53</v>
      </c>
      <c r="AN125" s="30" t="s">
        <v>954</v>
      </c>
      <c r="AO125" s="30" t="s">
        <v>53</v>
      </c>
      <c r="AP125" s="30" t="s">
        <v>53</v>
      </c>
      <c r="AQ125" s="30" t="s">
        <v>53</v>
      </c>
      <c r="AR125" s="30" t="s">
        <v>53</v>
      </c>
      <c r="AS125" s="30" t="s">
        <v>53</v>
      </c>
      <c r="AT125" s="30" t="s">
        <v>946</v>
      </c>
      <c r="AU125" s="30" t="s">
        <v>53</v>
      </c>
      <c r="AV125" s="34">
        <v>167793195885</v>
      </c>
    </row>
    <row r="126" spans="2:48" ht="15" customHeight="1">
      <c r="B126" s="28">
        <v>120</v>
      </c>
      <c r="C126" s="29" t="s">
        <v>1361</v>
      </c>
      <c r="D126" s="30" t="s">
        <v>53</v>
      </c>
      <c r="E126" s="31" t="s">
        <v>1362</v>
      </c>
      <c r="F126" s="31" t="s">
        <v>1363</v>
      </c>
      <c r="G126" s="32" t="s">
        <v>1364</v>
      </c>
      <c r="H126" s="30" t="s">
        <v>64</v>
      </c>
      <c r="I126" s="30" t="s">
        <v>398</v>
      </c>
      <c r="J126" s="32" t="s">
        <v>399</v>
      </c>
      <c r="K126" s="30" t="s">
        <v>398</v>
      </c>
      <c r="L126" s="32" t="s">
        <v>399</v>
      </c>
      <c r="M126" s="30" t="s">
        <v>942</v>
      </c>
      <c r="N126" s="30" t="s">
        <v>974</v>
      </c>
      <c r="O126" s="33">
        <v>10</v>
      </c>
      <c r="P126" s="33">
        <v>3005</v>
      </c>
      <c r="Q126" s="33">
        <v>3005</v>
      </c>
      <c r="R126" s="33">
        <v>219</v>
      </c>
      <c r="S126" s="33">
        <v>3</v>
      </c>
      <c r="T126" s="33">
        <v>3</v>
      </c>
      <c r="U126" s="33">
        <v>0</v>
      </c>
      <c r="V126" s="33">
        <v>0</v>
      </c>
      <c r="W126" s="33" t="s">
        <v>53</v>
      </c>
      <c r="X126" s="33">
        <v>1</v>
      </c>
      <c r="Y126" s="30" t="s">
        <v>66</v>
      </c>
      <c r="Z126" s="30" t="s">
        <v>167</v>
      </c>
      <c r="AA126" s="30" t="s">
        <v>167</v>
      </c>
      <c r="AB126" s="30" t="s">
        <v>508</v>
      </c>
      <c r="AC126" s="30"/>
      <c r="AD126" s="30" t="s">
        <v>53</v>
      </c>
      <c r="AE126" s="30" t="s">
        <v>53</v>
      </c>
      <c r="AF126" s="30" t="s">
        <v>53</v>
      </c>
      <c r="AG126" s="30" t="s">
        <v>53</v>
      </c>
      <c r="AH126" s="30" t="s">
        <v>53</v>
      </c>
      <c r="AI126" s="30" t="s">
        <v>945</v>
      </c>
      <c r="AJ126" s="30" t="s">
        <v>142</v>
      </c>
      <c r="AK126" s="30" t="s">
        <v>1365</v>
      </c>
      <c r="AL126" s="30" t="s">
        <v>401</v>
      </c>
      <c r="AM126" s="30" t="s">
        <v>53</v>
      </c>
      <c r="AN126" s="30" t="s">
        <v>53</v>
      </c>
      <c r="AO126" s="30" t="s">
        <v>53</v>
      </c>
      <c r="AP126" s="30" t="s">
        <v>53</v>
      </c>
      <c r="AQ126" s="30" t="s">
        <v>53</v>
      </c>
      <c r="AR126" s="30" t="s">
        <v>53</v>
      </c>
      <c r="AS126" s="30" t="s">
        <v>53</v>
      </c>
      <c r="AT126" s="30" t="s">
        <v>946</v>
      </c>
      <c r="AU126" s="30" t="s">
        <v>53</v>
      </c>
      <c r="AV126" s="34">
        <v>167791368440</v>
      </c>
    </row>
    <row r="127" spans="2:48" ht="15" customHeight="1">
      <c r="B127" s="28">
        <v>121</v>
      </c>
      <c r="C127" s="29" t="s">
        <v>1366</v>
      </c>
      <c r="D127" s="30" t="s">
        <v>53</v>
      </c>
      <c r="E127" s="31" t="s">
        <v>1367</v>
      </c>
      <c r="F127" s="31" t="s">
        <v>53</v>
      </c>
      <c r="G127" s="32" t="s">
        <v>1368</v>
      </c>
      <c r="H127" s="30" t="s">
        <v>64</v>
      </c>
      <c r="I127" s="30" t="s">
        <v>596</v>
      </c>
      <c r="J127" s="32" t="s">
        <v>597</v>
      </c>
      <c r="K127" s="30" t="s">
        <v>157</v>
      </c>
      <c r="L127" s="32" t="s">
        <v>158</v>
      </c>
      <c r="M127" s="30" t="s">
        <v>953</v>
      </c>
      <c r="N127" s="30" t="s">
        <v>943</v>
      </c>
      <c r="O127" s="33">
        <v>1</v>
      </c>
      <c r="P127" s="33">
        <v>8647</v>
      </c>
      <c r="Q127" s="33">
        <v>0</v>
      </c>
      <c r="R127" s="33">
        <v>0</v>
      </c>
      <c r="S127" s="33">
        <v>0</v>
      </c>
      <c r="T127" s="33">
        <v>0</v>
      </c>
      <c r="U127" s="33">
        <v>0</v>
      </c>
      <c r="V127" s="33">
        <v>0</v>
      </c>
      <c r="W127" s="33" t="s">
        <v>53</v>
      </c>
      <c r="X127" s="33">
        <v>1</v>
      </c>
      <c r="Y127" s="30" t="s">
        <v>66</v>
      </c>
      <c r="Z127" s="30" t="s">
        <v>153</v>
      </c>
      <c r="AA127" s="30" t="s">
        <v>167</v>
      </c>
      <c r="AB127" s="30"/>
      <c r="AC127" s="30"/>
      <c r="AD127" s="30" t="s">
        <v>53</v>
      </c>
      <c r="AE127" s="30" t="s">
        <v>53</v>
      </c>
      <c r="AF127" s="30" t="s">
        <v>53</v>
      </c>
      <c r="AG127" s="30" t="s">
        <v>53</v>
      </c>
      <c r="AH127" s="30" t="s">
        <v>53</v>
      </c>
      <c r="AI127" s="30" t="s">
        <v>945</v>
      </c>
      <c r="AJ127" s="30" t="s">
        <v>142</v>
      </c>
      <c r="AK127" s="30" t="s">
        <v>1112</v>
      </c>
      <c r="AL127" s="30" t="s">
        <v>160</v>
      </c>
      <c r="AM127" s="30" t="s">
        <v>53</v>
      </c>
      <c r="AN127" s="30" t="s">
        <v>954</v>
      </c>
      <c r="AO127" s="30" t="s">
        <v>53</v>
      </c>
      <c r="AP127" s="30" t="s">
        <v>53</v>
      </c>
      <c r="AQ127" s="30" t="s">
        <v>53</v>
      </c>
      <c r="AR127" s="30" t="s">
        <v>53</v>
      </c>
      <c r="AS127" s="30" t="s">
        <v>53</v>
      </c>
      <c r="AT127" s="30" t="s">
        <v>1012</v>
      </c>
      <c r="AU127" s="30" t="s">
        <v>53</v>
      </c>
      <c r="AV127" s="34">
        <v>167744196165</v>
      </c>
    </row>
    <row r="128" spans="2:48" ht="15" customHeight="1">
      <c r="B128" s="28">
        <v>122</v>
      </c>
      <c r="C128" s="29" t="s">
        <v>1369</v>
      </c>
      <c r="D128" s="30" t="s">
        <v>53</v>
      </c>
      <c r="E128" s="31" t="s">
        <v>1370</v>
      </c>
      <c r="F128" s="31" t="s">
        <v>53</v>
      </c>
      <c r="G128" s="32" t="s">
        <v>1371</v>
      </c>
      <c r="H128" s="30" t="s">
        <v>67</v>
      </c>
      <c r="I128" s="30" t="s">
        <v>622</v>
      </c>
      <c r="J128" s="32" t="s">
        <v>623</v>
      </c>
      <c r="K128" s="30" t="s">
        <v>256</v>
      </c>
      <c r="L128" s="32" t="s">
        <v>257</v>
      </c>
      <c r="M128" s="30" t="s">
        <v>953</v>
      </c>
      <c r="N128" s="30" t="s">
        <v>974</v>
      </c>
      <c r="O128" s="33"/>
      <c r="P128" s="33">
        <v>52937</v>
      </c>
      <c r="Q128" s="33">
        <v>0</v>
      </c>
      <c r="R128" s="33">
        <v>0</v>
      </c>
      <c r="S128" s="33">
        <v>0</v>
      </c>
      <c r="T128" s="33">
        <v>0</v>
      </c>
      <c r="U128" s="33">
        <v>0</v>
      </c>
      <c r="V128" s="33">
        <v>0</v>
      </c>
      <c r="W128" s="33" t="s">
        <v>53</v>
      </c>
      <c r="X128" s="33">
        <v>1</v>
      </c>
      <c r="Y128" s="30" t="s">
        <v>69</v>
      </c>
      <c r="Z128" s="30" t="s">
        <v>156</v>
      </c>
      <c r="AA128" s="30" t="s">
        <v>156</v>
      </c>
      <c r="AB128" s="30"/>
      <c r="AC128" s="30"/>
      <c r="AD128" s="30" t="s">
        <v>53</v>
      </c>
      <c r="AE128" s="30" t="s">
        <v>53</v>
      </c>
      <c r="AF128" s="30" t="s">
        <v>1016</v>
      </c>
      <c r="AG128" s="30" t="s">
        <v>53</v>
      </c>
      <c r="AH128" s="30" t="s">
        <v>53</v>
      </c>
      <c r="AI128" s="30" t="s">
        <v>945</v>
      </c>
      <c r="AJ128" s="30" t="s">
        <v>53</v>
      </c>
      <c r="AK128" s="30" t="s">
        <v>53</v>
      </c>
      <c r="AL128" s="30" t="s">
        <v>53</v>
      </c>
      <c r="AM128" s="30" t="s">
        <v>53</v>
      </c>
      <c r="AN128" s="30" t="s">
        <v>954</v>
      </c>
      <c r="AO128" s="30" t="s">
        <v>53</v>
      </c>
      <c r="AP128" s="30" t="s">
        <v>53</v>
      </c>
      <c r="AQ128" s="30" t="s">
        <v>53</v>
      </c>
      <c r="AR128" s="30" t="s">
        <v>53</v>
      </c>
      <c r="AS128" s="30" t="s">
        <v>53</v>
      </c>
      <c r="AT128" s="30" t="s">
        <v>1012</v>
      </c>
      <c r="AU128" s="30" t="s">
        <v>53</v>
      </c>
      <c r="AV128" s="34">
        <v>167744351552</v>
      </c>
    </row>
    <row r="129" spans="2:48" ht="15" customHeight="1">
      <c r="B129" s="28">
        <v>123</v>
      </c>
      <c r="C129" s="29" t="s">
        <v>1372</v>
      </c>
      <c r="D129" s="30" t="s">
        <v>53</v>
      </c>
      <c r="E129" s="31" t="s">
        <v>1373</v>
      </c>
      <c r="F129" s="31" t="s">
        <v>1374</v>
      </c>
      <c r="G129" s="32" t="s">
        <v>1375</v>
      </c>
      <c r="H129" s="30" t="s">
        <v>70</v>
      </c>
      <c r="I129" s="30" t="s">
        <v>418</v>
      </c>
      <c r="J129" s="32" t="s">
        <v>1376</v>
      </c>
      <c r="K129" s="30" t="s">
        <v>418</v>
      </c>
      <c r="L129" s="32" t="s">
        <v>1376</v>
      </c>
      <c r="M129" s="30" t="s">
        <v>942</v>
      </c>
      <c r="N129" s="30" t="s">
        <v>943</v>
      </c>
      <c r="O129" s="33">
        <v>396</v>
      </c>
      <c r="P129" s="33">
        <v>17748</v>
      </c>
      <c r="Q129" s="33">
        <v>17748</v>
      </c>
      <c r="R129" s="33">
        <v>3460</v>
      </c>
      <c r="S129" s="33">
        <v>254</v>
      </c>
      <c r="T129" s="33">
        <v>233</v>
      </c>
      <c r="U129" s="33">
        <v>21</v>
      </c>
      <c r="V129" s="33">
        <v>0</v>
      </c>
      <c r="W129" s="33" t="s">
        <v>53</v>
      </c>
      <c r="X129" s="33">
        <v>1</v>
      </c>
      <c r="Y129" s="30" t="s">
        <v>83</v>
      </c>
      <c r="Z129" s="30" t="s">
        <v>153</v>
      </c>
      <c r="AA129" s="30" t="s">
        <v>153</v>
      </c>
      <c r="AB129" s="30"/>
      <c r="AC129" s="30"/>
      <c r="AD129" s="30" t="s">
        <v>53</v>
      </c>
      <c r="AE129" s="30" t="s">
        <v>53</v>
      </c>
      <c r="AF129" s="30" t="s">
        <v>1016</v>
      </c>
      <c r="AG129" s="30" t="s">
        <v>53</v>
      </c>
      <c r="AH129" s="30" t="s">
        <v>53</v>
      </c>
      <c r="AI129" s="30" t="s">
        <v>945</v>
      </c>
      <c r="AJ129" s="30" t="s">
        <v>53</v>
      </c>
      <c r="AK129" s="30" t="s">
        <v>53</v>
      </c>
      <c r="AL129" s="30" t="s">
        <v>53</v>
      </c>
      <c r="AM129" s="30" t="s">
        <v>53</v>
      </c>
      <c r="AN129" s="30" t="s">
        <v>53</v>
      </c>
      <c r="AO129" s="30" t="s">
        <v>53</v>
      </c>
      <c r="AP129" s="30" t="s">
        <v>53</v>
      </c>
      <c r="AQ129" s="30" t="s">
        <v>53</v>
      </c>
      <c r="AR129" s="30" t="s">
        <v>53</v>
      </c>
      <c r="AS129" s="30" t="s">
        <v>53</v>
      </c>
      <c r="AT129" s="30" t="s">
        <v>946</v>
      </c>
      <c r="AU129" s="30" t="s">
        <v>53</v>
      </c>
      <c r="AV129" s="34">
        <v>167710922605</v>
      </c>
    </row>
    <row r="130" spans="2:48" ht="15" customHeight="1">
      <c r="B130" s="28">
        <v>124</v>
      </c>
      <c r="C130" s="29" t="s">
        <v>1377</v>
      </c>
      <c r="D130" s="30" t="s">
        <v>53</v>
      </c>
      <c r="E130" s="31" t="s">
        <v>1378</v>
      </c>
      <c r="F130" s="31" t="s">
        <v>53</v>
      </c>
      <c r="G130" s="32" t="s">
        <v>1379</v>
      </c>
      <c r="H130" s="30" t="s">
        <v>67</v>
      </c>
      <c r="I130" s="30" t="s">
        <v>620</v>
      </c>
      <c r="J130" s="32" t="s">
        <v>621</v>
      </c>
      <c r="K130" s="30" t="s">
        <v>177</v>
      </c>
      <c r="L130" s="32" t="s">
        <v>178</v>
      </c>
      <c r="M130" s="30" t="s">
        <v>953</v>
      </c>
      <c r="N130" s="30" t="s">
        <v>974</v>
      </c>
      <c r="O130" s="33"/>
      <c r="P130" s="33">
        <v>8389</v>
      </c>
      <c r="Q130" s="33">
        <v>0</v>
      </c>
      <c r="R130" s="33">
        <v>0</v>
      </c>
      <c r="S130" s="33">
        <v>0</v>
      </c>
      <c r="T130" s="33">
        <v>0</v>
      </c>
      <c r="U130" s="33">
        <v>0</v>
      </c>
      <c r="V130" s="33">
        <v>0</v>
      </c>
      <c r="W130" s="33" t="s">
        <v>53</v>
      </c>
      <c r="X130" s="33">
        <v>1</v>
      </c>
      <c r="Y130" s="30" t="s">
        <v>69</v>
      </c>
      <c r="Z130" s="30" t="s">
        <v>156</v>
      </c>
      <c r="AA130" s="30" t="s">
        <v>156</v>
      </c>
      <c r="AB130" s="30"/>
      <c r="AC130" s="30"/>
      <c r="AD130" s="30" t="s">
        <v>53</v>
      </c>
      <c r="AE130" s="30" t="s">
        <v>53</v>
      </c>
      <c r="AF130" s="30" t="s">
        <v>53</v>
      </c>
      <c r="AG130" s="30" t="s">
        <v>53</v>
      </c>
      <c r="AH130" s="30" t="s">
        <v>53</v>
      </c>
      <c r="AI130" s="30" t="s">
        <v>945</v>
      </c>
      <c r="AJ130" s="30" t="s">
        <v>53</v>
      </c>
      <c r="AK130" s="30" t="s">
        <v>53</v>
      </c>
      <c r="AL130" s="30" t="s">
        <v>53</v>
      </c>
      <c r="AM130" s="30" t="s">
        <v>53</v>
      </c>
      <c r="AN130" s="30" t="s">
        <v>954</v>
      </c>
      <c r="AO130" s="30" t="s">
        <v>53</v>
      </c>
      <c r="AP130" s="30" t="s">
        <v>53</v>
      </c>
      <c r="AQ130" s="30" t="s">
        <v>53</v>
      </c>
      <c r="AR130" s="30" t="s">
        <v>53</v>
      </c>
      <c r="AS130" s="30" t="s">
        <v>53</v>
      </c>
      <c r="AT130" s="30" t="s">
        <v>946</v>
      </c>
      <c r="AU130" s="30" t="s">
        <v>139</v>
      </c>
      <c r="AV130" s="34">
        <v>167631083762</v>
      </c>
    </row>
    <row r="131" spans="2:48" ht="15" customHeight="1">
      <c r="B131" s="28">
        <v>125</v>
      </c>
      <c r="C131" s="29" t="s">
        <v>1380</v>
      </c>
      <c r="D131" s="30" t="s">
        <v>53</v>
      </c>
      <c r="E131" s="31" t="s">
        <v>1381</v>
      </c>
      <c r="F131" s="31" t="s">
        <v>53</v>
      </c>
      <c r="G131" s="32" t="s">
        <v>1382</v>
      </c>
      <c r="H131" s="30" t="s">
        <v>70</v>
      </c>
      <c r="I131" s="30" t="s">
        <v>422</v>
      </c>
      <c r="J131" s="32" t="s">
        <v>1383</v>
      </c>
      <c r="K131" s="30" t="s">
        <v>422</v>
      </c>
      <c r="L131" s="32" t="s">
        <v>1383</v>
      </c>
      <c r="M131" s="30" t="s">
        <v>1125</v>
      </c>
      <c r="N131" s="30" t="s">
        <v>943</v>
      </c>
      <c r="O131" s="33">
        <v>147</v>
      </c>
      <c r="P131" s="33">
        <v>2183</v>
      </c>
      <c r="Q131" s="33">
        <v>2183</v>
      </c>
      <c r="R131" s="33">
        <v>533</v>
      </c>
      <c r="S131" s="33">
        <v>0</v>
      </c>
      <c r="T131" s="33">
        <v>0</v>
      </c>
      <c r="U131" s="33">
        <v>0</v>
      </c>
      <c r="V131" s="33">
        <v>0</v>
      </c>
      <c r="W131" s="33" t="s">
        <v>53</v>
      </c>
      <c r="X131" s="33">
        <v>1</v>
      </c>
      <c r="Y131" s="30" t="s">
        <v>83</v>
      </c>
      <c r="Z131" s="30" t="s">
        <v>153</v>
      </c>
      <c r="AA131" s="30" t="s">
        <v>153</v>
      </c>
      <c r="AB131" s="30"/>
      <c r="AC131" s="30"/>
      <c r="AD131" s="30" t="s">
        <v>53</v>
      </c>
      <c r="AE131" s="30" t="s">
        <v>53</v>
      </c>
      <c r="AF131" s="30" t="s">
        <v>53</v>
      </c>
      <c r="AG131" s="30" t="s">
        <v>53</v>
      </c>
      <c r="AH131" s="30" t="s">
        <v>53</v>
      </c>
      <c r="AI131" s="30" t="s">
        <v>945</v>
      </c>
      <c r="AJ131" s="30" t="s">
        <v>53</v>
      </c>
      <c r="AK131" s="30" t="s">
        <v>53</v>
      </c>
      <c r="AL131" s="30" t="s">
        <v>53</v>
      </c>
      <c r="AM131" s="30" t="s">
        <v>53</v>
      </c>
      <c r="AN131" s="30" t="s">
        <v>53</v>
      </c>
      <c r="AO131" s="30" t="s">
        <v>53</v>
      </c>
      <c r="AP131" s="30" t="s">
        <v>53</v>
      </c>
      <c r="AQ131" s="30" t="s">
        <v>53</v>
      </c>
      <c r="AR131" s="30" t="s">
        <v>53</v>
      </c>
      <c r="AS131" s="30" t="s">
        <v>53</v>
      </c>
      <c r="AT131" s="30" t="s">
        <v>946</v>
      </c>
      <c r="AU131" s="30" t="s">
        <v>53</v>
      </c>
      <c r="AV131" s="34">
        <v>167655329052</v>
      </c>
    </row>
    <row r="132" spans="2:48" ht="15" customHeight="1">
      <c r="B132" s="28">
        <v>126</v>
      </c>
      <c r="C132" s="29" t="s">
        <v>1384</v>
      </c>
      <c r="D132" s="30" t="s">
        <v>53</v>
      </c>
      <c r="E132" s="31" t="s">
        <v>1385</v>
      </c>
      <c r="F132" s="31" t="s">
        <v>53</v>
      </c>
      <c r="G132" s="32" t="s">
        <v>1386</v>
      </c>
      <c r="H132" s="30" t="s">
        <v>67</v>
      </c>
      <c r="I132" s="30" t="s">
        <v>717</v>
      </c>
      <c r="J132" s="32" t="s">
        <v>718</v>
      </c>
      <c r="K132" s="30" t="s">
        <v>177</v>
      </c>
      <c r="L132" s="32" t="s">
        <v>178</v>
      </c>
      <c r="M132" s="30" t="s">
        <v>953</v>
      </c>
      <c r="N132" s="30" t="s">
        <v>943</v>
      </c>
      <c r="O132" s="33"/>
      <c r="P132" s="33">
        <v>8389</v>
      </c>
      <c r="Q132" s="33">
        <v>1</v>
      </c>
      <c r="R132" s="33">
        <v>0</v>
      </c>
      <c r="S132" s="33">
        <v>0</v>
      </c>
      <c r="T132" s="33">
        <v>0</v>
      </c>
      <c r="U132" s="33">
        <v>0</v>
      </c>
      <c r="V132" s="33">
        <v>0</v>
      </c>
      <c r="W132" s="33" t="s">
        <v>53</v>
      </c>
      <c r="X132" s="33">
        <v>1</v>
      </c>
      <c r="Y132" s="30" t="s">
        <v>69</v>
      </c>
      <c r="Z132" s="30" t="s">
        <v>156</v>
      </c>
      <c r="AA132" s="30" t="s">
        <v>156</v>
      </c>
      <c r="AB132" s="30"/>
      <c r="AC132" s="30"/>
      <c r="AD132" s="30" t="s">
        <v>53</v>
      </c>
      <c r="AE132" s="30" t="s">
        <v>53</v>
      </c>
      <c r="AF132" s="30" t="s">
        <v>53</v>
      </c>
      <c r="AG132" s="30" t="s">
        <v>53</v>
      </c>
      <c r="AH132" s="30" t="s">
        <v>53</v>
      </c>
      <c r="AI132" s="30" t="s">
        <v>945</v>
      </c>
      <c r="AJ132" s="30" t="s">
        <v>53</v>
      </c>
      <c r="AK132" s="30" t="s">
        <v>53</v>
      </c>
      <c r="AL132" s="30" t="s">
        <v>53</v>
      </c>
      <c r="AM132" s="30" t="s">
        <v>53</v>
      </c>
      <c r="AN132" s="30" t="s">
        <v>954</v>
      </c>
      <c r="AO132" s="30" t="s">
        <v>53</v>
      </c>
      <c r="AP132" s="30" t="s">
        <v>53</v>
      </c>
      <c r="AQ132" s="30" t="s">
        <v>53</v>
      </c>
      <c r="AR132" s="30" t="s">
        <v>53</v>
      </c>
      <c r="AS132" s="30" t="s">
        <v>53</v>
      </c>
      <c r="AT132" s="30" t="s">
        <v>946</v>
      </c>
      <c r="AU132" s="30" t="s">
        <v>53</v>
      </c>
      <c r="AV132" s="34">
        <v>167626233457</v>
      </c>
    </row>
    <row r="133" spans="2:48" ht="15" customHeight="1">
      <c r="B133" s="28">
        <v>127</v>
      </c>
      <c r="C133" s="29" t="s">
        <v>1387</v>
      </c>
      <c r="D133" s="30" t="s">
        <v>193</v>
      </c>
      <c r="E133" s="31" t="s">
        <v>1388</v>
      </c>
      <c r="F133" s="31" t="s">
        <v>53</v>
      </c>
      <c r="G133" s="32" t="s">
        <v>1389</v>
      </c>
      <c r="H133" s="30" t="s">
        <v>73</v>
      </c>
      <c r="I133" s="30" t="s">
        <v>579</v>
      </c>
      <c r="J133" s="32" t="s">
        <v>580</v>
      </c>
      <c r="K133" s="30" t="s">
        <v>193</v>
      </c>
      <c r="L133" s="32" t="s">
        <v>194</v>
      </c>
      <c r="M133" s="30" t="s">
        <v>1390</v>
      </c>
      <c r="N133" s="30" t="s">
        <v>943</v>
      </c>
      <c r="O133" s="33"/>
      <c r="P133" s="33">
        <v>0</v>
      </c>
      <c r="Q133" s="33">
        <v>0</v>
      </c>
      <c r="R133" s="33" t="s">
        <v>129</v>
      </c>
      <c r="S133" s="33">
        <v>0</v>
      </c>
      <c r="T133" s="33" t="s">
        <v>129</v>
      </c>
      <c r="U133" s="33" t="s">
        <v>129</v>
      </c>
      <c r="V133" s="33" t="s">
        <v>129</v>
      </c>
      <c r="W133" s="33" t="s">
        <v>53</v>
      </c>
      <c r="X133" s="33">
        <v>1</v>
      </c>
      <c r="Y133" s="30" t="s">
        <v>75</v>
      </c>
      <c r="Z133" s="30" t="s">
        <v>156</v>
      </c>
      <c r="AA133" s="30" t="s">
        <v>156</v>
      </c>
      <c r="AB133" s="30"/>
      <c r="AC133" s="30"/>
      <c r="AD133" s="30" t="s">
        <v>53</v>
      </c>
      <c r="AE133" s="30" t="s">
        <v>53</v>
      </c>
      <c r="AF133" s="30" t="s">
        <v>53</v>
      </c>
      <c r="AG133" s="30" t="s">
        <v>53</v>
      </c>
      <c r="AH133" s="30" t="s">
        <v>53</v>
      </c>
      <c r="AI133" s="30" t="s">
        <v>945</v>
      </c>
      <c r="AJ133" s="30" t="s">
        <v>53</v>
      </c>
      <c r="AK133" s="30" t="s">
        <v>53</v>
      </c>
      <c r="AL133" s="30" t="s">
        <v>53</v>
      </c>
      <c r="AM133" s="30" t="s">
        <v>53</v>
      </c>
      <c r="AN133" s="30" t="s">
        <v>954</v>
      </c>
      <c r="AO133" s="30" t="s">
        <v>53</v>
      </c>
      <c r="AP133" s="30" t="s">
        <v>53</v>
      </c>
      <c r="AQ133" s="30" t="s">
        <v>53</v>
      </c>
      <c r="AR133" s="30" t="s">
        <v>53</v>
      </c>
      <c r="AS133" s="30" t="s">
        <v>53</v>
      </c>
      <c r="AT133" s="30" t="s">
        <v>946</v>
      </c>
      <c r="AU133" s="30" t="s">
        <v>53</v>
      </c>
      <c r="AV133" s="34">
        <v>167626445476</v>
      </c>
    </row>
    <row r="134" spans="2:48" ht="15" customHeight="1">
      <c r="B134" s="28">
        <v>128</v>
      </c>
      <c r="C134" s="29" t="s">
        <v>1391</v>
      </c>
      <c r="D134" s="30" t="s">
        <v>193</v>
      </c>
      <c r="E134" s="31" t="s">
        <v>1392</v>
      </c>
      <c r="F134" s="31" t="s">
        <v>53</v>
      </c>
      <c r="G134" s="32" t="s">
        <v>1393</v>
      </c>
      <c r="H134" s="30" t="s">
        <v>73</v>
      </c>
      <c r="I134" s="30" t="s">
        <v>579</v>
      </c>
      <c r="J134" s="32" t="s">
        <v>580</v>
      </c>
      <c r="K134" s="30" t="s">
        <v>193</v>
      </c>
      <c r="L134" s="32" t="s">
        <v>194</v>
      </c>
      <c r="M134" s="30" t="s">
        <v>1390</v>
      </c>
      <c r="N134" s="30" t="s">
        <v>943</v>
      </c>
      <c r="O134" s="33"/>
      <c r="P134" s="33">
        <v>0</v>
      </c>
      <c r="Q134" s="33">
        <v>0</v>
      </c>
      <c r="R134" s="33" t="s">
        <v>129</v>
      </c>
      <c r="S134" s="33">
        <v>0</v>
      </c>
      <c r="T134" s="33" t="s">
        <v>129</v>
      </c>
      <c r="U134" s="33" t="s">
        <v>129</v>
      </c>
      <c r="V134" s="33" t="s">
        <v>129</v>
      </c>
      <c r="W134" s="33" t="s">
        <v>53</v>
      </c>
      <c r="X134" s="33">
        <v>1</v>
      </c>
      <c r="Y134" s="30" t="s">
        <v>75</v>
      </c>
      <c r="Z134" s="30" t="s">
        <v>156</v>
      </c>
      <c r="AA134" s="30" t="s">
        <v>156</v>
      </c>
      <c r="AB134" s="30"/>
      <c r="AC134" s="30"/>
      <c r="AD134" s="30" t="s">
        <v>53</v>
      </c>
      <c r="AE134" s="30" t="s">
        <v>53</v>
      </c>
      <c r="AF134" s="30" t="s">
        <v>53</v>
      </c>
      <c r="AG134" s="30" t="s">
        <v>53</v>
      </c>
      <c r="AH134" s="30" t="s">
        <v>53</v>
      </c>
      <c r="AI134" s="30" t="s">
        <v>945</v>
      </c>
      <c r="AJ134" s="30" t="s">
        <v>53</v>
      </c>
      <c r="AK134" s="30" t="s">
        <v>53</v>
      </c>
      <c r="AL134" s="30" t="s">
        <v>53</v>
      </c>
      <c r="AM134" s="30" t="s">
        <v>53</v>
      </c>
      <c r="AN134" s="30" t="s">
        <v>954</v>
      </c>
      <c r="AO134" s="30" t="s">
        <v>53</v>
      </c>
      <c r="AP134" s="30" t="s">
        <v>53</v>
      </c>
      <c r="AQ134" s="30" t="s">
        <v>53</v>
      </c>
      <c r="AR134" s="30" t="s">
        <v>53</v>
      </c>
      <c r="AS134" s="30" t="s">
        <v>53</v>
      </c>
      <c r="AT134" s="30" t="s">
        <v>946</v>
      </c>
      <c r="AU134" s="30" t="s">
        <v>53</v>
      </c>
      <c r="AV134" s="34">
        <v>167626507960</v>
      </c>
    </row>
    <row r="135" spans="2:48" ht="15" customHeight="1">
      <c r="B135" s="28">
        <v>129</v>
      </c>
      <c r="C135" s="29" t="s">
        <v>1394</v>
      </c>
      <c r="D135" s="30" t="s">
        <v>1395</v>
      </c>
      <c r="E135" s="31" t="s">
        <v>1396</v>
      </c>
      <c r="F135" s="31" t="s">
        <v>53</v>
      </c>
      <c r="G135" s="32" t="s">
        <v>194</v>
      </c>
      <c r="H135" s="30" t="s">
        <v>73</v>
      </c>
      <c r="I135" s="30" t="s">
        <v>669</v>
      </c>
      <c r="J135" s="32" t="s">
        <v>670</v>
      </c>
      <c r="K135" s="30" t="s">
        <v>193</v>
      </c>
      <c r="L135" s="32" t="s">
        <v>194</v>
      </c>
      <c r="M135" s="30" t="s">
        <v>1397</v>
      </c>
      <c r="N135" s="30" t="s">
        <v>943</v>
      </c>
      <c r="O135" s="33"/>
      <c r="P135" s="33">
        <v>0</v>
      </c>
      <c r="Q135" s="33">
        <v>0</v>
      </c>
      <c r="R135" s="33" t="s">
        <v>129</v>
      </c>
      <c r="S135" s="33">
        <v>0</v>
      </c>
      <c r="T135" s="33" t="s">
        <v>129</v>
      </c>
      <c r="U135" s="33" t="s">
        <v>129</v>
      </c>
      <c r="V135" s="33" t="s">
        <v>129</v>
      </c>
      <c r="W135" s="33" t="s">
        <v>53</v>
      </c>
      <c r="X135" s="33">
        <v>1</v>
      </c>
      <c r="Y135" s="30" t="s">
        <v>75</v>
      </c>
      <c r="Z135" s="30" t="s">
        <v>156</v>
      </c>
      <c r="AA135" s="30" t="s">
        <v>156</v>
      </c>
      <c r="AB135" s="30" t="s">
        <v>509</v>
      </c>
      <c r="AC135" s="30"/>
      <c r="AD135" s="30" t="s">
        <v>53</v>
      </c>
      <c r="AE135" s="30" t="s">
        <v>53</v>
      </c>
      <c r="AF135" s="30" t="s">
        <v>53</v>
      </c>
      <c r="AG135" s="30" t="s">
        <v>53</v>
      </c>
      <c r="AH135" s="30" t="s">
        <v>53</v>
      </c>
      <c r="AI135" s="30" t="s">
        <v>945</v>
      </c>
      <c r="AJ135" s="30" t="s">
        <v>142</v>
      </c>
      <c r="AK135" s="30" t="s">
        <v>1071</v>
      </c>
      <c r="AL135" s="30" t="s">
        <v>196</v>
      </c>
      <c r="AM135" s="30" t="s">
        <v>53</v>
      </c>
      <c r="AN135" s="30" t="s">
        <v>954</v>
      </c>
      <c r="AO135" s="30" t="s">
        <v>53</v>
      </c>
      <c r="AP135" s="30" t="s">
        <v>53</v>
      </c>
      <c r="AQ135" s="30" t="s">
        <v>53</v>
      </c>
      <c r="AR135" s="30" t="s">
        <v>53</v>
      </c>
      <c r="AS135" s="30" t="s">
        <v>53</v>
      </c>
      <c r="AT135" s="30" t="s">
        <v>946</v>
      </c>
      <c r="AU135" s="30" t="s">
        <v>53</v>
      </c>
      <c r="AV135" s="34">
        <v>167631969857</v>
      </c>
    </row>
    <row r="136" spans="2:48" ht="15" customHeight="1">
      <c r="B136" s="28">
        <v>130</v>
      </c>
      <c r="C136" s="29" t="s">
        <v>1398</v>
      </c>
      <c r="D136" s="30" t="s">
        <v>53</v>
      </c>
      <c r="E136" s="31" t="s">
        <v>1399</v>
      </c>
      <c r="F136" s="31" t="s">
        <v>53</v>
      </c>
      <c r="G136" s="32" t="s">
        <v>1400</v>
      </c>
      <c r="H136" s="30" t="s">
        <v>70</v>
      </c>
      <c r="I136" s="30" t="s">
        <v>569</v>
      </c>
      <c r="J136" s="32" t="s">
        <v>940</v>
      </c>
      <c r="K136" s="30" t="s">
        <v>150</v>
      </c>
      <c r="L136" s="32" t="s">
        <v>941</v>
      </c>
      <c r="M136" s="30" t="s">
        <v>942</v>
      </c>
      <c r="N136" s="30" t="s">
        <v>943</v>
      </c>
      <c r="O136" s="33"/>
      <c r="P136" s="33">
        <v>4370</v>
      </c>
      <c r="Q136" s="33">
        <v>0</v>
      </c>
      <c r="R136" s="33">
        <v>0</v>
      </c>
      <c r="S136" s="33">
        <v>0</v>
      </c>
      <c r="T136" s="33">
        <v>0</v>
      </c>
      <c r="U136" s="33">
        <v>0</v>
      </c>
      <c r="V136" s="33">
        <v>0</v>
      </c>
      <c r="W136" s="33" t="s">
        <v>53</v>
      </c>
      <c r="X136" s="33">
        <v>1</v>
      </c>
      <c r="Y136" s="30" t="s">
        <v>72</v>
      </c>
      <c r="Z136" s="30" t="s">
        <v>153</v>
      </c>
      <c r="AA136" s="30" t="s">
        <v>167</v>
      </c>
      <c r="AB136" s="30" t="s">
        <v>508</v>
      </c>
      <c r="AC136" s="30"/>
      <c r="AD136" s="30" t="s">
        <v>53</v>
      </c>
      <c r="AE136" s="30" t="s">
        <v>53</v>
      </c>
      <c r="AF136" s="30" t="s">
        <v>944</v>
      </c>
      <c r="AG136" s="30" t="s">
        <v>53</v>
      </c>
      <c r="AH136" s="30" t="s">
        <v>53</v>
      </c>
      <c r="AI136" s="30" t="s">
        <v>945</v>
      </c>
      <c r="AJ136" s="30" t="s">
        <v>53</v>
      </c>
      <c r="AK136" s="30" t="s">
        <v>53</v>
      </c>
      <c r="AL136" s="30" t="s">
        <v>53</v>
      </c>
      <c r="AM136" s="30" t="s">
        <v>53</v>
      </c>
      <c r="AN136" s="30" t="s">
        <v>53</v>
      </c>
      <c r="AO136" s="30" t="s">
        <v>53</v>
      </c>
      <c r="AP136" s="30" t="s">
        <v>53</v>
      </c>
      <c r="AQ136" s="30" t="s">
        <v>53</v>
      </c>
      <c r="AR136" s="30" t="s">
        <v>53</v>
      </c>
      <c r="AS136" s="30" t="s">
        <v>53</v>
      </c>
      <c r="AT136" s="30" t="s">
        <v>946</v>
      </c>
      <c r="AU136" s="30" t="s">
        <v>53</v>
      </c>
      <c r="AV136" s="34">
        <v>167619974723</v>
      </c>
    </row>
    <row r="137" spans="2:48" ht="15" customHeight="1">
      <c r="B137" s="28">
        <v>131</v>
      </c>
      <c r="C137" s="29" t="s">
        <v>1401</v>
      </c>
      <c r="D137" s="30" t="s">
        <v>53</v>
      </c>
      <c r="E137" s="31" t="s">
        <v>1402</v>
      </c>
      <c r="F137" s="31" t="s">
        <v>53</v>
      </c>
      <c r="G137" s="32" t="s">
        <v>1403</v>
      </c>
      <c r="H137" s="30" t="s">
        <v>67</v>
      </c>
      <c r="I137" s="30" t="s">
        <v>620</v>
      </c>
      <c r="J137" s="32" t="s">
        <v>621</v>
      </c>
      <c r="K137" s="30" t="s">
        <v>177</v>
      </c>
      <c r="L137" s="32" t="s">
        <v>178</v>
      </c>
      <c r="M137" s="30" t="s">
        <v>953</v>
      </c>
      <c r="N137" s="30" t="s">
        <v>974</v>
      </c>
      <c r="O137" s="33"/>
      <c r="P137" s="33">
        <v>8389</v>
      </c>
      <c r="Q137" s="33">
        <v>0</v>
      </c>
      <c r="R137" s="33">
        <v>0</v>
      </c>
      <c r="S137" s="33">
        <v>0</v>
      </c>
      <c r="T137" s="33">
        <v>0</v>
      </c>
      <c r="U137" s="33">
        <v>0</v>
      </c>
      <c r="V137" s="33">
        <v>0</v>
      </c>
      <c r="W137" s="33" t="s">
        <v>53</v>
      </c>
      <c r="X137" s="33">
        <v>1</v>
      </c>
      <c r="Y137" s="30" t="s">
        <v>69</v>
      </c>
      <c r="Z137" s="30" t="s">
        <v>156</v>
      </c>
      <c r="AA137" s="30" t="s">
        <v>156</v>
      </c>
      <c r="AB137" s="30"/>
      <c r="AC137" s="30"/>
      <c r="AD137" s="30" t="s">
        <v>53</v>
      </c>
      <c r="AE137" s="30" t="s">
        <v>53</v>
      </c>
      <c r="AF137" s="30" t="s">
        <v>53</v>
      </c>
      <c r="AG137" s="30" t="s">
        <v>53</v>
      </c>
      <c r="AH137" s="30" t="s">
        <v>53</v>
      </c>
      <c r="AI137" s="30" t="s">
        <v>945</v>
      </c>
      <c r="AJ137" s="30" t="s">
        <v>53</v>
      </c>
      <c r="AK137" s="30" t="s">
        <v>53</v>
      </c>
      <c r="AL137" s="30" t="s">
        <v>53</v>
      </c>
      <c r="AM137" s="30" t="s">
        <v>53</v>
      </c>
      <c r="AN137" s="30" t="s">
        <v>954</v>
      </c>
      <c r="AO137" s="30" t="s">
        <v>53</v>
      </c>
      <c r="AP137" s="30" t="s">
        <v>53</v>
      </c>
      <c r="AQ137" s="30" t="s">
        <v>53</v>
      </c>
      <c r="AR137" s="30" t="s">
        <v>53</v>
      </c>
      <c r="AS137" s="30" t="s">
        <v>53</v>
      </c>
      <c r="AT137" s="30" t="s">
        <v>946</v>
      </c>
      <c r="AU137" s="30" t="s">
        <v>53</v>
      </c>
      <c r="AV137" s="34">
        <v>167619180892</v>
      </c>
    </row>
    <row r="138" spans="2:48" ht="15" customHeight="1">
      <c r="B138" s="28">
        <v>132</v>
      </c>
      <c r="C138" s="29" t="s">
        <v>1404</v>
      </c>
      <c r="D138" s="30" t="s">
        <v>53</v>
      </c>
      <c r="E138" s="31" t="s">
        <v>1405</v>
      </c>
      <c r="F138" s="31" t="s">
        <v>1406</v>
      </c>
      <c r="G138" s="32" t="s">
        <v>1407</v>
      </c>
      <c r="H138" s="30" t="s">
        <v>64</v>
      </c>
      <c r="I138" s="30" t="s">
        <v>485</v>
      </c>
      <c r="J138" s="32" t="s">
        <v>486</v>
      </c>
      <c r="K138" s="30" t="s">
        <v>485</v>
      </c>
      <c r="L138" s="32" t="s">
        <v>486</v>
      </c>
      <c r="M138" s="30" t="s">
        <v>942</v>
      </c>
      <c r="N138" s="30" t="s">
        <v>974</v>
      </c>
      <c r="O138" s="33"/>
      <c r="P138" s="33">
        <v>179</v>
      </c>
      <c r="Q138" s="33">
        <v>179</v>
      </c>
      <c r="R138" s="33">
        <v>231</v>
      </c>
      <c r="S138" s="33">
        <v>11</v>
      </c>
      <c r="T138" s="33">
        <v>10</v>
      </c>
      <c r="U138" s="33">
        <v>0</v>
      </c>
      <c r="V138" s="33">
        <v>1</v>
      </c>
      <c r="W138" s="33" t="s">
        <v>53</v>
      </c>
      <c r="X138" s="33">
        <v>1</v>
      </c>
      <c r="Y138" s="30" t="s">
        <v>66</v>
      </c>
      <c r="Z138" s="30" t="s">
        <v>153</v>
      </c>
      <c r="AA138" s="30" t="s">
        <v>153</v>
      </c>
      <c r="AB138" s="30"/>
      <c r="AC138" s="30"/>
      <c r="AD138" s="30" t="s">
        <v>53</v>
      </c>
      <c r="AE138" s="30" t="s">
        <v>53</v>
      </c>
      <c r="AF138" s="30" t="s">
        <v>53</v>
      </c>
      <c r="AG138" s="30" t="s">
        <v>53</v>
      </c>
      <c r="AH138" s="30" t="s">
        <v>53</v>
      </c>
      <c r="AI138" s="30" t="s">
        <v>945</v>
      </c>
      <c r="AJ138" s="30" t="s">
        <v>142</v>
      </c>
      <c r="AK138" s="30" t="s">
        <v>238</v>
      </c>
      <c r="AL138" s="30" t="s">
        <v>238</v>
      </c>
      <c r="AM138" s="30" t="s">
        <v>53</v>
      </c>
      <c r="AN138" s="30" t="s">
        <v>53</v>
      </c>
      <c r="AO138" s="30" t="s">
        <v>53</v>
      </c>
      <c r="AP138" s="30" t="s">
        <v>53</v>
      </c>
      <c r="AQ138" s="30" t="s">
        <v>1408</v>
      </c>
      <c r="AR138" s="30" t="s">
        <v>53</v>
      </c>
      <c r="AS138" s="30" t="s">
        <v>53</v>
      </c>
      <c r="AT138" s="30" t="s">
        <v>946</v>
      </c>
      <c r="AU138" s="30" t="s">
        <v>53</v>
      </c>
      <c r="AV138" s="34">
        <v>167615260080</v>
      </c>
    </row>
    <row r="139" spans="2:48" ht="15" customHeight="1">
      <c r="B139" s="28">
        <v>133</v>
      </c>
      <c r="C139" s="29" t="s">
        <v>1409</v>
      </c>
      <c r="D139" s="30" t="s">
        <v>53</v>
      </c>
      <c r="E139" s="31" t="s">
        <v>1410</v>
      </c>
      <c r="F139" s="31" t="s">
        <v>1406</v>
      </c>
      <c r="G139" s="32" t="s">
        <v>1411</v>
      </c>
      <c r="H139" s="30" t="s">
        <v>70</v>
      </c>
      <c r="I139" s="30" t="s">
        <v>437</v>
      </c>
      <c r="J139" s="32" t="s">
        <v>1412</v>
      </c>
      <c r="K139" s="30" t="s">
        <v>437</v>
      </c>
      <c r="L139" s="32" t="s">
        <v>1412</v>
      </c>
      <c r="M139" s="30" t="s">
        <v>942</v>
      </c>
      <c r="N139" s="30" t="s">
        <v>974</v>
      </c>
      <c r="O139" s="33">
        <v>180</v>
      </c>
      <c r="P139" s="33">
        <v>1987</v>
      </c>
      <c r="Q139" s="33">
        <v>1987</v>
      </c>
      <c r="R139" s="33">
        <v>473</v>
      </c>
      <c r="S139" s="33">
        <v>28</v>
      </c>
      <c r="T139" s="33">
        <v>28</v>
      </c>
      <c r="U139" s="33">
        <v>0</v>
      </c>
      <c r="V139" s="33">
        <v>0</v>
      </c>
      <c r="W139" s="33" t="s">
        <v>53</v>
      </c>
      <c r="X139" s="33">
        <v>1</v>
      </c>
      <c r="Y139" s="30" t="s">
        <v>83</v>
      </c>
      <c r="Z139" s="30" t="s">
        <v>153</v>
      </c>
      <c r="AA139" s="30" t="s">
        <v>153</v>
      </c>
      <c r="AB139" s="30"/>
      <c r="AC139" s="30"/>
      <c r="AD139" s="30" t="s">
        <v>53</v>
      </c>
      <c r="AE139" s="30" t="s">
        <v>53</v>
      </c>
      <c r="AF139" s="30" t="s">
        <v>53</v>
      </c>
      <c r="AG139" s="30" t="s">
        <v>53</v>
      </c>
      <c r="AH139" s="30" t="s">
        <v>53</v>
      </c>
      <c r="AI139" s="30" t="s">
        <v>945</v>
      </c>
      <c r="AJ139" s="30" t="s">
        <v>53</v>
      </c>
      <c r="AK139" s="30" t="s">
        <v>53</v>
      </c>
      <c r="AL139" s="30" t="s">
        <v>53</v>
      </c>
      <c r="AM139" s="30" t="s">
        <v>53</v>
      </c>
      <c r="AN139" s="30" t="s">
        <v>53</v>
      </c>
      <c r="AO139" s="30" t="s">
        <v>53</v>
      </c>
      <c r="AP139" s="30" t="s">
        <v>53</v>
      </c>
      <c r="AQ139" s="30" t="s">
        <v>1408</v>
      </c>
      <c r="AR139" s="30" t="s">
        <v>53</v>
      </c>
      <c r="AS139" s="30" t="s">
        <v>53</v>
      </c>
      <c r="AT139" s="30" t="s">
        <v>946</v>
      </c>
      <c r="AU139" s="30" t="s">
        <v>53</v>
      </c>
      <c r="AV139" s="34">
        <v>167639238300</v>
      </c>
    </row>
    <row r="140" spans="2:48" ht="15" customHeight="1">
      <c r="B140" s="28">
        <v>134</v>
      </c>
      <c r="C140" s="29" t="s">
        <v>1413</v>
      </c>
      <c r="D140" s="30" t="s">
        <v>53</v>
      </c>
      <c r="E140" s="31" t="s">
        <v>1414</v>
      </c>
      <c r="F140" s="31" t="s">
        <v>53</v>
      </c>
      <c r="G140" s="32" t="s">
        <v>1415</v>
      </c>
      <c r="H140" s="30" t="s">
        <v>70</v>
      </c>
      <c r="I140" s="30" t="s">
        <v>569</v>
      </c>
      <c r="J140" s="32" t="s">
        <v>940</v>
      </c>
      <c r="K140" s="30" t="s">
        <v>150</v>
      </c>
      <c r="L140" s="32" t="s">
        <v>941</v>
      </c>
      <c r="M140" s="30" t="s">
        <v>942</v>
      </c>
      <c r="N140" s="30" t="s">
        <v>943</v>
      </c>
      <c r="O140" s="33"/>
      <c r="P140" s="33">
        <v>4370</v>
      </c>
      <c r="Q140" s="33">
        <v>0</v>
      </c>
      <c r="R140" s="33">
        <v>0</v>
      </c>
      <c r="S140" s="33">
        <v>0</v>
      </c>
      <c r="T140" s="33">
        <v>0</v>
      </c>
      <c r="U140" s="33">
        <v>0</v>
      </c>
      <c r="V140" s="33">
        <v>0</v>
      </c>
      <c r="W140" s="33" t="s">
        <v>53</v>
      </c>
      <c r="X140" s="33">
        <v>1</v>
      </c>
      <c r="Y140" s="30" t="s">
        <v>72</v>
      </c>
      <c r="Z140" s="30" t="s">
        <v>153</v>
      </c>
      <c r="AA140" s="30" t="s">
        <v>167</v>
      </c>
      <c r="AB140" s="30" t="s">
        <v>508</v>
      </c>
      <c r="AC140" s="30"/>
      <c r="AD140" s="30" t="s">
        <v>53</v>
      </c>
      <c r="AE140" s="30" t="s">
        <v>53</v>
      </c>
      <c r="AF140" s="30" t="s">
        <v>944</v>
      </c>
      <c r="AG140" s="30" t="s">
        <v>53</v>
      </c>
      <c r="AH140" s="30" t="s">
        <v>53</v>
      </c>
      <c r="AI140" s="30" t="s">
        <v>945</v>
      </c>
      <c r="AJ140" s="30" t="s">
        <v>53</v>
      </c>
      <c r="AK140" s="30" t="s">
        <v>53</v>
      </c>
      <c r="AL140" s="30" t="s">
        <v>53</v>
      </c>
      <c r="AM140" s="30" t="s">
        <v>53</v>
      </c>
      <c r="AN140" s="30" t="s">
        <v>53</v>
      </c>
      <c r="AO140" s="30" t="s">
        <v>53</v>
      </c>
      <c r="AP140" s="30" t="s">
        <v>53</v>
      </c>
      <c r="AQ140" s="30" t="s">
        <v>53</v>
      </c>
      <c r="AR140" s="30" t="s">
        <v>53</v>
      </c>
      <c r="AS140" s="30" t="s">
        <v>53</v>
      </c>
      <c r="AT140" s="30" t="s">
        <v>946</v>
      </c>
      <c r="AU140" s="30" t="s">
        <v>53</v>
      </c>
      <c r="AV140" s="34">
        <v>167614787640</v>
      </c>
    </row>
    <row r="141" spans="2:48" ht="15" customHeight="1">
      <c r="B141" s="28">
        <v>135</v>
      </c>
      <c r="C141" s="29" t="s">
        <v>1416</v>
      </c>
      <c r="D141" s="30" t="s">
        <v>53</v>
      </c>
      <c r="E141" s="31" t="s">
        <v>1417</v>
      </c>
      <c r="F141" s="31" t="s">
        <v>53</v>
      </c>
      <c r="G141" s="32" t="s">
        <v>1418</v>
      </c>
      <c r="H141" s="30" t="s">
        <v>92</v>
      </c>
      <c r="I141" s="30" t="s">
        <v>683</v>
      </c>
      <c r="J141" s="32" t="s">
        <v>684</v>
      </c>
      <c r="K141" s="30" t="s">
        <v>488</v>
      </c>
      <c r="L141" s="32" t="s">
        <v>489</v>
      </c>
      <c r="M141" s="30" t="s">
        <v>953</v>
      </c>
      <c r="N141" s="30" t="s">
        <v>943</v>
      </c>
      <c r="O141" s="33"/>
      <c r="P141" s="33">
        <v>0</v>
      </c>
      <c r="Q141" s="33">
        <v>1</v>
      </c>
      <c r="R141" s="33" t="s">
        <v>129</v>
      </c>
      <c r="S141" s="33">
        <v>0</v>
      </c>
      <c r="T141" s="33" t="s">
        <v>129</v>
      </c>
      <c r="U141" s="33" t="s">
        <v>129</v>
      </c>
      <c r="V141" s="33" t="s">
        <v>129</v>
      </c>
      <c r="W141" s="33" t="s">
        <v>53</v>
      </c>
      <c r="X141" s="33">
        <v>1</v>
      </c>
      <c r="Y141" s="30" t="s">
        <v>75</v>
      </c>
      <c r="Z141" s="30" t="s">
        <v>167</v>
      </c>
      <c r="AA141" s="30" t="s">
        <v>167</v>
      </c>
      <c r="AB141" s="30" t="s">
        <v>509</v>
      </c>
      <c r="AC141" s="30">
        <v>42</v>
      </c>
      <c r="AD141" s="30" t="s">
        <v>53</v>
      </c>
      <c r="AE141" s="30" t="s">
        <v>53</v>
      </c>
      <c r="AF141" s="30" t="s">
        <v>53</v>
      </c>
      <c r="AG141" s="30" t="s">
        <v>53</v>
      </c>
      <c r="AH141" s="30" t="s">
        <v>53</v>
      </c>
      <c r="AI141" s="30" t="s">
        <v>945</v>
      </c>
      <c r="AJ141" s="30" t="s">
        <v>142</v>
      </c>
      <c r="AK141" s="30" t="s">
        <v>970</v>
      </c>
      <c r="AL141" s="30" t="s">
        <v>490</v>
      </c>
      <c r="AM141" s="30" t="s">
        <v>53</v>
      </c>
      <c r="AN141" s="30" t="s">
        <v>954</v>
      </c>
      <c r="AO141" s="30" t="s">
        <v>53</v>
      </c>
      <c r="AP141" s="30" t="s">
        <v>53</v>
      </c>
      <c r="AQ141" s="30" t="s">
        <v>53</v>
      </c>
      <c r="AR141" s="30" t="s">
        <v>53</v>
      </c>
      <c r="AS141" s="30" t="s">
        <v>53</v>
      </c>
      <c r="AT141" s="30" t="s">
        <v>946</v>
      </c>
      <c r="AU141" s="30" t="s">
        <v>53</v>
      </c>
      <c r="AV141" s="34">
        <v>167910929627</v>
      </c>
    </row>
    <row r="142" spans="2:48" ht="15" customHeight="1">
      <c r="B142" s="28">
        <v>136</v>
      </c>
      <c r="C142" s="29" t="s">
        <v>1419</v>
      </c>
      <c r="D142" s="30" t="s">
        <v>53</v>
      </c>
      <c r="E142" s="31" t="s">
        <v>1420</v>
      </c>
      <c r="F142" s="31" t="s">
        <v>53</v>
      </c>
      <c r="G142" s="32" t="s">
        <v>1421</v>
      </c>
      <c r="H142" s="30" t="s">
        <v>64</v>
      </c>
      <c r="I142" s="30" t="s">
        <v>626</v>
      </c>
      <c r="J142" s="32" t="s">
        <v>627</v>
      </c>
      <c r="K142" s="30" t="s">
        <v>272</v>
      </c>
      <c r="L142" s="32" t="s">
        <v>273</v>
      </c>
      <c r="M142" s="30" t="s">
        <v>942</v>
      </c>
      <c r="N142" s="30" t="s">
        <v>943</v>
      </c>
      <c r="O142" s="33">
        <v>33</v>
      </c>
      <c r="P142" s="33">
        <v>23499</v>
      </c>
      <c r="Q142" s="33">
        <v>52</v>
      </c>
      <c r="R142" s="33">
        <v>0</v>
      </c>
      <c r="S142" s="33">
        <v>0</v>
      </c>
      <c r="T142" s="33">
        <v>0</v>
      </c>
      <c r="U142" s="33">
        <v>0</v>
      </c>
      <c r="V142" s="33">
        <v>0</v>
      </c>
      <c r="W142" s="33" t="s">
        <v>53</v>
      </c>
      <c r="X142" s="33">
        <v>1</v>
      </c>
      <c r="Y142" s="30" t="s">
        <v>66</v>
      </c>
      <c r="Z142" s="30" t="s">
        <v>153</v>
      </c>
      <c r="AA142" s="30" t="s">
        <v>167</v>
      </c>
      <c r="AB142" s="30" t="s">
        <v>509</v>
      </c>
      <c r="AC142" s="30">
        <v>24</v>
      </c>
      <c r="AD142" s="30" t="s">
        <v>520</v>
      </c>
      <c r="AE142" s="30" t="s">
        <v>522</v>
      </c>
      <c r="AF142" s="30" t="s">
        <v>53</v>
      </c>
      <c r="AG142" s="30" t="s">
        <v>53</v>
      </c>
      <c r="AH142" s="30" t="s">
        <v>53</v>
      </c>
      <c r="AI142" s="30" t="s">
        <v>945</v>
      </c>
      <c r="AJ142" s="30" t="s">
        <v>142</v>
      </c>
      <c r="AK142" s="30" t="s">
        <v>1071</v>
      </c>
      <c r="AL142" s="30" t="s">
        <v>274</v>
      </c>
      <c r="AM142" s="30" t="s">
        <v>53</v>
      </c>
      <c r="AN142" s="30" t="s">
        <v>53</v>
      </c>
      <c r="AO142" s="30" t="s">
        <v>53</v>
      </c>
      <c r="AP142" s="30" t="s">
        <v>53</v>
      </c>
      <c r="AQ142" s="30" t="s">
        <v>53</v>
      </c>
      <c r="AR142" s="30" t="s">
        <v>53</v>
      </c>
      <c r="AS142" s="30" t="s">
        <v>53</v>
      </c>
      <c r="AT142" s="30" t="s">
        <v>946</v>
      </c>
      <c r="AU142" s="30" t="s">
        <v>53</v>
      </c>
      <c r="AV142" s="34">
        <v>167584975608</v>
      </c>
    </row>
    <row r="143" spans="2:48" ht="15" customHeight="1">
      <c r="B143" s="28">
        <v>137</v>
      </c>
      <c r="C143" s="29" t="s">
        <v>1422</v>
      </c>
      <c r="D143" s="30" t="s">
        <v>53</v>
      </c>
      <c r="E143" s="31" t="s">
        <v>1423</v>
      </c>
      <c r="F143" s="31" t="s">
        <v>53</v>
      </c>
      <c r="G143" s="32" t="s">
        <v>1424</v>
      </c>
      <c r="H143" s="30" t="s">
        <v>64</v>
      </c>
      <c r="I143" s="30" t="s">
        <v>284</v>
      </c>
      <c r="J143" s="32" t="s">
        <v>285</v>
      </c>
      <c r="K143" s="30" t="s">
        <v>284</v>
      </c>
      <c r="L143" s="32" t="s">
        <v>285</v>
      </c>
      <c r="M143" s="30" t="s">
        <v>942</v>
      </c>
      <c r="N143" s="30" t="s">
        <v>1029</v>
      </c>
      <c r="O143" s="33"/>
      <c r="P143" s="33">
        <v>8765</v>
      </c>
      <c r="Q143" s="33">
        <v>8765</v>
      </c>
      <c r="R143" s="33">
        <v>60</v>
      </c>
      <c r="S143" s="33">
        <v>0</v>
      </c>
      <c r="T143" s="33">
        <v>0</v>
      </c>
      <c r="U143" s="33">
        <v>0</v>
      </c>
      <c r="V143" s="33">
        <v>0</v>
      </c>
      <c r="W143" s="33" t="s">
        <v>53</v>
      </c>
      <c r="X143" s="33">
        <v>4</v>
      </c>
      <c r="Y143" s="30" t="s">
        <v>66</v>
      </c>
      <c r="Z143" s="30" t="s">
        <v>153</v>
      </c>
      <c r="AA143" s="30" t="s">
        <v>153</v>
      </c>
      <c r="AB143" s="30"/>
      <c r="AC143" s="30"/>
      <c r="AD143" s="30" t="s">
        <v>53</v>
      </c>
      <c r="AE143" s="30" t="s">
        <v>53</v>
      </c>
      <c r="AF143" s="30" t="s">
        <v>53</v>
      </c>
      <c r="AG143" s="30" t="s">
        <v>53</v>
      </c>
      <c r="AH143" s="30" t="s">
        <v>53</v>
      </c>
      <c r="AI143" s="30" t="s">
        <v>945</v>
      </c>
      <c r="AJ143" s="30" t="s">
        <v>53</v>
      </c>
      <c r="AK143" s="30" t="s">
        <v>53</v>
      </c>
      <c r="AL143" s="30" t="s">
        <v>53</v>
      </c>
      <c r="AM143" s="30" t="s">
        <v>53</v>
      </c>
      <c r="AN143" s="30" t="s">
        <v>53</v>
      </c>
      <c r="AO143" s="30" t="s">
        <v>53</v>
      </c>
      <c r="AP143" s="30" t="s">
        <v>53</v>
      </c>
      <c r="AQ143" s="30" t="s">
        <v>53</v>
      </c>
      <c r="AR143" s="30" t="s">
        <v>53</v>
      </c>
      <c r="AS143" s="30" t="s">
        <v>53</v>
      </c>
      <c r="AT143" s="30" t="s">
        <v>946</v>
      </c>
      <c r="AU143" s="30" t="s">
        <v>53</v>
      </c>
      <c r="AV143" s="34">
        <v>167576778352</v>
      </c>
    </row>
    <row r="144" spans="2:48" ht="15" customHeight="1">
      <c r="B144" s="28">
        <v>138</v>
      </c>
      <c r="C144" s="29" t="s">
        <v>1422</v>
      </c>
      <c r="D144" s="30" t="s">
        <v>1425</v>
      </c>
      <c r="E144" s="31" t="s">
        <v>1426</v>
      </c>
      <c r="F144" s="31" t="s">
        <v>53</v>
      </c>
      <c r="G144" s="32" t="s">
        <v>1427</v>
      </c>
      <c r="H144" s="30" t="s">
        <v>78</v>
      </c>
      <c r="I144" s="30" t="s">
        <v>284</v>
      </c>
      <c r="J144" s="32" t="s">
        <v>314</v>
      </c>
      <c r="K144" s="30" t="s">
        <v>284</v>
      </c>
      <c r="L144" s="32" t="s">
        <v>314</v>
      </c>
      <c r="M144" s="30" t="s">
        <v>942</v>
      </c>
      <c r="N144" s="30" t="s">
        <v>1029</v>
      </c>
      <c r="O144" s="33"/>
      <c r="P144" s="33">
        <v>2830</v>
      </c>
      <c r="Q144" s="33">
        <v>2830</v>
      </c>
      <c r="R144" s="33">
        <v>0</v>
      </c>
      <c r="S144" s="33">
        <v>0</v>
      </c>
      <c r="T144" s="33">
        <v>0</v>
      </c>
      <c r="U144" s="33">
        <v>0</v>
      </c>
      <c r="V144" s="33">
        <v>0</v>
      </c>
      <c r="W144" s="33" t="s">
        <v>53</v>
      </c>
      <c r="X144" s="33">
        <v>4</v>
      </c>
      <c r="Y144" s="30" t="s">
        <v>66</v>
      </c>
      <c r="Z144" s="30" t="s">
        <v>153</v>
      </c>
      <c r="AA144" s="30" t="s">
        <v>153</v>
      </c>
      <c r="AB144" s="30"/>
      <c r="AC144" s="30"/>
      <c r="AD144" s="30" t="s">
        <v>53</v>
      </c>
      <c r="AE144" s="30" t="s">
        <v>53</v>
      </c>
      <c r="AF144" s="30" t="s">
        <v>53</v>
      </c>
      <c r="AG144" s="30" t="s">
        <v>53</v>
      </c>
      <c r="AH144" s="30" t="s">
        <v>53</v>
      </c>
      <c r="AI144" s="30" t="s">
        <v>945</v>
      </c>
      <c r="AJ144" s="30" t="s">
        <v>53</v>
      </c>
      <c r="AK144" s="30" t="s">
        <v>53</v>
      </c>
      <c r="AL144" s="30" t="s">
        <v>53</v>
      </c>
      <c r="AM144" s="30" t="s">
        <v>53</v>
      </c>
      <c r="AN144" s="30" t="s">
        <v>53</v>
      </c>
      <c r="AO144" s="30" t="s">
        <v>53</v>
      </c>
      <c r="AP144" s="30" t="s">
        <v>53</v>
      </c>
      <c r="AQ144" s="30" t="s">
        <v>53</v>
      </c>
      <c r="AR144" s="30" t="s">
        <v>53</v>
      </c>
      <c r="AS144" s="30" t="s">
        <v>53</v>
      </c>
      <c r="AT144" s="30" t="s">
        <v>946</v>
      </c>
      <c r="AU144" s="30" t="s">
        <v>53</v>
      </c>
      <c r="AV144" s="34">
        <v>167576660323</v>
      </c>
    </row>
    <row r="145" spans="2:48" ht="15" customHeight="1">
      <c r="B145" s="28">
        <v>139</v>
      </c>
      <c r="C145" s="29" t="s">
        <v>1428</v>
      </c>
      <c r="D145" s="30" t="s">
        <v>53</v>
      </c>
      <c r="E145" s="31" t="s">
        <v>1429</v>
      </c>
      <c r="F145" s="31" t="s">
        <v>53</v>
      </c>
      <c r="G145" s="32" t="s">
        <v>1430</v>
      </c>
      <c r="H145" s="30" t="s">
        <v>64</v>
      </c>
      <c r="I145" s="30" t="s">
        <v>602</v>
      </c>
      <c r="J145" s="32" t="s">
        <v>603</v>
      </c>
      <c r="K145" s="30" t="s">
        <v>233</v>
      </c>
      <c r="L145" s="32" t="s">
        <v>234</v>
      </c>
      <c r="M145" s="30" t="s">
        <v>953</v>
      </c>
      <c r="N145" s="30" t="s">
        <v>943</v>
      </c>
      <c r="O145" s="33">
        <v>1</v>
      </c>
      <c r="P145" s="33">
        <v>7259</v>
      </c>
      <c r="Q145" s="33">
        <v>97</v>
      </c>
      <c r="R145" s="33">
        <v>0</v>
      </c>
      <c r="S145" s="33">
        <v>0</v>
      </c>
      <c r="T145" s="33">
        <v>0</v>
      </c>
      <c r="U145" s="33">
        <v>0</v>
      </c>
      <c r="V145" s="33">
        <v>0</v>
      </c>
      <c r="W145" s="33" t="s">
        <v>53</v>
      </c>
      <c r="X145" s="33">
        <v>1</v>
      </c>
      <c r="Y145" s="30" t="s">
        <v>66</v>
      </c>
      <c r="Z145" s="30" t="s">
        <v>153</v>
      </c>
      <c r="AA145" s="30" t="s">
        <v>167</v>
      </c>
      <c r="AB145" s="30" t="s">
        <v>509</v>
      </c>
      <c r="AC145" s="30"/>
      <c r="AD145" s="30" t="s">
        <v>53</v>
      </c>
      <c r="AE145" s="30" t="s">
        <v>53</v>
      </c>
      <c r="AF145" s="30" t="s">
        <v>1016</v>
      </c>
      <c r="AG145" s="30" t="s">
        <v>53</v>
      </c>
      <c r="AH145" s="30" t="s">
        <v>53</v>
      </c>
      <c r="AI145" s="30" t="s">
        <v>945</v>
      </c>
      <c r="AJ145" s="30" t="s">
        <v>142</v>
      </c>
      <c r="AK145" s="30" t="s">
        <v>169</v>
      </c>
      <c r="AL145" s="30" t="s">
        <v>169</v>
      </c>
      <c r="AM145" s="30" t="s">
        <v>53</v>
      </c>
      <c r="AN145" s="30" t="s">
        <v>954</v>
      </c>
      <c r="AO145" s="30" t="s">
        <v>53</v>
      </c>
      <c r="AP145" s="30" t="s">
        <v>53</v>
      </c>
      <c r="AQ145" s="30" t="s">
        <v>53</v>
      </c>
      <c r="AR145" s="30" t="s">
        <v>53</v>
      </c>
      <c r="AS145" s="30" t="s">
        <v>53</v>
      </c>
      <c r="AT145" s="30" t="s">
        <v>946</v>
      </c>
      <c r="AU145" s="30" t="s">
        <v>53</v>
      </c>
      <c r="AV145" s="34">
        <v>167549725624</v>
      </c>
    </row>
    <row r="146" spans="2:48" ht="15" customHeight="1">
      <c r="B146" s="28">
        <v>140</v>
      </c>
      <c r="C146" s="29" t="s">
        <v>1431</v>
      </c>
      <c r="D146" s="30" t="s">
        <v>53</v>
      </c>
      <c r="E146" s="31" t="s">
        <v>1432</v>
      </c>
      <c r="F146" s="31" t="s">
        <v>53</v>
      </c>
      <c r="G146" s="32" t="s">
        <v>1433</v>
      </c>
      <c r="H146" s="30" t="s">
        <v>64</v>
      </c>
      <c r="I146" s="30" t="s">
        <v>286</v>
      </c>
      <c r="J146" s="32" t="s">
        <v>287</v>
      </c>
      <c r="K146" s="30" t="s">
        <v>286</v>
      </c>
      <c r="L146" s="32" t="s">
        <v>287</v>
      </c>
      <c r="M146" s="30" t="s">
        <v>942</v>
      </c>
      <c r="N146" s="30" t="s">
        <v>1029</v>
      </c>
      <c r="O146" s="33"/>
      <c r="P146" s="33">
        <v>18225</v>
      </c>
      <c r="Q146" s="33">
        <v>18225</v>
      </c>
      <c r="R146" s="33">
        <v>1355</v>
      </c>
      <c r="S146" s="33">
        <v>3</v>
      </c>
      <c r="T146" s="33">
        <v>0</v>
      </c>
      <c r="U146" s="33">
        <v>0</v>
      </c>
      <c r="V146" s="33">
        <v>3</v>
      </c>
      <c r="W146" s="33" t="s">
        <v>53</v>
      </c>
      <c r="X146" s="33">
        <v>4</v>
      </c>
      <c r="Y146" s="30" t="s">
        <v>66</v>
      </c>
      <c r="Z146" s="30" t="s">
        <v>153</v>
      </c>
      <c r="AA146" s="30" t="s">
        <v>153</v>
      </c>
      <c r="AB146" s="30"/>
      <c r="AC146" s="30"/>
      <c r="AD146" s="30" t="s">
        <v>53</v>
      </c>
      <c r="AE146" s="30" t="s">
        <v>53</v>
      </c>
      <c r="AF146" s="30" t="s">
        <v>53</v>
      </c>
      <c r="AG146" s="30" t="s">
        <v>53</v>
      </c>
      <c r="AH146" s="30" t="s">
        <v>53</v>
      </c>
      <c r="AI146" s="30" t="s">
        <v>945</v>
      </c>
      <c r="AJ146" s="30" t="s">
        <v>53</v>
      </c>
      <c r="AK146" s="30" t="s">
        <v>53</v>
      </c>
      <c r="AL146" s="30" t="s">
        <v>53</v>
      </c>
      <c r="AM146" s="30" t="s">
        <v>53</v>
      </c>
      <c r="AN146" s="30" t="s">
        <v>53</v>
      </c>
      <c r="AO146" s="30" t="s">
        <v>53</v>
      </c>
      <c r="AP146" s="30" t="s">
        <v>53</v>
      </c>
      <c r="AQ146" s="30" t="s">
        <v>53</v>
      </c>
      <c r="AR146" s="30" t="s">
        <v>53</v>
      </c>
      <c r="AS146" s="30" t="s">
        <v>53</v>
      </c>
      <c r="AT146" s="30" t="s">
        <v>946</v>
      </c>
      <c r="AU146" s="30" t="s">
        <v>53</v>
      </c>
      <c r="AV146" s="34">
        <v>167538678314</v>
      </c>
    </row>
    <row r="147" spans="2:48" ht="15" customHeight="1">
      <c r="B147" s="28">
        <v>141</v>
      </c>
      <c r="C147" s="29" t="s">
        <v>1434</v>
      </c>
      <c r="D147" s="30" t="s">
        <v>1425</v>
      </c>
      <c r="E147" s="31" t="s">
        <v>1435</v>
      </c>
      <c r="F147" s="31" t="s">
        <v>53</v>
      </c>
      <c r="G147" s="32" t="s">
        <v>1436</v>
      </c>
      <c r="H147" s="30" t="s">
        <v>78</v>
      </c>
      <c r="I147" s="30" t="s">
        <v>286</v>
      </c>
      <c r="J147" s="32" t="s">
        <v>313</v>
      </c>
      <c r="K147" s="30" t="s">
        <v>286</v>
      </c>
      <c r="L147" s="32" t="s">
        <v>313</v>
      </c>
      <c r="M147" s="30" t="s">
        <v>942</v>
      </c>
      <c r="N147" s="30" t="s">
        <v>1029</v>
      </c>
      <c r="O147" s="33">
        <v>12</v>
      </c>
      <c r="P147" s="33">
        <v>13602</v>
      </c>
      <c r="Q147" s="33">
        <v>13602</v>
      </c>
      <c r="R147" s="33">
        <v>0</v>
      </c>
      <c r="S147" s="33">
        <v>0</v>
      </c>
      <c r="T147" s="33">
        <v>0</v>
      </c>
      <c r="U147" s="33">
        <v>0</v>
      </c>
      <c r="V147" s="33">
        <v>0</v>
      </c>
      <c r="W147" s="33" t="s">
        <v>53</v>
      </c>
      <c r="X147" s="33">
        <v>4</v>
      </c>
      <c r="Y147" s="30" t="s">
        <v>66</v>
      </c>
      <c r="Z147" s="30" t="s">
        <v>153</v>
      </c>
      <c r="AA147" s="30" t="s">
        <v>153</v>
      </c>
      <c r="AB147" s="30"/>
      <c r="AC147" s="30"/>
      <c r="AD147" s="30" t="s">
        <v>53</v>
      </c>
      <c r="AE147" s="30" t="s">
        <v>53</v>
      </c>
      <c r="AF147" s="30" t="s">
        <v>53</v>
      </c>
      <c r="AG147" s="30" t="s">
        <v>53</v>
      </c>
      <c r="AH147" s="30" t="s">
        <v>53</v>
      </c>
      <c r="AI147" s="30" t="s">
        <v>945</v>
      </c>
      <c r="AJ147" s="30" t="s">
        <v>53</v>
      </c>
      <c r="AK147" s="30" t="s">
        <v>53</v>
      </c>
      <c r="AL147" s="30" t="s">
        <v>53</v>
      </c>
      <c r="AM147" s="30" t="s">
        <v>53</v>
      </c>
      <c r="AN147" s="30" t="s">
        <v>53</v>
      </c>
      <c r="AO147" s="30" t="s">
        <v>53</v>
      </c>
      <c r="AP147" s="30" t="s">
        <v>53</v>
      </c>
      <c r="AQ147" s="30" t="s">
        <v>53</v>
      </c>
      <c r="AR147" s="30" t="s">
        <v>53</v>
      </c>
      <c r="AS147" s="30" t="s">
        <v>53</v>
      </c>
      <c r="AT147" s="30" t="s">
        <v>946</v>
      </c>
      <c r="AU147" s="30" t="s">
        <v>53</v>
      </c>
      <c r="AV147" s="34">
        <v>167538665262</v>
      </c>
    </row>
    <row r="148" spans="2:48" ht="15" customHeight="1">
      <c r="B148" s="28">
        <v>142</v>
      </c>
      <c r="C148" s="29" t="s">
        <v>1437</v>
      </c>
      <c r="D148" s="30" t="s">
        <v>53</v>
      </c>
      <c r="E148" s="31" t="s">
        <v>1438</v>
      </c>
      <c r="F148" s="31" t="s">
        <v>53</v>
      </c>
      <c r="G148" s="32" t="s">
        <v>1439</v>
      </c>
      <c r="H148" s="30" t="s">
        <v>64</v>
      </c>
      <c r="I148" s="30" t="s">
        <v>722</v>
      </c>
      <c r="J148" s="32" t="s">
        <v>723</v>
      </c>
      <c r="K148" s="30" t="s">
        <v>297</v>
      </c>
      <c r="L148" s="32" t="s">
        <v>298</v>
      </c>
      <c r="M148" s="30" t="s">
        <v>953</v>
      </c>
      <c r="N148" s="30" t="s">
        <v>974</v>
      </c>
      <c r="O148" s="33">
        <v>2</v>
      </c>
      <c r="P148" s="33">
        <v>61816</v>
      </c>
      <c r="Q148" s="33">
        <v>0</v>
      </c>
      <c r="R148" s="33">
        <v>0</v>
      </c>
      <c r="S148" s="33">
        <v>0</v>
      </c>
      <c r="T148" s="33">
        <v>0</v>
      </c>
      <c r="U148" s="33">
        <v>0</v>
      </c>
      <c r="V148" s="33">
        <v>0</v>
      </c>
      <c r="W148" s="33" t="s">
        <v>53</v>
      </c>
      <c r="X148" s="33">
        <v>1</v>
      </c>
      <c r="Y148" s="30" t="s">
        <v>66</v>
      </c>
      <c r="Z148" s="30" t="s">
        <v>153</v>
      </c>
      <c r="AA148" s="30" t="s">
        <v>167</v>
      </c>
      <c r="AB148" s="30" t="s">
        <v>509</v>
      </c>
      <c r="AC148" s="30">
        <v>37</v>
      </c>
      <c r="AD148" s="30" t="s">
        <v>53</v>
      </c>
      <c r="AE148" s="30" t="s">
        <v>53</v>
      </c>
      <c r="AF148" s="30" t="s">
        <v>53</v>
      </c>
      <c r="AG148" s="30" t="s">
        <v>53</v>
      </c>
      <c r="AH148" s="30" t="s">
        <v>53</v>
      </c>
      <c r="AI148" s="30" t="s">
        <v>945</v>
      </c>
      <c r="AJ148" s="30" t="s">
        <v>142</v>
      </c>
      <c r="AK148" s="30" t="s">
        <v>1440</v>
      </c>
      <c r="AL148" s="30" t="s">
        <v>300</v>
      </c>
      <c r="AM148" s="30" t="s">
        <v>53</v>
      </c>
      <c r="AN148" s="30" t="s">
        <v>954</v>
      </c>
      <c r="AO148" s="30" t="s">
        <v>53</v>
      </c>
      <c r="AP148" s="30" t="s">
        <v>53</v>
      </c>
      <c r="AQ148" s="30" t="s">
        <v>53</v>
      </c>
      <c r="AR148" s="30" t="s">
        <v>53</v>
      </c>
      <c r="AS148" s="30" t="s">
        <v>53</v>
      </c>
      <c r="AT148" s="30" t="s">
        <v>946</v>
      </c>
      <c r="AU148" s="30" t="s">
        <v>53</v>
      </c>
      <c r="AV148" s="34">
        <v>167513012713</v>
      </c>
    </row>
    <row r="149" spans="2:48" ht="15" customHeight="1">
      <c r="B149" s="28">
        <v>143</v>
      </c>
      <c r="C149" s="29" t="s">
        <v>1441</v>
      </c>
      <c r="D149" s="30" t="s">
        <v>53</v>
      </c>
      <c r="E149" s="31" t="s">
        <v>1442</v>
      </c>
      <c r="F149" s="31" t="s">
        <v>53</v>
      </c>
      <c r="G149" s="32" t="s">
        <v>1443</v>
      </c>
      <c r="H149" s="30" t="s">
        <v>64</v>
      </c>
      <c r="I149" s="30" t="s">
        <v>575</v>
      </c>
      <c r="J149" s="32" t="s">
        <v>576</v>
      </c>
      <c r="K149" s="30" t="s">
        <v>308</v>
      </c>
      <c r="L149" s="32" t="s">
        <v>309</v>
      </c>
      <c r="M149" s="30" t="s">
        <v>953</v>
      </c>
      <c r="N149" s="30" t="s">
        <v>974</v>
      </c>
      <c r="O149" s="33">
        <v>2</v>
      </c>
      <c r="P149" s="33">
        <v>29569</v>
      </c>
      <c r="Q149" s="33">
        <v>0</v>
      </c>
      <c r="R149" s="33">
        <v>0</v>
      </c>
      <c r="S149" s="33">
        <v>1</v>
      </c>
      <c r="T149" s="33">
        <v>1</v>
      </c>
      <c r="U149" s="33">
        <v>0</v>
      </c>
      <c r="V149" s="33">
        <v>0</v>
      </c>
      <c r="W149" s="33" t="s">
        <v>53</v>
      </c>
      <c r="X149" s="33">
        <v>1</v>
      </c>
      <c r="Y149" s="30" t="s">
        <v>66</v>
      </c>
      <c r="Z149" s="30" t="s">
        <v>153</v>
      </c>
      <c r="AA149" s="30" t="s">
        <v>167</v>
      </c>
      <c r="AB149" s="30" t="s">
        <v>509</v>
      </c>
      <c r="AC149" s="30">
        <v>41</v>
      </c>
      <c r="AD149" s="30" t="s">
        <v>53</v>
      </c>
      <c r="AE149" s="30" t="s">
        <v>53</v>
      </c>
      <c r="AF149" s="30" t="s">
        <v>53</v>
      </c>
      <c r="AG149" s="30" t="s">
        <v>53</v>
      </c>
      <c r="AH149" s="30" t="s">
        <v>53</v>
      </c>
      <c r="AI149" s="30" t="s">
        <v>945</v>
      </c>
      <c r="AJ149" s="30" t="s">
        <v>53</v>
      </c>
      <c r="AK149" s="30" t="s">
        <v>53</v>
      </c>
      <c r="AL149" s="30" t="s">
        <v>53</v>
      </c>
      <c r="AM149" s="30" t="s">
        <v>53</v>
      </c>
      <c r="AN149" s="30" t="s">
        <v>954</v>
      </c>
      <c r="AO149" s="30" t="s">
        <v>53</v>
      </c>
      <c r="AP149" s="30" t="s">
        <v>53</v>
      </c>
      <c r="AQ149" s="30" t="s">
        <v>53</v>
      </c>
      <c r="AR149" s="30" t="s">
        <v>53</v>
      </c>
      <c r="AS149" s="30" t="s">
        <v>53</v>
      </c>
      <c r="AT149" s="30" t="s">
        <v>946</v>
      </c>
      <c r="AU149" s="30" t="s">
        <v>53</v>
      </c>
      <c r="AV149" s="34">
        <v>167512696990</v>
      </c>
    </row>
    <row r="150" spans="2:48" ht="15" customHeight="1">
      <c r="B150" s="28">
        <v>144</v>
      </c>
      <c r="C150" s="29" t="s">
        <v>1444</v>
      </c>
      <c r="D150" s="30" t="s">
        <v>53</v>
      </c>
      <c r="E150" s="31" t="s">
        <v>1445</v>
      </c>
      <c r="F150" s="31" t="s">
        <v>53</v>
      </c>
      <c r="G150" s="32" t="s">
        <v>1446</v>
      </c>
      <c r="H150" s="30" t="s">
        <v>90</v>
      </c>
      <c r="I150" s="30" t="s">
        <v>1447</v>
      </c>
      <c r="J150" s="32" t="s">
        <v>680</v>
      </c>
      <c r="K150" s="30" t="s">
        <v>1448</v>
      </c>
      <c r="L150" s="32" t="s">
        <v>449</v>
      </c>
      <c r="M150" s="30" t="s">
        <v>953</v>
      </c>
      <c r="N150" s="30" t="s">
        <v>943</v>
      </c>
      <c r="O150" s="33"/>
      <c r="P150" s="33">
        <v>148</v>
      </c>
      <c r="Q150" s="33">
        <v>31</v>
      </c>
      <c r="R150" s="33">
        <v>0</v>
      </c>
      <c r="S150" s="33">
        <v>0</v>
      </c>
      <c r="T150" s="33">
        <v>0</v>
      </c>
      <c r="U150" s="33">
        <v>0</v>
      </c>
      <c r="V150" s="33">
        <v>0</v>
      </c>
      <c r="W150" s="33" t="s">
        <v>53</v>
      </c>
      <c r="X150" s="33">
        <v>1</v>
      </c>
      <c r="Y150" s="30" t="s">
        <v>66</v>
      </c>
      <c r="Z150" s="30" t="s">
        <v>167</v>
      </c>
      <c r="AA150" s="30" t="s">
        <v>167</v>
      </c>
      <c r="AB150" s="30" t="s">
        <v>509</v>
      </c>
      <c r="AC150" s="30"/>
      <c r="AD150" s="30" t="s">
        <v>53</v>
      </c>
      <c r="AE150" s="30" t="s">
        <v>53</v>
      </c>
      <c r="AF150" s="30" t="s">
        <v>53</v>
      </c>
      <c r="AG150" s="30" t="s">
        <v>53</v>
      </c>
      <c r="AH150" s="30" t="s">
        <v>53</v>
      </c>
      <c r="AI150" s="30" t="s">
        <v>945</v>
      </c>
      <c r="AJ150" s="30" t="s">
        <v>53</v>
      </c>
      <c r="AK150" s="30" t="s">
        <v>53</v>
      </c>
      <c r="AL150" s="30" t="s">
        <v>53</v>
      </c>
      <c r="AM150" s="30" t="s">
        <v>53</v>
      </c>
      <c r="AN150" s="30" t="s">
        <v>954</v>
      </c>
      <c r="AO150" s="30" t="s">
        <v>53</v>
      </c>
      <c r="AP150" s="30" t="s">
        <v>53</v>
      </c>
      <c r="AQ150" s="30" t="s">
        <v>53</v>
      </c>
      <c r="AR150" s="30" t="s">
        <v>53</v>
      </c>
      <c r="AS150" s="30" t="s">
        <v>53</v>
      </c>
      <c r="AT150" s="30" t="s">
        <v>946</v>
      </c>
      <c r="AU150" s="30" t="s">
        <v>53</v>
      </c>
      <c r="AV150" s="34">
        <v>167536753929</v>
      </c>
    </row>
    <row r="151" spans="2:48" ht="15" customHeight="1">
      <c r="B151" s="28">
        <v>145</v>
      </c>
      <c r="C151" s="29" t="s">
        <v>1449</v>
      </c>
      <c r="D151" s="30" t="s">
        <v>53</v>
      </c>
      <c r="E151" s="31" t="s">
        <v>1450</v>
      </c>
      <c r="F151" s="31" t="s">
        <v>53</v>
      </c>
      <c r="G151" s="32" t="s">
        <v>1451</v>
      </c>
      <c r="H151" s="30" t="s">
        <v>64</v>
      </c>
      <c r="I151" s="30" t="s">
        <v>572</v>
      </c>
      <c r="J151" s="32" t="s">
        <v>573</v>
      </c>
      <c r="K151" s="30" t="s">
        <v>364</v>
      </c>
      <c r="L151" s="32" t="s">
        <v>365</v>
      </c>
      <c r="M151" s="30" t="s">
        <v>953</v>
      </c>
      <c r="N151" s="30" t="s">
        <v>974</v>
      </c>
      <c r="O151" s="33">
        <v>1</v>
      </c>
      <c r="P151" s="33">
        <v>62391</v>
      </c>
      <c r="Q151" s="33">
        <v>0</v>
      </c>
      <c r="R151" s="33">
        <v>0</v>
      </c>
      <c r="S151" s="33">
        <v>0</v>
      </c>
      <c r="T151" s="33">
        <v>0</v>
      </c>
      <c r="U151" s="33">
        <v>0</v>
      </c>
      <c r="V151" s="33">
        <v>0</v>
      </c>
      <c r="W151" s="33" t="s">
        <v>53</v>
      </c>
      <c r="X151" s="33">
        <v>1</v>
      </c>
      <c r="Y151" s="30" t="s">
        <v>66</v>
      </c>
      <c r="Z151" s="30" t="s">
        <v>153</v>
      </c>
      <c r="AA151" s="30" t="s">
        <v>167</v>
      </c>
      <c r="AB151" s="30" t="s">
        <v>509</v>
      </c>
      <c r="AC151" s="30">
        <v>47</v>
      </c>
      <c r="AD151" s="30" t="s">
        <v>53</v>
      </c>
      <c r="AE151" s="30" t="s">
        <v>53</v>
      </c>
      <c r="AF151" s="30" t="s">
        <v>53</v>
      </c>
      <c r="AG151" s="30" t="s">
        <v>53</v>
      </c>
      <c r="AH151" s="30" t="s">
        <v>53</v>
      </c>
      <c r="AI151" s="30" t="s">
        <v>945</v>
      </c>
      <c r="AJ151" s="30" t="s">
        <v>53</v>
      </c>
      <c r="AK151" s="30" t="s">
        <v>53</v>
      </c>
      <c r="AL151" s="30" t="s">
        <v>53</v>
      </c>
      <c r="AM151" s="30" t="s">
        <v>53</v>
      </c>
      <c r="AN151" s="30" t="s">
        <v>954</v>
      </c>
      <c r="AO151" s="30" t="s">
        <v>53</v>
      </c>
      <c r="AP151" s="30" t="s">
        <v>53</v>
      </c>
      <c r="AQ151" s="30" t="s">
        <v>53</v>
      </c>
      <c r="AR151" s="30" t="s">
        <v>53</v>
      </c>
      <c r="AS151" s="30" t="s">
        <v>53</v>
      </c>
      <c r="AT151" s="30" t="s">
        <v>946</v>
      </c>
      <c r="AU151" s="30" t="s">
        <v>53</v>
      </c>
      <c r="AV151" s="34">
        <v>167497343860</v>
      </c>
    </row>
    <row r="152" spans="2:48" ht="15" customHeight="1">
      <c r="B152" s="28">
        <v>146</v>
      </c>
      <c r="C152" s="29" t="s">
        <v>1452</v>
      </c>
      <c r="D152" s="30" t="s">
        <v>53</v>
      </c>
      <c r="E152" s="31" t="s">
        <v>1453</v>
      </c>
      <c r="F152" s="31" t="s">
        <v>53</v>
      </c>
      <c r="G152" s="32" t="s">
        <v>1454</v>
      </c>
      <c r="H152" s="30" t="s">
        <v>64</v>
      </c>
      <c r="I152" s="30" t="s">
        <v>572</v>
      </c>
      <c r="J152" s="32" t="s">
        <v>573</v>
      </c>
      <c r="K152" s="30" t="s">
        <v>225</v>
      </c>
      <c r="L152" s="32" t="s">
        <v>226</v>
      </c>
      <c r="M152" s="30" t="s">
        <v>953</v>
      </c>
      <c r="N152" s="30" t="s">
        <v>974</v>
      </c>
      <c r="O152" s="33">
        <v>2</v>
      </c>
      <c r="P152" s="33">
        <v>13375</v>
      </c>
      <c r="Q152" s="33">
        <v>0</v>
      </c>
      <c r="R152" s="33">
        <v>0</v>
      </c>
      <c r="S152" s="33">
        <v>0</v>
      </c>
      <c r="T152" s="33">
        <v>0</v>
      </c>
      <c r="U152" s="33">
        <v>0</v>
      </c>
      <c r="V152" s="33">
        <v>0</v>
      </c>
      <c r="W152" s="33" t="s">
        <v>53</v>
      </c>
      <c r="X152" s="33">
        <v>2</v>
      </c>
      <c r="Y152" s="30" t="s">
        <v>66</v>
      </c>
      <c r="Z152" s="30" t="s">
        <v>153</v>
      </c>
      <c r="AA152" s="30" t="s">
        <v>167</v>
      </c>
      <c r="AB152" s="30" t="s">
        <v>509</v>
      </c>
      <c r="AC152" s="30">
        <v>47</v>
      </c>
      <c r="AD152" s="30" t="s">
        <v>53</v>
      </c>
      <c r="AE152" s="30" t="s">
        <v>53</v>
      </c>
      <c r="AF152" s="30" t="s">
        <v>944</v>
      </c>
      <c r="AG152" s="30" t="s">
        <v>53</v>
      </c>
      <c r="AH152" s="30" t="s">
        <v>53</v>
      </c>
      <c r="AI152" s="30" t="s">
        <v>945</v>
      </c>
      <c r="AJ152" s="30" t="s">
        <v>142</v>
      </c>
      <c r="AK152" s="30" t="s">
        <v>1227</v>
      </c>
      <c r="AL152" s="30" t="s">
        <v>227</v>
      </c>
      <c r="AM152" s="30" t="s">
        <v>53</v>
      </c>
      <c r="AN152" s="30" t="s">
        <v>954</v>
      </c>
      <c r="AO152" s="30" t="s">
        <v>53</v>
      </c>
      <c r="AP152" s="30" t="s">
        <v>53</v>
      </c>
      <c r="AQ152" s="30" t="s">
        <v>53</v>
      </c>
      <c r="AR152" s="30" t="s">
        <v>53</v>
      </c>
      <c r="AS152" s="30" t="s">
        <v>53</v>
      </c>
      <c r="AT152" s="30" t="s">
        <v>946</v>
      </c>
      <c r="AU152" s="30" t="s">
        <v>53</v>
      </c>
      <c r="AV152" s="34">
        <v>167497379281</v>
      </c>
    </row>
    <row r="153" spans="2:48" ht="15" customHeight="1">
      <c r="B153" s="28">
        <v>147</v>
      </c>
      <c r="C153" s="29" t="s">
        <v>1455</v>
      </c>
      <c r="D153" s="30" t="s">
        <v>53</v>
      </c>
      <c r="E153" s="31" t="s">
        <v>1456</v>
      </c>
      <c r="F153" s="31" t="s">
        <v>53</v>
      </c>
      <c r="G153" s="32" t="s">
        <v>1457</v>
      </c>
      <c r="H153" s="30" t="s">
        <v>67</v>
      </c>
      <c r="I153" s="30" t="s">
        <v>622</v>
      </c>
      <c r="J153" s="32" t="s">
        <v>623</v>
      </c>
      <c r="K153" s="30" t="s">
        <v>381</v>
      </c>
      <c r="L153" s="32" t="s">
        <v>382</v>
      </c>
      <c r="M153" s="30" t="s">
        <v>953</v>
      </c>
      <c r="N153" s="30" t="s">
        <v>943</v>
      </c>
      <c r="O153" s="33"/>
      <c r="P153" s="33">
        <v>195802</v>
      </c>
      <c r="Q153" s="33">
        <v>0</v>
      </c>
      <c r="R153" s="33">
        <v>0</v>
      </c>
      <c r="S153" s="33">
        <v>0</v>
      </c>
      <c r="T153" s="33">
        <v>0</v>
      </c>
      <c r="U153" s="33">
        <v>0</v>
      </c>
      <c r="V153" s="33">
        <v>0</v>
      </c>
      <c r="W153" s="33" t="s">
        <v>53</v>
      </c>
      <c r="X153" s="33">
        <v>1</v>
      </c>
      <c r="Y153" s="30" t="s">
        <v>69</v>
      </c>
      <c r="Z153" s="30" t="s">
        <v>156</v>
      </c>
      <c r="AA153" s="30" t="s">
        <v>156</v>
      </c>
      <c r="AB153" s="30"/>
      <c r="AC153" s="30"/>
      <c r="AD153" s="30" t="s">
        <v>53</v>
      </c>
      <c r="AE153" s="30" t="s">
        <v>53</v>
      </c>
      <c r="AF153" s="30" t="s">
        <v>53</v>
      </c>
      <c r="AG153" s="30" t="s">
        <v>53</v>
      </c>
      <c r="AH153" s="30" t="s">
        <v>53</v>
      </c>
      <c r="AI153" s="30" t="s">
        <v>945</v>
      </c>
      <c r="AJ153" s="30" t="s">
        <v>53</v>
      </c>
      <c r="AK153" s="30" t="s">
        <v>53</v>
      </c>
      <c r="AL153" s="30" t="s">
        <v>53</v>
      </c>
      <c r="AM153" s="30" t="s">
        <v>53</v>
      </c>
      <c r="AN153" s="30" t="s">
        <v>954</v>
      </c>
      <c r="AO153" s="30" t="s">
        <v>53</v>
      </c>
      <c r="AP153" s="30" t="s">
        <v>53</v>
      </c>
      <c r="AQ153" s="30" t="s">
        <v>53</v>
      </c>
      <c r="AR153" s="30" t="s">
        <v>53</v>
      </c>
      <c r="AS153" s="30" t="s">
        <v>53</v>
      </c>
      <c r="AT153" s="30" t="s">
        <v>1012</v>
      </c>
      <c r="AU153" s="30" t="s">
        <v>53</v>
      </c>
      <c r="AV153" s="34">
        <v>167491293904</v>
      </c>
    </row>
    <row r="154" spans="2:48" ht="15" customHeight="1">
      <c r="B154" s="28">
        <v>148</v>
      </c>
      <c r="C154" s="29" t="s">
        <v>1458</v>
      </c>
      <c r="D154" s="30" t="s">
        <v>53</v>
      </c>
      <c r="E154" s="31" t="s">
        <v>1459</v>
      </c>
      <c r="F154" s="31" t="s">
        <v>53</v>
      </c>
      <c r="G154" s="32" t="s">
        <v>1460</v>
      </c>
      <c r="H154" s="30" t="s">
        <v>64</v>
      </c>
      <c r="I154" s="30" t="s">
        <v>594</v>
      </c>
      <c r="J154" s="32" t="s">
        <v>595</v>
      </c>
      <c r="K154" s="30" t="s">
        <v>315</v>
      </c>
      <c r="L154" s="32" t="s">
        <v>316</v>
      </c>
      <c r="M154" s="30" t="s">
        <v>953</v>
      </c>
      <c r="N154" s="30" t="s">
        <v>974</v>
      </c>
      <c r="O154" s="33">
        <v>3</v>
      </c>
      <c r="P154" s="33">
        <v>22662</v>
      </c>
      <c r="Q154" s="33">
        <v>0</v>
      </c>
      <c r="R154" s="33">
        <v>0</v>
      </c>
      <c r="S154" s="33">
        <v>0</v>
      </c>
      <c r="T154" s="33">
        <v>0</v>
      </c>
      <c r="U154" s="33">
        <v>0</v>
      </c>
      <c r="V154" s="33">
        <v>0</v>
      </c>
      <c r="W154" s="33" t="s">
        <v>53</v>
      </c>
      <c r="X154" s="33">
        <v>1</v>
      </c>
      <c r="Y154" s="30" t="s">
        <v>66</v>
      </c>
      <c r="Z154" s="30" t="s">
        <v>153</v>
      </c>
      <c r="AA154" s="30" t="s">
        <v>167</v>
      </c>
      <c r="AB154" s="30" t="s">
        <v>509</v>
      </c>
      <c r="AC154" s="30">
        <v>30</v>
      </c>
      <c r="AD154" s="30" t="s">
        <v>53</v>
      </c>
      <c r="AE154" s="30" t="s">
        <v>53</v>
      </c>
      <c r="AF154" s="30" t="s">
        <v>944</v>
      </c>
      <c r="AG154" s="30" t="s">
        <v>53</v>
      </c>
      <c r="AH154" s="30" t="s">
        <v>53</v>
      </c>
      <c r="AI154" s="30" t="s">
        <v>945</v>
      </c>
      <c r="AJ154" s="30" t="s">
        <v>142</v>
      </c>
      <c r="AK154" s="30" t="s">
        <v>1126</v>
      </c>
      <c r="AL154" s="30" t="s">
        <v>317</v>
      </c>
      <c r="AM154" s="30" t="s">
        <v>53</v>
      </c>
      <c r="AN154" s="30" t="s">
        <v>954</v>
      </c>
      <c r="AO154" s="30" t="s">
        <v>53</v>
      </c>
      <c r="AP154" s="30" t="s">
        <v>53</v>
      </c>
      <c r="AQ154" s="30" t="s">
        <v>53</v>
      </c>
      <c r="AR154" s="30" t="s">
        <v>53</v>
      </c>
      <c r="AS154" s="30" t="s">
        <v>53</v>
      </c>
      <c r="AT154" s="30" t="s">
        <v>1012</v>
      </c>
      <c r="AU154" s="30" t="s">
        <v>53</v>
      </c>
      <c r="AV154" s="34">
        <v>167490332865</v>
      </c>
    </row>
    <row r="155" spans="2:48" ht="15" customHeight="1">
      <c r="B155" s="28">
        <v>149</v>
      </c>
      <c r="C155" s="29" t="s">
        <v>1461</v>
      </c>
      <c r="D155" s="30" t="s">
        <v>53</v>
      </c>
      <c r="E155" s="31" t="s">
        <v>1462</v>
      </c>
      <c r="F155" s="31" t="s">
        <v>53</v>
      </c>
      <c r="G155" s="32" t="s">
        <v>1463</v>
      </c>
      <c r="H155" s="30" t="s">
        <v>64</v>
      </c>
      <c r="I155" s="30" t="s">
        <v>594</v>
      </c>
      <c r="J155" s="32" t="s">
        <v>595</v>
      </c>
      <c r="K155" s="30" t="s">
        <v>267</v>
      </c>
      <c r="L155" s="32" t="s">
        <v>269</v>
      </c>
      <c r="M155" s="30" t="s">
        <v>953</v>
      </c>
      <c r="N155" s="30" t="s">
        <v>974</v>
      </c>
      <c r="O155" s="33">
        <v>1</v>
      </c>
      <c r="P155" s="33">
        <v>93764</v>
      </c>
      <c r="Q155" s="33">
        <v>0</v>
      </c>
      <c r="R155" s="33">
        <v>0</v>
      </c>
      <c r="S155" s="33">
        <v>0</v>
      </c>
      <c r="T155" s="33">
        <v>0</v>
      </c>
      <c r="U155" s="33">
        <v>0</v>
      </c>
      <c r="V155" s="33">
        <v>0</v>
      </c>
      <c r="W155" s="33" t="s">
        <v>53</v>
      </c>
      <c r="X155" s="33">
        <v>1</v>
      </c>
      <c r="Y155" s="30" t="s">
        <v>66</v>
      </c>
      <c r="Z155" s="30" t="s">
        <v>153</v>
      </c>
      <c r="AA155" s="30" t="s">
        <v>167</v>
      </c>
      <c r="AB155" s="30" t="s">
        <v>509</v>
      </c>
      <c r="AC155" s="30">
        <v>30</v>
      </c>
      <c r="AD155" s="30" t="s">
        <v>53</v>
      </c>
      <c r="AE155" s="30" t="s">
        <v>53</v>
      </c>
      <c r="AF155" s="30" t="s">
        <v>944</v>
      </c>
      <c r="AG155" s="30" t="s">
        <v>53</v>
      </c>
      <c r="AH155" s="30" t="s">
        <v>53</v>
      </c>
      <c r="AI155" s="30" t="s">
        <v>945</v>
      </c>
      <c r="AJ155" s="30" t="s">
        <v>142</v>
      </c>
      <c r="AK155" s="30" t="s">
        <v>169</v>
      </c>
      <c r="AL155" s="30" t="s">
        <v>169</v>
      </c>
      <c r="AM155" s="30" t="s">
        <v>53</v>
      </c>
      <c r="AN155" s="30" t="s">
        <v>954</v>
      </c>
      <c r="AO155" s="30" t="s">
        <v>53</v>
      </c>
      <c r="AP155" s="30" t="s">
        <v>53</v>
      </c>
      <c r="AQ155" s="30" t="s">
        <v>53</v>
      </c>
      <c r="AR155" s="30" t="s">
        <v>53</v>
      </c>
      <c r="AS155" s="30" t="s">
        <v>53</v>
      </c>
      <c r="AT155" s="30" t="s">
        <v>1012</v>
      </c>
      <c r="AU155" s="30" t="s">
        <v>53</v>
      </c>
      <c r="AV155" s="34">
        <v>167489889160</v>
      </c>
    </row>
    <row r="156" spans="2:48" ht="15" customHeight="1">
      <c r="B156" s="28">
        <v>150</v>
      </c>
      <c r="C156" s="29" t="s">
        <v>1464</v>
      </c>
      <c r="D156" s="30" t="s">
        <v>53</v>
      </c>
      <c r="E156" s="31" t="s">
        <v>1465</v>
      </c>
      <c r="F156" s="31" t="s">
        <v>53</v>
      </c>
      <c r="G156" s="32" t="s">
        <v>1466</v>
      </c>
      <c r="H156" s="30" t="s">
        <v>80</v>
      </c>
      <c r="I156" s="30" t="s">
        <v>739</v>
      </c>
      <c r="J156" s="32" t="s">
        <v>740</v>
      </c>
      <c r="K156" s="30" t="s">
        <v>181</v>
      </c>
      <c r="L156" s="32" t="s">
        <v>182</v>
      </c>
      <c r="M156" s="30" t="s">
        <v>953</v>
      </c>
      <c r="N156" s="30" t="s">
        <v>974</v>
      </c>
      <c r="O156" s="33"/>
      <c r="P156" s="33">
        <v>0</v>
      </c>
      <c r="Q156" s="33">
        <v>0</v>
      </c>
      <c r="R156" s="33">
        <v>0</v>
      </c>
      <c r="S156" s="33">
        <v>0</v>
      </c>
      <c r="T156" s="33">
        <v>0</v>
      </c>
      <c r="U156" s="33">
        <v>0</v>
      </c>
      <c r="V156" s="33">
        <v>0</v>
      </c>
      <c r="W156" s="33" t="s">
        <v>53</v>
      </c>
      <c r="X156" s="33">
        <v>1</v>
      </c>
      <c r="Y156" s="30" t="s">
        <v>57</v>
      </c>
      <c r="Z156" s="30" t="s">
        <v>156</v>
      </c>
      <c r="AA156" s="30" t="s">
        <v>156</v>
      </c>
      <c r="AB156" s="30" t="s">
        <v>509</v>
      </c>
      <c r="AC156" s="30"/>
      <c r="AD156" s="30" t="s">
        <v>53</v>
      </c>
      <c r="AE156" s="30" t="s">
        <v>53</v>
      </c>
      <c r="AF156" s="30" t="s">
        <v>53</v>
      </c>
      <c r="AG156" s="30" t="s">
        <v>53</v>
      </c>
      <c r="AH156" s="30" t="s">
        <v>53</v>
      </c>
      <c r="AI156" s="30" t="s">
        <v>945</v>
      </c>
      <c r="AJ156" s="30" t="s">
        <v>53</v>
      </c>
      <c r="AK156" s="30" t="s">
        <v>53</v>
      </c>
      <c r="AL156" s="30" t="s">
        <v>53</v>
      </c>
      <c r="AM156" s="30" t="s">
        <v>53</v>
      </c>
      <c r="AN156" s="30" t="s">
        <v>954</v>
      </c>
      <c r="AO156" s="30" t="s">
        <v>53</v>
      </c>
      <c r="AP156" s="30" t="s">
        <v>53</v>
      </c>
      <c r="AQ156" s="30" t="s">
        <v>53</v>
      </c>
      <c r="AR156" s="30" t="s">
        <v>53</v>
      </c>
      <c r="AS156" s="30" t="s">
        <v>53</v>
      </c>
      <c r="AT156" s="30" t="s">
        <v>1012</v>
      </c>
      <c r="AU156" s="30" t="s">
        <v>53</v>
      </c>
      <c r="AV156" s="34">
        <v>167730869541</v>
      </c>
    </row>
    <row r="157" spans="2:48" ht="15" customHeight="1">
      <c r="B157" s="28">
        <v>151</v>
      </c>
      <c r="C157" s="29" t="s">
        <v>1467</v>
      </c>
      <c r="D157" s="30" t="s">
        <v>53</v>
      </c>
      <c r="E157" s="31" t="s">
        <v>1468</v>
      </c>
      <c r="F157" s="31" t="s">
        <v>53</v>
      </c>
      <c r="G157" s="32" t="s">
        <v>1469</v>
      </c>
      <c r="H157" s="30" t="s">
        <v>64</v>
      </c>
      <c r="I157" s="30" t="s">
        <v>628</v>
      </c>
      <c r="J157" s="32" t="s">
        <v>629</v>
      </c>
      <c r="K157" s="30" t="s">
        <v>295</v>
      </c>
      <c r="L157" s="32" t="s">
        <v>296</v>
      </c>
      <c r="M157" s="30" t="s">
        <v>953</v>
      </c>
      <c r="N157" s="30" t="s">
        <v>974</v>
      </c>
      <c r="O157" s="33">
        <v>3</v>
      </c>
      <c r="P157" s="33">
        <v>104566</v>
      </c>
      <c r="Q157" s="33">
        <v>501</v>
      </c>
      <c r="R157" s="33">
        <v>0</v>
      </c>
      <c r="S157" s="33">
        <v>0</v>
      </c>
      <c r="T157" s="33">
        <v>0</v>
      </c>
      <c r="U157" s="33">
        <v>0</v>
      </c>
      <c r="V157" s="33">
        <v>0</v>
      </c>
      <c r="W157" s="33" t="s">
        <v>53</v>
      </c>
      <c r="X157" s="33">
        <v>1</v>
      </c>
      <c r="Y157" s="30" t="s">
        <v>66</v>
      </c>
      <c r="Z157" s="30" t="s">
        <v>153</v>
      </c>
      <c r="AA157" s="30" t="s">
        <v>167</v>
      </c>
      <c r="AB157" s="30" t="s">
        <v>509</v>
      </c>
      <c r="AC157" s="30">
        <v>50</v>
      </c>
      <c r="AD157" s="30" t="s">
        <v>520</v>
      </c>
      <c r="AE157" s="30" t="s">
        <v>522</v>
      </c>
      <c r="AF157" s="30" t="s">
        <v>53</v>
      </c>
      <c r="AG157" s="30" t="s">
        <v>53</v>
      </c>
      <c r="AH157" s="30" t="s">
        <v>53</v>
      </c>
      <c r="AI157" s="30" t="s">
        <v>945</v>
      </c>
      <c r="AJ157" s="30" t="s">
        <v>142</v>
      </c>
      <c r="AK157" s="30" t="s">
        <v>238</v>
      </c>
      <c r="AL157" s="30" t="s">
        <v>238</v>
      </c>
      <c r="AM157" s="30" t="s">
        <v>53</v>
      </c>
      <c r="AN157" s="30" t="s">
        <v>954</v>
      </c>
      <c r="AO157" s="30" t="s">
        <v>53</v>
      </c>
      <c r="AP157" s="30" t="s">
        <v>53</v>
      </c>
      <c r="AQ157" s="30" t="s">
        <v>53</v>
      </c>
      <c r="AR157" s="30" t="s">
        <v>53</v>
      </c>
      <c r="AS157" s="30" t="s">
        <v>53</v>
      </c>
      <c r="AT157" s="30" t="s">
        <v>946</v>
      </c>
      <c r="AU157" s="30" t="s">
        <v>53</v>
      </c>
      <c r="AV157" s="34">
        <v>167457449389</v>
      </c>
    </row>
    <row r="158" spans="2:48" ht="15" customHeight="1">
      <c r="B158" s="28">
        <v>152</v>
      </c>
      <c r="C158" s="29" t="s">
        <v>1470</v>
      </c>
      <c r="D158" s="30" t="s">
        <v>53</v>
      </c>
      <c r="E158" s="31" t="s">
        <v>1471</v>
      </c>
      <c r="F158" s="31" t="s">
        <v>53</v>
      </c>
      <c r="G158" s="32" t="s">
        <v>1472</v>
      </c>
      <c r="H158" s="30" t="s">
        <v>70</v>
      </c>
      <c r="I158" s="30" t="s">
        <v>258</v>
      </c>
      <c r="J158" s="32" t="s">
        <v>1473</v>
      </c>
      <c r="K158" s="30" t="s">
        <v>258</v>
      </c>
      <c r="L158" s="32" t="s">
        <v>1473</v>
      </c>
      <c r="M158" s="30" t="s">
        <v>953</v>
      </c>
      <c r="N158" s="30" t="s">
        <v>943</v>
      </c>
      <c r="O158" s="33"/>
      <c r="P158" s="33">
        <v>329</v>
      </c>
      <c r="Q158" s="33">
        <v>329</v>
      </c>
      <c r="R158" s="33">
        <v>0</v>
      </c>
      <c r="S158" s="33">
        <v>0</v>
      </c>
      <c r="T158" s="33">
        <v>0</v>
      </c>
      <c r="U158" s="33">
        <v>0</v>
      </c>
      <c r="V158" s="33">
        <v>0</v>
      </c>
      <c r="W158" s="33" t="s">
        <v>53</v>
      </c>
      <c r="X158" s="33">
        <v>1</v>
      </c>
      <c r="Y158" s="30" t="s">
        <v>83</v>
      </c>
      <c r="Z158" s="30" t="s">
        <v>153</v>
      </c>
      <c r="AA158" s="30" t="s">
        <v>153</v>
      </c>
      <c r="AB158" s="30"/>
      <c r="AC158" s="30"/>
      <c r="AD158" s="30" t="s">
        <v>53</v>
      </c>
      <c r="AE158" s="30" t="s">
        <v>53</v>
      </c>
      <c r="AF158" s="30" t="s">
        <v>53</v>
      </c>
      <c r="AG158" s="30" t="s">
        <v>53</v>
      </c>
      <c r="AH158" s="30" t="s">
        <v>53</v>
      </c>
      <c r="AI158" s="30" t="s">
        <v>945</v>
      </c>
      <c r="AJ158" s="30" t="s">
        <v>53</v>
      </c>
      <c r="AK158" s="30" t="s">
        <v>53</v>
      </c>
      <c r="AL158" s="30" t="s">
        <v>53</v>
      </c>
      <c r="AM158" s="30" t="s">
        <v>53</v>
      </c>
      <c r="AN158" s="30" t="s">
        <v>954</v>
      </c>
      <c r="AO158" s="30" t="s">
        <v>53</v>
      </c>
      <c r="AP158" s="30" t="s">
        <v>53</v>
      </c>
      <c r="AQ158" s="30" t="s">
        <v>53</v>
      </c>
      <c r="AR158" s="30" t="s">
        <v>53</v>
      </c>
      <c r="AS158" s="30" t="s">
        <v>53</v>
      </c>
      <c r="AT158" s="30" t="s">
        <v>946</v>
      </c>
      <c r="AU158" s="30" t="s">
        <v>53</v>
      </c>
      <c r="AV158" s="34">
        <v>167440349962</v>
      </c>
    </row>
    <row r="159" spans="2:48" ht="15" customHeight="1">
      <c r="B159" s="28">
        <v>153</v>
      </c>
      <c r="C159" s="29" t="s">
        <v>1474</v>
      </c>
      <c r="D159" s="30" t="s">
        <v>53</v>
      </c>
      <c r="E159" s="31" t="s">
        <v>1475</v>
      </c>
      <c r="F159" s="31" t="s">
        <v>53</v>
      </c>
      <c r="G159" s="32" t="s">
        <v>1476</v>
      </c>
      <c r="H159" s="30" t="s">
        <v>70</v>
      </c>
      <c r="I159" s="30" t="s">
        <v>677</v>
      </c>
      <c r="J159" s="32" t="s">
        <v>1477</v>
      </c>
      <c r="K159" s="30" t="s">
        <v>258</v>
      </c>
      <c r="L159" s="32" t="s">
        <v>1473</v>
      </c>
      <c r="M159" s="30" t="s">
        <v>953</v>
      </c>
      <c r="N159" s="30" t="s">
        <v>943</v>
      </c>
      <c r="O159" s="33"/>
      <c r="P159" s="33">
        <v>329</v>
      </c>
      <c r="Q159" s="33">
        <v>0</v>
      </c>
      <c r="R159" s="33">
        <v>0</v>
      </c>
      <c r="S159" s="33">
        <v>0</v>
      </c>
      <c r="T159" s="33">
        <v>0</v>
      </c>
      <c r="U159" s="33">
        <v>0</v>
      </c>
      <c r="V159" s="33">
        <v>0</v>
      </c>
      <c r="W159" s="33" t="s">
        <v>53</v>
      </c>
      <c r="X159" s="33">
        <v>1</v>
      </c>
      <c r="Y159" s="30" t="s">
        <v>83</v>
      </c>
      <c r="Z159" s="30" t="s">
        <v>153</v>
      </c>
      <c r="AA159" s="30" t="s">
        <v>167</v>
      </c>
      <c r="AB159" s="30" t="s">
        <v>509</v>
      </c>
      <c r="AC159" s="30"/>
      <c r="AD159" s="30" t="s">
        <v>53</v>
      </c>
      <c r="AE159" s="30" t="s">
        <v>53</v>
      </c>
      <c r="AF159" s="30" t="s">
        <v>53</v>
      </c>
      <c r="AG159" s="30" t="s">
        <v>53</v>
      </c>
      <c r="AH159" s="30" t="s">
        <v>53</v>
      </c>
      <c r="AI159" s="30" t="s">
        <v>945</v>
      </c>
      <c r="AJ159" s="30" t="s">
        <v>53</v>
      </c>
      <c r="AK159" s="30" t="s">
        <v>53</v>
      </c>
      <c r="AL159" s="30" t="s">
        <v>53</v>
      </c>
      <c r="AM159" s="30" t="s">
        <v>53</v>
      </c>
      <c r="AN159" s="30" t="s">
        <v>954</v>
      </c>
      <c r="AO159" s="30" t="s">
        <v>53</v>
      </c>
      <c r="AP159" s="30" t="s">
        <v>53</v>
      </c>
      <c r="AQ159" s="30" t="s">
        <v>53</v>
      </c>
      <c r="AR159" s="30" t="s">
        <v>53</v>
      </c>
      <c r="AS159" s="30" t="s">
        <v>53</v>
      </c>
      <c r="AT159" s="30" t="s">
        <v>946</v>
      </c>
      <c r="AU159" s="30" t="s">
        <v>53</v>
      </c>
      <c r="AV159" s="34">
        <v>167440102538</v>
      </c>
    </row>
    <row r="160" spans="2:48" ht="15" customHeight="1">
      <c r="B160" s="28">
        <v>154</v>
      </c>
      <c r="C160" s="29" t="s">
        <v>1478</v>
      </c>
      <c r="D160" s="30" t="s">
        <v>53</v>
      </c>
      <c r="E160" s="31" t="s">
        <v>1479</v>
      </c>
      <c r="F160" s="31" t="s">
        <v>53</v>
      </c>
      <c r="G160" s="32" t="s">
        <v>1480</v>
      </c>
      <c r="H160" s="30" t="s">
        <v>64</v>
      </c>
      <c r="I160" s="30" t="s">
        <v>610</v>
      </c>
      <c r="J160" s="32" t="s">
        <v>611</v>
      </c>
      <c r="K160" s="30" t="s">
        <v>157</v>
      </c>
      <c r="L160" s="32" t="s">
        <v>158</v>
      </c>
      <c r="M160" s="30" t="s">
        <v>953</v>
      </c>
      <c r="N160" s="30" t="s">
        <v>974</v>
      </c>
      <c r="O160" s="33">
        <v>1</v>
      </c>
      <c r="P160" s="33">
        <v>8644</v>
      </c>
      <c r="Q160" s="33">
        <v>0</v>
      </c>
      <c r="R160" s="33">
        <v>0</v>
      </c>
      <c r="S160" s="33">
        <v>3</v>
      </c>
      <c r="T160" s="33">
        <v>3</v>
      </c>
      <c r="U160" s="33">
        <v>0</v>
      </c>
      <c r="V160" s="33">
        <v>0</v>
      </c>
      <c r="W160" s="33" t="s">
        <v>53</v>
      </c>
      <c r="X160" s="33">
        <v>1</v>
      </c>
      <c r="Y160" s="30" t="s">
        <v>66</v>
      </c>
      <c r="Z160" s="30" t="s">
        <v>153</v>
      </c>
      <c r="AA160" s="30" t="s">
        <v>167</v>
      </c>
      <c r="AB160" s="30" t="s">
        <v>509</v>
      </c>
      <c r="AC160" s="30"/>
      <c r="AD160" s="30" t="s">
        <v>53</v>
      </c>
      <c r="AE160" s="30" t="s">
        <v>53</v>
      </c>
      <c r="AF160" s="30" t="s">
        <v>53</v>
      </c>
      <c r="AG160" s="30" t="s">
        <v>53</v>
      </c>
      <c r="AH160" s="30" t="s">
        <v>53</v>
      </c>
      <c r="AI160" s="30" t="s">
        <v>945</v>
      </c>
      <c r="AJ160" s="30" t="s">
        <v>142</v>
      </c>
      <c r="AK160" s="30" t="s">
        <v>1112</v>
      </c>
      <c r="AL160" s="30" t="s">
        <v>160</v>
      </c>
      <c r="AM160" s="30" t="s">
        <v>53</v>
      </c>
      <c r="AN160" s="30" t="s">
        <v>954</v>
      </c>
      <c r="AO160" s="30" t="s">
        <v>53</v>
      </c>
      <c r="AP160" s="30" t="s">
        <v>53</v>
      </c>
      <c r="AQ160" s="30" t="s">
        <v>53</v>
      </c>
      <c r="AR160" s="30" t="s">
        <v>53</v>
      </c>
      <c r="AS160" s="30" t="s">
        <v>53</v>
      </c>
      <c r="AT160" s="30" t="s">
        <v>946</v>
      </c>
      <c r="AU160" s="30" t="s">
        <v>53</v>
      </c>
      <c r="AV160" s="34">
        <v>167434922217</v>
      </c>
    </row>
    <row r="161" spans="2:48" ht="15" customHeight="1">
      <c r="B161" s="28">
        <v>155</v>
      </c>
      <c r="C161" s="29" t="s">
        <v>1481</v>
      </c>
      <c r="D161" s="30" t="s">
        <v>53</v>
      </c>
      <c r="E161" s="31" t="s">
        <v>1453</v>
      </c>
      <c r="F161" s="31" t="s">
        <v>53</v>
      </c>
      <c r="G161" s="32" t="s">
        <v>1482</v>
      </c>
      <c r="H161" s="30" t="s">
        <v>64</v>
      </c>
      <c r="I161" s="30" t="s">
        <v>612</v>
      </c>
      <c r="J161" s="32" t="s">
        <v>613</v>
      </c>
      <c r="K161" s="30" t="s">
        <v>225</v>
      </c>
      <c r="L161" s="32" t="s">
        <v>226</v>
      </c>
      <c r="M161" s="30" t="s">
        <v>953</v>
      </c>
      <c r="N161" s="30" t="s">
        <v>974</v>
      </c>
      <c r="O161" s="33">
        <v>2</v>
      </c>
      <c r="P161" s="33">
        <v>13375</v>
      </c>
      <c r="Q161" s="33">
        <v>1</v>
      </c>
      <c r="R161" s="33">
        <v>0</v>
      </c>
      <c r="S161" s="33">
        <v>0</v>
      </c>
      <c r="T161" s="33">
        <v>0</v>
      </c>
      <c r="U161" s="33">
        <v>0</v>
      </c>
      <c r="V161" s="33">
        <v>0</v>
      </c>
      <c r="W161" s="33" t="s">
        <v>53</v>
      </c>
      <c r="X161" s="33">
        <v>2</v>
      </c>
      <c r="Y161" s="30" t="s">
        <v>66</v>
      </c>
      <c r="Z161" s="30" t="s">
        <v>153</v>
      </c>
      <c r="AA161" s="30" t="s">
        <v>167</v>
      </c>
      <c r="AB161" s="30" t="s">
        <v>509</v>
      </c>
      <c r="AC161" s="30"/>
      <c r="AD161" s="30" t="s">
        <v>53</v>
      </c>
      <c r="AE161" s="30" t="s">
        <v>53</v>
      </c>
      <c r="AF161" s="30" t="s">
        <v>53</v>
      </c>
      <c r="AG161" s="30" t="s">
        <v>53</v>
      </c>
      <c r="AH161" s="30" t="s">
        <v>53</v>
      </c>
      <c r="AI161" s="30" t="s">
        <v>945</v>
      </c>
      <c r="AJ161" s="30" t="s">
        <v>142</v>
      </c>
      <c r="AK161" s="30" t="s">
        <v>1227</v>
      </c>
      <c r="AL161" s="30" t="s">
        <v>227</v>
      </c>
      <c r="AM161" s="30" t="s">
        <v>53</v>
      </c>
      <c r="AN161" s="30" t="s">
        <v>954</v>
      </c>
      <c r="AO161" s="30" t="s">
        <v>53</v>
      </c>
      <c r="AP161" s="30" t="s">
        <v>53</v>
      </c>
      <c r="AQ161" s="30" t="s">
        <v>53</v>
      </c>
      <c r="AR161" s="30" t="s">
        <v>53</v>
      </c>
      <c r="AS161" s="30" t="s">
        <v>53</v>
      </c>
      <c r="AT161" s="30" t="s">
        <v>946</v>
      </c>
      <c r="AU161" s="30" t="s">
        <v>53</v>
      </c>
      <c r="AV161" s="34">
        <v>167434844139</v>
      </c>
    </row>
    <row r="162" spans="2:48" ht="15" customHeight="1">
      <c r="B162" s="28">
        <v>156</v>
      </c>
      <c r="C162" s="29" t="s">
        <v>1483</v>
      </c>
      <c r="D162" s="30" t="s">
        <v>1484</v>
      </c>
      <c r="E162" s="31" t="s">
        <v>1485</v>
      </c>
      <c r="F162" s="31" t="s">
        <v>1486</v>
      </c>
      <c r="G162" s="32" t="s">
        <v>1487</v>
      </c>
      <c r="H162" s="30" t="s">
        <v>80</v>
      </c>
      <c r="I162" s="30" t="s">
        <v>691</v>
      </c>
      <c r="J162" s="32" t="s">
        <v>692</v>
      </c>
      <c r="K162" s="30" t="s">
        <v>181</v>
      </c>
      <c r="L162" s="32" t="s">
        <v>182</v>
      </c>
      <c r="M162" s="30" t="s">
        <v>982</v>
      </c>
      <c r="N162" s="30" t="s">
        <v>974</v>
      </c>
      <c r="O162" s="33"/>
      <c r="P162" s="33">
        <v>0</v>
      </c>
      <c r="Q162" s="33">
        <v>0</v>
      </c>
      <c r="R162" s="33">
        <v>0</v>
      </c>
      <c r="S162" s="33">
        <v>0</v>
      </c>
      <c r="T162" s="33">
        <v>0</v>
      </c>
      <c r="U162" s="33">
        <v>0</v>
      </c>
      <c r="V162" s="33">
        <v>0</v>
      </c>
      <c r="W162" s="33" t="s">
        <v>983</v>
      </c>
      <c r="X162" s="33">
        <v>1</v>
      </c>
      <c r="Y162" s="30" t="s">
        <v>57</v>
      </c>
      <c r="Z162" s="30" t="s">
        <v>156</v>
      </c>
      <c r="AA162" s="30" t="s">
        <v>156</v>
      </c>
      <c r="AB162" s="30"/>
      <c r="AC162" s="30"/>
      <c r="AD162" s="30" t="s">
        <v>53</v>
      </c>
      <c r="AE162" s="30" t="s">
        <v>53</v>
      </c>
      <c r="AF162" s="30" t="s">
        <v>53</v>
      </c>
      <c r="AG162" s="30" t="s">
        <v>53</v>
      </c>
      <c r="AH162" s="30" t="s">
        <v>53</v>
      </c>
      <c r="AI162" s="30" t="s">
        <v>945</v>
      </c>
      <c r="AJ162" s="30" t="s">
        <v>142</v>
      </c>
      <c r="AK162" s="30" t="s">
        <v>1488</v>
      </c>
      <c r="AL162" s="30" t="s">
        <v>184</v>
      </c>
      <c r="AM162" s="30" t="s">
        <v>53</v>
      </c>
      <c r="AN162" s="30" t="s">
        <v>954</v>
      </c>
      <c r="AO162" s="30" t="s">
        <v>53</v>
      </c>
      <c r="AP162" s="30" t="s">
        <v>53</v>
      </c>
      <c r="AQ162" s="30" t="s">
        <v>53</v>
      </c>
      <c r="AR162" s="30" t="s">
        <v>53</v>
      </c>
      <c r="AS162" s="30" t="s">
        <v>53</v>
      </c>
      <c r="AT162" s="30" t="s">
        <v>1025</v>
      </c>
      <c r="AU162" s="30" t="s">
        <v>53</v>
      </c>
      <c r="AV162" s="34">
        <v>167426766655</v>
      </c>
    </row>
    <row r="163" spans="2:48" ht="15" customHeight="1">
      <c r="B163" s="28">
        <v>157</v>
      </c>
      <c r="C163" s="29" t="s">
        <v>1489</v>
      </c>
      <c r="D163" s="30" t="s">
        <v>53</v>
      </c>
      <c r="E163" s="31" t="s">
        <v>1490</v>
      </c>
      <c r="F163" s="31" t="s">
        <v>53</v>
      </c>
      <c r="G163" s="32" t="s">
        <v>1491</v>
      </c>
      <c r="H163" s="30" t="s">
        <v>64</v>
      </c>
      <c r="I163" s="30" t="s">
        <v>584</v>
      </c>
      <c r="J163" s="32" t="s">
        <v>585</v>
      </c>
      <c r="K163" s="30" t="s">
        <v>235</v>
      </c>
      <c r="L163" s="32" t="s">
        <v>236</v>
      </c>
      <c r="M163" s="30" t="s">
        <v>953</v>
      </c>
      <c r="N163" s="30" t="s">
        <v>943</v>
      </c>
      <c r="O163" s="33">
        <v>2</v>
      </c>
      <c r="P163" s="33">
        <v>559878</v>
      </c>
      <c r="Q163" s="33">
        <v>0</v>
      </c>
      <c r="R163" s="33">
        <v>0</v>
      </c>
      <c r="S163" s="33">
        <v>0</v>
      </c>
      <c r="T163" s="33">
        <v>0</v>
      </c>
      <c r="U163" s="33">
        <v>0</v>
      </c>
      <c r="V163" s="33">
        <v>0</v>
      </c>
      <c r="W163" s="33" t="s">
        <v>53</v>
      </c>
      <c r="X163" s="33">
        <v>1</v>
      </c>
      <c r="Y163" s="30" t="s">
        <v>66</v>
      </c>
      <c r="Z163" s="30" t="s">
        <v>153</v>
      </c>
      <c r="AA163" s="30" t="s">
        <v>167</v>
      </c>
      <c r="AB163" s="30" t="s">
        <v>509</v>
      </c>
      <c r="AC163" s="30">
        <v>29</v>
      </c>
      <c r="AD163" s="30" t="s">
        <v>53</v>
      </c>
      <c r="AE163" s="30" t="s">
        <v>53</v>
      </c>
      <c r="AF163" s="30" t="s">
        <v>944</v>
      </c>
      <c r="AG163" s="30" t="s">
        <v>53</v>
      </c>
      <c r="AH163" s="30" t="s">
        <v>53</v>
      </c>
      <c r="AI163" s="30" t="s">
        <v>945</v>
      </c>
      <c r="AJ163" s="30" t="s">
        <v>142</v>
      </c>
      <c r="AK163" s="30" t="s">
        <v>238</v>
      </c>
      <c r="AL163" s="30" t="s">
        <v>238</v>
      </c>
      <c r="AM163" s="30" t="s">
        <v>53</v>
      </c>
      <c r="AN163" s="30" t="s">
        <v>954</v>
      </c>
      <c r="AO163" s="30" t="s">
        <v>53</v>
      </c>
      <c r="AP163" s="30" t="s">
        <v>53</v>
      </c>
      <c r="AQ163" s="30" t="s">
        <v>53</v>
      </c>
      <c r="AR163" s="30" t="s">
        <v>53</v>
      </c>
      <c r="AS163" s="30" t="s">
        <v>53</v>
      </c>
      <c r="AT163" s="30" t="s">
        <v>1012</v>
      </c>
      <c r="AU163" s="30" t="s">
        <v>53</v>
      </c>
      <c r="AV163" s="34">
        <v>167426202551</v>
      </c>
    </row>
    <row r="164" spans="2:48" ht="15" customHeight="1">
      <c r="B164" s="28">
        <v>158</v>
      </c>
      <c r="C164" s="29" t="s">
        <v>1492</v>
      </c>
      <c r="D164" s="30" t="s">
        <v>53</v>
      </c>
      <c r="E164" s="31" t="s">
        <v>1493</v>
      </c>
      <c r="F164" s="31" t="s">
        <v>53</v>
      </c>
      <c r="G164" s="32" t="s">
        <v>1494</v>
      </c>
      <c r="H164" s="30" t="s">
        <v>67</v>
      </c>
      <c r="I164" s="30" t="s">
        <v>622</v>
      </c>
      <c r="J164" s="32" t="s">
        <v>769</v>
      </c>
      <c r="K164" s="30" t="s">
        <v>430</v>
      </c>
      <c r="L164" s="32" t="s">
        <v>431</v>
      </c>
      <c r="M164" s="30" t="s">
        <v>953</v>
      </c>
      <c r="N164" s="30" t="s">
        <v>974</v>
      </c>
      <c r="O164" s="33"/>
      <c r="P164" s="33">
        <v>1944</v>
      </c>
      <c r="Q164" s="33">
        <v>0</v>
      </c>
      <c r="R164" s="33">
        <v>0</v>
      </c>
      <c r="S164" s="33">
        <v>3</v>
      </c>
      <c r="T164" s="33">
        <v>3</v>
      </c>
      <c r="U164" s="33">
        <v>0</v>
      </c>
      <c r="V164" s="33">
        <v>0</v>
      </c>
      <c r="W164" s="33" t="s">
        <v>53</v>
      </c>
      <c r="X164" s="33">
        <v>1</v>
      </c>
      <c r="Y164" s="30" t="s">
        <v>69</v>
      </c>
      <c r="Z164" s="30" t="s">
        <v>156</v>
      </c>
      <c r="AA164" s="30" t="s">
        <v>167</v>
      </c>
      <c r="AB164" s="30"/>
      <c r="AC164" s="30"/>
      <c r="AD164" s="30" t="s">
        <v>53</v>
      </c>
      <c r="AE164" s="30" t="s">
        <v>53</v>
      </c>
      <c r="AF164" s="30" t="s">
        <v>53</v>
      </c>
      <c r="AG164" s="30" t="s">
        <v>53</v>
      </c>
      <c r="AH164" s="30" t="s">
        <v>53</v>
      </c>
      <c r="AI164" s="30" t="s">
        <v>945</v>
      </c>
      <c r="AJ164" s="30" t="s">
        <v>53</v>
      </c>
      <c r="AK164" s="30" t="s">
        <v>53</v>
      </c>
      <c r="AL164" s="30" t="s">
        <v>53</v>
      </c>
      <c r="AM164" s="30" t="s">
        <v>53</v>
      </c>
      <c r="AN164" s="30" t="s">
        <v>954</v>
      </c>
      <c r="AO164" s="30" t="s">
        <v>53</v>
      </c>
      <c r="AP164" s="30" t="s">
        <v>53</v>
      </c>
      <c r="AQ164" s="30" t="s">
        <v>53</v>
      </c>
      <c r="AR164" s="30" t="s">
        <v>53</v>
      </c>
      <c r="AS164" s="30" t="s">
        <v>53</v>
      </c>
      <c r="AT164" s="30" t="s">
        <v>1012</v>
      </c>
      <c r="AU164" s="30" t="s">
        <v>53</v>
      </c>
      <c r="AV164" s="34">
        <v>167425850062</v>
      </c>
    </row>
    <row r="165" spans="2:48" ht="15" customHeight="1">
      <c r="B165" s="28">
        <v>159</v>
      </c>
      <c r="C165" s="29" t="s">
        <v>1495</v>
      </c>
      <c r="D165" s="30" t="s">
        <v>1496</v>
      </c>
      <c r="E165" s="31" t="s">
        <v>1497</v>
      </c>
      <c r="F165" s="31" t="s">
        <v>53</v>
      </c>
      <c r="G165" s="32" t="s">
        <v>1498</v>
      </c>
      <c r="H165" s="30" t="s">
        <v>116</v>
      </c>
      <c r="I165" s="30" t="s">
        <v>650</v>
      </c>
      <c r="J165" s="32" t="s">
        <v>651</v>
      </c>
      <c r="K165" s="30" t="s">
        <v>181</v>
      </c>
      <c r="L165" s="32" t="s">
        <v>462</v>
      </c>
      <c r="M165" s="30" t="s">
        <v>982</v>
      </c>
      <c r="N165" s="30" t="s">
        <v>974</v>
      </c>
      <c r="O165" s="33"/>
      <c r="P165" s="33">
        <v>0</v>
      </c>
      <c r="Q165" s="33">
        <v>0</v>
      </c>
      <c r="R165" s="33" t="s">
        <v>129</v>
      </c>
      <c r="S165" s="33">
        <v>0</v>
      </c>
      <c r="T165" s="33" t="s">
        <v>129</v>
      </c>
      <c r="U165" s="33" t="s">
        <v>129</v>
      </c>
      <c r="V165" s="33" t="s">
        <v>129</v>
      </c>
      <c r="W165" s="33" t="s">
        <v>983</v>
      </c>
      <c r="X165" s="33">
        <v>1</v>
      </c>
      <c r="Y165" s="30" t="s">
        <v>75</v>
      </c>
      <c r="Z165" s="30" t="s">
        <v>156</v>
      </c>
      <c r="AA165" s="30" t="s">
        <v>156</v>
      </c>
      <c r="AB165" s="30" t="s">
        <v>509</v>
      </c>
      <c r="AC165" s="30"/>
      <c r="AD165" s="30" t="s">
        <v>53</v>
      </c>
      <c r="AE165" s="30" t="s">
        <v>53</v>
      </c>
      <c r="AF165" s="30" t="s">
        <v>53</v>
      </c>
      <c r="AG165" s="30" t="s">
        <v>53</v>
      </c>
      <c r="AH165" s="30" t="s">
        <v>53</v>
      </c>
      <c r="AI165" s="30" t="s">
        <v>945</v>
      </c>
      <c r="AJ165" s="30" t="s">
        <v>142</v>
      </c>
      <c r="AK165" s="30" t="s">
        <v>53</v>
      </c>
      <c r="AL165" s="30" t="s">
        <v>53</v>
      </c>
      <c r="AM165" s="30" t="s">
        <v>53</v>
      </c>
      <c r="AN165" s="30" t="s">
        <v>954</v>
      </c>
      <c r="AO165" s="30" t="s">
        <v>53</v>
      </c>
      <c r="AP165" s="30" t="s">
        <v>53</v>
      </c>
      <c r="AQ165" s="30" t="s">
        <v>53</v>
      </c>
      <c r="AR165" s="30" t="s">
        <v>53</v>
      </c>
      <c r="AS165" s="30" t="s">
        <v>53</v>
      </c>
      <c r="AT165" s="30" t="s">
        <v>1012</v>
      </c>
      <c r="AU165" s="30" t="s">
        <v>53</v>
      </c>
      <c r="AV165" s="34">
        <v>167425719794</v>
      </c>
    </row>
    <row r="166" spans="2:48" ht="15" customHeight="1">
      <c r="B166" s="28">
        <v>160</v>
      </c>
      <c r="C166" s="29" t="s">
        <v>1499</v>
      </c>
      <c r="D166" s="30" t="s">
        <v>53</v>
      </c>
      <c r="E166" s="31" t="s">
        <v>1500</v>
      </c>
      <c r="F166" s="31" t="s">
        <v>53</v>
      </c>
      <c r="G166" s="32" t="s">
        <v>1501</v>
      </c>
      <c r="H166" s="30" t="s">
        <v>64</v>
      </c>
      <c r="I166" s="30" t="s">
        <v>584</v>
      </c>
      <c r="J166" s="32" t="s">
        <v>585</v>
      </c>
      <c r="K166" s="30" t="s">
        <v>342</v>
      </c>
      <c r="L166" s="32" t="s">
        <v>343</v>
      </c>
      <c r="M166" s="30" t="s">
        <v>953</v>
      </c>
      <c r="N166" s="30" t="s">
        <v>943</v>
      </c>
      <c r="O166" s="33">
        <v>2</v>
      </c>
      <c r="P166" s="33">
        <v>17881</v>
      </c>
      <c r="Q166" s="33">
        <v>0</v>
      </c>
      <c r="R166" s="33">
        <v>0</v>
      </c>
      <c r="S166" s="33">
        <v>2</v>
      </c>
      <c r="T166" s="33">
        <v>2</v>
      </c>
      <c r="U166" s="33">
        <v>0</v>
      </c>
      <c r="V166" s="33">
        <v>0</v>
      </c>
      <c r="W166" s="33" t="s">
        <v>53</v>
      </c>
      <c r="X166" s="33">
        <v>1</v>
      </c>
      <c r="Y166" s="30" t="s">
        <v>66</v>
      </c>
      <c r="Z166" s="30" t="s">
        <v>153</v>
      </c>
      <c r="AA166" s="30" t="s">
        <v>167</v>
      </c>
      <c r="AB166" s="30" t="s">
        <v>509</v>
      </c>
      <c r="AC166" s="30">
        <v>29</v>
      </c>
      <c r="AD166" s="30" t="s">
        <v>53</v>
      </c>
      <c r="AE166" s="30" t="s">
        <v>53</v>
      </c>
      <c r="AF166" s="30" t="s">
        <v>944</v>
      </c>
      <c r="AG166" s="30" t="s">
        <v>53</v>
      </c>
      <c r="AH166" s="30" t="s">
        <v>53</v>
      </c>
      <c r="AI166" s="30" t="s">
        <v>945</v>
      </c>
      <c r="AJ166" s="30" t="s">
        <v>142</v>
      </c>
      <c r="AK166" s="30" t="s">
        <v>1071</v>
      </c>
      <c r="AL166" s="30" t="s">
        <v>344</v>
      </c>
      <c r="AM166" s="30" t="s">
        <v>53</v>
      </c>
      <c r="AN166" s="30" t="s">
        <v>954</v>
      </c>
      <c r="AO166" s="30" t="s">
        <v>53</v>
      </c>
      <c r="AP166" s="30" t="s">
        <v>53</v>
      </c>
      <c r="AQ166" s="30" t="s">
        <v>53</v>
      </c>
      <c r="AR166" s="30" t="s">
        <v>53</v>
      </c>
      <c r="AS166" s="30" t="s">
        <v>53</v>
      </c>
      <c r="AT166" s="30" t="s">
        <v>1012</v>
      </c>
      <c r="AU166" s="30" t="s">
        <v>53</v>
      </c>
      <c r="AV166" s="34">
        <v>167425258139</v>
      </c>
    </row>
    <row r="167" spans="2:48" ht="15" customHeight="1">
      <c r="B167" s="28">
        <v>161</v>
      </c>
      <c r="C167" s="29" t="s">
        <v>1502</v>
      </c>
      <c r="D167" s="30" t="s">
        <v>53</v>
      </c>
      <c r="E167" s="31" t="s">
        <v>1503</v>
      </c>
      <c r="F167" s="31" t="s">
        <v>53</v>
      </c>
      <c r="G167" s="32" t="s">
        <v>1504</v>
      </c>
      <c r="H167" s="30" t="s">
        <v>70</v>
      </c>
      <c r="I167" s="30" t="s">
        <v>569</v>
      </c>
      <c r="J167" s="32" t="s">
        <v>940</v>
      </c>
      <c r="K167" s="30" t="s">
        <v>150</v>
      </c>
      <c r="L167" s="32" t="s">
        <v>941</v>
      </c>
      <c r="M167" s="30" t="s">
        <v>942</v>
      </c>
      <c r="N167" s="30" t="s">
        <v>943</v>
      </c>
      <c r="O167" s="33"/>
      <c r="P167" s="33">
        <v>4373</v>
      </c>
      <c r="Q167" s="33">
        <v>0</v>
      </c>
      <c r="R167" s="33">
        <v>0</v>
      </c>
      <c r="S167" s="33">
        <v>0</v>
      </c>
      <c r="T167" s="33">
        <v>0</v>
      </c>
      <c r="U167" s="33">
        <v>0</v>
      </c>
      <c r="V167" s="33">
        <v>0</v>
      </c>
      <c r="W167" s="33" t="s">
        <v>53</v>
      </c>
      <c r="X167" s="33">
        <v>1</v>
      </c>
      <c r="Y167" s="30" t="s">
        <v>72</v>
      </c>
      <c r="Z167" s="30" t="s">
        <v>153</v>
      </c>
      <c r="AA167" s="30" t="s">
        <v>167</v>
      </c>
      <c r="AB167" s="30" t="s">
        <v>508</v>
      </c>
      <c r="AC167" s="30"/>
      <c r="AD167" s="30" t="s">
        <v>53</v>
      </c>
      <c r="AE167" s="30" t="s">
        <v>53</v>
      </c>
      <c r="AF167" s="30" t="s">
        <v>944</v>
      </c>
      <c r="AG167" s="30" t="s">
        <v>53</v>
      </c>
      <c r="AH167" s="30" t="s">
        <v>53</v>
      </c>
      <c r="AI167" s="30" t="s">
        <v>945</v>
      </c>
      <c r="AJ167" s="30" t="s">
        <v>53</v>
      </c>
      <c r="AK167" s="30" t="s">
        <v>53</v>
      </c>
      <c r="AL167" s="30" t="s">
        <v>53</v>
      </c>
      <c r="AM167" s="30" t="s">
        <v>53</v>
      </c>
      <c r="AN167" s="30" t="s">
        <v>53</v>
      </c>
      <c r="AO167" s="30" t="s">
        <v>53</v>
      </c>
      <c r="AP167" s="30" t="s">
        <v>53</v>
      </c>
      <c r="AQ167" s="30" t="s">
        <v>53</v>
      </c>
      <c r="AR167" s="30" t="s">
        <v>53</v>
      </c>
      <c r="AS167" s="30" t="s">
        <v>53</v>
      </c>
      <c r="AT167" s="30" t="s">
        <v>946</v>
      </c>
      <c r="AU167" s="30" t="s">
        <v>53</v>
      </c>
      <c r="AV167" s="34">
        <v>167421302081</v>
      </c>
    </row>
    <row r="168" spans="2:48" ht="15" customHeight="1">
      <c r="B168" s="28">
        <v>162</v>
      </c>
      <c r="C168" s="29" t="s">
        <v>1505</v>
      </c>
      <c r="D168" s="30" t="s">
        <v>53</v>
      </c>
      <c r="E168" s="31" t="s">
        <v>1506</v>
      </c>
      <c r="F168" s="31" t="s">
        <v>53</v>
      </c>
      <c r="G168" s="32" t="s">
        <v>1507</v>
      </c>
      <c r="H168" s="30" t="s">
        <v>70</v>
      </c>
      <c r="I168" s="30" t="s">
        <v>569</v>
      </c>
      <c r="J168" s="32" t="s">
        <v>940</v>
      </c>
      <c r="K168" s="30" t="s">
        <v>150</v>
      </c>
      <c r="L168" s="32" t="s">
        <v>941</v>
      </c>
      <c r="M168" s="30" t="s">
        <v>942</v>
      </c>
      <c r="N168" s="30" t="s">
        <v>943</v>
      </c>
      <c r="O168" s="33"/>
      <c r="P168" s="33">
        <v>4373</v>
      </c>
      <c r="Q168" s="33">
        <v>0</v>
      </c>
      <c r="R168" s="33">
        <v>0</v>
      </c>
      <c r="S168" s="33">
        <v>0</v>
      </c>
      <c r="T168" s="33">
        <v>0</v>
      </c>
      <c r="U168" s="33">
        <v>0</v>
      </c>
      <c r="V168" s="33">
        <v>0</v>
      </c>
      <c r="W168" s="33" t="s">
        <v>53</v>
      </c>
      <c r="X168" s="33">
        <v>1</v>
      </c>
      <c r="Y168" s="30" t="s">
        <v>72</v>
      </c>
      <c r="Z168" s="30" t="s">
        <v>153</v>
      </c>
      <c r="AA168" s="30" t="s">
        <v>167</v>
      </c>
      <c r="AB168" s="30" t="s">
        <v>508</v>
      </c>
      <c r="AC168" s="30"/>
      <c r="AD168" s="30" t="s">
        <v>53</v>
      </c>
      <c r="AE168" s="30" t="s">
        <v>53</v>
      </c>
      <c r="AF168" s="30" t="s">
        <v>944</v>
      </c>
      <c r="AG168" s="30" t="s">
        <v>53</v>
      </c>
      <c r="AH168" s="30" t="s">
        <v>53</v>
      </c>
      <c r="AI168" s="30" t="s">
        <v>945</v>
      </c>
      <c r="AJ168" s="30" t="s">
        <v>53</v>
      </c>
      <c r="AK168" s="30" t="s">
        <v>53</v>
      </c>
      <c r="AL168" s="30" t="s">
        <v>53</v>
      </c>
      <c r="AM168" s="30" t="s">
        <v>53</v>
      </c>
      <c r="AN168" s="30" t="s">
        <v>53</v>
      </c>
      <c r="AO168" s="30" t="s">
        <v>53</v>
      </c>
      <c r="AP168" s="30" t="s">
        <v>53</v>
      </c>
      <c r="AQ168" s="30" t="s">
        <v>53</v>
      </c>
      <c r="AR168" s="30" t="s">
        <v>53</v>
      </c>
      <c r="AS168" s="30" t="s">
        <v>53</v>
      </c>
      <c r="AT168" s="30" t="s">
        <v>946</v>
      </c>
      <c r="AU168" s="30" t="s">
        <v>53</v>
      </c>
      <c r="AV168" s="34">
        <v>167419593400</v>
      </c>
    </row>
    <row r="169" spans="2:48" ht="15" customHeight="1">
      <c r="B169" s="28">
        <v>163</v>
      </c>
      <c r="C169" s="29" t="s">
        <v>1508</v>
      </c>
      <c r="D169" s="30" t="s">
        <v>193</v>
      </c>
      <c r="E169" s="31" t="s">
        <v>1509</v>
      </c>
      <c r="F169" s="31" t="s">
        <v>53</v>
      </c>
      <c r="G169" s="32" t="s">
        <v>1510</v>
      </c>
      <c r="H169" s="30" t="s">
        <v>73</v>
      </c>
      <c r="I169" s="30" t="s">
        <v>579</v>
      </c>
      <c r="J169" s="32" t="s">
        <v>580</v>
      </c>
      <c r="K169" s="30" t="s">
        <v>261</v>
      </c>
      <c r="L169" s="32" t="s">
        <v>262</v>
      </c>
      <c r="M169" s="30" t="s">
        <v>1390</v>
      </c>
      <c r="N169" s="30" t="s">
        <v>943</v>
      </c>
      <c r="O169" s="33"/>
      <c r="P169" s="33">
        <v>0</v>
      </c>
      <c r="Q169" s="33">
        <v>0</v>
      </c>
      <c r="R169" s="33" t="s">
        <v>129</v>
      </c>
      <c r="S169" s="33">
        <v>0</v>
      </c>
      <c r="T169" s="33" t="s">
        <v>129</v>
      </c>
      <c r="U169" s="33" t="s">
        <v>129</v>
      </c>
      <c r="V169" s="33" t="s">
        <v>129</v>
      </c>
      <c r="W169" s="33" t="s">
        <v>53</v>
      </c>
      <c r="X169" s="33">
        <v>1</v>
      </c>
      <c r="Y169" s="30" t="s">
        <v>75</v>
      </c>
      <c r="Z169" s="30" t="s">
        <v>156</v>
      </c>
      <c r="AA169" s="30" t="s">
        <v>156</v>
      </c>
      <c r="AB169" s="30"/>
      <c r="AC169" s="30"/>
      <c r="AD169" s="30" t="s">
        <v>53</v>
      </c>
      <c r="AE169" s="30" t="s">
        <v>53</v>
      </c>
      <c r="AF169" s="30" t="s">
        <v>53</v>
      </c>
      <c r="AG169" s="30" t="s">
        <v>53</v>
      </c>
      <c r="AH169" s="30" t="s">
        <v>53</v>
      </c>
      <c r="AI169" s="30" t="s">
        <v>945</v>
      </c>
      <c r="AJ169" s="30" t="s">
        <v>53</v>
      </c>
      <c r="AK169" s="30" t="s">
        <v>53</v>
      </c>
      <c r="AL169" s="30" t="s">
        <v>53</v>
      </c>
      <c r="AM169" s="30" t="s">
        <v>53</v>
      </c>
      <c r="AN169" s="30" t="s">
        <v>954</v>
      </c>
      <c r="AO169" s="30" t="s">
        <v>53</v>
      </c>
      <c r="AP169" s="30" t="s">
        <v>53</v>
      </c>
      <c r="AQ169" s="30" t="s">
        <v>53</v>
      </c>
      <c r="AR169" s="30" t="s">
        <v>53</v>
      </c>
      <c r="AS169" s="30" t="s">
        <v>53</v>
      </c>
      <c r="AT169" s="30" t="s">
        <v>946</v>
      </c>
      <c r="AU169" s="30" t="s">
        <v>53</v>
      </c>
      <c r="AV169" s="34">
        <v>167446102669</v>
      </c>
    </row>
    <row r="170" spans="2:48" ht="15" customHeight="1">
      <c r="B170" s="28">
        <v>164</v>
      </c>
      <c r="C170" s="29" t="s">
        <v>1511</v>
      </c>
      <c r="D170" s="30" t="s">
        <v>53</v>
      </c>
      <c r="E170" s="31" t="s">
        <v>1512</v>
      </c>
      <c r="F170" s="31" t="s">
        <v>53</v>
      </c>
      <c r="G170" s="32" t="s">
        <v>1513</v>
      </c>
      <c r="H170" s="30" t="s">
        <v>64</v>
      </c>
      <c r="I170" s="30" t="s">
        <v>572</v>
      </c>
      <c r="J170" s="32" t="s">
        <v>573</v>
      </c>
      <c r="K170" s="30" t="s">
        <v>157</v>
      </c>
      <c r="L170" s="32" t="s">
        <v>158</v>
      </c>
      <c r="M170" s="30" t="s">
        <v>953</v>
      </c>
      <c r="N170" s="30" t="s">
        <v>974</v>
      </c>
      <c r="O170" s="33">
        <v>1</v>
      </c>
      <c r="P170" s="33">
        <v>8644</v>
      </c>
      <c r="Q170" s="33">
        <v>0</v>
      </c>
      <c r="R170" s="33">
        <v>0</v>
      </c>
      <c r="S170" s="33">
        <v>0</v>
      </c>
      <c r="T170" s="33">
        <v>0</v>
      </c>
      <c r="U170" s="33">
        <v>0</v>
      </c>
      <c r="V170" s="33">
        <v>0</v>
      </c>
      <c r="W170" s="33" t="s">
        <v>53</v>
      </c>
      <c r="X170" s="33">
        <v>1</v>
      </c>
      <c r="Y170" s="30" t="s">
        <v>66</v>
      </c>
      <c r="Z170" s="30" t="s">
        <v>153</v>
      </c>
      <c r="AA170" s="30" t="s">
        <v>167</v>
      </c>
      <c r="AB170" s="30" t="s">
        <v>509</v>
      </c>
      <c r="AC170" s="30">
        <v>47</v>
      </c>
      <c r="AD170" s="30" t="s">
        <v>53</v>
      </c>
      <c r="AE170" s="30" t="s">
        <v>53</v>
      </c>
      <c r="AF170" s="30" t="s">
        <v>53</v>
      </c>
      <c r="AG170" s="30" t="s">
        <v>53</v>
      </c>
      <c r="AH170" s="30" t="s">
        <v>53</v>
      </c>
      <c r="AI170" s="30" t="s">
        <v>945</v>
      </c>
      <c r="AJ170" s="30" t="s">
        <v>142</v>
      </c>
      <c r="AK170" s="30" t="s">
        <v>1112</v>
      </c>
      <c r="AL170" s="30" t="s">
        <v>160</v>
      </c>
      <c r="AM170" s="30" t="s">
        <v>53</v>
      </c>
      <c r="AN170" s="30" t="s">
        <v>954</v>
      </c>
      <c r="AO170" s="30" t="s">
        <v>53</v>
      </c>
      <c r="AP170" s="30" t="s">
        <v>53</v>
      </c>
      <c r="AQ170" s="30" t="s">
        <v>53</v>
      </c>
      <c r="AR170" s="30" t="s">
        <v>53</v>
      </c>
      <c r="AS170" s="30" t="s">
        <v>53</v>
      </c>
      <c r="AT170" s="30" t="s">
        <v>946</v>
      </c>
      <c r="AU170" s="30" t="s">
        <v>53</v>
      </c>
      <c r="AV170" s="34">
        <v>167397407218</v>
      </c>
    </row>
    <row r="171" spans="2:48" ht="15" customHeight="1">
      <c r="B171" s="28">
        <v>165</v>
      </c>
      <c r="C171" s="29" t="s">
        <v>1514</v>
      </c>
      <c r="D171" s="30" t="s">
        <v>53</v>
      </c>
      <c r="E171" s="31" t="s">
        <v>1515</v>
      </c>
      <c r="F171" s="31" t="s">
        <v>53</v>
      </c>
      <c r="G171" s="32" t="s">
        <v>1516</v>
      </c>
      <c r="H171" s="30" t="s">
        <v>70</v>
      </c>
      <c r="I171" s="30" t="s">
        <v>701</v>
      </c>
      <c r="J171" s="32" t="s">
        <v>1517</v>
      </c>
      <c r="K171" s="30" t="s">
        <v>454</v>
      </c>
      <c r="L171" s="32" t="s">
        <v>1518</v>
      </c>
      <c r="M171" s="30" t="s">
        <v>942</v>
      </c>
      <c r="N171" s="30" t="s">
        <v>943</v>
      </c>
      <c r="O171" s="33"/>
      <c r="P171" s="33">
        <v>15117</v>
      </c>
      <c r="Q171" s="33">
        <v>0</v>
      </c>
      <c r="R171" s="33">
        <v>0</v>
      </c>
      <c r="S171" s="33">
        <v>0</v>
      </c>
      <c r="T171" s="33">
        <v>0</v>
      </c>
      <c r="U171" s="33">
        <v>0</v>
      </c>
      <c r="V171" s="33">
        <v>0</v>
      </c>
      <c r="W171" s="33" t="s">
        <v>53</v>
      </c>
      <c r="X171" s="33">
        <v>1</v>
      </c>
      <c r="Y171" s="30" t="s">
        <v>72</v>
      </c>
      <c r="Z171" s="30" t="s">
        <v>153</v>
      </c>
      <c r="AA171" s="30" t="s">
        <v>167</v>
      </c>
      <c r="AB171" s="30" t="s">
        <v>508</v>
      </c>
      <c r="AC171" s="30"/>
      <c r="AD171" s="30" t="s">
        <v>53</v>
      </c>
      <c r="AE171" s="30" t="s">
        <v>53</v>
      </c>
      <c r="AF171" s="30" t="s">
        <v>53</v>
      </c>
      <c r="AG171" s="30" t="s">
        <v>53</v>
      </c>
      <c r="AH171" s="30" t="s">
        <v>53</v>
      </c>
      <c r="AI171" s="30" t="s">
        <v>945</v>
      </c>
      <c r="AJ171" s="30" t="s">
        <v>53</v>
      </c>
      <c r="AK171" s="30" t="s">
        <v>53</v>
      </c>
      <c r="AL171" s="30" t="s">
        <v>53</v>
      </c>
      <c r="AM171" s="30" t="s">
        <v>53</v>
      </c>
      <c r="AN171" s="30" t="s">
        <v>53</v>
      </c>
      <c r="AO171" s="30" t="s">
        <v>53</v>
      </c>
      <c r="AP171" s="30" t="s">
        <v>53</v>
      </c>
      <c r="AQ171" s="30" t="s">
        <v>53</v>
      </c>
      <c r="AR171" s="30" t="s">
        <v>53</v>
      </c>
      <c r="AS171" s="30" t="s">
        <v>53</v>
      </c>
      <c r="AT171" s="30" t="s">
        <v>946</v>
      </c>
      <c r="AU171" s="30" t="s">
        <v>53</v>
      </c>
      <c r="AV171" s="34">
        <v>167396008740</v>
      </c>
    </row>
    <row r="172" spans="2:48" ht="15" customHeight="1">
      <c r="B172" s="28">
        <v>166</v>
      </c>
      <c r="C172" s="29" t="s">
        <v>1519</v>
      </c>
      <c r="D172" s="30" t="s">
        <v>1520</v>
      </c>
      <c r="E172" s="31" t="s">
        <v>1521</v>
      </c>
      <c r="F172" s="31" t="s">
        <v>53</v>
      </c>
      <c r="G172" s="32" t="s">
        <v>262</v>
      </c>
      <c r="H172" s="30" t="s">
        <v>73</v>
      </c>
      <c r="I172" s="30" t="s">
        <v>650</v>
      </c>
      <c r="J172" s="32" t="s">
        <v>668</v>
      </c>
      <c r="K172" s="30" t="s">
        <v>261</v>
      </c>
      <c r="L172" s="32" t="s">
        <v>262</v>
      </c>
      <c r="M172" s="30" t="s">
        <v>1397</v>
      </c>
      <c r="N172" s="30" t="s">
        <v>943</v>
      </c>
      <c r="O172" s="33"/>
      <c r="P172" s="33">
        <v>0</v>
      </c>
      <c r="Q172" s="33">
        <v>0</v>
      </c>
      <c r="R172" s="33" t="s">
        <v>129</v>
      </c>
      <c r="S172" s="33">
        <v>0</v>
      </c>
      <c r="T172" s="33" t="s">
        <v>129</v>
      </c>
      <c r="U172" s="33" t="s">
        <v>129</v>
      </c>
      <c r="V172" s="33" t="s">
        <v>129</v>
      </c>
      <c r="W172" s="33" t="s">
        <v>53</v>
      </c>
      <c r="X172" s="33">
        <v>1</v>
      </c>
      <c r="Y172" s="30" t="s">
        <v>75</v>
      </c>
      <c r="Z172" s="30" t="s">
        <v>156</v>
      </c>
      <c r="AA172" s="30" t="s">
        <v>156</v>
      </c>
      <c r="AB172" s="30" t="s">
        <v>509</v>
      </c>
      <c r="AC172" s="30"/>
      <c r="AD172" s="30" t="s">
        <v>53</v>
      </c>
      <c r="AE172" s="30" t="s">
        <v>53</v>
      </c>
      <c r="AF172" s="30" t="s">
        <v>53</v>
      </c>
      <c r="AG172" s="30" t="s">
        <v>53</v>
      </c>
      <c r="AH172" s="30" t="s">
        <v>53</v>
      </c>
      <c r="AI172" s="30" t="s">
        <v>945</v>
      </c>
      <c r="AJ172" s="30" t="s">
        <v>142</v>
      </c>
      <c r="AK172" s="30" t="s">
        <v>1320</v>
      </c>
      <c r="AL172" s="30" t="s">
        <v>264</v>
      </c>
      <c r="AM172" s="30" t="s">
        <v>53</v>
      </c>
      <c r="AN172" s="30" t="s">
        <v>954</v>
      </c>
      <c r="AO172" s="30" t="s">
        <v>53</v>
      </c>
      <c r="AP172" s="30" t="s">
        <v>53</v>
      </c>
      <c r="AQ172" s="30" t="s">
        <v>53</v>
      </c>
      <c r="AR172" s="30" t="s">
        <v>53</v>
      </c>
      <c r="AS172" s="30" t="s">
        <v>53</v>
      </c>
      <c r="AT172" s="30" t="s">
        <v>946</v>
      </c>
      <c r="AU172" s="30" t="s">
        <v>53</v>
      </c>
      <c r="AV172" s="34">
        <v>167449057081</v>
      </c>
    </row>
    <row r="173" spans="2:48" ht="15" customHeight="1">
      <c r="B173" s="28">
        <v>167</v>
      </c>
      <c r="C173" s="29" t="s">
        <v>1522</v>
      </c>
      <c r="D173" s="30" t="s">
        <v>53</v>
      </c>
      <c r="E173" s="31" t="s">
        <v>1523</v>
      </c>
      <c r="F173" s="31" t="s">
        <v>53</v>
      </c>
      <c r="G173" s="32" t="s">
        <v>1524</v>
      </c>
      <c r="H173" s="30" t="s">
        <v>64</v>
      </c>
      <c r="I173" s="30" t="s">
        <v>592</v>
      </c>
      <c r="J173" s="32" t="s">
        <v>593</v>
      </c>
      <c r="K173" s="30" t="s">
        <v>304</v>
      </c>
      <c r="L173" s="32" t="s">
        <v>305</v>
      </c>
      <c r="M173" s="30" t="s">
        <v>953</v>
      </c>
      <c r="N173" s="30" t="s">
        <v>974</v>
      </c>
      <c r="O173" s="33">
        <v>1</v>
      </c>
      <c r="P173" s="33">
        <v>25816</v>
      </c>
      <c r="Q173" s="33">
        <v>0</v>
      </c>
      <c r="R173" s="33">
        <v>0</v>
      </c>
      <c r="S173" s="33">
        <v>0</v>
      </c>
      <c r="T173" s="33">
        <v>0</v>
      </c>
      <c r="U173" s="33">
        <v>0</v>
      </c>
      <c r="V173" s="33">
        <v>0</v>
      </c>
      <c r="W173" s="33" t="s">
        <v>53</v>
      </c>
      <c r="X173" s="33">
        <v>1</v>
      </c>
      <c r="Y173" s="30" t="s">
        <v>66</v>
      </c>
      <c r="Z173" s="30" t="s">
        <v>153</v>
      </c>
      <c r="AA173" s="30" t="s">
        <v>167</v>
      </c>
      <c r="AB173" s="30" t="s">
        <v>509</v>
      </c>
      <c r="AC173" s="30">
        <v>36</v>
      </c>
      <c r="AD173" s="30" t="s">
        <v>53</v>
      </c>
      <c r="AE173" s="30" t="s">
        <v>53</v>
      </c>
      <c r="AF173" s="30" t="s">
        <v>53</v>
      </c>
      <c r="AG173" s="30" t="s">
        <v>53</v>
      </c>
      <c r="AH173" s="30" t="s">
        <v>53</v>
      </c>
      <c r="AI173" s="30" t="s">
        <v>945</v>
      </c>
      <c r="AJ173" s="30" t="s">
        <v>142</v>
      </c>
      <c r="AK173" s="30" t="s">
        <v>1525</v>
      </c>
      <c r="AL173" s="30" t="s">
        <v>307</v>
      </c>
      <c r="AM173" s="30" t="s">
        <v>53</v>
      </c>
      <c r="AN173" s="30" t="s">
        <v>954</v>
      </c>
      <c r="AO173" s="30" t="s">
        <v>53</v>
      </c>
      <c r="AP173" s="30" t="s">
        <v>53</v>
      </c>
      <c r="AQ173" s="30" t="s">
        <v>53</v>
      </c>
      <c r="AR173" s="30" t="s">
        <v>53</v>
      </c>
      <c r="AS173" s="30" t="s">
        <v>53</v>
      </c>
      <c r="AT173" s="30" t="s">
        <v>946</v>
      </c>
      <c r="AU173" s="30" t="s">
        <v>53</v>
      </c>
      <c r="AV173" s="34">
        <v>167381763230</v>
      </c>
    </row>
    <row r="174" spans="2:48" ht="15" customHeight="1">
      <c r="B174" s="28">
        <v>168</v>
      </c>
      <c r="C174" s="29" t="s">
        <v>1526</v>
      </c>
      <c r="D174" s="30" t="s">
        <v>53</v>
      </c>
      <c r="E174" s="31" t="s">
        <v>1527</v>
      </c>
      <c r="F174" s="31" t="s">
        <v>53</v>
      </c>
      <c r="G174" s="32" t="s">
        <v>1528</v>
      </c>
      <c r="H174" s="30" t="s">
        <v>64</v>
      </c>
      <c r="I174" s="30" t="s">
        <v>666</v>
      </c>
      <c r="J174" s="32" t="s">
        <v>667</v>
      </c>
      <c r="K174" s="30" t="s">
        <v>350</v>
      </c>
      <c r="L174" s="32" t="s">
        <v>351</v>
      </c>
      <c r="M174" s="30" t="s">
        <v>953</v>
      </c>
      <c r="N174" s="30" t="s">
        <v>974</v>
      </c>
      <c r="O174" s="33">
        <v>2</v>
      </c>
      <c r="P174" s="33">
        <v>50706</v>
      </c>
      <c r="Q174" s="33">
        <v>0</v>
      </c>
      <c r="R174" s="33">
        <v>0</v>
      </c>
      <c r="S174" s="33">
        <v>3</v>
      </c>
      <c r="T174" s="33">
        <v>3</v>
      </c>
      <c r="U174" s="33">
        <v>0</v>
      </c>
      <c r="V174" s="33">
        <v>0</v>
      </c>
      <c r="W174" s="33" t="s">
        <v>53</v>
      </c>
      <c r="X174" s="33">
        <v>1</v>
      </c>
      <c r="Y174" s="30" t="s">
        <v>66</v>
      </c>
      <c r="Z174" s="30" t="s">
        <v>153</v>
      </c>
      <c r="AA174" s="30" t="s">
        <v>167</v>
      </c>
      <c r="AB174" s="30" t="s">
        <v>509</v>
      </c>
      <c r="AC174" s="30">
        <v>46</v>
      </c>
      <c r="AD174" s="30" t="s">
        <v>53</v>
      </c>
      <c r="AE174" s="30" t="s">
        <v>53</v>
      </c>
      <c r="AF174" s="30" t="s">
        <v>53</v>
      </c>
      <c r="AG174" s="30" t="s">
        <v>53</v>
      </c>
      <c r="AH174" s="30" t="s">
        <v>53</v>
      </c>
      <c r="AI174" s="30" t="s">
        <v>945</v>
      </c>
      <c r="AJ174" s="30" t="s">
        <v>142</v>
      </c>
      <c r="AK174" s="30" t="s">
        <v>1529</v>
      </c>
      <c r="AL174" s="30" t="s">
        <v>353</v>
      </c>
      <c r="AM174" s="30" t="s">
        <v>53</v>
      </c>
      <c r="AN174" s="30" t="s">
        <v>954</v>
      </c>
      <c r="AO174" s="30" t="s">
        <v>53</v>
      </c>
      <c r="AP174" s="30" t="s">
        <v>53</v>
      </c>
      <c r="AQ174" s="30" t="s">
        <v>53</v>
      </c>
      <c r="AR174" s="30" t="s">
        <v>53</v>
      </c>
      <c r="AS174" s="30" t="s">
        <v>53</v>
      </c>
      <c r="AT174" s="30" t="s">
        <v>946</v>
      </c>
      <c r="AU174" s="30" t="s">
        <v>53</v>
      </c>
      <c r="AV174" s="34">
        <v>167371312858</v>
      </c>
    </row>
    <row r="175" spans="2:48" ht="15" customHeight="1">
      <c r="B175" s="28">
        <v>169</v>
      </c>
      <c r="C175" s="29" t="s">
        <v>1530</v>
      </c>
      <c r="D175" s="30" t="s">
        <v>53</v>
      </c>
      <c r="E175" s="31" t="s">
        <v>1531</v>
      </c>
      <c r="F175" s="31" t="s">
        <v>53</v>
      </c>
      <c r="G175" s="32" t="s">
        <v>1532</v>
      </c>
      <c r="H175" s="30" t="s">
        <v>67</v>
      </c>
      <c r="I175" s="30" t="s">
        <v>577</v>
      </c>
      <c r="J175" s="32" t="s">
        <v>578</v>
      </c>
      <c r="K175" s="30" t="s">
        <v>247</v>
      </c>
      <c r="L175" s="32" t="s">
        <v>248</v>
      </c>
      <c r="M175" s="30" t="s">
        <v>953</v>
      </c>
      <c r="N175" s="30" t="s">
        <v>974</v>
      </c>
      <c r="O175" s="33"/>
      <c r="P175" s="33">
        <v>41942</v>
      </c>
      <c r="Q175" s="33">
        <v>0</v>
      </c>
      <c r="R175" s="33">
        <v>0</v>
      </c>
      <c r="S175" s="33">
        <v>0</v>
      </c>
      <c r="T175" s="33">
        <v>0</v>
      </c>
      <c r="U175" s="33">
        <v>0</v>
      </c>
      <c r="V175" s="33">
        <v>0</v>
      </c>
      <c r="W175" s="33" t="s">
        <v>53</v>
      </c>
      <c r="X175" s="33">
        <v>1</v>
      </c>
      <c r="Y175" s="30" t="s">
        <v>69</v>
      </c>
      <c r="Z175" s="30" t="s">
        <v>156</v>
      </c>
      <c r="AA175" s="30" t="s">
        <v>156</v>
      </c>
      <c r="AB175" s="30"/>
      <c r="AC175" s="30"/>
      <c r="AD175" s="30" t="s">
        <v>53</v>
      </c>
      <c r="AE175" s="30" t="s">
        <v>53</v>
      </c>
      <c r="AF175" s="30" t="s">
        <v>53</v>
      </c>
      <c r="AG175" s="30" t="s">
        <v>53</v>
      </c>
      <c r="AH175" s="30" t="s">
        <v>53</v>
      </c>
      <c r="AI175" s="30" t="s">
        <v>945</v>
      </c>
      <c r="AJ175" s="30" t="s">
        <v>53</v>
      </c>
      <c r="AK175" s="30" t="s">
        <v>53</v>
      </c>
      <c r="AL175" s="30" t="s">
        <v>53</v>
      </c>
      <c r="AM175" s="30" t="s">
        <v>53</v>
      </c>
      <c r="AN175" s="30" t="s">
        <v>954</v>
      </c>
      <c r="AO175" s="30" t="s">
        <v>53</v>
      </c>
      <c r="AP175" s="30" t="s">
        <v>53</v>
      </c>
      <c r="AQ175" s="30" t="s">
        <v>53</v>
      </c>
      <c r="AR175" s="30" t="s">
        <v>53</v>
      </c>
      <c r="AS175" s="30" t="s">
        <v>53</v>
      </c>
      <c r="AT175" s="30" t="s">
        <v>1012</v>
      </c>
      <c r="AU175" s="30" t="s">
        <v>53</v>
      </c>
      <c r="AV175" s="34">
        <v>167361571665</v>
      </c>
    </row>
    <row r="176" spans="2:48" ht="15" customHeight="1">
      <c r="B176" s="28">
        <v>170</v>
      </c>
      <c r="C176" s="29" t="s">
        <v>1533</v>
      </c>
      <c r="D176" s="30" t="s">
        <v>53</v>
      </c>
      <c r="E176" s="31" t="s">
        <v>1534</v>
      </c>
      <c r="F176" s="31" t="s">
        <v>53</v>
      </c>
      <c r="G176" s="32" t="s">
        <v>1535</v>
      </c>
      <c r="H176" s="30" t="s">
        <v>64</v>
      </c>
      <c r="I176" s="30" t="s">
        <v>584</v>
      </c>
      <c r="J176" s="32" t="s">
        <v>585</v>
      </c>
      <c r="K176" s="30" t="s">
        <v>280</v>
      </c>
      <c r="L176" s="32" t="s">
        <v>281</v>
      </c>
      <c r="M176" s="30" t="s">
        <v>953</v>
      </c>
      <c r="N176" s="30" t="s">
        <v>943</v>
      </c>
      <c r="O176" s="33">
        <v>1</v>
      </c>
      <c r="P176" s="33">
        <v>8374</v>
      </c>
      <c r="Q176" s="33">
        <v>0</v>
      </c>
      <c r="R176" s="33">
        <v>0</v>
      </c>
      <c r="S176" s="33">
        <v>0</v>
      </c>
      <c r="T176" s="33">
        <v>0</v>
      </c>
      <c r="U176" s="33">
        <v>0</v>
      </c>
      <c r="V176" s="33">
        <v>0</v>
      </c>
      <c r="W176" s="33" t="s">
        <v>53</v>
      </c>
      <c r="X176" s="33">
        <v>1</v>
      </c>
      <c r="Y176" s="30" t="s">
        <v>66</v>
      </c>
      <c r="Z176" s="30" t="s">
        <v>153</v>
      </c>
      <c r="AA176" s="30" t="s">
        <v>167</v>
      </c>
      <c r="AB176" s="30" t="s">
        <v>509</v>
      </c>
      <c r="AC176" s="30">
        <v>29</v>
      </c>
      <c r="AD176" s="30" t="s">
        <v>53</v>
      </c>
      <c r="AE176" s="30" t="s">
        <v>53</v>
      </c>
      <c r="AF176" s="30" t="s">
        <v>944</v>
      </c>
      <c r="AG176" s="30" t="s">
        <v>53</v>
      </c>
      <c r="AH176" s="30" t="s">
        <v>53</v>
      </c>
      <c r="AI176" s="30" t="s">
        <v>945</v>
      </c>
      <c r="AJ176" s="30" t="s">
        <v>142</v>
      </c>
      <c r="AK176" s="30" t="s">
        <v>53</v>
      </c>
      <c r="AL176" s="30" t="s">
        <v>53</v>
      </c>
      <c r="AM176" s="30" t="s">
        <v>53</v>
      </c>
      <c r="AN176" s="30" t="s">
        <v>954</v>
      </c>
      <c r="AO176" s="30" t="s">
        <v>53</v>
      </c>
      <c r="AP176" s="30" t="s">
        <v>53</v>
      </c>
      <c r="AQ176" s="30" t="s">
        <v>53</v>
      </c>
      <c r="AR176" s="30" t="s">
        <v>53</v>
      </c>
      <c r="AS176" s="30" t="s">
        <v>53</v>
      </c>
      <c r="AT176" s="30" t="s">
        <v>1012</v>
      </c>
      <c r="AU176" s="30" t="s">
        <v>53</v>
      </c>
      <c r="AV176" s="34">
        <v>167360737434</v>
      </c>
    </row>
    <row r="177" spans="2:48" ht="15" customHeight="1">
      <c r="B177" s="28">
        <v>171</v>
      </c>
      <c r="C177" s="29" t="s">
        <v>1536</v>
      </c>
      <c r="D177" s="30" t="s">
        <v>53</v>
      </c>
      <c r="E177" s="31" t="s">
        <v>1537</v>
      </c>
      <c r="F177" s="31" t="s">
        <v>53</v>
      </c>
      <c r="G177" s="32" t="s">
        <v>1538</v>
      </c>
      <c r="H177" s="30" t="s">
        <v>64</v>
      </c>
      <c r="I177" s="30" t="s">
        <v>584</v>
      </c>
      <c r="J177" s="32" t="s">
        <v>585</v>
      </c>
      <c r="K177" s="30" t="s">
        <v>332</v>
      </c>
      <c r="L177" s="32" t="s">
        <v>333</v>
      </c>
      <c r="M177" s="30" t="s">
        <v>953</v>
      </c>
      <c r="N177" s="30" t="s">
        <v>943</v>
      </c>
      <c r="O177" s="33">
        <v>3</v>
      </c>
      <c r="P177" s="33">
        <v>22770</v>
      </c>
      <c r="Q177" s="33">
        <v>0</v>
      </c>
      <c r="R177" s="33">
        <v>0</v>
      </c>
      <c r="S177" s="33">
        <v>0</v>
      </c>
      <c r="T177" s="33">
        <v>0</v>
      </c>
      <c r="U177" s="33">
        <v>0</v>
      </c>
      <c r="V177" s="33">
        <v>0</v>
      </c>
      <c r="W177" s="33" t="s">
        <v>53</v>
      </c>
      <c r="X177" s="33">
        <v>1</v>
      </c>
      <c r="Y177" s="30" t="s">
        <v>66</v>
      </c>
      <c r="Z177" s="30" t="s">
        <v>153</v>
      </c>
      <c r="AA177" s="30" t="s">
        <v>167</v>
      </c>
      <c r="AB177" s="30" t="s">
        <v>509</v>
      </c>
      <c r="AC177" s="30">
        <v>29</v>
      </c>
      <c r="AD177" s="30" t="s">
        <v>53</v>
      </c>
      <c r="AE177" s="30" t="s">
        <v>53</v>
      </c>
      <c r="AF177" s="30" t="s">
        <v>53</v>
      </c>
      <c r="AG177" s="30" t="s">
        <v>53</v>
      </c>
      <c r="AH177" s="30" t="s">
        <v>53</v>
      </c>
      <c r="AI177" s="30" t="s">
        <v>945</v>
      </c>
      <c r="AJ177" s="30" t="s">
        <v>142</v>
      </c>
      <c r="AK177" s="30" t="s">
        <v>1151</v>
      </c>
      <c r="AL177" s="30" t="s">
        <v>335</v>
      </c>
      <c r="AM177" s="30" t="s">
        <v>53</v>
      </c>
      <c r="AN177" s="30" t="s">
        <v>954</v>
      </c>
      <c r="AO177" s="30" t="s">
        <v>53</v>
      </c>
      <c r="AP177" s="30" t="s">
        <v>53</v>
      </c>
      <c r="AQ177" s="30" t="s">
        <v>53</v>
      </c>
      <c r="AR177" s="30" t="s">
        <v>53</v>
      </c>
      <c r="AS177" s="30" t="s">
        <v>53</v>
      </c>
      <c r="AT177" s="30" t="s">
        <v>1025</v>
      </c>
      <c r="AU177" s="30" t="s">
        <v>53</v>
      </c>
      <c r="AV177" s="34">
        <v>167360295379</v>
      </c>
    </row>
    <row r="178" spans="2:48" ht="15" customHeight="1">
      <c r="B178" s="28">
        <v>172</v>
      </c>
      <c r="C178" s="29" t="s">
        <v>1539</v>
      </c>
      <c r="D178" s="30" t="s">
        <v>53</v>
      </c>
      <c r="E178" s="31" t="s">
        <v>1540</v>
      </c>
      <c r="F178" s="31" t="s">
        <v>53</v>
      </c>
      <c r="G178" s="32" t="s">
        <v>1541</v>
      </c>
      <c r="H178" s="30" t="s">
        <v>67</v>
      </c>
      <c r="I178" s="30" t="s">
        <v>763</v>
      </c>
      <c r="J178" s="32" t="s">
        <v>764</v>
      </c>
      <c r="K178" s="30" t="s">
        <v>245</v>
      </c>
      <c r="L178" s="32" t="s">
        <v>246</v>
      </c>
      <c r="M178" s="30" t="s">
        <v>953</v>
      </c>
      <c r="N178" s="30" t="s">
        <v>943</v>
      </c>
      <c r="O178" s="33"/>
      <c r="P178" s="33">
        <v>258004</v>
      </c>
      <c r="Q178" s="33">
        <v>0</v>
      </c>
      <c r="R178" s="33">
        <v>0</v>
      </c>
      <c r="S178" s="33">
        <v>10</v>
      </c>
      <c r="T178" s="33">
        <v>10</v>
      </c>
      <c r="U178" s="33">
        <v>0</v>
      </c>
      <c r="V178" s="33">
        <v>0</v>
      </c>
      <c r="W178" s="33" t="s">
        <v>53</v>
      </c>
      <c r="X178" s="33">
        <v>1</v>
      </c>
      <c r="Y178" s="30" t="s">
        <v>69</v>
      </c>
      <c r="Z178" s="30" t="s">
        <v>156</v>
      </c>
      <c r="AA178" s="30" t="s">
        <v>167</v>
      </c>
      <c r="AB178" s="30"/>
      <c r="AC178" s="30"/>
      <c r="AD178" s="30" t="s">
        <v>53</v>
      </c>
      <c r="AE178" s="30" t="s">
        <v>53</v>
      </c>
      <c r="AF178" s="30" t="s">
        <v>53</v>
      </c>
      <c r="AG178" s="30" t="s">
        <v>53</v>
      </c>
      <c r="AH178" s="30" t="s">
        <v>53</v>
      </c>
      <c r="AI178" s="30" t="s">
        <v>945</v>
      </c>
      <c r="AJ178" s="30" t="s">
        <v>53</v>
      </c>
      <c r="AK178" s="30" t="s">
        <v>53</v>
      </c>
      <c r="AL178" s="30" t="s">
        <v>53</v>
      </c>
      <c r="AM178" s="30" t="s">
        <v>53</v>
      </c>
      <c r="AN178" s="30" t="s">
        <v>954</v>
      </c>
      <c r="AO178" s="30" t="s">
        <v>53</v>
      </c>
      <c r="AP178" s="30" t="s">
        <v>53</v>
      </c>
      <c r="AQ178" s="30" t="s">
        <v>53</v>
      </c>
      <c r="AR178" s="30" t="s">
        <v>53</v>
      </c>
      <c r="AS178" s="30" t="s">
        <v>53</v>
      </c>
      <c r="AT178" s="30" t="s">
        <v>1012</v>
      </c>
      <c r="AU178" s="30" t="s">
        <v>53</v>
      </c>
      <c r="AV178" s="34">
        <v>167360259146</v>
      </c>
    </row>
    <row r="179" spans="2:48" ht="15" customHeight="1">
      <c r="B179" s="28">
        <v>173</v>
      </c>
      <c r="C179" s="29" t="s">
        <v>1542</v>
      </c>
      <c r="D179" s="30" t="s">
        <v>53</v>
      </c>
      <c r="E179" s="31" t="s">
        <v>1543</v>
      </c>
      <c r="F179" s="31" t="s">
        <v>53</v>
      </c>
      <c r="G179" s="32" t="s">
        <v>1544</v>
      </c>
      <c r="H179" s="30" t="s">
        <v>70</v>
      </c>
      <c r="I179" s="30" t="s">
        <v>441</v>
      </c>
      <c r="J179" s="32" t="s">
        <v>1545</v>
      </c>
      <c r="K179" s="30" t="s">
        <v>441</v>
      </c>
      <c r="L179" s="32" t="s">
        <v>1545</v>
      </c>
      <c r="M179" s="30" t="s">
        <v>942</v>
      </c>
      <c r="N179" s="30" t="s">
        <v>943</v>
      </c>
      <c r="O179" s="33">
        <v>170</v>
      </c>
      <c r="P179" s="33">
        <v>1878</v>
      </c>
      <c r="Q179" s="33">
        <v>1878</v>
      </c>
      <c r="R179" s="33">
        <v>483</v>
      </c>
      <c r="S179" s="33">
        <v>8</v>
      </c>
      <c r="T179" s="33">
        <v>8</v>
      </c>
      <c r="U179" s="33">
        <v>0</v>
      </c>
      <c r="V179" s="33">
        <v>0</v>
      </c>
      <c r="W179" s="33" t="s">
        <v>53</v>
      </c>
      <c r="X179" s="33">
        <v>1</v>
      </c>
      <c r="Y179" s="30" t="s">
        <v>83</v>
      </c>
      <c r="Z179" s="30" t="s">
        <v>153</v>
      </c>
      <c r="AA179" s="30" t="s">
        <v>153</v>
      </c>
      <c r="AB179" s="30"/>
      <c r="AC179" s="30"/>
      <c r="AD179" s="30" t="s">
        <v>53</v>
      </c>
      <c r="AE179" s="30" t="s">
        <v>53</v>
      </c>
      <c r="AF179" s="30" t="s">
        <v>1016</v>
      </c>
      <c r="AG179" s="30" t="s">
        <v>53</v>
      </c>
      <c r="AH179" s="30" t="s">
        <v>53</v>
      </c>
      <c r="AI179" s="30" t="s">
        <v>945</v>
      </c>
      <c r="AJ179" s="30" t="s">
        <v>53</v>
      </c>
      <c r="AK179" s="30" t="s">
        <v>53</v>
      </c>
      <c r="AL179" s="30" t="s">
        <v>53</v>
      </c>
      <c r="AM179" s="30" t="s">
        <v>53</v>
      </c>
      <c r="AN179" s="30" t="s">
        <v>53</v>
      </c>
      <c r="AO179" s="30" t="s">
        <v>53</v>
      </c>
      <c r="AP179" s="30" t="s">
        <v>53</v>
      </c>
      <c r="AQ179" s="30" t="s">
        <v>53</v>
      </c>
      <c r="AR179" s="30" t="s">
        <v>53</v>
      </c>
      <c r="AS179" s="30" t="s">
        <v>53</v>
      </c>
      <c r="AT179" s="30" t="s">
        <v>946</v>
      </c>
      <c r="AU179" s="30" t="s">
        <v>53</v>
      </c>
      <c r="AV179" s="34">
        <v>167399635336</v>
      </c>
    </row>
    <row r="180" spans="2:48" ht="15" customHeight="1">
      <c r="B180" s="28">
        <v>174</v>
      </c>
      <c r="C180" s="29" t="s">
        <v>1546</v>
      </c>
      <c r="D180" s="30" t="s">
        <v>1547</v>
      </c>
      <c r="E180" s="31" t="s">
        <v>1548</v>
      </c>
      <c r="F180" s="31" t="s">
        <v>53</v>
      </c>
      <c r="G180" s="32" t="s">
        <v>1549</v>
      </c>
      <c r="H180" s="30" t="s">
        <v>96</v>
      </c>
      <c r="I180" s="30" t="s">
        <v>750</v>
      </c>
      <c r="J180" s="32" t="s">
        <v>751</v>
      </c>
      <c r="K180" s="30" t="s">
        <v>473</v>
      </c>
      <c r="L180" s="32" t="s">
        <v>474</v>
      </c>
      <c r="M180" s="30" t="s">
        <v>982</v>
      </c>
      <c r="N180" s="30" t="s">
        <v>974</v>
      </c>
      <c r="O180" s="33"/>
      <c r="P180" s="33">
        <v>0</v>
      </c>
      <c r="Q180" s="33">
        <v>0</v>
      </c>
      <c r="R180" s="33">
        <v>0</v>
      </c>
      <c r="S180" s="33">
        <v>0</v>
      </c>
      <c r="T180" s="33">
        <v>0</v>
      </c>
      <c r="U180" s="33">
        <v>0</v>
      </c>
      <c r="V180" s="33">
        <v>0</v>
      </c>
      <c r="W180" s="33" t="s">
        <v>983</v>
      </c>
      <c r="X180" s="33">
        <v>1</v>
      </c>
      <c r="Y180" s="30" t="s">
        <v>57</v>
      </c>
      <c r="Z180" s="30" t="s">
        <v>156</v>
      </c>
      <c r="AA180" s="30" t="s">
        <v>156</v>
      </c>
      <c r="AB180" s="30"/>
      <c r="AC180" s="30"/>
      <c r="AD180" s="30" t="s">
        <v>53</v>
      </c>
      <c r="AE180" s="30" t="s">
        <v>53</v>
      </c>
      <c r="AF180" s="30" t="s">
        <v>53</v>
      </c>
      <c r="AG180" s="30" t="s">
        <v>53</v>
      </c>
      <c r="AH180" s="30" t="s">
        <v>53</v>
      </c>
      <c r="AI180" s="30" t="s">
        <v>945</v>
      </c>
      <c r="AJ180" s="30" t="s">
        <v>142</v>
      </c>
      <c r="AK180" s="30" t="s">
        <v>53</v>
      </c>
      <c r="AL180" s="30" t="s">
        <v>53</v>
      </c>
      <c r="AM180" s="30" t="s">
        <v>53</v>
      </c>
      <c r="AN180" s="30" t="s">
        <v>954</v>
      </c>
      <c r="AO180" s="30" t="s">
        <v>53</v>
      </c>
      <c r="AP180" s="30" t="s">
        <v>53</v>
      </c>
      <c r="AQ180" s="30" t="s">
        <v>53</v>
      </c>
      <c r="AR180" s="30" t="s">
        <v>53</v>
      </c>
      <c r="AS180" s="30" t="s">
        <v>53</v>
      </c>
      <c r="AT180" s="30" t="s">
        <v>1025</v>
      </c>
      <c r="AU180" s="30" t="s">
        <v>53</v>
      </c>
      <c r="AV180" s="34">
        <v>167349631653</v>
      </c>
    </row>
    <row r="181" spans="2:48" ht="15" customHeight="1">
      <c r="B181" s="28">
        <v>175</v>
      </c>
      <c r="C181" s="29" t="s">
        <v>1550</v>
      </c>
      <c r="D181" s="30" t="s">
        <v>53</v>
      </c>
      <c r="E181" s="31" t="s">
        <v>1551</v>
      </c>
      <c r="F181" s="31" t="s">
        <v>53</v>
      </c>
      <c r="G181" s="32" t="s">
        <v>1552</v>
      </c>
      <c r="H181" s="30" t="s">
        <v>76</v>
      </c>
      <c r="I181" s="30" t="s">
        <v>685</v>
      </c>
      <c r="J181" s="32" t="s">
        <v>686</v>
      </c>
      <c r="K181" s="30" t="s">
        <v>185</v>
      </c>
      <c r="L181" s="32" t="s">
        <v>186</v>
      </c>
      <c r="M181" s="30" t="s">
        <v>953</v>
      </c>
      <c r="N181" s="30" t="s">
        <v>943</v>
      </c>
      <c r="O181" s="33"/>
      <c r="P181" s="33">
        <v>0</v>
      </c>
      <c r="Q181" s="33">
        <v>13</v>
      </c>
      <c r="R181" s="33">
        <v>0</v>
      </c>
      <c r="S181" s="33">
        <v>2</v>
      </c>
      <c r="T181" s="33">
        <v>2</v>
      </c>
      <c r="U181" s="33">
        <v>0</v>
      </c>
      <c r="V181" s="33">
        <v>0</v>
      </c>
      <c r="W181" s="33" t="s">
        <v>53</v>
      </c>
      <c r="X181" s="33">
        <v>1</v>
      </c>
      <c r="Y181" s="30" t="s">
        <v>66</v>
      </c>
      <c r="Z181" s="30" t="s">
        <v>153</v>
      </c>
      <c r="AA181" s="30" t="s">
        <v>167</v>
      </c>
      <c r="AB181" s="30" t="s">
        <v>508</v>
      </c>
      <c r="AC181" s="30"/>
      <c r="AD181" s="30" t="s">
        <v>53</v>
      </c>
      <c r="AE181" s="30" t="s">
        <v>53</v>
      </c>
      <c r="AF181" s="30" t="s">
        <v>53</v>
      </c>
      <c r="AG181" s="30" t="s">
        <v>53</v>
      </c>
      <c r="AH181" s="30" t="s">
        <v>53</v>
      </c>
      <c r="AI181" s="30" t="s">
        <v>945</v>
      </c>
      <c r="AJ181" s="30" t="s">
        <v>142</v>
      </c>
      <c r="AK181" s="30" t="s">
        <v>1553</v>
      </c>
      <c r="AL181" s="30" t="s">
        <v>188</v>
      </c>
      <c r="AM181" s="30" t="s">
        <v>53</v>
      </c>
      <c r="AN181" s="30" t="s">
        <v>954</v>
      </c>
      <c r="AO181" s="30" t="s">
        <v>53</v>
      </c>
      <c r="AP181" s="30" t="s">
        <v>53</v>
      </c>
      <c r="AQ181" s="30" t="s">
        <v>53</v>
      </c>
      <c r="AR181" s="30" t="s">
        <v>53</v>
      </c>
      <c r="AS181" s="30" t="s">
        <v>53</v>
      </c>
      <c r="AT181" s="30" t="s">
        <v>946</v>
      </c>
      <c r="AU181" s="30" t="s">
        <v>53</v>
      </c>
      <c r="AV181" s="34">
        <v>167315213757</v>
      </c>
    </row>
    <row r="182" spans="2:48" ht="15" customHeight="1">
      <c r="B182" s="28">
        <v>176</v>
      </c>
      <c r="C182" s="29" t="s">
        <v>1554</v>
      </c>
      <c r="D182" s="30" t="s">
        <v>1555</v>
      </c>
      <c r="E182" s="31" t="s">
        <v>1556</v>
      </c>
      <c r="F182" s="31" t="s">
        <v>1557</v>
      </c>
      <c r="G182" s="32" t="s">
        <v>1558</v>
      </c>
      <c r="H182" s="30" t="s">
        <v>76</v>
      </c>
      <c r="I182" s="30" t="s">
        <v>697</v>
      </c>
      <c r="J182" s="32" t="s">
        <v>721</v>
      </c>
      <c r="K182" s="30" t="s">
        <v>185</v>
      </c>
      <c r="L182" s="32" t="s">
        <v>186</v>
      </c>
      <c r="M182" s="30" t="s">
        <v>942</v>
      </c>
      <c r="N182" s="30" t="s">
        <v>943</v>
      </c>
      <c r="O182" s="33"/>
      <c r="P182" s="33">
        <v>0</v>
      </c>
      <c r="Q182" s="33">
        <v>5</v>
      </c>
      <c r="R182" s="33">
        <v>728</v>
      </c>
      <c r="S182" s="33">
        <v>25</v>
      </c>
      <c r="T182" s="33">
        <v>0</v>
      </c>
      <c r="U182" s="33">
        <v>25</v>
      </c>
      <c r="V182" s="33">
        <v>0</v>
      </c>
      <c r="W182" s="33" t="s">
        <v>53</v>
      </c>
      <c r="X182" s="33">
        <v>1</v>
      </c>
      <c r="Y182" s="30" t="s">
        <v>66</v>
      </c>
      <c r="Z182" s="30" t="s">
        <v>153</v>
      </c>
      <c r="AA182" s="30" t="s">
        <v>167</v>
      </c>
      <c r="AB182" s="30" t="s">
        <v>509</v>
      </c>
      <c r="AC182" s="30"/>
      <c r="AD182" s="30" t="s">
        <v>53</v>
      </c>
      <c r="AE182" s="30" t="s">
        <v>53</v>
      </c>
      <c r="AF182" s="30" t="s">
        <v>53</v>
      </c>
      <c r="AG182" s="30" t="s">
        <v>53</v>
      </c>
      <c r="AH182" s="30" t="s">
        <v>53</v>
      </c>
      <c r="AI182" s="30" t="s">
        <v>945</v>
      </c>
      <c r="AJ182" s="30" t="s">
        <v>142</v>
      </c>
      <c r="AK182" s="30" t="s">
        <v>1553</v>
      </c>
      <c r="AL182" s="30" t="s">
        <v>188</v>
      </c>
      <c r="AM182" s="30" t="s">
        <v>53</v>
      </c>
      <c r="AN182" s="30" t="s">
        <v>53</v>
      </c>
      <c r="AO182" s="30" t="s">
        <v>53</v>
      </c>
      <c r="AP182" s="30" t="s">
        <v>53</v>
      </c>
      <c r="AQ182" s="30" t="s">
        <v>53</v>
      </c>
      <c r="AR182" s="30" t="s">
        <v>53</v>
      </c>
      <c r="AS182" s="30" t="s">
        <v>53</v>
      </c>
      <c r="AT182" s="30" t="s">
        <v>946</v>
      </c>
      <c r="AU182" s="30" t="s">
        <v>53</v>
      </c>
      <c r="AV182" s="34">
        <v>167314102909</v>
      </c>
    </row>
    <row r="183" spans="2:48" ht="15" customHeight="1">
      <c r="B183" s="28">
        <v>177</v>
      </c>
      <c r="C183" s="29" t="s">
        <v>1559</v>
      </c>
      <c r="D183" s="30" t="s">
        <v>53</v>
      </c>
      <c r="E183" s="31" t="s">
        <v>1560</v>
      </c>
      <c r="F183" s="31" t="s">
        <v>53</v>
      </c>
      <c r="G183" s="32" t="s">
        <v>1561</v>
      </c>
      <c r="H183" s="30" t="s">
        <v>64</v>
      </c>
      <c r="I183" s="30" t="s">
        <v>614</v>
      </c>
      <c r="J183" s="32" t="s">
        <v>615</v>
      </c>
      <c r="K183" s="30" t="s">
        <v>366</v>
      </c>
      <c r="L183" s="32" t="s">
        <v>367</v>
      </c>
      <c r="M183" s="30" t="s">
        <v>953</v>
      </c>
      <c r="N183" s="30" t="s">
        <v>974</v>
      </c>
      <c r="O183" s="33">
        <v>1</v>
      </c>
      <c r="P183" s="33">
        <v>10616</v>
      </c>
      <c r="Q183" s="33">
        <v>0</v>
      </c>
      <c r="R183" s="33">
        <v>0</v>
      </c>
      <c r="S183" s="33">
        <v>0</v>
      </c>
      <c r="T183" s="33">
        <v>0</v>
      </c>
      <c r="U183" s="33">
        <v>0</v>
      </c>
      <c r="V183" s="33">
        <v>0</v>
      </c>
      <c r="W183" s="33" t="s">
        <v>53</v>
      </c>
      <c r="X183" s="33">
        <v>1</v>
      </c>
      <c r="Y183" s="30" t="s">
        <v>66</v>
      </c>
      <c r="Z183" s="30" t="s">
        <v>153</v>
      </c>
      <c r="AA183" s="30" t="s">
        <v>167</v>
      </c>
      <c r="AB183" s="30" t="s">
        <v>509</v>
      </c>
      <c r="AC183" s="30"/>
      <c r="AD183" s="30" t="s">
        <v>53</v>
      </c>
      <c r="AE183" s="30" t="s">
        <v>53</v>
      </c>
      <c r="AF183" s="30" t="s">
        <v>944</v>
      </c>
      <c r="AG183" s="30" t="s">
        <v>53</v>
      </c>
      <c r="AH183" s="30" t="s">
        <v>53</v>
      </c>
      <c r="AI183" s="30" t="s">
        <v>945</v>
      </c>
      <c r="AJ183" s="30" t="s">
        <v>142</v>
      </c>
      <c r="AK183" s="30" t="s">
        <v>1562</v>
      </c>
      <c r="AL183" s="30" t="s">
        <v>369</v>
      </c>
      <c r="AM183" s="30" t="s">
        <v>53</v>
      </c>
      <c r="AN183" s="30" t="s">
        <v>954</v>
      </c>
      <c r="AO183" s="30" t="s">
        <v>53</v>
      </c>
      <c r="AP183" s="30" t="s">
        <v>53</v>
      </c>
      <c r="AQ183" s="30" t="s">
        <v>53</v>
      </c>
      <c r="AR183" s="30" t="s">
        <v>53</v>
      </c>
      <c r="AS183" s="30" t="s">
        <v>53</v>
      </c>
      <c r="AT183" s="30" t="s">
        <v>946</v>
      </c>
      <c r="AU183" s="30" t="s">
        <v>53</v>
      </c>
      <c r="AV183" s="34">
        <v>167308058359</v>
      </c>
    </row>
    <row r="184" spans="2:48" ht="15" customHeight="1">
      <c r="B184" s="28">
        <v>178</v>
      </c>
      <c r="C184" s="29" t="s">
        <v>1563</v>
      </c>
      <c r="D184" s="30" t="s">
        <v>53</v>
      </c>
      <c r="E184" s="31" t="s">
        <v>1564</v>
      </c>
      <c r="F184" s="31" t="s">
        <v>53</v>
      </c>
      <c r="G184" s="32" t="s">
        <v>1565</v>
      </c>
      <c r="H184" s="30" t="s">
        <v>64</v>
      </c>
      <c r="I184" s="30" t="s">
        <v>693</v>
      </c>
      <c r="J184" s="32" t="s">
        <v>694</v>
      </c>
      <c r="K184" s="30" t="s">
        <v>336</v>
      </c>
      <c r="L184" s="32" t="s">
        <v>347</v>
      </c>
      <c r="M184" s="30" t="s">
        <v>953</v>
      </c>
      <c r="N184" s="30" t="s">
        <v>974</v>
      </c>
      <c r="O184" s="33">
        <v>1</v>
      </c>
      <c r="P184" s="33">
        <v>22118</v>
      </c>
      <c r="Q184" s="33">
        <v>0</v>
      </c>
      <c r="R184" s="33">
        <v>0</v>
      </c>
      <c r="S184" s="33">
        <v>3</v>
      </c>
      <c r="T184" s="33">
        <v>3</v>
      </c>
      <c r="U184" s="33">
        <v>0</v>
      </c>
      <c r="V184" s="33">
        <v>0</v>
      </c>
      <c r="W184" s="33" t="s">
        <v>53</v>
      </c>
      <c r="X184" s="33">
        <v>1</v>
      </c>
      <c r="Y184" s="30" t="s">
        <v>66</v>
      </c>
      <c r="Z184" s="30" t="s">
        <v>153</v>
      </c>
      <c r="AA184" s="30" t="s">
        <v>167</v>
      </c>
      <c r="AB184" s="30" t="s">
        <v>509</v>
      </c>
      <c r="AC184" s="30">
        <v>39</v>
      </c>
      <c r="AD184" s="30" t="s">
        <v>53</v>
      </c>
      <c r="AE184" s="30" t="s">
        <v>53</v>
      </c>
      <c r="AF184" s="30" t="s">
        <v>53</v>
      </c>
      <c r="AG184" s="30" t="s">
        <v>53</v>
      </c>
      <c r="AH184" s="30" t="s">
        <v>53</v>
      </c>
      <c r="AI184" s="30" t="s">
        <v>945</v>
      </c>
      <c r="AJ184" s="30" t="s">
        <v>142</v>
      </c>
      <c r="AK184" s="30" t="s">
        <v>552</v>
      </c>
      <c r="AL184" s="30" t="s">
        <v>339</v>
      </c>
      <c r="AM184" s="30" t="s">
        <v>53</v>
      </c>
      <c r="AN184" s="30" t="s">
        <v>954</v>
      </c>
      <c r="AO184" s="30" t="s">
        <v>53</v>
      </c>
      <c r="AP184" s="30" t="s">
        <v>53</v>
      </c>
      <c r="AQ184" s="30" t="s">
        <v>53</v>
      </c>
      <c r="AR184" s="30" t="s">
        <v>53</v>
      </c>
      <c r="AS184" s="30" t="s">
        <v>53</v>
      </c>
      <c r="AT184" s="30" t="s">
        <v>946</v>
      </c>
      <c r="AU184" s="30" t="s">
        <v>53</v>
      </c>
      <c r="AV184" s="34">
        <v>167307829870</v>
      </c>
    </row>
    <row r="185" spans="2:48" ht="15" customHeight="1">
      <c r="B185" s="28">
        <v>179</v>
      </c>
      <c r="C185" s="29" t="s">
        <v>1566</v>
      </c>
      <c r="D185" s="30" t="s">
        <v>53</v>
      </c>
      <c r="E185" s="31" t="s">
        <v>1567</v>
      </c>
      <c r="F185" s="31" t="s">
        <v>53</v>
      </c>
      <c r="G185" s="32" t="s">
        <v>1568</v>
      </c>
      <c r="H185" s="30" t="s">
        <v>64</v>
      </c>
      <c r="I185" s="30" t="s">
        <v>590</v>
      </c>
      <c r="J185" s="32" t="s">
        <v>591</v>
      </c>
      <c r="K185" s="30" t="s">
        <v>402</v>
      </c>
      <c r="L185" s="32" t="s">
        <v>403</v>
      </c>
      <c r="M185" s="30" t="s">
        <v>953</v>
      </c>
      <c r="N185" s="30" t="s">
        <v>974</v>
      </c>
      <c r="O185" s="33">
        <v>3</v>
      </c>
      <c r="P185" s="33">
        <v>153000</v>
      </c>
      <c r="Q185" s="33">
        <v>0</v>
      </c>
      <c r="R185" s="33">
        <v>0</v>
      </c>
      <c r="S185" s="33">
        <v>3</v>
      </c>
      <c r="T185" s="33">
        <v>3</v>
      </c>
      <c r="U185" s="33">
        <v>0</v>
      </c>
      <c r="V185" s="33">
        <v>0</v>
      </c>
      <c r="W185" s="33" t="s">
        <v>53</v>
      </c>
      <c r="X185" s="33">
        <v>1</v>
      </c>
      <c r="Y185" s="30" t="s">
        <v>66</v>
      </c>
      <c r="Z185" s="30" t="s">
        <v>153</v>
      </c>
      <c r="AA185" s="30" t="s">
        <v>167</v>
      </c>
      <c r="AB185" s="30" t="s">
        <v>509</v>
      </c>
      <c r="AC185" s="30">
        <v>47</v>
      </c>
      <c r="AD185" s="30" t="s">
        <v>53</v>
      </c>
      <c r="AE185" s="30" t="s">
        <v>53</v>
      </c>
      <c r="AF185" s="30" t="s">
        <v>53</v>
      </c>
      <c r="AG185" s="30" t="s">
        <v>53</v>
      </c>
      <c r="AH185" s="30" t="s">
        <v>53</v>
      </c>
      <c r="AI185" s="30" t="s">
        <v>945</v>
      </c>
      <c r="AJ185" s="30" t="s">
        <v>142</v>
      </c>
      <c r="AK185" s="30" t="s">
        <v>53</v>
      </c>
      <c r="AL185" s="30" t="s">
        <v>53</v>
      </c>
      <c r="AM185" s="30" t="s">
        <v>53</v>
      </c>
      <c r="AN185" s="30" t="s">
        <v>954</v>
      </c>
      <c r="AO185" s="30" t="s">
        <v>53</v>
      </c>
      <c r="AP185" s="30" t="s">
        <v>53</v>
      </c>
      <c r="AQ185" s="30" t="s">
        <v>53</v>
      </c>
      <c r="AR185" s="30" t="s">
        <v>53</v>
      </c>
      <c r="AS185" s="30" t="s">
        <v>53</v>
      </c>
      <c r="AT185" s="30" t="s">
        <v>946</v>
      </c>
      <c r="AU185" s="30" t="s">
        <v>53</v>
      </c>
      <c r="AV185" s="34">
        <v>167308665086</v>
      </c>
    </row>
    <row r="186" spans="2:48" ht="15" customHeight="1">
      <c r="B186" s="28">
        <v>180</v>
      </c>
      <c r="C186" s="29" t="s">
        <v>1569</v>
      </c>
      <c r="D186" s="30" t="s">
        <v>53</v>
      </c>
      <c r="E186" s="31" t="s">
        <v>1570</v>
      </c>
      <c r="F186" s="31" t="s">
        <v>53</v>
      </c>
      <c r="G186" s="32" t="s">
        <v>1571</v>
      </c>
      <c r="H186" s="30" t="s">
        <v>64</v>
      </c>
      <c r="I186" s="30" t="s">
        <v>588</v>
      </c>
      <c r="J186" s="32" t="s">
        <v>589</v>
      </c>
      <c r="K186" s="30" t="s">
        <v>379</v>
      </c>
      <c r="L186" s="32" t="s">
        <v>380</v>
      </c>
      <c r="M186" s="30" t="s">
        <v>953</v>
      </c>
      <c r="N186" s="30" t="s">
        <v>974</v>
      </c>
      <c r="O186" s="33">
        <v>2</v>
      </c>
      <c r="P186" s="33">
        <v>23238</v>
      </c>
      <c r="Q186" s="33">
        <v>3</v>
      </c>
      <c r="R186" s="33">
        <v>0</v>
      </c>
      <c r="S186" s="33">
        <v>3</v>
      </c>
      <c r="T186" s="33">
        <v>3</v>
      </c>
      <c r="U186" s="33">
        <v>0</v>
      </c>
      <c r="V186" s="33">
        <v>0</v>
      </c>
      <c r="W186" s="33" t="s">
        <v>53</v>
      </c>
      <c r="X186" s="33">
        <v>1</v>
      </c>
      <c r="Y186" s="30" t="s">
        <v>66</v>
      </c>
      <c r="Z186" s="30" t="s">
        <v>153</v>
      </c>
      <c r="AA186" s="30" t="s">
        <v>167</v>
      </c>
      <c r="AB186" s="30" t="s">
        <v>509</v>
      </c>
      <c r="AC186" s="30"/>
      <c r="AD186" s="30" t="s">
        <v>53</v>
      </c>
      <c r="AE186" s="30" t="s">
        <v>53</v>
      </c>
      <c r="AF186" s="30" t="s">
        <v>53</v>
      </c>
      <c r="AG186" s="30" t="s">
        <v>53</v>
      </c>
      <c r="AH186" s="30" t="s">
        <v>53</v>
      </c>
      <c r="AI186" s="30" t="s">
        <v>945</v>
      </c>
      <c r="AJ186" s="30" t="s">
        <v>142</v>
      </c>
      <c r="AK186" s="30" t="s">
        <v>1227</v>
      </c>
      <c r="AL186" s="30" t="s">
        <v>220</v>
      </c>
      <c r="AM186" s="30" t="s">
        <v>53</v>
      </c>
      <c r="AN186" s="30" t="s">
        <v>954</v>
      </c>
      <c r="AO186" s="30" t="s">
        <v>53</v>
      </c>
      <c r="AP186" s="30" t="s">
        <v>53</v>
      </c>
      <c r="AQ186" s="30" t="s">
        <v>53</v>
      </c>
      <c r="AR186" s="30" t="s">
        <v>53</v>
      </c>
      <c r="AS186" s="30" t="s">
        <v>53</v>
      </c>
      <c r="AT186" s="30" t="s">
        <v>946</v>
      </c>
      <c r="AU186" s="30" t="s">
        <v>53</v>
      </c>
      <c r="AV186" s="34">
        <v>167307597740</v>
      </c>
    </row>
    <row r="187" spans="2:48" ht="15" customHeight="1">
      <c r="B187" s="28">
        <v>181</v>
      </c>
      <c r="C187" s="29" t="s">
        <v>1572</v>
      </c>
      <c r="D187" s="30" t="s">
        <v>53</v>
      </c>
      <c r="E187" s="31" t="s">
        <v>1573</v>
      </c>
      <c r="F187" s="31" t="s">
        <v>53</v>
      </c>
      <c r="G187" s="32" t="s">
        <v>1574</v>
      </c>
      <c r="H187" s="30" t="s">
        <v>64</v>
      </c>
      <c r="I187" s="30" t="s">
        <v>575</v>
      </c>
      <c r="J187" s="32" t="s">
        <v>576</v>
      </c>
      <c r="K187" s="30" t="s">
        <v>185</v>
      </c>
      <c r="L187" s="32" t="s">
        <v>312</v>
      </c>
      <c r="M187" s="30" t="s">
        <v>953</v>
      </c>
      <c r="N187" s="30" t="s">
        <v>974</v>
      </c>
      <c r="O187" s="33">
        <v>3</v>
      </c>
      <c r="P187" s="33">
        <v>169218</v>
      </c>
      <c r="Q187" s="33">
        <v>0</v>
      </c>
      <c r="R187" s="33">
        <v>0</v>
      </c>
      <c r="S187" s="33">
        <v>3</v>
      </c>
      <c r="T187" s="33">
        <v>3</v>
      </c>
      <c r="U187" s="33">
        <v>0</v>
      </c>
      <c r="V187" s="33">
        <v>0</v>
      </c>
      <c r="W187" s="33" t="s">
        <v>53</v>
      </c>
      <c r="X187" s="33">
        <v>1</v>
      </c>
      <c r="Y187" s="30" t="s">
        <v>66</v>
      </c>
      <c r="Z187" s="30" t="s">
        <v>153</v>
      </c>
      <c r="AA187" s="30" t="s">
        <v>167</v>
      </c>
      <c r="AB187" s="30" t="s">
        <v>509</v>
      </c>
      <c r="AC187" s="30">
        <v>41</v>
      </c>
      <c r="AD187" s="30" t="s">
        <v>53</v>
      </c>
      <c r="AE187" s="30" t="s">
        <v>53</v>
      </c>
      <c r="AF187" s="30" t="s">
        <v>53</v>
      </c>
      <c r="AG187" s="30" t="s">
        <v>53</v>
      </c>
      <c r="AH187" s="30" t="s">
        <v>53</v>
      </c>
      <c r="AI187" s="30" t="s">
        <v>945</v>
      </c>
      <c r="AJ187" s="30" t="s">
        <v>53</v>
      </c>
      <c r="AK187" s="30" t="s">
        <v>53</v>
      </c>
      <c r="AL187" s="30" t="s">
        <v>53</v>
      </c>
      <c r="AM187" s="30" t="s">
        <v>53</v>
      </c>
      <c r="AN187" s="30" t="s">
        <v>954</v>
      </c>
      <c r="AO187" s="30" t="s">
        <v>53</v>
      </c>
      <c r="AP187" s="30" t="s">
        <v>53</v>
      </c>
      <c r="AQ187" s="30" t="s">
        <v>53</v>
      </c>
      <c r="AR187" s="30" t="s">
        <v>53</v>
      </c>
      <c r="AS187" s="30" t="s">
        <v>53</v>
      </c>
      <c r="AT187" s="30" t="s">
        <v>946</v>
      </c>
      <c r="AU187" s="30" t="s">
        <v>53</v>
      </c>
      <c r="AV187" s="34">
        <v>167303906051</v>
      </c>
    </row>
    <row r="188" spans="2:48" ht="15" customHeight="1">
      <c r="B188" s="28">
        <v>182</v>
      </c>
      <c r="C188" s="29" t="s">
        <v>1575</v>
      </c>
      <c r="D188" s="30" t="s">
        <v>53</v>
      </c>
      <c r="E188" s="31" t="s">
        <v>1576</v>
      </c>
      <c r="F188" s="31" t="s">
        <v>53</v>
      </c>
      <c r="G188" s="32" t="s">
        <v>1577</v>
      </c>
      <c r="H188" s="30" t="s">
        <v>64</v>
      </c>
      <c r="I188" s="30" t="s">
        <v>572</v>
      </c>
      <c r="J188" s="32" t="s">
        <v>573</v>
      </c>
      <c r="K188" s="30" t="s">
        <v>275</v>
      </c>
      <c r="L188" s="32" t="s">
        <v>277</v>
      </c>
      <c r="M188" s="30" t="s">
        <v>953</v>
      </c>
      <c r="N188" s="30" t="s">
        <v>974</v>
      </c>
      <c r="O188" s="33">
        <v>3</v>
      </c>
      <c r="P188" s="33">
        <v>1026083</v>
      </c>
      <c r="Q188" s="33">
        <v>0</v>
      </c>
      <c r="R188" s="33">
        <v>0</v>
      </c>
      <c r="S188" s="33">
        <v>3</v>
      </c>
      <c r="T188" s="33">
        <v>3</v>
      </c>
      <c r="U188" s="33">
        <v>0</v>
      </c>
      <c r="V188" s="33">
        <v>0</v>
      </c>
      <c r="W188" s="33" t="s">
        <v>53</v>
      </c>
      <c r="X188" s="33">
        <v>1</v>
      </c>
      <c r="Y188" s="30" t="s">
        <v>66</v>
      </c>
      <c r="Z188" s="30" t="s">
        <v>153</v>
      </c>
      <c r="AA188" s="30" t="s">
        <v>167</v>
      </c>
      <c r="AB188" s="30" t="s">
        <v>509</v>
      </c>
      <c r="AC188" s="30">
        <v>47</v>
      </c>
      <c r="AD188" s="30" t="s">
        <v>53</v>
      </c>
      <c r="AE188" s="30" t="s">
        <v>53</v>
      </c>
      <c r="AF188" s="30" t="s">
        <v>53</v>
      </c>
      <c r="AG188" s="30" t="s">
        <v>53</v>
      </c>
      <c r="AH188" s="30" t="s">
        <v>53</v>
      </c>
      <c r="AI188" s="30" t="s">
        <v>945</v>
      </c>
      <c r="AJ188" s="30" t="s">
        <v>53</v>
      </c>
      <c r="AK188" s="30" t="s">
        <v>53</v>
      </c>
      <c r="AL188" s="30" t="s">
        <v>53</v>
      </c>
      <c r="AM188" s="30" t="s">
        <v>53</v>
      </c>
      <c r="AN188" s="30" t="s">
        <v>954</v>
      </c>
      <c r="AO188" s="30" t="s">
        <v>53</v>
      </c>
      <c r="AP188" s="30" t="s">
        <v>53</v>
      </c>
      <c r="AQ188" s="30" t="s">
        <v>53</v>
      </c>
      <c r="AR188" s="30" t="s">
        <v>53</v>
      </c>
      <c r="AS188" s="30" t="s">
        <v>53</v>
      </c>
      <c r="AT188" s="30" t="s">
        <v>946</v>
      </c>
      <c r="AU188" s="30" t="s">
        <v>53</v>
      </c>
      <c r="AV188" s="34">
        <v>167303490170</v>
      </c>
    </row>
    <row r="189" spans="2:48" ht="15" customHeight="1">
      <c r="B189" s="28">
        <v>183</v>
      </c>
      <c r="C189" s="29" t="s">
        <v>1578</v>
      </c>
      <c r="D189" s="30" t="s">
        <v>53</v>
      </c>
      <c r="E189" s="31" t="s">
        <v>1579</v>
      </c>
      <c r="F189" s="31" t="s">
        <v>53</v>
      </c>
      <c r="G189" s="32" t="s">
        <v>1580</v>
      </c>
      <c r="H189" s="30" t="s">
        <v>64</v>
      </c>
      <c r="I189" s="30" t="s">
        <v>741</v>
      </c>
      <c r="J189" s="32" t="s">
        <v>742</v>
      </c>
      <c r="K189" s="30" t="s">
        <v>318</v>
      </c>
      <c r="L189" s="32" t="s">
        <v>319</v>
      </c>
      <c r="M189" s="30" t="s">
        <v>953</v>
      </c>
      <c r="N189" s="30" t="s">
        <v>943</v>
      </c>
      <c r="O189" s="33">
        <v>2</v>
      </c>
      <c r="P189" s="33">
        <v>3437</v>
      </c>
      <c r="Q189" s="33">
        <v>0</v>
      </c>
      <c r="R189" s="33">
        <v>0</v>
      </c>
      <c r="S189" s="33">
        <v>0</v>
      </c>
      <c r="T189" s="33">
        <v>0</v>
      </c>
      <c r="U189" s="33">
        <v>0</v>
      </c>
      <c r="V189" s="33">
        <v>0</v>
      </c>
      <c r="W189" s="33" t="s">
        <v>53</v>
      </c>
      <c r="X189" s="33">
        <v>1</v>
      </c>
      <c r="Y189" s="30" t="s">
        <v>66</v>
      </c>
      <c r="Z189" s="30" t="s">
        <v>153</v>
      </c>
      <c r="AA189" s="30" t="s">
        <v>167</v>
      </c>
      <c r="AB189" s="30" t="s">
        <v>509</v>
      </c>
      <c r="AC189" s="30">
        <v>27</v>
      </c>
      <c r="AD189" s="30" t="s">
        <v>53</v>
      </c>
      <c r="AE189" s="30" t="s">
        <v>53</v>
      </c>
      <c r="AF189" s="30" t="s">
        <v>944</v>
      </c>
      <c r="AG189" s="30" t="s">
        <v>53</v>
      </c>
      <c r="AH189" s="30" t="s">
        <v>53</v>
      </c>
      <c r="AI189" s="30" t="s">
        <v>945</v>
      </c>
      <c r="AJ189" s="30" t="s">
        <v>142</v>
      </c>
      <c r="AK189" s="30" t="s">
        <v>169</v>
      </c>
      <c r="AL189" s="30" t="s">
        <v>169</v>
      </c>
      <c r="AM189" s="30" t="s">
        <v>53</v>
      </c>
      <c r="AN189" s="30" t="s">
        <v>954</v>
      </c>
      <c r="AO189" s="30" t="s">
        <v>53</v>
      </c>
      <c r="AP189" s="30" t="s">
        <v>53</v>
      </c>
      <c r="AQ189" s="30" t="s">
        <v>53</v>
      </c>
      <c r="AR189" s="30" t="s">
        <v>53</v>
      </c>
      <c r="AS189" s="30" t="s">
        <v>53</v>
      </c>
      <c r="AT189" s="30" t="s">
        <v>1025</v>
      </c>
      <c r="AU189" s="30" t="s">
        <v>53</v>
      </c>
      <c r="AV189" s="34">
        <v>167294165372</v>
      </c>
    </row>
    <row r="190" spans="2:48" ht="15" customHeight="1">
      <c r="B190" s="28">
        <v>184</v>
      </c>
      <c r="C190" s="29" t="s">
        <v>1581</v>
      </c>
      <c r="D190" s="30" t="s">
        <v>53</v>
      </c>
      <c r="E190" s="31" t="s">
        <v>1582</v>
      </c>
      <c r="F190" s="31" t="s">
        <v>53</v>
      </c>
      <c r="G190" s="32" t="s">
        <v>1583</v>
      </c>
      <c r="H190" s="30" t="s">
        <v>64</v>
      </c>
      <c r="I190" s="30" t="s">
        <v>581</v>
      </c>
      <c r="J190" s="32" t="s">
        <v>582</v>
      </c>
      <c r="K190" s="30" t="s">
        <v>371</v>
      </c>
      <c r="L190" s="32" t="s">
        <v>372</v>
      </c>
      <c r="M190" s="30" t="s">
        <v>953</v>
      </c>
      <c r="N190" s="30" t="s">
        <v>943</v>
      </c>
      <c r="O190" s="33">
        <v>2</v>
      </c>
      <c r="P190" s="33">
        <v>28802</v>
      </c>
      <c r="Q190" s="33">
        <v>150</v>
      </c>
      <c r="R190" s="33">
        <v>0</v>
      </c>
      <c r="S190" s="33">
        <v>0</v>
      </c>
      <c r="T190" s="33">
        <v>0</v>
      </c>
      <c r="U190" s="33">
        <v>0</v>
      </c>
      <c r="V190" s="33">
        <v>0</v>
      </c>
      <c r="W190" s="33" t="s">
        <v>53</v>
      </c>
      <c r="X190" s="33">
        <v>1</v>
      </c>
      <c r="Y190" s="30" t="s">
        <v>66</v>
      </c>
      <c r="Z190" s="30" t="s">
        <v>153</v>
      </c>
      <c r="AA190" s="30" t="s">
        <v>167</v>
      </c>
      <c r="AB190" s="30" t="s">
        <v>509</v>
      </c>
      <c r="AC190" s="30">
        <v>29</v>
      </c>
      <c r="AD190" s="30" t="s">
        <v>520</v>
      </c>
      <c r="AE190" s="30" t="s">
        <v>53</v>
      </c>
      <c r="AF190" s="30" t="s">
        <v>53</v>
      </c>
      <c r="AG190" s="30" t="s">
        <v>53</v>
      </c>
      <c r="AH190" s="30" t="s">
        <v>53</v>
      </c>
      <c r="AI190" s="30" t="s">
        <v>945</v>
      </c>
      <c r="AJ190" s="30" t="s">
        <v>53</v>
      </c>
      <c r="AK190" s="30" t="s">
        <v>53</v>
      </c>
      <c r="AL190" s="30" t="s">
        <v>53</v>
      </c>
      <c r="AM190" s="30" t="s">
        <v>53</v>
      </c>
      <c r="AN190" s="30" t="s">
        <v>954</v>
      </c>
      <c r="AO190" s="30" t="s">
        <v>53</v>
      </c>
      <c r="AP190" s="30" t="s">
        <v>53</v>
      </c>
      <c r="AQ190" s="30" t="s">
        <v>53</v>
      </c>
      <c r="AR190" s="30" t="s">
        <v>53</v>
      </c>
      <c r="AS190" s="30" t="s">
        <v>53</v>
      </c>
      <c r="AT190" s="30" t="s">
        <v>1012</v>
      </c>
      <c r="AU190" s="30" t="s">
        <v>53</v>
      </c>
      <c r="AV190" s="34">
        <v>167293960658</v>
      </c>
    </row>
    <row r="191" spans="2:48" ht="15" customHeight="1">
      <c r="B191" s="28">
        <v>185</v>
      </c>
      <c r="C191" s="29" t="s">
        <v>1584</v>
      </c>
      <c r="D191" s="30" t="s">
        <v>53</v>
      </c>
      <c r="E191" s="31" t="s">
        <v>1585</v>
      </c>
      <c r="F191" s="31" t="s">
        <v>53</v>
      </c>
      <c r="G191" s="32" t="s">
        <v>1586</v>
      </c>
      <c r="H191" s="30" t="s">
        <v>67</v>
      </c>
      <c r="I191" s="30" t="s">
        <v>737</v>
      </c>
      <c r="J191" s="32" t="s">
        <v>738</v>
      </c>
      <c r="K191" s="30" t="s">
        <v>245</v>
      </c>
      <c r="L191" s="32" t="s">
        <v>246</v>
      </c>
      <c r="M191" s="30" t="s">
        <v>953</v>
      </c>
      <c r="N191" s="30" t="s">
        <v>974</v>
      </c>
      <c r="O191" s="33"/>
      <c r="P191" s="33">
        <v>258004</v>
      </c>
      <c r="Q191" s="33">
        <v>0</v>
      </c>
      <c r="R191" s="33">
        <v>0</v>
      </c>
      <c r="S191" s="33">
        <v>0</v>
      </c>
      <c r="T191" s="33">
        <v>0</v>
      </c>
      <c r="U191" s="33">
        <v>0</v>
      </c>
      <c r="V191" s="33">
        <v>0</v>
      </c>
      <c r="W191" s="33" t="s">
        <v>53</v>
      </c>
      <c r="X191" s="33">
        <v>1</v>
      </c>
      <c r="Y191" s="30" t="s">
        <v>69</v>
      </c>
      <c r="Z191" s="30" t="s">
        <v>156</v>
      </c>
      <c r="AA191" s="30" t="s">
        <v>156</v>
      </c>
      <c r="AB191" s="30"/>
      <c r="AC191" s="30"/>
      <c r="AD191" s="30" t="s">
        <v>53</v>
      </c>
      <c r="AE191" s="30" t="s">
        <v>53</v>
      </c>
      <c r="AF191" s="30" t="s">
        <v>53</v>
      </c>
      <c r="AG191" s="30" t="s">
        <v>53</v>
      </c>
      <c r="AH191" s="30" t="s">
        <v>53</v>
      </c>
      <c r="AI191" s="30" t="s">
        <v>945</v>
      </c>
      <c r="AJ191" s="30" t="s">
        <v>53</v>
      </c>
      <c r="AK191" s="30" t="s">
        <v>53</v>
      </c>
      <c r="AL191" s="30" t="s">
        <v>53</v>
      </c>
      <c r="AM191" s="30" t="s">
        <v>53</v>
      </c>
      <c r="AN191" s="30" t="s">
        <v>954</v>
      </c>
      <c r="AO191" s="30" t="s">
        <v>53</v>
      </c>
      <c r="AP191" s="30" t="s">
        <v>53</v>
      </c>
      <c r="AQ191" s="30" t="s">
        <v>53</v>
      </c>
      <c r="AR191" s="30" t="s">
        <v>53</v>
      </c>
      <c r="AS191" s="30" t="s">
        <v>53</v>
      </c>
      <c r="AT191" s="30" t="s">
        <v>1012</v>
      </c>
      <c r="AU191" s="30" t="s">
        <v>53</v>
      </c>
      <c r="AV191" s="34">
        <v>167293524476</v>
      </c>
    </row>
    <row r="192" spans="2:48" ht="15" customHeight="1">
      <c r="B192" s="28">
        <v>186</v>
      </c>
      <c r="C192" s="29" t="s">
        <v>1587</v>
      </c>
      <c r="D192" s="30" t="s">
        <v>53</v>
      </c>
      <c r="E192" s="31" t="s">
        <v>1588</v>
      </c>
      <c r="F192" s="31" t="s">
        <v>53</v>
      </c>
      <c r="G192" s="32" t="s">
        <v>1589</v>
      </c>
      <c r="H192" s="30" t="s">
        <v>64</v>
      </c>
      <c r="I192" s="30" t="s">
        <v>581</v>
      </c>
      <c r="J192" s="32" t="s">
        <v>582</v>
      </c>
      <c r="K192" s="30" t="s">
        <v>373</v>
      </c>
      <c r="L192" s="32" t="s">
        <v>374</v>
      </c>
      <c r="M192" s="30" t="s">
        <v>953</v>
      </c>
      <c r="N192" s="30" t="s">
        <v>943</v>
      </c>
      <c r="O192" s="33">
        <v>2</v>
      </c>
      <c r="P192" s="33">
        <v>26143</v>
      </c>
      <c r="Q192" s="33">
        <v>150</v>
      </c>
      <c r="R192" s="33">
        <v>0</v>
      </c>
      <c r="S192" s="33">
        <v>0</v>
      </c>
      <c r="T192" s="33">
        <v>0</v>
      </c>
      <c r="U192" s="33">
        <v>0</v>
      </c>
      <c r="V192" s="33">
        <v>0</v>
      </c>
      <c r="W192" s="33" t="s">
        <v>53</v>
      </c>
      <c r="X192" s="33">
        <v>1</v>
      </c>
      <c r="Y192" s="30" t="s">
        <v>66</v>
      </c>
      <c r="Z192" s="30" t="s">
        <v>153</v>
      </c>
      <c r="AA192" s="30" t="s">
        <v>167</v>
      </c>
      <c r="AB192" s="30" t="s">
        <v>509</v>
      </c>
      <c r="AC192" s="30">
        <v>29</v>
      </c>
      <c r="AD192" s="30" t="s">
        <v>520</v>
      </c>
      <c r="AE192" s="30" t="s">
        <v>53</v>
      </c>
      <c r="AF192" s="30" t="s">
        <v>53</v>
      </c>
      <c r="AG192" s="30" t="s">
        <v>53</v>
      </c>
      <c r="AH192" s="30" t="s">
        <v>53</v>
      </c>
      <c r="AI192" s="30" t="s">
        <v>945</v>
      </c>
      <c r="AJ192" s="30" t="s">
        <v>142</v>
      </c>
      <c r="AK192" s="30" t="s">
        <v>553</v>
      </c>
      <c r="AL192" s="30" t="s">
        <v>376</v>
      </c>
      <c r="AM192" s="30" t="s">
        <v>53</v>
      </c>
      <c r="AN192" s="30" t="s">
        <v>954</v>
      </c>
      <c r="AO192" s="30" t="s">
        <v>53</v>
      </c>
      <c r="AP192" s="30" t="s">
        <v>53</v>
      </c>
      <c r="AQ192" s="30" t="s">
        <v>53</v>
      </c>
      <c r="AR192" s="30" t="s">
        <v>53</v>
      </c>
      <c r="AS192" s="30" t="s">
        <v>53</v>
      </c>
      <c r="AT192" s="30" t="s">
        <v>1012</v>
      </c>
      <c r="AU192" s="30" t="s">
        <v>53</v>
      </c>
      <c r="AV192" s="34">
        <v>167292915420</v>
      </c>
    </row>
    <row r="193" spans="2:48" ht="15" customHeight="1">
      <c r="B193" s="28">
        <v>187</v>
      </c>
      <c r="C193" s="29" t="s">
        <v>1590</v>
      </c>
      <c r="D193" s="30" t="s">
        <v>53</v>
      </c>
      <c r="E193" s="31" t="s">
        <v>1591</v>
      </c>
      <c r="F193" s="31" t="s">
        <v>53</v>
      </c>
      <c r="G193" s="32" t="s">
        <v>1592</v>
      </c>
      <c r="H193" s="30" t="s">
        <v>64</v>
      </c>
      <c r="I193" s="30" t="s">
        <v>581</v>
      </c>
      <c r="J193" s="32" t="s">
        <v>582</v>
      </c>
      <c r="K193" s="30" t="s">
        <v>197</v>
      </c>
      <c r="L193" s="32" t="s">
        <v>199</v>
      </c>
      <c r="M193" s="30" t="s">
        <v>953</v>
      </c>
      <c r="N193" s="30" t="s">
        <v>974</v>
      </c>
      <c r="O193" s="33">
        <v>3</v>
      </c>
      <c r="P193" s="33">
        <v>153213</v>
      </c>
      <c r="Q193" s="33">
        <v>150</v>
      </c>
      <c r="R193" s="33">
        <v>0</v>
      </c>
      <c r="S193" s="33">
        <v>1</v>
      </c>
      <c r="T193" s="33">
        <v>1</v>
      </c>
      <c r="U193" s="33">
        <v>0</v>
      </c>
      <c r="V193" s="33">
        <v>0</v>
      </c>
      <c r="W193" s="33" t="s">
        <v>53</v>
      </c>
      <c r="X193" s="33">
        <v>1</v>
      </c>
      <c r="Y193" s="30" t="s">
        <v>66</v>
      </c>
      <c r="Z193" s="30" t="s">
        <v>153</v>
      </c>
      <c r="AA193" s="30" t="s">
        <v>167</v>
      </c>
      <c r="AB193" s="30" t="s">
        <v>509</v>
      </c>
      <c r="AC193" s="30">
        <v>29</v>
      </c>
      <c r="AD193" s="30" t="s">
        <v>520</v>
      </c>
      <c r="AE193" s="30" t="s">
        <v>53</v>
      </c>
      <c r="AF193" s="30" t="s">
        <v>53</v>
      </c>
      <c r="AG193" s="30" t="s">
        <v>53</v>
      </c>
      <c r="AH193" s="30" t="s">
        <v>53</v>
      </c>
      <c r="AI193" s="30" t="s">
        <v>945</v>
      </c>
      <c r="AJ193" s="30" t="s">
        <v>142</v>
      </c>
      <c r="AK193" s="30" t="s">
        <v>1063</v>
      </c>
      <c r="AL193" s="30" t="s">
        <v>201</v>
      </c>
      <c r="AM193" s="30" t="s">
        <v>53</v>
      </c>
      <c r="AN193" s="30" t="s">
        <v>954</v>
      </c>
      <c r="AO193" s="30" t="s">
        <v>53</v>
      </c>
      <c r="AP193" s="30" t="s">
        <v>53</v>
      </c>
      <c r="AQ193" s="30" t="s">
        <v>53</v>
      </c>
      <c r="AR193" s="30" t="s">
        <v>53</v>
      </c>
      <c r="AS193" s="30" t="s">
        <v>53</v>
      </c>
      <c r="AT193" s="30" t="s">
        <v>1012</v>
      </c>
      <c r="AU193" s="30" t="s">
        <v>53</v>
      </c>
      <c r="AV193" s="34">
        <v>167291380253</v>
      </c>
    </row>
    <row r="194" spans="2:48" ht="15" customHeight="1">
      <c r="B194" s="28">
        <v>188</v>
      </c>
      <c r="C194" s="29" t="s">
        <v>1593</v>
      </c>
      <c r="D194" s="30" t="s">
        <v>53</v>
      </c>
      <c r="E194" s="31" t="s">
        <v>1594</v>
      </c>
      <c r="F194" s="31" t="s">
        <v>53</v>
      </c>
      <c r="G194" s="32" t="s">
        <v>1595</v>
      </c>
      <c r="H194" s="30" t="s">
        <v>70</v>
      </c>
      <c r="I194" s="30" t="s">
        <v>569</v>
      </c>
      <c r="J194" s="32" t="s">
        <v>940</v>
      </c>
      <c r="K194" s="30" t="s">
        <v>150</v>
      </c>
      <c r="L194" s="32" t="s">
        <v>941</v>
      </c>
      <c r="M194" s="30" t="s">
        <v>942</v>
      </c>
      <c r="N194" s="30" t="s">
        <v>943</v>
      </c>
      <c r="O194" s="33"/>
      <c r="P194" s="33">
        <v>4388</v>
      </c>
      <c r="Q194" s="33">
        <v>0</v>
      </c>
      <c r="R194" s="33">
        <v>0</v>
      </c>
      <c r="S194" s="33">
        <v>0</v>
      </c>
      <c r="T194" s="33">
        <v>0</v>
      </c>
      <c r="U194" s="33">
        <v>0</v>
      </c>
      <c r="V194" s="33">
        <v>0</v>
      </c>
      <c r="W194" s="33" t="s">
        <v>53</v>
      </c>
      <c r="X194" s="33">
        <v>1</v>
      </c>
      <c r="Y194" s="30" t="s">
        <v>72</v>
      </c>
      <c r="Z194" s="30" t="s">
        <v>153</v>
      </c>
      <c r="AA194" s="30" t="s">
        <v>167</v>
      </c>
      <c r="AB194" s="30" t="s">
        <v>508</v>
      </c>
      <c r="AC194" s="30"/>
      <c r="AD194" s="30" t="s">
        <v>53</v>
      </c>
      <c r="AE194" s="30" t="s">
        <v>53</v>
      </c>
      <c r="AF194" s="30" t="s">
        <v>944</v>
      </c>
      <c r="AG194" s="30" t="s">
        <v>53</v>
      </c>
      <c r="AH194" s="30" t="s">
        <v>53</v>
      </c>
      <c r="AI194" s="30" t="s">
        <v>945</v>
      </c>
      <c r="AJ194" s="30" t="s">
        <v>53</v>
      </c>
      <c r="AK194" s="30" t="s">
        <v>53</v>
      </c>
      <c r="AL194" s="30" t="s">
        <v>53</v>
      </c>
      <c r="AM194" s="30" t="s">
        <v>53</v>
      </c>
      <c r="AN194" s="30" t="s">
        <v>53</v>
      </c>
      <c r="AO194" s="30" t="s">
        <v>53</v>
      </c>
      <c r="AP194" s="30" t="s">
        <v>53</v>
      </c>
      <c r="AQ194" s="30" t="s">
        <v>53</v>
      </c>
      <c r="AR194" s="30" t="s">
        <v>53</v>
      </c>
      <c r="AS194" s="30" t="s">
        <v>53</v>
      </c>
      <c r="AT194" s="30" t="s">
        <v>946</v>
      </c>
      <c r="AU194" s="30" t="s">
        <v>53</v>
      </c>
      <c r="AV194" s="34">
        <v>167289939780</v>
      </c>
    </row>
    <row r="195" spans="2:48" ht="15" customHeight="1">
      <c r="B195" s="28">
        <v>189</v>
      </c>
      <c r="C195" s="29" t="s">
        <v>1596</v>
      </c>
      <c r="D195" s="30" t="s">
        <v>1597</v>
      </c>
      <c r="E195" s="31" t="s">
        <v>1598</v>
      </c>
      <c r="F195" s="31" t="s">
        <v>53</v>
      </c>
      <c r="G195" s="32" t="s">
        <v>1599</v>
      </c>
      <c r="H195" s="30" t="s">
        <v>112</v>
      </c>
      <c r="I195" s="30" t="s">
        <v>752</v>
      </c>
      <c r="J195" s="32" t="s">
        <v>753</v>
      </c>
      <c r="K195" s="30" t="s">
        <v>460</v>
      </c>
      <c r="L195" s="32" t="s">
        <v>461</v>
      </c>
      <c r="M195" s="30" t="s">
        <v>982</v>
      </c>
      <c r="N195" s="30" t="s">
        <v>974</v>
      </c>
      <c r="O195" s="33"/>
      <c r="P195" s="33">
        <v>0</v>
      </c>
      <c r="Q195" s="33">
        <v>0</v>
      </c>
      <c r="R195" s="33">
        <v>0</v>
      </c>
      <c r="S195" s="33">
        <v>0</v>
      </c>
      <c r="T195" s="33">
        <v>0</v>
      </c>
      <c r="U195" s="33">
        <v>0</v>
      </c>
      <c r="V195" s="33">
        <v>0</v>
      </c>
      <c r="W195" s="33" t="s">
        <v>983</v>
      </c>
      <c r="X195" s="33">
        <v>1</v>
      </c>
      <c r="Y195" s="30" t="s">
        <v>57</v>
      </c>
      <c r="Z195" s="30" t="s">
        <v>156</v>
      </c>
      <c r="AA195" s="30" t="s">
        <v>156</v>
      </c>
      <c r="AB195" s="30"/>
      <c r="AC195" s="30"/>
      <c r="AD195" s="30" t="s">
        <v>53</v>
      </c>
      <c r="AE195" s="30" t="s">
        <v>53</v>
      </c>
      <c r="AF195" s="30" t="s">
        <v>53</v>
      </c>
      <c r="AG195" s="30" t="s">
        <v>53</v>
      </c>
      <c r="AH195" s="30" t="s">
        <v>53</v>
      </c>
      <c r="AI195" s="30" t="s">
        <v>945</v>
      </c>
      <c r="AJ195" s="30" t="s">
        <v>142</v>
      </c>
      <c r="AK195" s="30" t="s">
        <v>53</v>
      </c>
      <c r="AL195" s="30" t="s">
        <v>53</v>
      </c>
      <c r="AM195" s="30" t="s">
        <v>53</v>
      </c>
      <c r="AN195" s="30" t="s">
        <v>954</v>
      </c>
      <c r="AO195" s="30" t="s">
        <v>53</v>
      </c>
      <c r="AP195" s="30" t="s">
        <v>53</v>
      </c>
      <c r="AQ195" s="30" t="s">
        <v>53</v>
      </c>
      <c r="AR195" s="30" t="s">
        <v>53</v>
      </c>
      <c r="AS195" s="30" t="s">
        <v>53</v>
      </c>
      <c r="AT195" s="30" t="s">
        <v>946</v>
      </c>
      <c r="AU195" s="30" t="s">
        <v>138</v>
      </c>
      <c r="AV195" s="34">
        <v>167421732355</v>
      </c>
    </row>
    <row r="196" spans="2:48" ht="15" customHeight="1">
      <c r="B196" s="28">
        <v>190</v>
      </c>
      <c r="C196" s="29" t="s">
        <v>1600</v>
      </c>
      <c r="D196" s="30" t="s">
        <v>53</v>
      </c>
      <c r="E196" s="31" t="s">
        <v>1601</v>
      </c>
      <c r="F196" s="31" t="s">
        <v>53</v>
      </c>
      <c r="G196" s="32" t="s">
        <v>1602</v>
      </c>
      <c r="H196" s="30" t="s">
        <v>64</v>
      </c>
      <c r="I196" s="30" t="s">
        <v>594</v>
      </c>
      <c r="J196" s="32" t="s">
        <v>595</v>
      </c>
      <c r="K196" s="30" t="s">
        <v>223</v>
      </c>
      <c r="L196" s="32" t="s">
        <v>224</v>
      </c>
      <c r="M196" s="30" t="s">
        <v>953</v>
      </c>
      <c r="N196" s="30" t="s">
        <v>974</v>
      </c>
      <c r="O196" s="33">
        <v>5</v>
      </c>
      <c r="P196" s="33">
        <v>1280300</v>
      </c>
      <c r="Q196" s="33">
        <v>0</v>
      </c>
      <c r="R196" s="33">
        <v>0</v>
      </c>
      <c r="S196" s="33">
        <v>0</v>
      </c>
      <c r="T196" s="33">
        <v>0</v>
      </c>
      <c r="U196" s="33">
        <v>0</v>
      </c>
      <c r="V196" s="33">
        <v>0</v>
      </c>
      <c r="W196" s="33" t="s">
        <v>53</v>
      </c>
      <c r="X196" s="33">
        <v>1</v>
      </c>
      <c r="Y196" s="30" t="s">
        <v>66</v>
      </c>
      <c r="Z196" s="30" t="s">
        <v>153</v>
      </c>
      <c r="AA196" s="30" t="s">
        <v>167</v>
      </c>
      <c r="AB196" s="30" t="s">
        <v>509</v>
      </c>
      <c r="AC196" s="30">
        <v>30</v>
      </c>
      <c r="AD196" s="30" t="s">
        <v>53</v>
      </c>
      <c r="AE196" s="30" t="s">
        <v>53</v>
      </c>
      <c r="AF196" s="30" t="s">
        <v>53</v>
      </c>
      <c r="AG196" s="30" t="s">
        <v>53</v>
      </c>
      <c r="AH196" s="30" t="s">
        <v>53</v>
      </c>
      <c r="AI196" s="30" t="s">
        <v>945</v>
      </c>
      <c r="AJ196" s="30" t="s">
        <v>53</v>
      </c>
      <c r="AK196" s="30" t="s">
        <v>53</v>
      </c>
      <c r="AL196" s="30" t="s">
        <v>53</v>
      </c>
      <c r="AM196" s="30" t="s">
        <v>53</v>
      </c>
      <c r="AN196" s="30" t="s">
        <v>954</v>
      </c>
      <c r="AO196" s="30" t="s">
        <v>53</v>
      </c>
      <c r="AP196" s="30" t="s">
        <v>53</v>
      </c>
      <c r="AQ196" s="30" t="s">
        <v>53</v>
      </c>
      <c r="AR196" s="30" t="s">
        <v>53</v>
      </c>
      <c r="AS196" s="30" t="s">
        <v>53</v>
      </c>
      <c r="AT196" s="30" t="s">
        <v>1012</v>
      </c>
      <c r="AU196" s="30" t="s">
        <v>53</v>
      </c>
      <c r="AV196" s="34">
        <v>167241037030</v>
      </c>
    </row>
    <row r="197" spans="2:48" ht="15" customHeight="1">
      <c r="B197" s="28">
        <v>191</v>
      </c>
      <c r="C197" s="29" t="s">
        <v>1603</v>
      </c>
      <c r="D197" s="30" t="s">
        <v>979</v>
      </c>
      <c r="E197" s="31" t="s">
        <v>1114</v>
      </c>
      <c r="F197" s="31" t="s">
        <v>53</v>
      </c>
      <c r="G197" s="32" t="s">
        <v>1604</v>
      </c>
      <c r="H197" s="30" t="s">
        <v>84</v>
      </c>
      <c r="I197" s="30" t="s">
        <v>707</v>
      </c>
      <c r="J197" s="32" t="s">
        <v>708</v>
      </c>
      <c r="K197" s="30" t="s">
        <v>154</v>
      </c>
      <c r="L197" s="32" t="s">
        <v>155</v>
      </c>
      <c r="M197" s="30" t="s">
        <v>982</v>
      </c>
      <c r="N197" s="30" t="s">
        <v>974</v>
      </c>
      <c r="O197" s="33"/>
      <c r="P197" s="33">
        <v>0</v>
      </c>
      <c r="Q197" s="33">
        <v>0</v>
      </c>
      <c r="R197" s="33">
        <v>0</v>
      </c>
      <c r="S197" s="33">
        <v>0</v>
      </c>
      <c r="T197" s="33">
        <v>0</v>
      </c>
      <c r="U197" s="33">
        <v>0</v>
      </c>
      <c r="V197" s="33">
        <v>0</v>
      </c>
      <c r="W197" s="33" t="s">
        <v>983</v>
      </c>
      <c r="X197" s="33">
        <v>3</v>
      </c>
      <c r="Y197" s="30" t="s">
        <v>57</v>
      </c>
      <c r="Z197" s="30" t="s">
        <v>156</v>
      </c>
      <c r="AA197" s="30" t="s">
        <v>156</v>
      </c>
      <c r="AB197" s="30" t="s">
        <v>508</v>
      </c>
      <c r="AC197" s="30"/>
      <c r="AD197" s="30" t="s">
        <v>53</v>
      </c>
      <c r="AE197" s="30" t="s">
        <v>53</v>
      </c>
      <c r="AF197" s="30" t="s">
        <v>53</v>
      </c>
      <c r="AG197" s="30" t="s">
        <v>53</v>
      </c>
      <c r="AH197" s="30" t="s">
        <v>53</v>
      </c>
      <c r="AI197" s="30" t="s">
        <v>945</v>
      </c>
      <c r="AJ197" s="30" t="s">
        <v>142</v>
      </c>
      <c r="AK197" s="30" t="s">
        <v>53</v>
      </c>
      <c r="AL197" s="30" t="s">
        <v>53</v>
      </c>
      <c r="AM197" s="30" t="s">
        <v>53</v>
      </c>
      <c r="AN197" s="30" t="s">
        <v>954</v>
      </c>
      <c r="AO197" s="30" t="s">
        <v>53</v>
      </c>
      <c r="AP197" s="30" t="s">
        <v>53</v>
      </c>
      <c r="AQ197" s="30" t="s">
        <v>53</v>
      </c>
      <c r="AR197" s="30" t="s">
        <v>53</v>
      </c>
      <c r="AS197" s="30" t="s">
        <v>53</v>
      </c>
      <c r="AT197" s="30" t="s">
        <v>946</v>
      </c>
      <c r="AU197" s="30" t="s">
        <v>138</v>
      </c>
      <c r="AV197" s="34">
        <v>167399489965</v>
      </c>
    </row>
    <row r="198" spans="2:48" ht="15" customHeight="1">
      <c r="B198" s="28">
        <v>192</v>
      </c>
      <c r="C198" s="29" t="s">
        <v>1605</v>
      </c>
      <c r="D198" s="30" t="s">
        <v>53</v>
      </c>
      <c r="E198" s="31" t="s">
        <v>1606</v>
      </c>
      <c r="F198" s="31" t="s">
        <v>53</v>
      </c>
      <c r="G198" s="32" t="s">
        <v>1607</v>
      </c>
      <c r="H198" s="30" t="s">
        <v>73</v>
      </c>
      <c r="I198" s="30" t="s">
        <v>608</v>
      </c>
      <c r="J198" s="32" t="s">
        <v>609</v>
      </c>
      <c r="K198" s="30" t="s">
        <v>191</v>
      </c>
      <c r="L198" s="32" t="s">
        <v>192</v>
      </c>
      <c r="M198" s="30" t="s">
        <v>953</v>
      </c>
      <c r="N198" s="30" t="s">
        <v>943</v>
      </c>
      <c r="O198" s="33"/>
      <c r="P198" s="33">
        <v>0</v>
      </c>
      <c r="Q198" s="33">
        <v>0</v>
      </c>
      <c r="R198" s="33" t="s">
        <v>129</v>
      </c>
      <c r="S198" s="33">
        <v>0</v>
      </c>
      <c r="T198" s="33" t="s">
        <v>129</v>
      </c>
      <c r="U198" s="33" t="s">
        <v>129</v>
      </c>
      <c r="V198" s="33" t="s">
        <v>129</v>
      </c>
      <c r="W198" s="33" t="s">
        <v>53</v>
      </c>
      <c r="X198" s="33">
        <v>1</v>
      </c>
      <c r="Y198" s="30" t="s">
        <v>75</v>
      </c>
      <c r="Z198" s="30" t="s">
        <v>156</v>
      </c>
      <c r="AA198" s="30" t="s">
        <v>156</v>
      </c>
      <c r="AB198" s="30" t="s">
        <v>509</v>
      </c>
      <c r="AC198" s="30"/>
      <c r="AD198" s="30" t="s">
        <v>53</v>
      </c>
      <c r="AE198" s="30" t="s">
        <v>53</v>
      </c>
      <c r="AF198" s="30" t="s">
        <v>53</v>
      </c>
      <c r="AG198" s="30" t="s">
        <v>53</v>
      </c>
      <c r="AH198" s="30" t="s">
        <v>53</v>
      </c>
      <c r="AI198" s="30" t="s">
        <v>945</v>
      </c>
      <c r="AJ198" s="30" t="s">
        <v>53</v>
      </c>
      <c r="AK198" s="30" t="s">
        <v>53</v>
      </c>
      <c r="AL198" s="30" t="s">
        <v>53</v>
      </c>
      <c r="AM198" s="30" t="s">
        <v>53</v>
      </c>
      <c r="AN198" s="30" t="s">
        <v>954</v>
      </c>
      <c r="AO198" s="30" t="s">
        <v>53</v>
      </c>
      <c r="AP198" s="30" t="s">
        <v>53</v>
      </c>
      <c r="AQ198" s="30" t="s">
        <v>53</v>
      </c>
      <c r="AR198" s="30" t="s">
        <v>53</v>
      </c>
      <c r="AS198" s="30" t="s">
        <v>53</v>
      </c>
      <c r="AT198" s="30" t="s">
        <v>946</v>
      </c>
      <c r="AU198" s="30" t="s">
        <v>53</v>
      </c>
      <c r="AV198" s="34">
        <v>167269440276</v>
      </c>
    </row>
    <row r="199" spans="2:48" ht="15" customHeight="1">
      <c r="B199" s="28">
        <v>193</v>
      </c>
      <c r="C199" s="29" t="s">
        <v>1608</v>
      </c>
      <c r="D199" s="30" t="s">
        <v>193</v>
      </c>
      <c r="E199" s="31" t="s">
        <v>1609</v>
      </c>
      <c r="F199" s="31" t="s">
        <v>53</v>
      </c>
      <c r="G199" s="32" t="s">
        <v>1610</v>
      </c>
      <c r="H199" s="30" t="s">
        <v>73</v>
      </c>
      <c r="I199" s="30" t="s">
        <v>579</v>
      </c>
      <c r="J199" s="32" t="s">
        <v>580</v>
      </c>
      <c r="K199" s="30" t="s">
        <v>191</v>
      </c>
      <c r="L199" s="32" t="s">
        <v>192</v>
      </c>
      <c r="M199" s="30" t="s">
        <v>1390</v>
      </c>
      <c r="N199" s="30" t="s">
        <v>943</v>
      </c>
      <c r="O199" s="33"/>
      <c r="P199" s="33">
        <v>0</v>
      </c>
      <c r="Q199" s="33">
        <v>0</v>
      </c>
      <c r="R199" s="33" t="s">
        <v>129</v>
      </c>
      <c r="S199" s="33">
        <v>0</v>
      </c>
      <c r="T199" s="33" t="s">
        <v>129</v>
      </c>
      <c r="U199" s="33" t="s">
        <v>129</v>
      </c>
      <c r="V199" s="33" t="s">
        <v>129</v>
      </c>
      <c r="W199" s="33" t="s">
        <v>53</v>
      </c>
      <c r="X199" s="33">
        <v>1</v>
      </c>
      <c r="Y199" s="30" t="s">
        <v>75</v>
      </c>
      <c r="Z199" s="30" t="s">
        <v>156</v>
      </c>
      <c r="AA199" s="30" t="s">
        <v>156</v>
      </c>
      <c r="AB199" s="30"/>
      <c r="AC199" s="30"/>
      <c r="AD199" s="30" t="s">
        <v>53</v>
      </c>
      <c r="AE199" s="30" t="s">
        <v>53</v>
      </c>
      <c r="AF199" s="30" t="s">
        <v>53</v>
      </c>
      <c r="AG199" s="30" t="s">
        <v>53</v>
      </c>
      <c r="AH199" s="30" t="s">
        <v>53</v>
      </c>
      <c r="AI199" s="30" t="s">
        <v>945</v>
      </c>
      <c r="AJ199" s="30" t="s">
        <v>53</v>
      </c>
      <c r="AK199" s="30" t="s">
        <v>53</v>
      </c>
      <c r="AL199" s="30" t="s">
        <v>53</v>
      </c>
      <c r="AM199" s="30" t="s">
        <v>53</v>
      </c>
      <c r="AN199" s="30" t="s">
        <v>954</v>
      </c>
      <c r="AO199" s="30" t="s">
        <v>53</v>
      </c>
      <c r="AP199" s="30" t="s">
        <v>53</v>
      </c>
      <c r="AQ199" s="30" t="s">
        <v>53</v>
      </c>
      <c r="AR199" s="30" t="s">
        <v>53</v>
      </c>
      <c r="AS199" s="30" t="s">
        <v>53</v>
      </c>
      <c r="AT199" s="30" t="s">
        <v>946</v>
      </c>
      <c r="AU199" s="30" t="s">
        <v>53</v>
      </c>
      <c r="AV199" s="34">
        <v>167269541808</v>
      </c>
    </row>
    <row r="200" spans="2:48" ht="15" customHeight="1">
      <c r="B200" s="28">
        <v>194</v>
      </c>
      <c r="C200" s="29" t="s">
        <v>1611</v>
      </c>
      <c r="D200" s="30" t="s">
        <v>191</v>
      </c>
      <c r="E200" s="31" t="s">
        <v>1612</v>
      </c>
      <c r="F200" s="31" t="s">
        <v>53</v>
      </c>
      <c r="G200" s="32" t="s">
        <v>192</v>
      </c>
      <c r="H200" s="30" t="s">
        <v>73</v>
      </c>
      <c r="I200" s="30" t="s">
        <v>608</v>
      </c>
      <c r="J200" s="32" t="s">
        <v>609</v>
      </c>
      <c r="K200" s="30" t="s">
        <v>191</v>
      </c>
      <c r="L200" s="32" t="s">
        <v>192</v>
      </c>
      <c r="M200" s="30" t="s">
        <v>1397</v>
      </c>
      <c r="N200" s="30" t="s">
        <v>943</v>
      </c>
      <c r="O200" s="33"/>
      <c r="P200" s="33">
        <v>0</v>
      </c>
      <c r="Q200" s="33">
        <v>0</v>
      </c>
      <c r="R200" s="33" t="s">
        <v>129</v>
      </c>
      <c r="S200" s="33">
        <v>0</v>
      </c>
      <c r="T200" s="33" t="s">
        <v>129</v>
      </c>
      <c r="U200" s="33" t="s">
        <v>129</v>
      </c>
      <c r="V200" s="33" t="s">
        <v>129</v>
      </c>
      <c r="W200" s="33" t="s">
        <v>53</v>
      </c>
      <c r="X200" s="33">
        <v>1</v>
      </c>
      <c r="Y200" s="30" t="s">
        <v>75</v>
      </c>
      <c r="Z200" s="30" t="s">
        <v>156</v>
      </c>
      <c r="AA200" s="30" t="s">
        <v>156</v>
      </c>
      <c r="AB200" s="30" t="s">
        <v>509</v>
      </c>
      <c r="AC200" s="30"/>
      <c r="AD200" s="30" t="s">
        <v>53</v>
      </c>
      <c r="AE200" s="30" t="s">
        <v>53</v>
      </c>
      <c r="AF200" s="30" t="s">
        <v>53</v>
      </c>
      <c r="AG200" s="30" t="s">
        <v>53</v>
      </c>
      <c r="AH200" s="30" t="s">
        <v>53</v>
      </c>
      <c r="AI200" s="30" t="s">
        <v>945</v>
      </c>
      <c r="AJ200" s="30" t="s">
        <v>53</v>
      </c>
      <c r="AK200" s="30" t="s">
        <v>53</v>
      </c>
      <c r="AL200" s="30" t="s">
        <v>53</v>
      </c>
      <c r="AM200" s="30" t="s">
        <v>53</v>
      </c>
      <c r="AN200" s="30" t="s">
        <v>954</v>
      </c>
      <c r="AO200" s="30" t="s">
        <v>53</v>
      </c>
      <c r="AP200" s="30" t="s">
        <v>53</v>
      </c>
      <c r="AQ200" s="30" t="s">
        <v>53</v>
      </c>
      <c r="AR200" s="30" t="s">
        <v>53</v>
      </c>
      <c r="AS200" s="30" t="s">
        <v>53</v>
      </c>
      <c r="AT200" s="30" t="s">
        <v>946</v>
      </c>
      <c r="AU200" s="30" t="s">
        <v>53</v>
      </c>
      <c r="AV200" s="34">
        <v>167245902477</v>
      </c>
    </row>
    <row r="201" spans="2:48" ht="15" customHeight="1">
      <c r="B201" s="28">
        <v>195</v>
      </c>
      <c r="C201" s="29" t="s">
        <v>1613</v>
      </c>
      <c r="D201" s="30" t="s">
        <v>53</v>
      </c>
      <c r="E201" s="31" t="s">
        <v>1614</v>
      </c>
      <c r="F201" s="31" t="s">
        <v>53</v>
      </c>
      <c r="G201" s="32" t="s">
        <v>1615</v>
      </c>
      <c r="H201" s="30" t="s">
        <v>64</v>
      </c>
      <c r="I201" s="30" t="s">
        <v>581</v>
      </c>
      <c r="J201" s="32" t="s">
        <v>582</v>
      </c>
      <c r="K201" s="30" t="s">
        <v>223</v>
      </c>
      <c r="L201" s="32" t="s">
        <v>224</v>
      </c>
      <c r="M201" s="30" t="s">
        <v>953</v>
      </c>
      <c r="N201" s="30" t="s">
        <v>974</v>
      </c>
      <c r="O201" s="33">
        <v>5</v>
      </c>
      <c r="P201" s="33">
        <v>1280300</v>
      </c>
      <c r="Q201" s="33">
        <v>148</v>
      </c>
      <c r="R201" s="33">
        <v>0</v>
      </c>
      <c r="S201" s="33">
        <v>0</v>
      </c>
      <c r="T201" s="33">
        <v>0</v>
      </c>
      <c r="U201" s="33">
        <v>0</v>
      </c>
      <c r="V201" s="33">
        <v>0</v>
      </c>
      <c r="W201" s="33" t="s">
        <v>53</v>
      </c>
      <c r="X201" s="33">
        <v>1</v>
      </c>
      <c r="Y201" s="30" t="s">
        <v>66</v>
      </c>
      <c r="Z201" s="30" t="s">
        <v>153</v>
      </c>
      <c r="AA201" s="30" t="s">
        <v>167</v>
      </c>
      <c r="AB201" s="30" t="s">
        <v>509</v>
      </c>
      <c r="AC201" s="30">
        <v>29</v>
      </c>
      <c r="AD201" s="30" t="s">
        <v>520</v>
      </c>
      <c r="AE201" s="30" t="s">
        <v>53</v>
      </c>
      <c r="AF201" s="30" t="s">
        <v>944</v>
      </c>
      <c r="AG201" s="30" t="s">
        <v>53</v>
      </c>
      <c r="AH201" s="30" t="s">
        <v>53</v>
      </c>
      <c r="AI201" s="30" t="s">
        <v>945</v>
      </c>
      <c r="AJ201" s="30" t="s">
        <v>53</v>
      </c>
      <c r="AK201" s="30" t="s">
        <v>53</v>
      </c>
      <c r="AL201" s="30" t="s">
        <v>53</v>
      </c>
      <c r="AM201" s="30" t="s">
        <v>53</v>
      </c>
      <c r="AN201" s="30" t="s">
        <v>954</v>
      </c>
      <c r="AO201" s="30" t="s">
        <v>53</v>
      </c>
      <c r="AP201" s="30" t="s">
        <v>53</v>
      </c>
      <c r="AQ201" s="30" t="s">
        <v>53</v>
      </c>
      <c r="AR201" s="30" t="s">
        <v>53</v>
      </c>
      <c r="AS201" s="30" t="s">
        <v>53</v>
      </c>
      <c r="AT201" s="30" t="s">
        <v>1025</v>
      </c>
      <c r="AU201" s="30" t="s">
        <v>53</v>
      </c>
      <c r="AV201" s="34">
        <v>167223880781</v>
      </c>
    </row>
    <row r="202" spans="2:48" ht="15" customHeight="1">
      <c r="B202" s="28">
        <v>196</v>
      </c>
      <c r="C202" s="29" t="s">
        <v>1616</v>
      </c>
      <c r="D202" s="30" t="s">
        <v>979</v>
      </c>
      <c r="E202" s="31" t="s">
        <v>1114</v>
      </c>
      <c r="F202" s="31" t="s">
        <v>53</v>
      </c>
      <c r="G202" s="32" t="s">
        <v>1617</v>
      </c>
      <c r="H202" s="30" t="s">
        <v>84</v>
      </c>
      <c r="I202" s="30" t="s">
        <v>713</v>
      </c>
      <c r="J202" s="32" t="s">
        <v>714</v>
      </c>
      <c r="K202" s="30" t="s">
        <v>154</v>
      </c>
      <c r="L202" s="32" t="s">
        <v>155</v>
      </c>
      <c r="M202" s="30" t="s">
        <v>982</v>
      </c>
      <c r="N202" s="30" t="s">
        <v>974</v>
      </c>
      <c r="O202" s="33"/>
      <c r="P202" s="33">
        <v>0</v>
      </c>
      <c r="Q202" s="33">
        <v>0</v>
      </c>
      <c r="R202" s="33">
        <v>0</v>
      </c>
      <c r="S202" s="33">
        <v>0</v>
      </c>
      <c r="T202" s="33">
        <v>0</v>
      </c>
      <c r="U202" s="33">
        <v>0</v>
      </c>
      <c r="V202" s="33">
        <v>0</v>
      </c>
      <c r="W202" s="33" t="s">
        <v>983</v>
      </c>
      <c r="X202" s="33">
        <v>3</v>
      </c>
      <c r="Y202" s="30" t="s">
        <v>57</v>
      </c>
      <c r="Z202" s="30" t="s">
        <v>156</v>
      </c>
      <c r="AA202" s="30" t="s">
        <v>156</v>
      </c>
      <c r="AB202" s="30" t="s">
        <v>508</v>
      </c>
      <c r="AC202" s="30"/>
      <c r="AD202" s="30" t="s">
        <v>53</v>
      </c>
      <c r="AE202" s="30" t="s">
        <v>53</v>
      </c>
      <c r="AF202" s="30" t="s">
        <v>53</v>
      </c>
      <c r="AG202" s="30" t="s">
        <v>53</v>
      </c>
      <c r="AH202" s="30" t="s">
        <v>53</v>
      </c>
      <c r="AI202" s="30" t="s">
        <v>945</v>
      </c>
      <c r="AJ202" s="30" t="s">
        <v>142</v>
      </c>
      <c r="AK202" s="30" t="s">
        <v>53</v>
      </c>
      <c r="AL202" s="30" t="s">
        <v>53</v>
      </c>
      <c r="AM202" s="30" t="s">
        <v>53</v>
      </c>
      <c r="AN202" s="30" t="s">
        <v>954</v>
      </c>
      <c r="AO202" s="30" t="s">
        <v>53</v>
      </c>
      <c r="AP202" s="30" t="s">
        <v>53</v>
      </c>
      <c r="AQ202" s="30" t="s">
        <v>53</v>
      </c>
      <c r="AR202" s="30" t="s">
        <v>53</v>
      </c>
      <c r="AS202" s="30" t="s">
        <v>53</v>
      </c>
      <c r="AT202" s="30" t="s">
        <v>946</v>
      </c>
      <c r="AU202" s="30" t="s">
        <v>138</v>
      </c>
      <c r="AV202" s="34">
        <v>167399465782</v>
      </c>
    </row>
    <row r="203" spans="2:48" ht="15" customHeight="1">
      <c r="B203" s="28">
        <v>197</v>
      </c>
      <c r="C203" s="29" t="s">
        <v>1618</v>
      </c>
      <c r="D203" s="30" t="s">
        <v>53</v>
      </c>
      <c r="E203" s="31" t="s">
        <v>1619</v>
      </c>
      <c r="F203" s="31" t="s">
        <v>53</v>
      </c>
      <c r="G203" s="32" t="s">
        <v>1620</v>
      </c>
      <c r="H203" s="30" t="s">
        <v>64</v>
      </c>
      <c r="I203" s="30" t="s">
        <v>214</v>
      </c>
      <c r="J203" s="32" t="s">
        <v>216</v>
      </c>
      <c r="K203" s="30" t="s">
        <v>214</v>
      </c>
      <c r="L203" s="32" t="s">
        <v>216</v>
      </c>
      <c r="M203" s="30" t="s">
        <v>942</v>
      </c>
      <c r="N203" s="30" t="s">
        <v>974</v>
      </c>
      <c r="O203" s="33">
        <v>152</v>
      </c>
      <c r="P203" s="33">
        <v>98715</v>
      </c>
      <c r="Q203" s="33">
        <v>98715</v>
      </c>
      <c r="R203" s="33">
        <v>6236</v>
      </c>
      <c r="S203" s="33">
        <v>27</v>
      </c>
      <c r="T203" s="33">
        <v>8</v>
      </c>
      <c r="U203" s="33">
        <v>17</v>
      </c>
      <c r="V203" s="33">
        <v>2</v>
      </c>
      <c r="W203" s="33" t="s">
        <v>53</v>
      </c>
      <c r="X203" s="33">
        <v>1</v>
      </c>
      <c r="Y203" s="30" t="s">
        <v>66</v>
      </c>
      <c r="Z203" s="30" t="s">
        <v>153</v>
      </c>
      <c r="AA203" s="30" t="s">
        <v>153</v>
      </c>
      <c r="AB203" s="30"/>
      <c r="AC203" s="30"/>
      <c r="AD203" s="30" t="s">
        <v>53</v>
      </c>
      <c r="AE203" s="30" t="s">
        <v>53</v>
      </c>
      <c r="AF203" s="30" t="s">
        <v>53</v>
      </c>
      <c r="AG203" s="30" t="s">
        <v>53</v>
      </c>
      <c r="AH203" s="30" t="s">
        <v>53</v>
      </c>
      <c r="AI203" s="30" t="s">
        <v>945</v>
      </c>
      <c r="AJ203" s="30" t="s">
        <v>142</v>
      </c>
      <c r="AK203" s="30" t="s">
        <v>1030</v>
      </c>
      <c r="AL203" s="30" t="s">
        <v>164</v>
      </c>
      <c r="AM203" s="30" t="s">
        <v>53</v>
      </c>
      <c r="AN203" s="30" t="s">
        <v>53</v>
      </c>
      <c r="AO203" s="30" t="s">
        <v>53</v>
      </c>
      <c r="AP203" s="30" t="s">
        <v>53</v>
      </c>
      <c r="AQ203" s="30" t="s">
        <v>53</v>
      </c>
      <c r="AR203" s="30" t="s">
        <v>53</v>
      </c>
      <c r="AS203" s="30" t="s">
        <v>53</v>
      </c>
      <c r="AT203" s="30" t="s">
        <v>946</v>
      </c>
      <c r="AU203" s="30" t="s">
        <v>53</v>
      </c>
      <c r="AV203" s="34">
        <v>167188841332</v>
      </c>
    </row>
    <row r="204" spans="2:48" ht="15" customHeight="1">
      <c r="B204" s="28">
        <v>198</v>
      </c>
      <c r="C204" s="29" t="s">
        <v>1621</v>
      </c>
      <c r="D204" s="30" t="s">
        <v>53</v>
      </c>
      <c r="E204" s="31" t="s">
        <v>1622</v>
      </c>
      <c r="F204" s="31" t="s">
        <v>53</v>
      </c>
      <c r="G204" s="32" t="s">
        <v>1623</v>
      </c>
      <c r="H204" s="30" t="s">
        <v>70</v>
      </c>
      <c r="I204" s="30" t="s">
        <v>404</v>
      </c>
      <c r="J204" s="32" t="s">
        <v>1624</v>
      </c>
      <c r="K204" s="30" t="s">
        <v>404</v>
      </c>
      <c r="L204" s="32" t="s">
        <v>1624</v>
      </c>
      <c r="M204" s="30" t="s">
        <v>942</v>
      </c>
      <c r="N204" s="30" t="s">
        <v>943</v>
      </c>
      <c r="O204" s="33"/>
      <c r="P204" s="33">
        <v>4</v>
      </c>
      <c r="Q204" s="33">
        <v>4</v>
      </c>
      <c r="R204" s="33">
        <v>2</v>
      </c>
      <c r="S204" s="33">
        <v>0</v>
      </c>
      <c r="T204" s="33">
        <v>0</v>
      </c>
      <c r="U204" s="33">
        <v>0</v>
      </c>
      <c r="V204" s="33">
        <v>0</v>
      </c>
      <c r="W204" s="33" t="s">
        <v>53</v>
      </c>
      <c r="X204" s="33">
        <v>1</v>
      </c>
      <c r="Y204" s="30" t="s">
        <v>83</v>
      </c>
      <c r="Z204" s="30" t="s">
        <v>153</v>
      </c>
      <c r="AA204" s="30" t="s">
        <v>153</v>
      </c>
      <c r="AB204" s="30"/>
      <c r="AC204" s="30"/>
      <c r="AD204" s="30" t="s">
        <v>53</v>
      </c>
      <c r="AE204" s="30" t="s">
        <v>53</v>
      </c>
      <c r="AF204" s="30" t="s">
        <v>1016</v>
      </c>
      <c r="AG204" s="30" t="s">
        <v>53</v>
      </c>
      <c r="AH204" s="30" t="s">
        <v>53</v>
      </c>
      <c r="AI204" s="30" t="s">
        <v>945</v>
      </c>
      <c r="AJ204" s="30" t="s">
        <v>53</v>
      </c>
      <c r="AK204" s="30" t="s">
        <v>53</v>
      </c>
      <c r="AL204" s="30" t="s">
        <v>53</v>
      </c>
      <c r="AM204" s="30" t="s">
        <v>53</v>
      </c>
      <c r="AN204" s="30" t="s">
        <v>53</v>
      </c>
      <c r="AO204" s="30" t="s">
        <v>53</v>
      </c>
      <c r="AP204" s="30" t="s">
        <v>53</v>
      </c>
      <c r="AQ204" s="30" t="s">
        <v>53</v>
      </c>
      <c r="AR204" s="30" t="s">
        <v>53</v>
      </c>
      <c r="AS204" s="30" t="s">
        <v>53</v>
      </c>
      <c r="AT204" s="30" t="s">
        <v>946</v>
      </c>
      <c r="AU204" s="30" t="s">
        <v>53</v>
      </c>
      <c r="AV204" s="34">
        <v>167252241272</v>
      </c>
    </row>
    <row r="205" spans="2:48" ht="15" customHeight="1">
      <c r="B205" s="28">
        <v>199</v>
      </c>
      <c r="C205" s="29" t="s">
        <v>1625</v>
      </c>
      <c r="D205" s="30" t="s">
        <v>193</v>
      </c>
      <c r="E205" s="31" t="s">
        <v>1626</v>
      </c>
      <c r="F205" s="31" t="s">
        <v>53</v>
      </c>
      <c r="G205" s="32" t="s">
        <v>1627</v>
      </c>
      <c r="H205" s="30" t="s">
        <v>73</v>
      </c>
      <c r="I205" s="30" t="s">
        <v>719</v>
      </c>
      <c r="J205" s="32" t="s">
        <v>720</v>
      </c>
      <c r="K205" s="30" t="s">
        <v>261</v>
      </c>
      <c r="L205" s="32" t="s">
        <v>487</v>
      </c>
      <c r="M205" s="30" t="s">
        <v>1390</v>
      </c>
      <c r="N205" s="30" t="s">
        <v>974</v>
      </c>
      <c r="O205" s="33"/>
      <c r="P205" s="33">
        <v>0</v>
      </c>
      <c r="Q205" s="33">
        <v>0</v>
      </c>
      <c r="R205" s="33" t="s">
        <v>129</v>
      </c>
      <c r="S205" s="33">
        <v>0</v>
      </c>
      <c r="T205" s="33" t="s">
        <v>129</v>
      </c>
      <c r="U205" s="33" t="s">
        <v>129</v>
      </c>
      <c r="V205" s="33" t="s">
        <v>129</v>
      </c>
      <c r="W205" s="33" t="s">
        <v>53</v>
      </c>
      <c r="X205" s="33">
        <v>1</v>
      </c>
      <c r="Y205" s="30" t="s">
        <v>75</v>
      </c>
      <c r="Z205" s="30" t="s">
        <v>156</v>
      </c>
      <c r="AA205" s="30" t="s">
        <v>156</v>
      </c>
      <c r="AB205" s="30" t="s">
        <v>508</v>
      </c>
      <c r="AC205" s="30"/>
      <c r="AD205" s="30" t="s">
        <v>53</v>
      </c>
      <c r="AE205" s="30" t="s">
        <v>53</v>
      </c>
      <c r="AF205" s="30" t="s">
        <v>53</v>
      </c>
      <c r="AG205" s="30" t="s">
        <v>53</v>
      </c>
      <c r="AH205" s="30" t="s">
        <v>53</v>
      </c>
      <c r="AI205" s="30" t="s">
        <v>945</v>
      </c>
      <c r="AJ205" s="30" t="s">
        <v>53</v>
      </c>
      <c r="AK205" s="30" t="s">
        <v>53</v>
      </c>
      <c r="AL205" s="30" t="s">
        <v>53</v>
      </c>
      <c r="AM205" s="30" t="s">
        <v>53</v>
      </c>
      <c r="AN205" s="30" t="s">
        <v>954</v>
      </c>
      <c r="AO205" s="30" t="s">
        <v>53</v>
      </c>
      <c r="AP205" s="30" t="s">
        <v>53</v>
      </c>
      <c r="AQ205" s="30" t="s">
        <v>53</v>
      </c>
      <c r="AR205" s="30" t="s">
        <v>53</v>
      </c>
      <c r="AS205" s="30" t="s">
        <v>53</v>
      </c>
      <c r="AT205" s="30" t="s">
        <v>946</v>
      </c>
      <c r="AU205" s="30" t="s">
        <v>53</v>
      </c>
      <c r="AV205" s="34">
        <v>167157023497</v>
      </c>
    </row>
    <row r="206" spans="2:48" ht="15" customHeight="1">
      <c r="B206" s="28">
        <v>200</v>
      </c>
      <c r="C206" s="29" t="s">
        <v>1628</v>
      </c>
      <c r="D206" s="30" t="s">
        <v>53</v>
      </c>
      <c r="E206" s="31" t="s">
        <v>1629</v>
      </c>
      <c r="F206" s="31" t="s">
        <v>53</v>
      </c>
      <c r="G206" s="32" t="s">
        <v>1630</v>
      </c>
      <c r="H206" s="30" t="s">
        <v>70</v>
      </c>
      <c r="I206" s="30" t="s">
        <v>569</v>
      </c>
      <c r="J206" s="32" t="s">
        <v>940</v>
      </c>
      <c r="K206" s="30" t="s">
        <v>150</v>
      </c>
      <c r="L206" s="32" t="s">
        <v>941</v>
      </c>
      <c r="M206" s="30" t="s">
        <v>942</v>
      </c>
      <c r="N206" s="30" t="s">
        <v>943</v>
      </c>
      <c r="O206" s="33"/>
      <c r="P206" s="33">
        <v>4402</v>
      </c>
      <c r="Q206" s="33">
        <v>0</v>
      </c>
      <c r="R206" s="33">
        <v>0</v>
      </c>
      <c r="S206" s="33">
        <v>0</v>
      </c>
      <c r="T206" s="33">
        <v>0</v>
      </c>
      <c r="U206" s="33">
        <v>0</v>
      </c>
      <c r="V206" s="33">
        <v>0</v>
      </c>
      <c r="W206" s="33" t="s">
        <v>53</v>
      </c>
      <c r="X206" s="33">
        <v>1</v>
      </c>
      <c r="Y206" s="30" t="s">
        <v>72</v>
      </c>
      <c r="Z206" s="30" t="s">
        <v>153</v>
      </c>
      <c r="AA206" s="30" t="s">
        <v>167</v>
      </c>
      <c r="AB206" s="30" t="s">
        <v>508</v>
      </c>
      <c r="AC206" s="30"/>
      <c r="AD206" s="30" t="s">
        <v>53</v>
      </c>
      <c r="AE206" s="30" t="s">
        <v>53</v>
      </c>
      <c r="AF206" s="30" t="s">
        <v>944</v>
      </c>
      <c r="AG206" s="30" t="s">
        <v>53</v>
      </c>
      <c r="AH206" s="30" t="s">
        <v>53</v>
      </c>
      <c r="AI206" s="30" t="s">
        <v>945</v>
      </c>
      <c r="AJ206" s="30" t="s">
        <v>53</v>
      </c>
      <c r="AK206" s="30" t="s">
        <v>53</v>
      </c>
      <c r="AL206" s="30" t="s">
        <v>53</v>
      </c>
      <c r="AM206" s="30" t="s">
        <v>53</v>
      </c>
      <c r="AN206" s="30" t="s">
        <v>53</v>
      </c>
      <c r="AO206" s="30" t="s">
        <v>53</v>
      </c>
      <c r="AP206" s="30" t="s">
        <v>53</v>
      </c>
      <c r="AQ206" s="30" t="s">
        <v>53</v>
      </c>
      <c r="AR206" s="30" t="s">
        <v>53</v>
      </c>
      <c r="AS206" s="30" t="s">
        <v>53</v>
      </c>
      <c r="AT206" s="30" t="s">
        <v>946</v>
      </c>
      <c r="AU206" s="30" t="s">
        <v>53</v>
      </c>
      <c r="AV206" s="34">
        <v>167103784571</v>
      </c>
    </row>
    <row r="207" spans="2:48" ht="15" customHeight="1">
      <c r="B207" s="28">
        <v>201</v>
      </c>
      <c r="C207" s="29" t="s">
        <v>1631</v>
      </c>
      <c r="D207" s="30" t="s">
        <v>53</v>
      </c>
      <c r="E207" s="31" t="s">
        <v>1632</v>
      </c>
      <c r="F207" s="31" t="s">
        <v>53</v>
      </c>
      <c r="G207" s="32" t="s">
        <v>1633</v>
      </c>
      <c r="H207" s="30" t="s">
        <v>90</v>
      </c>
      <c r="I207" s="30" t="s">
        <v>1634</v>
      </c>
      <c r="J207" s="32" t="s">
        <v>635</v>
      </c>
      <c r="K207" s="30" t="s">
        <v>1635</v>
      </c>
      <c r="L207" s="32" t="s">
        <v>341</v>
      </c>
      <c r="M207" s="30" t="s">
        <v>953</v>
      </c>
      <c r="N207" s="30" t="s">
        <v>943</v>
      </c>
      <c r="O207" s="33">
        <v>6</v>
      </c>
      <c r="P207" s="33">
        <v>153466</v>
      </c>
      <c r="Q207" s="33">
        <v>852</v>
      </c>
      <c r="R207" s="33">
        <v>0</v>
      </c>
      <c r="S207" s="33">
        <v>0</v>
      </c>
      <c r="T207" s="33">
        <v>0</v>
      </c>
      <c r="U207" s="33">
        <v>0</v>
      </c>
      <c r="V207" s="33">
        <v>0</v>
      </c>
      <c r="W207" s="33" t="s">
        <v>53</v>
      </c>
      <c r="X207" s="33">
        <v>1</v>
      </c>
      <c r="Y207" s="30" t="s">
        <v>66</v>
      </c>
      <c r="Z207" s="30" t="s">
        <v>167</v>
      </c>
      <c r="AA207" s="30" t="s">
        <v>167</v>
      </c>
      <c r="AB207" s="30" t="s">
        <v>509</v>
      </c>
      <c r="AC207" s="30"/>
      <c r="AD207" s="30" t="s">
        <v>53</v>
      </c>
      <c r="AE207" s="30" t="s">
        <v>53</v>
      </c>
      <c r="AF207" s="30" t="s">
        <v>53</v>
      </c>
      <c r="AG207" s="30" t="s">
        <v>53</v>
      </c>
      <c r="AH207" s="30" t="s">
        <v>53</v>
      </c>
      <c r="AI207" s="30" t="s">
        <v>945</v>
      </c>
      <c r="AJ207" s="30" t="s">
        <v>53</v>
      </c>
      <c r="AK207" s="30" t="s">
        <v>53</v>
      </c>
      <c r="AL207" s="30" t="s">
        <v>53</v>
      </c>
      <c r="AM207" s="30" t="s">
        <v>53</v>
      </c>
      <c r="AN207" s="30" t="s">
        <v>954</v>
      </c>
      <c r="AO207" s="30" t="s">
        <v>53</v>
      </c>
      <c r="AP207" s="30" t="s">
        <v>53</v>
      </c>
      <c r="AQ207" s="30" t="s">
        <v>53</v>
      </c>
      <c r="AR207" s="30" t="s">
        <v>53</v>
      </c>
      <c r="AS207" s="30" t="s">
        <v>53</v>
      </c>
      <c r="AT207" s="30" t="s">
        <v>946</v>
      </c>
      <c r="AU207" s="30" t="s">
        <v>53</v>
      </c>
      <c r="AV207" s="34">
        <v>167055814163</v>
      </c>
    </row>
  </sheetData>
  <autoFilter ref="B6:AV6"/>
  <hyperlinks>
    <hyperlink ref="C1" location="Содержание!B4" display="К содержанию"/>
    <hyperlink ref="G7" r:id="rId1" display="https://telegram.me/ap_patient/110573"/>
    <hyperlink ref="J7" r:id="rId2" display="https://telegram.me/af_patientbot"/>
    <hyperlink ref="L7" r:id="rId3" display="https://telegram.me/ap_patient"/>
    <hyperlink ref="G8" r:id="rId4" display="https://telegram.me/ap_patient/110565"/>
    <hyperlink ref="J8" r:id="rId5" display="https://telegram.me/af_patientbot"/>
    <hyperlink ref="L8" r:id="rId6" display="https://telegram.me/ap_patient"/>
    <hyperlink ref="G9" r:id="rId7" display="https://www.sports.ru/football/1117226769-liga-chempionov-final-pszh-safonova-protiv-arsenala-onlajn-translyaczi.html?comment_id=22141524¦news¦1117226769"/>
    <hyperlink ref="J9" r:id="rId8" display="https://www.sports.ru/profile/6162031"/>
    <hyperlink ref="L9" r:id="rId9" display="http://sports.ru"/>
    <hyperlink ref="G10" r:id="rId10" display="https://mom.life/post/6a1b1b65c78c0db71a01fa09"/>
    <hyperlink ref="J10" r:id="rId11" display="https://mom.life/user/69eba7f785a7f42e770f5d4d"/>
    <hyperlink ref="L10" r:id="rId12" display="https://mom.life/channel/56f8222d8439832c128b4567"/>
    <hyperlink ref="G11" r:id="rId13" display="https://mom.life/post/6a1adb75a496a5f9b00bfe37#6a1aff6dda4435cbda010e02#6a1b01e344ce8a22210504e8"/>
    <hyperlink ref="J11" r:id="rId14" display="https://mom.life/user/63dc744a8a79a255a34c142d"/>
    <hyperlink ref="L11" r:id="rId15" display="https://mom.life/user/66b2e6108d119b05b376d241"/>
    <hyperlink ref="G12" r:id="rId16" display="https://www.tiktok.com/@ripsime_pro_food/video/7645673605015162132"/>
    <hyperlink ref="J12" r:id="rId17" display="https://www.tiktok.com/@ripsime_pro_food"/>
    <hyperlink ref="L12" r:id="rId18" display="https://www.tiktok.com/@ripsime_pro_food"/>
    <hyperlink ref="G13" r:id="rId19" display="https://forum.baby.ru/blogs/post/2635552189-142290119/#comment2635557736"/>
    <hyperlink ref="J13" r:id="rId20" display="https://forum.baby.ru/u/usr958074"/>
    <hyperlink ref="L13" r:id="rId21" display="https://forum.baby.ru/u/usr598918"/>
    <hyperlink ref="G14" r:id="rId22" display="http://vk.com/wall-29445319_705170?reply=705191&amp;thread=705185"/>
    <hyperlink ref="J14" r:id="rId23" display="http://vk.com/id516390091"/>
    <hyperlink ref="L14" r:id="rId24" display="http://vk.com/club29445319"/>
    <hyperlink ref="G15" r:id="rId25" display="https://telegram.me/ap_patient/110528"/>
    <hyperlink ref="J15" r:id="rId26" display="https://telegram.me/af_patientbot"/>
    <hyperlink ref="L15" r:id="rId27" display="https://telegram.me/ap_patient"/>
    <hyperlink ref="G16" r:id="rId28" display="https://www.ozon.ru/product/754249148/reviews?ruuid=019e73c4-0a4a-7d4d-81fb-9abe5d61d5e5"/>
    <hyperlink ref="J16" r:id="rId29" display="https://www.ozon.ru/context/client_opinion/ClientGuid/00000000-0000-0000-0000-000000000000#Евгений С."/>
    <hyperlink ref="L16" r:id="rId30" display="https://www.ozon.ru/context/detail/id/754249148"/>
    <hyperlink ref="G17" r:id="rId31" display="https://www.ozon.ru/product/754249148/reviews?ruuid=019e738f-6d1d-78a6-8307-994b94425c0c"/>
    <hyperlink ref="J17" r:id="rId32" display="https://www.ozon.ru/context/client_opinion/ClientGuid/00000000-0000-0000-0000-000000000000#Наталия П."/>
    <hyperlink ref="L17" r:id="rId33" display="https://www.ozon.ru/context/detail/id/754249148"/>
    <hyperlink ref="G18" r:id="rId34" display="http://www.youtube.com/watch?v=g0PEh9F7iQ8"/>
    <hyperlink ref="J18" r:id="rId35" display="http://www.youtube.com/channel/UCmXcQ3wSf1szPGmssQOop8Q"/>
    <hyperlink ref="L18" r:id="rId36" display="http://www.youtube.com/channel/UCmXcQ3wSf1szPGmssQOop8Q"/>
    <hyperlink ref="G19" r:id="rId37" display="http://vk.com/wall-213047982_46097?reply=46412"/>
    <hyperlink ref="J19" r:id="rId38" display="http://vk.com/id1102001942"/>
    <hyperlink ref="L19" r:id="rId39" display="http://vk.com/club213047982"/>
    <hyperlink ref="G20" r:id="rId40" display="http://vk.com/wall-170066150_61530?reply=61548"/>
    <hyperlink ref="J20" r:id="rId41" display="http://vk.com/id1108851059"/>
    <hyperlink ref="L20" r:id="rId42" display="http://vk.com/club170066150"/>
    <hyperlink ref="G21" r:id="rId43" display="https://otzovik.com/review_18382308.html"/>
    <hyperlink ref="J21" r:id="rId44" display="https://otzovik.com/profile/Katarianka"/>
    <hyperlink ref="L21" r:id="rId45" display="https://otzovik.com/reviews/ampuli_vessel_due_f"/>
    <hyperlink ref="G22" r:id="rId46" display="http://ok.ru/group/59240543158337/topic/157974466286913#QUFBQm5tMkZOK3M4M1E9PToxNTc5NzQ0NjYyODY5MTM6MQ=="/>
    <hyperlink ref="J22" r:id="rId47" display="http://ok.ru/profile/910157872241"/>
    <hyperlink ref="L22" r:id="rId48" display="http://ok.ru/group/59240543158337"/>
    <hyperlink ref="G23" r:id="rId49" display="http://vk.com/wall-38982223_266259?reply=266342"/>
    <hyperlink ref="J23" r:id="rId50" display="http://vk.com/id1114749370"/>
    <hyperlink ref="L23" r:id="rId51" display="http://vk.com/club38982223"/>
    <hyperlink ref="G24" r:id="rId52" display="http://vk.com/wall-131931112_1550465?reply=1552214&amp;thread=1550789"/>
    <hyperlink ref="J24" r:id="rId53" display="http://vk.com/id568725896"/>
    <hyperlink ref="L24" r:id="rId54" display="http://vk.com/club131931112"/>
    <hyperlink ref="G25" r:id="rId55" display="http://vk.com/wall-149047382_3170626?reply=3171872"/>
    <hyperlink ref="J25" r:id="rId56" display="http://vk.com/id721803152"/>
    <hyperlink ref="L25" r:id="rId57" display="http://vk.com/club149047382"/>
    <hyperlink ref="G26" r:id="rId58" display="http://vk.com/wall-37094416_1422966?reply=1423138"/>
    <hyperlink ref="J26" r:id="rId59" display="http://vk.com/id1116386313"/>
    <hyperlink ref="L26" r:id="rId60" display="http://vk.com/club37094416"/>
    <hyperlink ref="G27" r:id="rId61" display="http://vk.com/wall-211243521_28447?reply=28514"/>
    <hyperlink ref="J27" r:id="rId62" display="http://vk.com/id673867691"/>
    <hyperlink ref="L27" r:id="rId63" display="http://vk.com/club211243521"/>
    <hyperlink ref="G28" r:id="rId64" display="http://vk.com/wall-110697272_639639?reply=639683"/>
    <hyperlink ref="J28" r:id="rId65" display="http://vk.com/id1108851059"/>
    <hyperlink ref="L28" r:id="rId66" display="http://vk.com/club110697272"/>
    <hyperlink ref="G29" r:id="rId67" display="https://mom.life/post/6a15bbf2766114bef2060ad9#6a15be79c949f7c1200d9cb0"/>
    <hyperlink ref="J29" r:id="rId68" display="https://mom.life/user/643a23244bf7ec52aa5d6427"/>
    <hyperlink ref="L29" r:id="rId69" display="https://mom.life/user/5c6d48f80bdf004ed10e6684"/>
    <hyperlink ref="G30" r:id="rId70" display="https://mom.life/post/6a15bbf2766114bef2060ad9"/>
    <hyperlink ref="J30" r:id="rId71" display="https://mom.life/user/5c6d48f80bdf004ed10e6684"/>
    <hyperlink ref="L30" r:id="rId72" display="https://mom.life/user/5c6d48f80bdf004ed10e6684"/>
    <hyperlink ref="G31" r:id="rId73" display="https://telegram.me/ap_patient/110422"/>
    <hyperlink ref="J31" r:id="rId74" display="https://telegram.me/af_patientbot"/>
    <hyperlink ref="L31" r:id="rId75" display="https://telegram.me/ap_patient"/>
    <hyperlink ref="G32" r:id="rId76" display="https://telegram.me/immortaldrops/942?comment=12189"/>
    <hyperlink ref="J32" r:id="rId77" display="https://telegram.me/Ирина"/>
    <hyperlink ref="L32" r:id="rId78" display="https://telegram.me/immortaldrops"/>
    <hyperlink ref="G33" r:id="rId79" display="https://telegram.me/ap_patient/110416"/>
    <hyperlink ref="J33" r:id="rId80" display="https://telegram.me/af_patientbot"/>
    <hyperlink ref="L33" r:id="rId81" display="https://telegram.me/ap_patient"/>
    <hyperlink ref="G34" r:id="rId82" display="http://vk.com/wall-211243521_28447?reply=28478"/>
    <hyperlink ref="J34" r:id="rId83" display="http://vk.com/id388891844"/>
    <hyperlink ref="L34" r:id="rId84" display="http://vk.com/club211243521"/>
    <hyperlink ref="G35" r:id="rId85" display="https://otzyv.pro/reviews/otzyvy-vessel-due-f-cena-515498.html"/>
    <hyperlink ref="J35" r:id="rId86" display="https://otzyv.pro/user/bastarda"/>
    <hyperlink ref="L35" r:id="rId87" display="https://otzyv.pro/category/lekarstvennyie-sredstva/756151-vessel-due-f-cena.html"/>
    <hyperlink ref="G36" r:id="rId88" display="http://vk.com/wall-60212615_5257311?reply=5257415"/>
    <hyperlink ref="J36" r:id="rId89" display="http://vk.com/id1115976524"/>
    <hyperlink ref="L36" r:id="rId90" display="http://vk.com/club60212615"/>
    <hyperlink ref="G37" r:id="rId91" display="http://vk.com/wall-114905525_2072506?reply=2072581"/>
    <hyperlink ref="J37" r:id="rId92" display="http://vk.com/id1072092712"/>
    <hyperlink ref="L37" r:id="rId93" display="http://vk.com/club114905525"/>
    <hyperlink ref="G38" r:id="rId94" display="http://vk.com/wall-80942402_297593?reply=297605"/>
    <hyperlink ref="J38" r:id="rId95" display="http://vk.com/id1082474662"/>
    <hyperlink ref="L38" r:id="rId96" display="http://vk.com/club80942402"/>
    <hyperlink ref="G39" r:id="rId97" display="https://ok.ru/video/14345272494646"/>
    <hyperlink ref="J39" r:id="rId98" display="http://ok.ru/profile/910116631862"/>
    <hyperlink ref="L39" r:id="rId99" display="http://ok.ru/profile/910116631862"/>
    <hyperlink ref="G40" r:id="rId100" display="https://ok.ru/video/14345272035894"/>
    <hyperlink ref="J40" r:id="rId101" display="http://ok.ru/profile/910116631862"/>
    <hyperlink ref="L40" r:id="rId102" display="http://ok.ru/profile/910116631862"/>
    <hyperlink ref="G41" r:id="rId103" display="https://ok.ru/video/14344948025910"/>
    <hyperlink ref="J41" r:id="rId104" display="http://ok.ru/profile/910116631862"/>
    <hyperlink ref="L41" r:id="rId105" display="http://ok.ru/profile/910116631862"/>
    <hyperlink ref="G42" r:id="rId106" display="https://ok.ru/video/14344947173942"/>
    <hyperlink ref="J42" r:id="rId107" display="http://ok.ru/profile/910116631862"/>
    <hyperlink ref="L42" r:id="rId108" display="http://ok.ru/profile/910116631862"/>
    <hyperlink ref="G43" r:id="rId109" display="https://rutube.ru/video/beb37f6e2550e9db4eab02f34413fdec/#1779762931674921354"/>
    <hyperlink ref="J43" r:id="rId110" display="https://rutube.ru/video/person/25742999"/>
    <hyperlink ref="L43" r:id="rId111" display="https://rutube.ru/video/person/24831553"/>
    <hyperlink ref="G44" r:id="rId112" display="http://vk.com/wall-114905525_2072506?reply=2072571"/>
    <hyperlink ref="J44" r:id="rId113" display="http://vk.com/id1083057434"/>
    <hyperlink ref="L44" r:id="rId114" display="http://vk.com/club114905525"/>
    <hyperlink ref="G45" r:id="rId115" display="http://vk.com/wall-80942402_297593?reply=297604"/>
    <hyperlink ref="J45" r:id="rId116" display="http://vk.com/id1083057434"/>
    <hyperlink ref="L45" r:id="rId117" display="http://vk.com/club80942402"/>
    <hyperlink ref="G46" r:id="rId118" display="https://dzen.ru/a/ag5APRCFLmItYCco?comment-request=1#comment_3327763383"/>
    <hyperlink ref="J46" r:id="rId119" display="https://dzen.ru/id/69b5bb875330f8608cd9b95d"/>
    <hyperlink ref="L46" r:id="rId120" display="https://dzen.ru/id/69b5bb875330f8608cd9b95d"/>
    <hyperlink ref="G47" r:id="rId121" display="https://www.threads.com/@znaika121/post/DYwdvGHCP0x"/>
    <hyperlink ref="J47" r:id="rId122" display="https://threads.com/@znaika121"/>
    <hyperlink ref="L47" r:id="rId123" display="https://threads.com/@znaika121"/>
    <hyperlink ref="G48" r:id="rId124" display="http://vk.com/wall-185317296_413191?reply=413682"/>
    <hyperlink ref="J48" r:id="rId125" display="http://vk.com/id1116260947"/>
    <hyperlink ref="L48" r:id="rId126" display="http://vk.com/club185317296"/>
    <hyperlink ref="G49" r:id="rId127" display="https://www.otzyvru.com/vessel-due-f/review-2256705#comment2256705"/>
    <hyperlink ref="J49" r:id="rId128" display="https://www.otzyvru.com/authors/Диана"/>
    <hyperlink ref="L49" r:id="rId129" display="https://www.otzyvru.com/vessel-due-f"/>
    <hyperlink ref="G50" r:id="rId130" display="https://www.vashe-mnenie.com/reviews.php?name=vessel-due-f#date=2026-05-24 21:07:34"/>
    <hyperlink ref="J50" r:id="rId131" display="https://www.vashe-mnenie.com/authors/Диана"/>
    <hyperlink ref="L50" r:id="rId132" display="https://www.vashe-mnenie.com/reviews.php?name=vessel-due-f"/>
    <hyperlink ref="G51" r:id="rId133" display="https://www.woman.ru/health/woman-health/thread-varikoz-chto-prinimaete-id6426253/#m104079984"/>
    <hyperlink ref="J51" r:id="rId134" display="https://www.woman.ru/authors/Клава [3833012333]"/>
    <hyperlink ref="L51" r:id="rId135" display="https://www.woman.ru/forum/all/health/woman-health/thread-varikoz-chto-prinimaete-id6426253"/>
    <hyperlink ref="G52" r:id="rId136" display="http://vk.com/wall-155019350_73103?reply=73172"/>
    <hyperlink ref="J52" r:id="rId137" display="http://vk.com/id275256519"/>
    <hyperlink ref="L52" r:id="rId138" display="http://vk.com/club155019350"/>
    <hyperlink ref="G53" r:id="rId139" display="https://www.ozon.ru/product/754249148/reviews?ruuid=019e59f0-69df-72d7-ae2a-8970bfc26c60"/>
    <hyperlink ref="J53" r:id="rId140" display="https://www.ozon.ru/context/client_opinion/ClientGuid/00000000-0000-0000-0000-000000000000#Пользователь предпочёл скрыть свои данные"/>
    <hyperlink ref="L53" r:id="rId141" display="https://www.ozon.ru/context/detail/id/754249148"/>
    <hyperlink ref="G54" r:id="rId142" display="https://telegram.me/alopecia_info/744786"/>
    <hyperlink ref="J54" r:id="rId143" display="https://telegram.me/danielabialik"/>
    <hyperlink ref="L54" r:id="rId144" display="https://telegram.me/alopecia_info"/>
    <hyperlink ref="G55" r:id="rId145" display="http://vk.com/wall569170044_3616"/>
    <hyperlink ref="J55" r:id="rId146" display="http://vk.com/id569170044"/>
    <hyperlink ref="L55" r:id="rId147" display="http://vk.com/id569170044"/>
    <hyperlink ref="G56" r:id="rId148" display="https://telegram.me/dnevnikdoctorachat/263042"/>
    <hyperlink ref="J56" r:id="rId149" display="https://telegram.me/5148404132"/>
    <hyperlink ref="L56" r:id="rId150" display="https://telegram.me/dnevnikdoctorachat"/>
    <hyperlink ref="G57" r:id="rId151" display="http://vk.com/wall-211243521_27672?reply=28341"/>
    <hyperlink ref="J57" r:id="rId152" display="http://vk.com/id141197373"/>
    <hyperlink ref="L57" r:id="rId153" display="http://vk.com/club211243521"/>
    <hyperlink ref="G58" r:id="rId154" display="http://vk.com/wall-183105257_588357?reply=588410"/>
    <hyperlink ref="J58" r:id="rId155" display="http://vk.com/id568725896"/>
    <hyperlink ref="L58" r:id="rId156" display="http://vk.com/club183105257"/>
    <hyperlink ref="G59" r:id="rId157" display="https://mom.life/post/6a108fb5ca3d63b46c0af556"/>
    <hyperlink ref="J59" r:id="rId158" display="https://mom.life/user/5c6d48f80bdf004ed10e6684"/>
    <hyperlink ref="L59" r:id="rId159" display="https://mom.life/user/5c6d48f80bdf004ed10e6684"/>
    <hyperlink ref="G60" r:id="rId160" display="https://dzen.ru/a/ag5APRCFLmItYCco?comment-request=1#comment_3322917323"/>
    <hyperlink ref="J60" r:id="rId161" display="https://dzen.ru/user/dhia3dpnnk5n9emsdaq_rz7jbmm"/>
    <hyperlink ref="L60" r:id="rId162" display="https://dzen.ru/id/69b5bb875330f8608cd9b95d"/>
    <hyperlink ref="G61" r:id="rId163" display="https://www.threads.com/@kuroskinam/post/DYpV2qyDTUw"/>
    <hyperlink ref="J61" r:id="rId164" display="https://threads.com/@kuroskinam"/>
    <hyperlink ref="L61" r:id="rId165" display="https://threads.com/@kuroskinam"/>
    <hyperlink ref="G62" r:id="rId166" display="http://vk.com/wall-153326278_568730?reply=568820"/>
    <hyperlink ref="J62" r:id="rId167" display="http://vk.com/id1104573797"/>
    <hyperlink ref="L62" r:id="rId168" display="http://vk.com/club153326278"/>
    <hyperlink ref="G63" r:id="rId169" display="http://vk.com/wall-185317296_413191?reply=413332"/>
    <hyperlink ref="J63" r:id="rId170" display="http://vk.com/id1111260863"/>
    <hyperlink ref="L63" r:id="rId171" display="http://vk.com/club185317296"/>
    <hyperlink ref="G64" r:id="rId172" display="https://dzen.ru/a/ad199P2J91RovP8v?comment-request=1#comment_3322524583"/>
    <hyperlink ref="J64" r:id="rId173" display="https://dzen.ru/id/63b464865ba1321f078fbed7"/>
    <hyperlink ref="L64" r:id="rId174" display="https://dzen.ru/id/5c41f31debbae500ac645050"/>
    <hyperlink ref="G65" r:id="rId175" display="https://telegram.me/beremennost_pregnancy/2320682"/>
    <hyperlink ref="J65" r:id="rId176" display="https://telegram.me/mvelikaya"/>
    <hyperlink ref="L65" r:id="rId177" display="https://telegram.me/beremennost_pregnancy"/>
    <hyperlink ref="G66" r:id="rId178" display="https://otzovik.com/review_18367077.html"/>
    <hyperlink ref="J66" r:id="rId179" display="https://otzovik.com/profile/olgaradina"/>
    <hyperlink ref="L66" r:id="rId180" display="https://otzovik.com/reviews/tabletki_alfa_wassermann_vessel_due_f_250_le"/>
    <hyperlink ref="G67" r:id="rId181" display="https://www.medcentre24.ru/review/46562"/>
    <hyperlink ref="J67" r:id="rId182" display="https://www.medcentre24.ru/authors/Светлана"/>
    <hyperlink ref="L67" r:id="rId183" display="https://www.medcentre24.ru/medikamenty/vessel-due-f.html"/>
    <hyperlink ref="G68" r:id="rId184" display="https://www.woman.ru/health/woman-health/thread-varikoz-chto-prinimaete-id6426253/#m104044507"/>
    <hyperlink ref="J68" r:id="rId185" display="https://www.woman.ru/authors/Гость [3028007619]"/>
    <hyperlink ref="L68" r:id="rId186" display="https://www.woman.ru/forum/all/health/woman-health/thread-varikoz-chto-prinimaete-id6426253"/>
    <hyperlink ref="G69" r:id="rId187" display="https://telegram.me/alopecia_info/744197"/>
    <hyperlink ref="J69" r:id="rId188" display="https://telegram.me/danielabialik"/>
    <hyperlink ref="L69" r:id="rId189" display="https://telegram.me/alopecia_info"/>
    <hyperlink ref="G70" r:id="rId190" display="http://vk.com/wall-116010319_1102411?reply=1102427"/>
    <hyperlink ref="J70" r:id="rId191" display="http://vk.com/id813766710"/>
    <hyperlink ref="L70" r:id="rId192" display="http://vk.com/club116010319"/>
    <hyperlink ref="G71" r:id="rId193" display="http://vk.com/wall-226299499_1040"/>
    <hyperlink ref="J71" r:id="rId194" display="http://vk.com/club226299499"/>
    <hyperlink ref="L71" r:id="rId195" display="http://vk.com/club226299499"/>
    <hyperlink ref="G72" r:id="rId196" display="http://vk.com/wall-146361880_3875883?reply=3876417"/>
    <hyperlink ref="J72" r:id="rId197" display="http://vk.com/id1111260863"/>
    <hyperlink ref="L72" r:id="rId198" display="http://vk.com/club146361880"/>
    <hyperlink ref="G73" r:id="rId199" display="http://vk.com/wall-210934520_168549?reply=170454&amp;thread=168566"/>
    <hyperlink ref="J73" r:id="rId200" display="http://vk.com/id788574328"/>
    <hyperlink ref="L73" r:id="rId201" display="http://vk.com/club210934520"/>
    <hyperlink ref="G74" r:id="rId202" display="https://www.otzyvru.com/vessel-due-f/review-2254677#comment2254677"/>
    <hyperlink ref="J74" r:id="rId203" display="https://www.otzyvru.com/authors/Снежана"/>
    <hyperlink ref="L74" r:id="rId204" display="https://www.otzyvru.com/vessel-due-f"/>
    <hyperlink ref="G75" r:id="rId205" display="https://www.threads.com/@sssevorobeva/post/DYkELwliF3O"/>
    <hyperlink ref="J75" r:id="rId206" display="https://threads.com/@sssevorobeva"/>
    <hyperlink ref="L75" r:id="rId207" display="https://threads.com/@sssevorobeva"/>
    <hyperlink ref="G76" r:id="rId208" display="http://vk.com/wall-153846848_68027?reply=68109"/>
    <hyperlink ref="J76" r:id="rId209" display="http://vk.com/id1072092712"/>
    <hyperlink ref="L76" r:id="rId210" display="http://vk.com/club153846848"/>
    <hyperlink ref="G77" r:id="rId211" display="http://vk.com/wall-55884956_245503?reply=245534&amp;thread=245505"/>
    <hyperlink ref="J77" r:id="rId212" display="http://vk.com/id880432507"/>
    <hyperlink ref="L77" r:id="rId213" display="http://vk.com/club55884956"/>
    <hyperlink ref="G78" r:id="rId214" display="https://dzen.ru/a/agtsDfFeEG_lwRbW?comment-request=1#comment_3319627913"/>
    <hyperlink ref="J78" r:id="rId215" display="https://dzen.ru/user/f31w7dydatlm126z-_f-7ziqxek"/>
    <hyperlink ref="L78" r:id="rId216" display="https://dzen.ru/id/65f3067dd5f4eb779713e531"/>
    <hyperlink ref="G79" r:id="rId217" display="http://vk.com/wall-115360655_1251938?reply=1252097"/>
    <hyperlink ref="J79" r:id="rId218" display="http://vk.com/id851767110"/>
    <hyperlink ref="L79" r:id="rId219" display="http://vk.com/club115360655"/>
    <hyperlink ref="G80" r:id="rId220" display="http://vk.com/wall-55884956_245366?reply=245531"/>
    <hyperlink ref="J80" r:id="rId221" display="http://vk.com/id628724076"/>
    <hyperlink ref="L80" r:id="rId222" display="http://vk.com/club55884956"/>
    <hyperlink ref="G81" r:id="rId223" display="https://otzovik.com/review_18363188.html"/>
    <hyperlink ref="J81" r:id="rId224" display="https://otzovik.com/profile/Аноним7215859"/>
    <hyperlink ref="L81" r:id="rId225" display="https://otzovik.com/reviews/tabletki_alfa_wassermann_vessel_due_f_250_le"/>
    <hyperlink ref="G82" r:id="rId226" display="https://dzen.ru/a/agxlKPFeEG_lqjBo?comment-request=1#comment_3306119831"/>
    <hyperlink ref="J82" r:id="rId227" display="https://dzen.ru/user/uyzdk9mawshux5qs5vnmxxyuo2m"/>
    <hyperlink ref="L82" r:id="rId228" display="https://dzen.ru/id/60324e29084cc34524539a3a"/>
    <hyperlink ref="G83" r:id="rId229" display="http://vk.com/wall-123403112_3698381?reply=3698464"/>
    <hyperlink ref="J83" r:id="rId230" display="http://vk.com/id1114259735"/>
    <hyperlink ref="L83" r:id="rId231" display="http://vk.com/club123403112"/>
    <hyperlink ref="G84" r:id="rId232" display="http://vk.com/wall-121964063_1897601?reply=1897688&amp;thread=1897666"/>
    <hyperlink ref="J84" r:id="rId233" display="http://vk.com/id612772983"/>
    <hyperlink ref="L84" r:id="rId234" display="http://vk.com/club121964063"/>
    <hyperlink ref="G85" r:id="rId235" display="https://www.vashe-mnenie.com/reviews.php?name=vessel-due-f#date=2026-05-20 10:56:37"/>
    <hyperlink ref="J85" r:id="rId236" display="https://www.vashe-mnenie.com/authors/Снежана"/>
    <hyperlink ref="L85" r:id="rId237" display="https://www.vashe-mnenie.com/reviews.php?name=vessel-due-f"/>
    <hyperlink ref="G86" r:id="rId238" display="http://vk.com/wall-102968436_1625772?reply=1625788"/>
    <hyperlink ref="J86" r:id="rId239" display="http://vk.com/id744099322"/>
    <hyperlink ref="L86" r:id="rId240" display="http://vk.com/club102968436"/>
    <hyperlink ref="G87" r:id="rId241" display="http://vk.com/wall-55884956_245503?reply=245505"/>
    <hyperlink ref="J87" r:id="rId242" display="http://vk.com/id275256519"/>
    <hyperlink ref="L87" r:id="rId243" display="http://vk.com/club55884956"/>
    <hyperlink ref="G88" r:id="rId244" display="http://vk.com/wall-121964063_1897601?reply=1897666"/>
    <hyperlink ref="J88" r:id="rId245" display="http://vk.com/id880724074"/>
    <hyperlink ref="L88" r:id="rId246" display="http://vk.com/club121964063"/>
    <hyperlink ref="G89" r:id="rId247" display="https://www.babyblog.ru/user/nastyaeta/74704"/>
    <hyperlink ref="J89" r:id="rId248" display="https://www.babyblog.ru/user/nastyaeta"/>
    <hyperlink ref="L89" r:id="rId249" display="https://www.babyblog.ru/user/nastyaeta"/>
    <hyperlink ref="G90" r:id="rId250" display="http://vk.com/wall-86403806_2171912?reply=2172655"/>
    <hyperlink ref="J90" r:id="rId251" display="http://vk.com/id1083057434"/>
    <hyperlink ref="L90" r:id="rId252" display="http://vk.com/club86403806"/>
    <hyperlink ref="G91" r:id="rId253" display="http://vk.com/wall-201625372_10224?reply=10233"/>
    <hyperlink ref="J91" r:id="rId254" display="http://vk.com/id1072092712"/>
    <hyperlink ref="L91" r:id="rId255" display="http://vk.com/club201625372"/>
    <hyperlink ref="G92" r:id="rId256" display="https://otzovik.com/review_18360598.html"/>
    <hyperlink ref="J92" r:id="rId257" display="https://otzovik.com/profile/Nevinardel"/>
    <hyperlink ref="L92" r:id="rId258" display="https://otzovik.com/reviews/tromboliks_pro"/>
    <hyperlink ref="G93" r:id="rId259" display="https://dzen.ru/a/agr717vYsnpEgNpK?comment-request=1#comment_3308071292"/>
    <hyperlink ref="J93" r:id="rId260" display="https://dzen.ru/user/2360994008"/>
    <hyperlink ref="L93" r:id="rId261" display="https://dzen.ru/id/5ebadf94d86ce72cb4b1e6de"/>
    <hyperlink ref="G94" r:id="rId262" display="http://vk.com/wall-126850514_1340118?reply=1340138"/>
    <hyperlink ref="J94" r:id="rId263" display="http://vk.com/id1114259735"/>
    <hyperlink ref="L94" r:id="rId264" display="http://vk.com/club126850514"/>
    <hyperlink ref="G95" r:id="rId265" display="http://vk.com/wall466341803_5147"/>
    <hyperlink ref="J95" r:id="rId266" display="http://vk.com/id466341803"/>
    <hyperlink ref="L95" r:id="rId267" display="http://vk.com/id466341803"/>
    <hyperlink ref="G96" r:id="rId268" display="https://www.threads.com/@itreva741/post/DYfavYCDNlf"/>
    <hyperlink ref="J96" r:id="rId269" display="https://threads.com/@itreva741"/>
    <hyperlink ref="L96" r:id="rId270" display="https://threads.com/@itreva741"/>
    <hyperlink ref="G97" r:id="rId271" display="http://www.youtube.com/watch?v=5oyXmsXueDM&amp;lc=Ugw9SV-BO2JIHMt_KEZ4AaABAg"/>
    <hyperlink ref="J97" r:id="rId272" display="http://www.youtube.com/channel/UCj5sl2ikNJVEgNQKCVQXUoA"/>
    <hyperlink ref="L97" r:id="rId273" display="http://www.youtube.com/channel/UCj5sl2ikNJVEgNQKCVQXUoA"/>
    <hyperlink ref="G98" r:id="rId274" display="https://dzen.ru/a/agiG6PaAw3Vs2cdb?comment-request=1#comment_3306628032"/>
    <hyperlink ref="J98" r:id="rId275" display="https://dzen.ru/user/rfl58ladvq_ppa-kwlgrzold4no"/>
    <hyperlink ref="L98" r:id="rId276" display="https://dzen.ru/id/5eaafa59cf77ee27c9421287"/>
    <hyperlink ref="G99" r:id="rId277" display="https://irecommend.ru/content/khorosho-pomogaet-na-nachalnoi-stadii-varikoza"/>
    <hyperlink ref="J99" r:id="rId278" display="https://irecommend.ru/users/igorruinova"/>
    <hyperlink ref="L99" r:id="rId279" display="https://irecommend.ru/content/antikoagulyant-alfa-wassermann-spa-vessel-due-f-kaps-250-le-50"/>
    <hyperlink ref="G100" r:id="rId280" display="https://telegram.me/drvkuvaev/1093"/>
    <hyperlink ref="J100" r:id="rId281" display="https://telegram.me/drvkuvaev"/>
    <hyperlink ref="L100" r:id="rId282" display="https://telegram.me/drvkuvaev"/>
    <hyperlink ref="G101" r:id="rId283" display="https://dzen.ru/a/agU7n1U4_3gzPUNc?comment-request=1#comment_3299055421"/>
    <hyperlink ref="J101" r:id="rId284" display="https://dzen.ru/user/1aizypi03h3m3iudcxtcesigzgc"/>
    <hyperlink ref="L101" r:id="rId285" display="https://dzen.ru/id/62c842a6dfc4571c72d12933"/>
    <hyperlink ref="G102" r:id="rId286" display="http://vk.com/wall-85415124_157727?reply=157840"/>
    <hyperlink ref="J102" r:id="rId287" display="http://vk.com/id1082474662"/>
    <hyperlink ref="L102" r:id="rId288" display="http://vk.com/club85415124"/>
    <hyperlink ref="G103" r:id="rId289" display="http://vk.com/wall-219212745_20076?reply=20286"/>
    <hyperlink ref="J103" r:id="rId290" display="http://vk.com/id855401331"/>
    <hyperlink ref="L103" r:id="rId291" display="http://vk.com/club219212745"/>
    <hyperlink ref="G104" r:id="rId292" display="http://vk.com/wall-131931112_1550465?reply=1550789"/>
    <hyperlink ref="J104" r:id="rId293" display="http://vk.com/id744099322"/>
    <hyperlink ref="L104" r:id="rId294" display="http://vk.com/club131931112"/>
    <hyperlink ref="G105" r:id="rId295" display="http://vk.com/wall-12670685_347124?reply=347175"/>
    <hyperlink ref="J105" r:id="rId296" display="http://vk.com/id1072092712"/>
    <hyperlink ref="L105" r:id="rId297" display="http://vk.com/club12670685"/>
    <hyperlink ref="G106" r:id="rId298" display="http://vk.com/wall-171736200_5723?reply=5724"/>
    <hyperlink ref="J106" r:id="rId299" display="http://vk.com/id383835053"/>
    <hyperlink ref="L106" r:id="rId300" display="http://vk.com/club171736200"/>
    <hyperlink ref="G107" r:id="rId301" display="http://vk.com/wall-138737375_1547123?reply=1547208"/>
    <hyperlink ref="J107" r:id="rId302" display="http://vk.com/id1111392168"/>
    <hyperlink ref="L107" r:id="rId303" display="http://vk.com/club138737375"/>
    <hyperlink ref="G108" r:id="rId304" display="https://dzen.ru/a/agVZD_36HAtpIHpu?comment-request=1#comment_3311975083"/>
    <hyperlink ref="J108" r:id="rId305" display="https://dzen.ru/user/rfl58ladvq_ppa-kwlgrzold4no"/>
    <hyperlink ref="L108" r:id="rId306" display="https://dzen.ru/id/5db82d1d4e057700b0d04411"/>
    <hyperlink ref="G109" r:id="rId307" display="http://vk.com/wall-180149085_4495?reply=4496"/>
    <hyperlink ref="J109" r:id="rId308" display="http://vk.com/id1111392168"/>
    <hyperlink ref="L109" r:id="rId309" display="http://vk.com/club180149085"/>
    <hyperlink ref="G110" r:id="rId310" display="https://otzovik.com/review_18352378.html"/>
    <hyperlink ref="J110" r:id="rId311" display="https://otzovik.com/profile/marylozov88"/>
    <hyperlink ref="L110" r:id="rId312" display="https://otzovik.com/reviews/tabletki_alfa_wassermann_vessel_due_f_250_le"/>
    <hyperlink ref="G111" r:id="rId313" display="https://dzen.ru/a/agM-XlcMLUTZ-DRY?comment-request=1#comment_3311538003"/>
    <hyperlink ref="J111" r:id="rId314" display="https://dzen.ru/user/10000000619591296"/>
    <hyperlink ref="L111" r:id="rId315" display="https://dzen.ru/id/5fc4f61b0c08f433f3ac864e"/>
    <hyperlink ref="G112" r:id="rId316" display="http://vk.com/wall-166736387_49566?reply=49573&amp;thread=49570"/>
    <hyperlink ref="J112" r:id="rId317" display="http://vk.com/id267144897"/>
    <hyperlink ref="L112" r:id="rId318" display="http://vk.com/club166736387"/>
    <hyperlink ref="G113" r:id="rId319" display="http://vk.com/wall-166736387_49566?reply=49572&amp;thread=49570"/>
    <hyperlink ref="J113" r:id="rId320" display="http://vk.com/id6705830"/>
    <hyperlink ref="L113" r:id="rId321" display="http://vk.com/club166736387"/>
    <hyperlink ref="G114" r:id="rId322" display="https://mom.life/post/6a05ad3d6c5e2767f30bd6a2#6a05b370b70e3336060da543#6a05c373f77c45979b08ce1c"/>
    <hyperlink ref="J114" r:id="rId323" display="https://mom.life/user/5dcac65f375c755c874888aa"/>
    <hyperlink ref="L114" r:id="rId324" display="https://mom.life/channel/5d4811d6ebdb000de72653af"/>
    <hyperlink ref="G115" r:id="rId325" display="http://vk.com/wall-223318821_158181?reply=158751&amp;thread=158187"/>
    <hyperlink ref="J115" r:id="rId326" display="http://vk.com/id51000347"/>
    <hyperlink ref="L115" r:id="rId327" display="http://vk.com/club223318821"/>
    <hyperlink ref="G116" r:id="rId328" display="http://vk.com/wall-121511206_557279?reply=557311"/>
    <hyperlink ref="J116" r:id="rId329" display="http://vk.com/id1111392168"/>
    <hyperlink ref="L116" r:id="rId330" display="http://vk.com/club121511206"/>
    <hyperlink ref="G117" r:id="rId331" display="http://vk.com/wall-177688766_487001?reply=487022"/>
    <hyperlink ref="J117" r:id="rId332" display="http://vk.com/id1111392168"/>
    <hyperlink ref="L117" r:id="rId333" display="http://vk.com/club177688766"/>
    <hyperlink ref="G118" r:id="rId334" display="https://dzen.ru/a/aft_QRadCT2fhAjU?comment-request=1#comment_3295912281"/>
    <hyperlink ref="J118" r:id="rId335" display="https://dzen.ru/user/grgfitidzfc2yyoeg_9dzbsltj0"/>
    <hyperlink ref="L118" r:id="rId336" display="https://dzen.ru/id/69b5bb875330f8608cd9b95d"/>
    <hyperlink ref="G119" r:id="rId337" display="http://vk.com/wall-115360655_1251359?reply=1251448"/>
    <hyperlink ref="J119" r:id="rId338" display="http://vk.com/id612772983"/>
    <hyperlink ref="L119" r:id="rId339" display="http://vk.com/club115360655"/>
    <hyperlink ref="G120" r:id="rId340" display="http://vk.com/wall-210934520_126704?reply=169523&amp;thread=127679"/>
    <hyperlink ref="J120" r:id="rId341" display="http://vk.com/id788574328"/>
    <hyperlink ref="L120" r:id="rId342" display="http://vk.com/club210934520"/>
    <hyperlink ref="G121" r:id="rId343" display="http://vk.com/wall-211243521_27672?reply=27743"/>
    <hyperlink ref="J121" r:id="rId344" display="http://vk.com/id530200276"/>
    <hyperlink ref="L121" r:id="rId345" display="http://vk.com/club211243521"/>
    <hyperlink ref="G122" r:id="rId346" display="https://dzen.ru/a/agEJNS4Qk27DAgGR?comment-request=1#comment_3303063204"/>
    <hyperlink ref="J122" r:id="rId347" display="https://dzen.ru/user/rfl58ladvq_ppa-kwlgrzold4no"/>
    <hyperlink ref="L122" r:id="rId348" display="https://dzen.ru/id/65f1dc2e477f931a69a2da7e"/>
    <hyperlink ref="G123" r:id="rId349" display="http://vk.com/wall-162456827_122523?reply=122558"/>
    <hyperlink ref="J123" r:id="rId350" display="http://vk.com/id1114259735"/>
    <hyperlink ref="L123" r:id="rId351" display="http://vk.com/club162456827"/>
    <hyperlink ref="G124" r:id="rId352" display="https://dzen.ru/a/agMfuVU4_3gzOoyZ?comment-request=1#comment_3303016074"/>
    <hyperlink ref="J124" r:id="rId353" display="https://dzen.ru/user/rfl58ladvq_ppa-kwlgrzold4no"/>
    <hyperlink ref="L124" r:id="rId354" display="https://dzen.ru/id/59b7ace157906a468e38e6c5"/>
    <hyperlink ref="G125" r:id="rId355" display="https://dzen.ru/a/af4wWvfNMSTrry7B?comment-request=1#comment_3302797964"/>
    <hyperlink ref="J125" r:id="rId356" display="https://dzen.ru/user/j8uxeszc3lrg5deshbbkefkjkxc"/>
    <hyperlink ref="L125" r:id="rId357" display="https://dzen.ru/id/65f3067dd5f4eb779713e531"/>
    <hyperlink ref="G126" r:id="rId358" display="http://vk.com/wall530424871_2284"/>
    <hyperlink ref="J126" r:id="rId359" display="http://vk.com/id530424871"/>
    <hyperlink ref="L126" r:id="rId360" display="http://vk.com/id530424871"/>
    <hyperlink ref="G127" r:id="rId361" display="http://vk.com/wall-155019350_72844?reply=72858"/>
    <hyperlink ref="J127" r:id="rId362" display="http://vk.com/id1111260863"/>
    <hyperlink ref="L127" r:id="rId363" display="http://vk.com/club155019350"/>
    <hyperlink ref="G128" r:id="rId364" display="https://dzen.ru/a/agEE7D-R5kMHO3qf?comment-request=1#comment_3301639114"/>
    <hyperlink ref="J128" r:id="rId365" display="https://dzen.ru/user/vf8tak0kxzfoslbsoumaseybksg"/>
    <hyperlink ref="L128" r:id="rId366" display="https://dzen.ru/id/65f1dc2e477f931a69a2da7e"/>
    <hyperlink ref="G129" r:id="rId367" display="https://telegram.me/izbamolodilnya/3316"/>
    <hyperlink ref="J129" r:id="rId368" display="https://telegram.me/izbamolodilnya"/>
    <hyperlink ref="L129" r:id="rId369" display="https://telegram.me/izbamolodilnya"/>
    <hyperlink ref="G130" r:id="rId370" display="https://dzen.ru/a/af-MJFrEqxFxwH-m?comment-request=1#comment_3291303731"/>
    <hyperlink ref="J130" r:id="rId371" display="https://dzen.ru/user/a2z_dp-q6s0e0c-xb3tho5wsmqg"/>
    <hyperlink ref="L130" r:id="rId372" display="https://dzen.ru/id/66f3e42b025ba177c356b855"/>
    <hyperlink ref="G131" r:id="rId373" display="https://telegram.me/aleksatru/441"/>
    <hyperlink ref="J131" r:id="rId374" display="https://telegram.me/aleksatru"/>
    <hyperlink ref="L131" r:id="rId375" display="https://telegram.me/aleksatru"/>
    <hyperlink ref="G132" r:id="rId376" display="https://dzen.ru/a/af-MJFrEqxFxwH-m?comment-request=1#comment_3291176551"/>
    <hyperlink ref="J132" r:id="rId377" display="https://dzen.ru/user/_bhpegrneaisss9rhcv19fecxto"/>
    <hyperlink ref="L132" r:id="rId378" display="https://dzen.ru/id/66f3e42b025ba177c356b855"/>
    <hyperlink ref="G133" r:id="rId379" display="https://sprosivracha.com/questions/4324170-gematolog-ubral-vse-vitaminy-pochemu#a27652352"/>
    <hyperlink ref="J133" r:id="rId380" display="https://sprosivracha.com/authors/Жумасия Жаналиева"/>
    <hyperlink ref="L133" r:id="rId381" display="https://sprosivracha.com/questions/4324170-gematolog-ubral-vse-vitaminy-pochemu"/>
    <hyperlink ref="G134" r:id="rId382" display="https://sprosivracha.com/questions/4324170-gematolog-ubral-vse-vitaminy-pochemu#a27652310"/>
    <hyperlink ref="J134" r:id="rId383" display="https://sprosivracha.com/authors/Жумасия Жаналиева"/>
    <hyperlink ref="L134" r:id="rId384" display="https://sprosivracha.com/questions/4324170-gematolog-ubral-vse-vitaminy-pochemu"/>
    <hyperlink ref="G135" r:id="rId385" display="https://sprosivracha.com/questions/4324170-gematolog-ubral-vse-vitaminy-pochemu"/>
    <hyperlink ref="J135" r:id="rId386" display="https://sprosivracha.com/authors/Вера"/>
    <hyperlink ref="L135" r:id="rId387" display="https://sprosivracha.com/questions/4324170-gematolog-ubral-vse-vitaminy-pochemu"/>
    <hyperlink ref="G136" r:id="rId388" display="https://telegram.me/ap_patient/109995"/>
    <hyperlink ref="J136" r:id="rId389" display="https://telegram.me/af_patientbot"/>
    <hyperlink ref="L136" r:id="rId390" display="https://telegram.me/ap_patient"/>
    <hyperlink ref="G137" r:id="rId391" display="https://dzen.ru/a/af-MJFrEqxFxwH-m?comment-request=1#comment_3290968831"/>
    <hyperlink ref="J137" r:id="rId392" display="https://dzen.ru/user/a2z_dp-q6s0e0c-xb3tho5wsmqg"/>
    <hyperlink ref="L137" r:id="rId393" display="https://dzen.ru/id/66f3e42b025ba177c356b855"/>
    <hyperlink ref="G138" r:id="rId394" display="http://vk.com/wall-227216729_40"/>
    <hyperlink ref="J138" r:id="rId395" display="http://vk.com/club227216729"/>
    <hyperlink ref="L138" r:id="rId396" display="http://vk.com/club227216729"/>
    <hyperlink ref="G139" r:id="rId397" display="https://telegram.me/actual_phlebology_ru/1047"/>
    <hyperlink ref="J139" r:id="rId398" display="https://telegram.me/actual_phlebology_ru"/>
    <hyperlink ref="L139" r:id="rId399" display="https://telegram.me/actual_phlebology_ru"/>
    <hyperlink ref="G140" r:id="rId400" display="https://telegram.me/ap_patient/109987"/>
    <hyperlink ref="J140" r:id="rId401" display="https://telegram.me/af_patientbot"/>
    <hyperlink ref="L140" r:id="rId402" display="https://telegram.me/ap_patient"/>
    <hyperlink ref="G141" r:id="rId403" display="https://www.babyblog.ru/user/zinnatullinainzilya/9840?go_comment_id=71402"/>
    <hyperlink ref="J141" r:id="rId404" display="https://www.babyblog.ru/user/msimchik"/>
    <hyperlink ref="L141" r:id="rId405" display="https://www.babyblog.ru/user/zinnatullinainzilya"/>
    <hyperlink ref="G142" r:id="rId406" display="http://vk.com/wall-47981464_2782925"/>
    <hyperlink ref="J142" r:id="rId407" display="http://vk.com/id78727646"/>
    <hyperlink ref="L142" r:id="rId408" display="http://vk.com/club47981464"/>
    <hyperlink ref="G143" r:id="rId409" display="http://vk.com/wall-35402404_91243"/>
    <hyperlink ref="J143" r:id="rId410" display="http://vk.com/club35402404"/>
    <hyperlink ref="L143" r:id="rId411" display="http://vk.com/club35402404"/>
    <hyperlink ref="G144" r:id="rId412" display="http://ok.ru/group/52161146519625/topic/158340056001353"/>
    <hyperlink ref="J144" r:id="rId413" display="http://ok.ru/group/52161146519625"/>
    <hyperlink ref="L144" r:id="rId414" display="http://ok.ru/group/52161146519625"/>
    <hyperlink ref="G145" r:id="rId415" display="http://vk.com/wall-171736200_5702?reply=5703"/>
    <hyperlink ref="J145" r:id="rId416" display="http://vk.com/id383835053"/>
    <hyperlink ref="L145" r:id="rId417" display="http://vk.com/club171736200"/>
    <hyperlink ref="G146" r:id="rId418" display="http://vk.com/wall-61570233_115207"/>
    <hyperlink ref="J146" r:id="rId419" display="http://vk.com/club61570233"/>
    <hyperlink ref="L146" r:id="rId420" display="http://vk.com/club61570233"/>
    <hyperlink ref="G147" r:id="rId421" display="http://ok.ru/group/52171764269129/topic/158338791811913"/>
    <hyperlink ref="J147" r:id="rId422" display="http://ok.ru/group/52171764269129"/>
    <hyperlink ref="L147" r:id="rId423" display="http://ok.ru/group/52171764269129"/>
    <hyperlink ref="G148" r:id="rId424" display="http://vk.com/wall-48183890_1779997?reply=1780046"/>
    <hyperlink ref="J148" r:id="rId425" display="http://vk.com/id1089131922"/>
    <hyperlink ref="L148" r:id="rId426" display="http://vk.com/club48183890"/>
    <hyperlink ref="G149" r:id="rId427" display="http://vk.com/wall-110697191_748283?reply=748303"/>
    <hyperlink ref="J149" r:id="rId428" display="http://vk.com/id1083057434"/>
    <hyperlink ref="L149" r:id="rId429" display="http://vk.com/club110697191"/>
    <hyperlink ref="G150" r:id="rId430" display="https://www.instagram.com/p/DYEcS1RorP6/c/18096833860887732"/>
    <hyperlink ref="J150" r:id="rId431" display="https://instagram.com/dabaevm"/>
    <hyperlink ref="L150" r:id="rId432" display="https://instagram.com/aizana.stambulova"/>
    <hyperlink ref="G151" r:id="rId433" display="http://vk.com/wall-157831435_46556?reply=46585"/>
    <hyperlink ref="J151" r:id="rId434" display="http://vk.com/id1072092712"/>
    <hyperlink ref="L151" r:id="rId435" display="http://vk.com/club157831435"/>
    <hyperlink ref="G152" r:id="rId436" display="http://vk.com/wall-158881136_1010102?reply=1010174"/>
    <hyperlink ref="J152" r:id="rId437" display="http://vk.com/id1072092712"/>
    <hyperlink ref="L152" r:id="rId438" display="http://vk.com/club158881136"/>
    <hyperlink ref="G153" r:id="rId439" display="https://dzen.ru/a/afveb1U4_3gzMYYi?comment-request=1#comment_3291783372"/>
    <hyperlink ref="J153" r:id="rId440" display="https://dzen.ru/user/vf8tak0kxzfoslbsoumaseybksg"/>
    <hyperlink ref="L153" r:id="rId441" display="https://dzen.ru/id/5994437877d0e668483ba5cb"/>
    <hyperlink ref="G154" r:id="rId442" display="http://vk.com/wall-113506584_2490715?reply=2490794"/>
    <hyperlink ref="J154" r:id="rId443" display="http://vk.com/id1110220150"/>
    <hyperlink ref="L154" r:id="rId444" display="http://vk.com/club113506584"/>
    <hyperlink ref="G155" r:id="rId445" display="http://vk.com/wall-29487103_192880?reply=192890"/>
    <hyperlink ref="J155" r:id="rId446" display="http://vk.com/id1110220150"/>
    <hyperlink ref="L155" r:id="rId447" display="http://vk.com/club29487103"/>
    <hyperlink ref="G156" r:id="rId448" display="https://otzovik.com/review_18333385.html#107796577"/>
    <hyperlink ref="J156" r:id="rId449" display="https://otzovik.com/profile/Кристина+Поданев"/>
    <hyperlink ref="L156" r:id="rId450" display="https://otzovik.com/reviews/tromboliks_pro"/>
    <hyperlink ref="G157" r:id="rId451" display="http://vk.com/wall-88570414_284324?reply=284345"/>
    <hyperlink ref="J157" r:id="rId452" display="http://vk.com/id69795047"/>
    <hyperlink ref="L157" r:id="rId453" display="http://vk.com/club88570414"/>
    <hyperlink ref="G158" r:id="rId454" display="https://telegram.me/doctor_alina_chat/21390"/>
    <hyperlink ref="J158" r:id="rId455" display="https://telegram.me/doctor_alina_chat"/>
    <hyperlink ref="L158" r:id="rId456" display="https://telegram.me/doctor_alina_chat"/>
    <hyperlink ref="G159" r:id="rId457" display="https://telegram.me/doctor_alina_chat/21389"/>
    <hyperlink ref="J159" r:id="rId458" display="https://telegram.me/aetolena"/>
    <hyperlink ref="L159" r:id="rId459" display="https://telegram.me/doctor_alina_chat"/>
    <hyperlink ref="G160" r:id="rId460" display="http://vk.com/wall-155019350_72738?reply=72765"/>
    <hyperlink ref="J160" r:id="rId461" display="http://vk.com/id851767110"/>
    <hyperlink ref="L160" r:id="rId462" display="http://vk.com/club155019350"/>
    <hyperlink ref="G161" r:id="rId463" display="http://vk.com/wall-158881136_1010102?reply=1010152"/>
    <hyperlink ref="J161" r:id="rId464" display="http://vk.com/id855401331"/>
    <hyperlink ref="L161" r:id="rId465" display="http://vk.com/club158881136"/>
    <hyperlink ref="G162" r:id="rId466" display="https://otzovik.com/review_18333385.html"/>
    <hyperlink ref="J162" r:id="rId467" display="https://otzovik.com/profile/Xavitara"/>
    <hyperlink ref="L162" r:id="rId468" display="https://otzovik.com/reviews/tromboliks_pro"/>
    <hyperlink ref="G163" r:id="rId469" display="http://vk.com/wall-177688766_486415?reply=486509"/>
    <hyperlink ref="J163" r:id="rId470" display="http://vk.com/id1110219570"/>
    <hyperlink ref="L163" r:id="rId471" display="http://vk.com/club177688766"/>
    <hyperlink ref="G164" r:id="rId472" display="https://dzen.ru/a/afrjzm1eWjQzPQnC?comment-request=1#comment_3286264181"/>
    <hyperlink ref="J164" r:id="rId473" display="https://dzen.ru/user/2370083782"/>
    <hyperlink ref="L164" r:id="rId474" display="https://dzen.ru/id/60c090e7ef324247ee9673bb"/>
    <hyperlink ref="G165" r:id="rId475" display="https://medum.ru/r23520#23520"/>
    <hyperlink ref="J165" r:id="rId476" display="https://medum.ru/authors/Наталья"/>
    <hyperlink ref="L165" r:id="rId477" display="https://medum.ru/tromboliks-pro-otzyvy"/>
    <hyperlink ref="G166" r:id="rId478" display="http://vk.com/wall-132664992_1283413?reply=1283474"/>
    <hyperlink ref="J166" r:id="rId479" display="http://vk.com/id1110219570"/>
    <hyperlink ref="L166" r:id="rId480" display="http://vk.com/club132664992"/>
    <hyperlink ref="G167" r:id="rId481" display="https://telegram.me/ap_patient/109884"/>
    <hyperlink ref="J167" r:id="rId482" display="https://telegram.me/af_patientbot"/>
    <hyperlink ref="L167" r:id="rId483" display="https://telegram.me/ap_patient"/>
    <hyperlink ref="G168" r:id="rId484" display="https://telegram.me/ap_patient/109876"/>
    <hyperlink ref="J168" r:id="rId485" display="https://telegram.me/af_patientbot"/>
    <hyperlink ref="L168" r:id="rId486" display="https://telegram.me/ap_patient"/>
    <hyperlink ref="G169" r:id="rId487" display="https://sprosivracha.com/questions/4317017-giperplaziya-endometriyanorkoluttrombofiliyakleksan#a27599557"/>
    <hyperlink ref="J169" r:id="rId488" display="https://sprosivracha.com/authors/Жумасия Жаналиева"/>
    <hyperlink ref="L169" r:id="rId489" display="https://sprosivracha.com/questions/4317017-giperplaziya-endometriyanorkoluttrombofiliyakleksan"/>
    <hyperlink ref="G170" r:id="rId490" display="http://vk.com/wall-155019350_72744?reply=72747"/>
    <hyperlink ref="J170" r:id="rId491" display="http://vk.com/id1072092712"/>
    <hyperlink ref="L170" r:id="rId492" display="http://vk.com/club155019350"/>
    <hyperlink ref="G171" r:id="rId493" display="https://telegram.me/c/1268734773/1918299"/>
    <hyperlink ref="J171" r:id="rId494" display="https://telegram.me/egort125"/>
    <hyperlink ref="L171" r:id="rId495" display="https://telegram.me/1268734773"/>
    <hyperlink ref="G172" r:id="rId496" display="https://sprosivracha.com/questions/4317017-giperplaziya-endometriyanorkoluttrombofiliyakleksan"/>
    <hyperlink ref="J172" r:id="rId497" display="https://sprosivracha.com/authors/Наталья"/>
    <hyperlink ref="L172" r:id="rId498" display="https://sprosivracha.com/questions/4317017-giperplaziya-endometriyanorkoluttrombofiliyakleksan"/>
    <hyperlink ref="G173" r:id="rId499" display="http://vk.com/wall-74631162_1265660?reply=1265848"/>
    <hyperlink ref="J173" r:id="rId500" display="http://vk.com/id1082474662"/>
    <hyperlink ref="L173" r:id="rId501" display="http://vk.com/club74631162"/>
    <hyperlink ref="G174" r:id="rId502" display="http://vk.com/wall-146414683_2901744?reply=2902056"/>
    <hyperlink ref="J174" r:id="rId503" display="http://vk.com/id734929608"/>
    <hyperlink ref="L174" r:id="rId504" display="http://vk.com/club146414683"/>
    <hyperlink ref="G175" r:id="rId505" display="https://dzen.ru/a/afWqipjNCwKgmwfm?comment-request=1#comment_3284744731"/>
    <hyperlink ref="J175" r:id="rId506" display="https://dzen.ru/user/rfl58ladvq_ppa-kwlgrzold4no"/>
    <hyperlink ref="L175" r:id="rId507" display="https://dzen.ru/id/5eaafa59cf77ee27c9421287"/>
    <hyperlink ref="G176" r:id="rId508" display="http://vk.com/wall-66100600_241132?reply=241148"/>
    <hyperlink ref="J176" r:id="rId509" display="http://vk.com/id1110219570"/>
    <hyperlink ref="L176" r:id="rId510" display="http://vk.com/club66100600"/>
    <hyperlink ref="G177" r:id="rId511" display="http://vk.com/wall-127033373_73213?reply=73258"/>
    <hyperlink ref="J177" r:id="rId512" display="http://vk.com/id1110219570"/>
    <hyperlink ref="L177" r:id="rId513" display="http://vk.com/club127033373"/>
    <hyperlink ref="G178" r:id="rId514" display="https://dzen.ru/a/afiuExFy5VS5UEaJ?comment-request=1#comment_3297728343"/>
    <hyperlink ref="J178" r:id="rId515" display="https://dzen.ru/user/1541034028"/>
    <hyperlink ref="L178" r:id="rId516" display="https://dzen.ru/id/5ea3fd8b22b6bd32eecb63f5"/>
    <hyperlink ref="G179" r:id="rId517" display="https://telegram.me/dr_kikina/664"/>
    <hyperlink ref="J179" r:id="rId518" display="https://telegram.me/dr_kikina"/>
    <hyperlink ref="L179" r:id="rId519" display="https://telegram.me/dr_kikina"/>
    <hyperlink ref="G180" r:id="rId520" display="https://otzyv.pro/reviews/otzyvy-tromboliks-pro-514868.html"/>
    <hyperlink ref="J180" r:id="rId521" display="https://otzyv.pro/user/tata225"/>
    <hyperlink ref="L180" r:id="rId522" display="https://otzyv.pro/category/lekarstvennyie-sredstva/821439-tromboliks-pro.html"/>
    <hyperlink ref="G181" r:id="rId523" display="https://mom.life/post/69fa0a7d1e3c84073702aba8#69fa0f97ace9e33b8404cef6"/>
    <hyperlink ref="J181" r:id="rId524" display="https://mom.life/user/5a096a0e17699c031b653d75"/>
    <hyperlink ref="L181" r:id="rId525" display="https://mom.life/channel/5d4811d6ebdb000de72653af"/>
    <hyperlink ref="G182" r:id="rId526" display="https://mom.life/post/69fa0a7d1e3c84073702aba8"/>
    <hyperlink ref="J182" r:id="rId527" display="https://mom.life/user/6938570a5f655a40e20c04ad"/>
    <hyperlink ref="L182" r:id="rId528" display="https://mom.life/channel/5d4811d6ebdb000de72653af"/>
    <hyperlink ref="G183" r:id="rId529" display="http://vk.com/wall-159559335_80764?reply=80794"/>
    <hyperlink ref="J183" r:id="rId530" display="http://vk.com/id880724074"/>
    <hyperlink ref="L183" r:id="rId531" display="http://vk.com/club159559335"/>
    <hyperlink ref="G184" r:id="rId532" display="http://vk.com/wall-143027530_287028?reply=287155"/>
    <hyperlink ref="J184" r:id="rId533" display="http://vk.com/id870911079"/>
    <hyperlink ref="L184" r:id="rId534" display="http://vk.com/club143027530"/>
    <hyperlink ref="G185" r:id="rId535" display="http://vk.com/wall-193354828_48319?reply=48735"/>
    <hyperlink ref="J185" r:id="rId536" display="http://vk.com/id744099322"/>
    <hyperlink ref="L185" r:id="rId537" display="http://vk.com/club193354828"/>
    <hyperlink ref="G186" r:id="rId538" display="http://vk.com/wall-163661411_465377?reply=465510"/>
    <hyperlink ref="J186" r:id="rId539" display="http://vk.com/id612772983"/>
    <hyperlink ref="L186" r:id="rId540" display="http://vk.com/club163661411"/>
    <hyperlink ref="G187" r:id="rId541" display="http://vk.com/wall-112011819_2779043?reply=2780748"/>
    <hyperlink ref="J187" r:id="rId542" display="http://vk.com/id1083057434"/>
    <hyperlink ref="L187" r:id="rId543" display="http://vk.com/club112011819"/>
    <hyperlink ref="G188" r:id="rId544" display="http://vk.com/wall-55122354_1523000?reply=1523599"/>
    <hyperlink ref="J188" r:id="rId545" display="http://vk.com/id1072092712"/>
    <hyperlink ref="L188" r:id="rId546" display="http://vk.com/club55122354"/>
    <hyperlink ref="G189" r:id="rId547" display="http://vk.com/wall-78602257_8214?reply=8237"/>
    <hyperlink ref="J189" r:id="rId548" display="http://vk.com/id1109330634"/>
    <hyperlink ref="L189" r:id="rId549" display="http://vk.com/club78602257"/>
    <hyperlink ref="G190" r:id="rId550" display="http://vk.com/wall-163661733_473149?reply=473162"/>
    <hyperlink ref="J190" r:id="rId551" display="http://vk.com/id1110218210"/>
    <hyperlink ref="L190" r:id="rId552" display="http://vk.com/club163661733"/>
    <hyperlink ref="G191" r:id="rId553" display="https://dzen.ru/a/afYkzUn31mdwB6hm?comment-request=1#comment_3295948573"/>
    <hyperlink ref="J191" r:id="rId554" display="https://dzen.ru/user/cigvvu3wczjxhpejt_7e7truozm"/>
    <hyperlink ref="L191" r:id="rId555" display="https://dzen.ru/id/5ea3fd8b22b6bd32eecb63f5"/>
    <hyperlink ref="G192" r:id="rId556" display="http://vk.com/wall-164931876_313142?reply=313149"/>
    <hyperlink ref="J192" r:id="rId557" display="http://vk.com/id1110218210"/>
    <hyperlink ref="L192" r:id="rId558" display="http://vk.com/club164931876"/>
    <hyperlink ref="G193" r:id="rId559" display="http://vk.com/wall-60212615_5255437?reply=5255488"/>
    <hyperlink ref="J193" r:id="rId560" display="http://vk.com/id1110218210"/>
    <hyperlink ref="L193" r:id="rId561" display="http://vk.com/club60212615"/>
    <hyperlink ref="G194" r:id="rId562" display="https://telegram.me/ap_patient/109812"/>
    <hyperlink ref="J194" r:id="rId563" display="https://telegram.me/af_patientbot"/>
    <hyperlink ref="L194" r:id="rId564" display="https://telegram.me/ap_patient"/>
    <hyperlink ref="G195" r:id="rId565" display="https://market.yandex.ru/user/c10jjgx2b7etrdb4qfva3zpq7m/reviews#T4ocL_laAznWB7IxiB0kYA_4od8U1s"/>
    <hyperlink ref="J195" r:id="rId566" display="https://market.yandex.ru/user/c10jjgx2b7etrdb4qfva3zpq7m"/>
    <hyperlink ref="L195" r:id="rId567" display="https://market.yandex.ru/product/1778173803"/>
    <hyperlink ref="G196" r:id="rId568" display="http://vk.com/wall-135703188_1361784?reply=1362217"/>
    <hyperlink ref="J196" r:id="rId569" display="http://vk.com/id1110220150"/>
    <hyperlink ref="L196" r:id="rId570" display="http://vk.com/club135703188"/>
    <hyperlink ref="G197" r:id="rId571" display="https://www.ozon.ru/product/754249148/reviews?ruuid=019df2d8-0f4b-778a-ba0e-09c3023d1153"/>
    <hyperlink ref="J197" r:id="rId572" display="https://www.ozon.ru/context/client_opinion/ClientGuid/00000000-0000-0000-0000-000000000000#Андрей К."/>
    <hyperlink ref="L197" r:id="rId573" display="https://www.ozon.ru/context/detail/id/754249148"/>
    <hyperlink ref="G198" r:id="rId574" display="https://sprosivracha.com/questions/4310948-terapiya-pri-beremennosti#a27547827"/>
    <hyperlink ref="J198" r:id="rId575" display="https://sprosivracha.com/authors/Зоя"/>
    <hyperlink ref="L198" r:id="rId576" display="https://sprosivracha.com/questions/4310948-terapiya-pri-beremennosti"/>
    <hyperlink ref="G199" r:id="rId577" display="https://sprosivracha.com/questions/4310948-terapiya-pri-beremennosti#a27546801"/>
    <hyperlink ref="J199" r:id="rId578" display="https://sprosivracha.com/authors/Жумасия Жаналиева"/>
    <hyperlink ref="L199" r:id="rId579" display="https://sprosivracha.com/questions/4310948-terapiya-pri-beremennosti"/>
    <hyperlink ref="G200" r:id="rId580" display="https://sprosivracha.com/questions/4310948-terapiya-pri-beremennosti"/>
    <hyperlink ref="J200" r:id="rId581" display="https://sprosivracha.com/authors/Зоя"/>
    <hyperlink ref="L200" r:id="rId582" display="https://sprosivracha.com/questions/4310948-terapiya-pri-beremennosti"/>
    <hyperlink ref="G201" r:id="rId583" display="http://vk.com/wall-135703188_1361784?reply=1362155"/>
    <hyperlink ref="J201" r:id="rId584" display="http://vk.com/id1110218210"/>
    <hyperlink ref="L201" r:id="rId585" display="http://vk.com/club135703188"/>
    <hyperlink ref="G202" r:id="rId586" display="https://www.ozon.ru/product/754249148/reviews?ruuid=019df18a-3a0f-706b-b713-6d8e63ab0f43"/>
    <hyperlink ref="J202" r:id="rId587" display="https://www.ozon.ru/context/client_opinion/ClientGuid/00000000-0000-0000-0000-000000000000#Леонид З."/>
    <hyperlink ref="L202" r:id="rId588" display="https://www.ozon.ru/context/detail/id/754249148"/>
    <hyperlink ref="G203" r:id="rId589" display="http://vk.com/wall-116010319_1099731"/>
    <hyperlink ref="J203" r:id="rId590" display="http://vk.com/club116010319"/>
    <hyperlink ref="L203" r:id="rId591" display="http://vk.com/club116010319"/>
    <hyperlink ref="G204" r:id="rId592" display="https://telegram.me/tamzdes/5459"/>
    <hyperlink ref="J204" r:id="rId593" display="https://telegram.me/tamzdes"/>
    <hyperlink ref="L204" r:id="rId594" display="https://telegram.me/tamzdes"/>
    <hyperlink ref="G205" r:id="rId595" display="https://sprosivracha.com/questions/4308352-prolezhni-na-pyatke#a27527325"/>
    <hyperlink ref="J205" r:id="rId596" display="https://sprosivracha.com/authors/Владислав Казаков"/>
    <hyperlink ref="L205" r:id="rId597" display="https://sprosivracha.com/questions/4308352-prolezhni-na-pyatke"/>
    <hyperlink ref="G206" r:id="rId598" display="https://telegram.me/ap_patient/109729"/>
    <hyperlink ref="J206" r:id="rId599" display="https://telegram.me/af_patientbot"/>
    <hyperlink ref="L206" r:id="rId600" display="https://telegram.me/ap_patient"/>
    <hyperlink ref="G207" r:id="rId601" display="https://www.instagram.com/p/DXy_plDsML5/c/17875272075603580"/>
    <hyperlink ref="J207" r:id="rId602" display="https://instagram.com/zsevastianova"/>
    <hyperlink ref="L207" r:id="rId603" display="https://instagram.com/iri.levchuk"/>
  </hyperlinks>
  <pageMargins left="0.75" right="0.75" top="1" bottom="1" header="0.5" footer="0.5"/>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22ec5001-58c3-4b4e-bb4b-c484e1f5cc88}">
  <dimension ref="B1:K6"/>
  <sheetViews>
    <sheetView showGridLines="0" workbookViewId="0" topLeftCell="A1"/>
  </sheetViews>
  <sheetFormatPr defaultRowHeight="12.75"/>
  <cols>
    <col min="1" max="1" width="4.714285714285714" customWidth="1"/>
    <col min="2" max="2" width="22.714285714285715" customWidth="1"/>
    <col min="3" max="3" width="60.714285714285715" customWidth="1"/>
    <col min="4" max="11" width="16.285714285714285" customWidth="1"/>
  </cols>
  <sheetData>
    <row r="1" spans="2:3" s="1" customFormat="1" ht="30" customHeight="1">
      <c r="B1" s="1" t="s">
        <v>0</v>
      </c>
      <c r="C1" s="4" t="s">
        <v>2</v>
      </c>
    </row>
    <row r="4" spans="2:2" ht="12.75">
      <c r="B4" s="2" t="s">
        <v>6</v>
      </c>
    </row>
    <row r="6" spans="2:11" ht="30" customHeight="1">
      <c r="B6" s="5" t="s">
        <v>131</v>
      </c>
      <c r="C6" s="5" t="s">
        <v>132</v>
      </c>
      <c r="D6" s="5" t="s">
        <v>5</v>
      </c>
      <c r="E6" s="5" t="s">
        <v>40</v>
      </c>
      <c r="F6" s="5" t="s">
        <v>41</v>
      </c>
      <c r="G6" s="5" t="s">
        <v>133</v>
      </c>
      <c r="H6" s="5" t="s">
        <v>134</v>
      </c>
      <c r="I6" s="5" t="s">
        <v>135</v>
      </c>
      <c r="J6" s="5" t="s">
        <v>43</v>
      </c>
      <c r="K6" s="5" t="s">
        <v>48</v>
      </c>
    </row>
  </sheetData>
  <hyperlinks>
    <hyperlink ref="C1" location="Содержание!B4" display="К содержанию"/>
  </hyperlinks>
  <pageMargins left="0.75" right="0.75" top="1" bottom="1" header="0.5" footer="0.5"/>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e355b9dd-4b60-4181-b3d3-851da9704ac0}">
  <dimension ref="B1:H98"/>
  <sheetViews>
    <sheetView showGridLines="0" workbookViewId="0" topLeftCell="A1"/>
  </sheetViews>
  <sheetFormatPr defaultRowHeight="12.75"/>
  <cols>
    <col min="1" max="1" width="4.714285714285714" customWidth="1"/>
    <col min="2" max="2" width="22.714285714285715" customWidth="1"/>
    <col min="3" max="8" width="17.571428571428573" customWidth="1"/>
  </cols>
  <sheetData>
    <row r="1" spans="2:3" s="1" customFormat="1" ht="30" customHeight="1">
      <c r="B1" s="1" t="s">
        <v>0</v>
      </c>
      <c r="C1" s="4" t="s">
        <v>2</v>
      </c>
    </row>
    <row r="4" spans="2:2" ht="12.75">
      <c r="B4" s="2" t="s">
        <v>7</v>
      </c>
    </row>
    <row r="6" spans="2:2" ht="15" customHeight="1"/>
    <row r="7" ht="15" customHeight="1"/>
    <row r="8" ht="15" customHeight="1"/>
    <row r="9" ht="15" customHeight="1"/>
    <row r="10" ht="15" customHeight="1"/>
    <row r="11" ht="15" customHeight="1"/>
    <row r="12" ht="15" customHeight="1"/>
    <row r="13" ht="15" customHeight="1"/>
    <row r="14" ht="15" customHeight="1"/>
    <row r="15" ht="15" customHeight="1"/>
    <row r="16" ht="15" customHeight="1"/>
    <row r="17" ht="15" customHeight="1"/>
    <row r="18" ht="15" customHeight="1"/>
    <row r="19" ht="15" customHeight="1"/>
    <row r="20" ht="15" customHeight="1"/>
    <row r="21" ht="15" customHeight="1"/>
    <row r="22" ht="15" customHeight="1"/>
    <row r="23" ht="15" customHeight="1"/>
    <row r="24" ht="15" customHeight="1"/>
    <row r="25" ht="15" customHeight="1"/>
    <row r="26" spans="2:2" ht="15" customHeight="1"/>
    <row r="27" ht="15" customHeight="1"/>
    <row r="28" ht="15" customHeight="1"/>
    <row r="29" ht="15" customHeight="1"/>
    <row r="30" ht="15" customHeight="1"/>
    <row r="31" ht="15" customHeight="1"/>
    <row r="32" ht="15" customHeight="1"/>
    <row r="33" ht="15" customHeight="1"/>
    <row r="34" ht="15" customHeight="1"/>
    <row r="35" ht="15" customHeight="1"/>
    <row r="36" ht="15" customHeight="1"/>
    <row r="37" ht="15" customHeight="1"/>
    <row r="38" ht="15" customHeight="1"/>
    <row r="39" ht="15" customHeight="1"/>
    <row r="40" ht="15" customHeight="1"/>
    <row r="41" ht="15" customHeight="1"/>
    <row r="42" ht="15" customHeight="1"/>
    <row r="43" ht="15" customHeight="1"/>
    <row r="44" ht="15" customHeight="1"/>
    <row r="45" ht="15" customHeight="1"/>
    <row r="46" spans="2:2" ht="15" customHeight="1"/>
    <row r="47" ht="15" customHeight="1"/>
    <row r="48" ht="15" customHeight="1"/>
    <row r="49" ht="15" customHeight="1"/>
    <row r="50" ht="15" customHeight="1"/>
    <row r="51" ht="15" customHeight="1"/>
    <row r="52" ht="15" customHeight="1"/>
    <row r="53" ht="15" customHeight="1"/>
    <row r="54" ht="15" customHeight="1"/>
    <row r="55" ht="15" customHeight="1"/>
    <row r="56" ht="15" customHeight="1"/>
    <row r="57" ht="15" customHeight="1"/>
    <row r="58" ht="15" customHeight="1"/>
    <row r="59" ht="15" customHeight="1"/>
    <row r="60" ht="15" customHeight="1"/>
    <row r="61" ht="15" customHeight="1"/>
    <row r="62" ht="15" customHeight="1"/>
    <row r="63" ht="15" customHeight="1"/>
    <row r="64" ht="15" customHeight="1"/>
    <row r="65" ht="15" customHeight="1"/>
    <row r="66" spans="2:8" ht="30" customHeight="1">
      <c r="B66" s="5" t="s">
        <v>26</v>
      </c>
      <c r="C66" s="6" t="s">
        <v>43</v>
      </c>
      <c r="D66" s="6" t="s">
        <v>47</v>
      </c>
      <c r="E66" s="6" t="s">
        <v>48</v>
      </c>
      <c r="F66" s="6" t="s">
        <v>49</v>
      </c>
      <c r="G66" s="6" t="s">
        <v>50</v>
      </c>
      <c r="H66" s="6" t="s">
        <v>51</v>
      </c>
    </row>
    <row r="67" spans="2:8" ht="15" customHeight="1">
      <c r="B67" s="13">
        <v>46143</v>
      </c>
      <c r="C67" s="8">
        <v>0</v>
      </c>
      <c r="D67" s="8">
        <v>1</v>
      </c>
      <c r="E67" s="8">
        <v>0</v>
      </c>
      <c r="F67" s="20">
        <f>IF(SUM(C67,D67,E67)=0,0,C67/SUM(C67,D67,E67))</f>
      </c>
      <c r="G67" s="20">
        <f>IF(SUM(C67,D67,E67)=0,0,D67/SUM(C67,D67,E67))</f>
      </c>
      <c r="H67" s="20">
        <f>IF(SUM(C67,D67,E67)=0,0,E67/SUM(C67,D67,E67))</f>
      </c>
    </row>
    <row r="68" spans="2:8" ht="15" customHeight="1">
      <c r="B68" s="13">
        <v>46144</v>
      </c>
      <c r="C68" s="8">
        <v>0</v>
      </c>
      <c r="D68" s="8">
        <v>1</v>
      </c>
      <c r="E68" s="8">
        <v>0</v>
      </c>
      <c r="F68" s="20">
        <f>IF(SUM(C68,D68,E68)=0,0,C68/SUM(C68,D68,E68))</f>
      </c>
      <c r="G68" s="20">
        <f>IF(SUM(C68,D68,E68)=0,0,D68/SUM(C68,D68,E68))</f>
      </c>
      <c r="H68" s="20">
        <f>IF(SUM(C68,D68,E68)=0,0,E68/SUM(C68,D68,E68))</f>
      </c>
    </row>
    <row r="69" spans="2:8" ht="15" customHeight="1">
      <c r="B69" s="13">
        <v>46145</v>
      </c>
      <c r="C69" s="8">
        <v>2</v>
      </c>
      <c r="D69" s="8">
        <v>1</v>
      </c>
      <c r="E69" s="8">
        <v>0</v>
      </c>
      <c r="F69" s="20">
        <f>IF(SUM(C69,D69,E69)=0,0,C69/SUM(C69,D69,E69))</f>
      </c>
      <c r="G69" s="20">
        <f>IF(SUM(C69,D69,E69)=0,0,D69/SUM(C69,D69,E69))</f>
      </c>
      <c r="H69" s="20">
        <f>IF(SUM(C69,D69,E69)=0,0,E69/SUM(C69,D69,E69))</f>
      </c>
    </row>
    <row r="70" spans="2:8" ht="15" customHeight="1">
      <c r="B70" s="13">
        <v>46146</v>
      </c>
      <c r="C70" s="8">
        <v>4</v>
      </c>
      <c r="D70" s="8">
        <v>3</v>
      </c>
      <c r="E70" s="8">
        <v>0</v>
      </c>
      <c r="F70" s="20">
        <f>IF(SUM(C70,D70,E70)=0,0,C70/SUM(C70,D70,E70))</f>
      </c>
      <c r="G70" s="20">
        <f>IF(SUM(C70,D70,E70)=0,0,D70/SUM(C70,D70,E70))</f>
      </c>
      <c r="H70" s="20">
        <f>IF(SUM(C70,D70,E70)=0,0,E70/SUM(C70,D70,E70))</f>
      </c>
    </row>
    <row r="71" spans="2:8" ht="15" customHeight="1">
      <c r="B71" s="13">
        <v>46147</v>
      </c>
      <c r="C71" s="8">
        <v>9</v>
      </c>
      <c r="D71" s="8">
        <v>6</v>
      </c>
      <c r="E71" s="8">
        <v>0</v>
      </c>
      <c r="F71" s="20">
        <f>IF(SUM(C71,D71,E71)=0,0,C71/SUM(C71,D71,E71))</f>
      </c>
      <c r="G71" s="20">
        <f>IF(SUM(C71,D71,E71)=0,0,D71/SUM(C71,D71,E71))</f>
      </c>
      <c r="H71" s="20">
        <f>IF(SUM(C71,D71,E71)=0,0,E71/SUM(C71,D71,E71))</f>
      </c>
    </row>
    <row r="72" spans="2:8" ht="15" customHeight="1">
      <c r="B72" s="13">
        <v>46148</v>
      </c>
      <c r="C72" s="8">
        <v>4</v>
      </c>
      <c r="D72" s="8">
        <v>4</v>
      </c>
      <c r="E72" s="8">
        <v>0</v>
      </c>
      <c r="F72" s="20">
        <f>IF(SUM(C72,D72,E72)=0,0,C72/SUM(C72,D72,E72))</f>
      </c>
      <c r="G72" s="20">
        <f>IF(SUM(C72,D72,E72)=0,0,D72/SUM(C72,D72,E72))</f>
      </c>
      <c r="H72" s="20">
        <f>IF(SUM(C72,D72,E72)=0,0,E72/SUM(C72,D72,E72))</f>
      </c>
    </row>
    <row r="73" spans="2:8" ht="15" customHeight="1">
      <c r="B73" s="13">
        <v>46149</v>
      </c>
      <c r="C73" s="8">
        <v>6</v>
      </c>
      <c r="D73" s="8">
        <v>9</v>
      </c>
      <c r="E73" s="8">
        <v>0</v>
      </c>
      <c r="F73" s="20">
        <f>IF(SUM(C73,D73,E73)=0,0,C73/SUM(C73,D73,E73))</f>
      </c>
      <c r="G73" s="20">
        <f>IF(SUM(C73,D73,E73)=0,0,D73/SUM(C73,D73,E73))</f>
      </c>
      <c r="H73" s="20">
        <f>IF(SUM(C73,D73,E73)=0,0,E73/SUM(C73,D73,E73))</f>
      </c>
    </row>
    <row r="74" spans="2:8" ht="15" customHeight="1">
      <c r="B74" s="13">
        <v>46150</v>
      </c>
      <c r="C74" s="8">
        <v>8</v>
      </c>
      <c r="D74" s="8">
        <v>2</v>
      </c>
      <c r="E74" s="8">
        <v>0</v>
      </c>
      <c r="F74" s="20">
        <f>IF(SUM(C74,D74,E74)=0,0,C74/SUM(C74,D74,E74))</f>
      </c>
      <c r="G74" s="20">
        <f>IF(SUM(C74,D74,E74)=0,0,D74/SUM(C74,D74,E74))</f>
      </c>
      <c r="H74" s="20">
        <f>IF(SUM(C74,D74,E74)=0,0,E74/SUM(C74,D74,E74))</f>
      </c>
    </row>
    <row r="75" spans="2:8" ht="15" customHeight="1">
      <c r="B75" s="13">
        <v>46151</v>
      </c>
      <c r="C75" s="8">
        <v>0</v>
      </c>
      <c r="D75" s="8">
        <v>1</v>
      </c>
      <c r="E75" s="8">
        <v>4</v>
      </c>
      <c r="F75" s="20">
        <f>IF(SUM(C75,D75,E75)=0,0,C75/SUM(C75,D75,E75))</f>
      </c>
      <c r="G75" s="20">
        <f>IF(SUM(C75,D75,E75)=0,0,D75/SUM(C75,D75,E75))</f>
      </c>
      <c r="H75" s="20">
        <f>IF(SUM(C75,D75,E75)=0,0,E75/SUM(C75,D75,E75))</f>
      </c>
    </row>
    <row r="76" spans="2:8" ht="15" customHeight="1">
      <c r="B76" s="13">
        <v>46152</v>
      </c>
      <c r="C76" s="8">
        <v>4</v>
      </c>
      <c r="D76" s="8">
        <v>9</v>
      </c>
      <c r="E76" s="8">
        <v>0</v>
      </c>
      <c r="F76" s="20">
        <f>IF(SUM(C76,D76,E76)=0,0,C76/SUM(C76,D76,E76))</f>
      </c>
      <c r="G76" s="20">
        <f>IF(SUM(C76,D76,E76)=0,0,D76/SUM(C76,D76,E76))</f>
      </c>
      <c r="H76" s="20">
        <f>IF(SUM(C76,D76,E76)=0,0,E76/SUM(C76,D76,E76))</f>
      </c>
    </row>
    <row r="77" spans="2:8" ht="15" customHeight="1">
      <c r="B77" s="13">
        <v>46153</v>
      </c>
      <c r="C77" s="8">
        <v>0</v>
      </c>
      <c r="D77" s="8">
        <v>1</v>
      </c>
      <c r="E77" s="8">
        <v>0</v>
      </c>
      <c r="F77" s="20">
        <f>IF(SUM(C77,D77,E77)=0,0,C77/SUM(C77,D77,E77))</f>
      </c>
      <c r="G77" s="20">
        <f>IF(SUM(C77,D77,E77)=0,0,D77/SUM(C77,D77,E77))</f>
      </c>
      <c r="H77" s="20">
        <f>IF(SUM(C77,D77,E77)=0,0,E77/SUM(C77,D77,E77))</f>
      </c>
    </row>
    <row r="78" spans="2:8" ht="15" customHeight="1">
      <c r="B78" s="13">
        <v>46154</v>
      </c>
      <c r="C78" s="8">
        <v>1</v>
      </c>
      <c r="D78" s="8">
        <v>1</v>
      </c>
      <c r="E78" s="8">
        <v>0</v>
      </c>
      <c r="F78" s="20">
        <f>IF(SUM(C78,D78,E78)=0,0,C78/SUM(C78,D78,E78))</f>
      </c>
      <c r="G78" s="20">
        <f>IF(SUM(C78,D78,E78)=0,0,D78/SUM(C78,D78,E78))</f>
      </c>
      <c r="H78" s="20">
        <f>IF(SUM(C78,D78,E78)=0,0,E78/SUM(C78,D78,E78))</f>
      </c>
    </row>
    <row r="79" spans="2:8" ht="15" customHeight="1">
      <c r="B79" s="13">
        <v>46155</v>
      </c>
      <c r="C79" s="8">
        <v>5</v>
      </c>
      <c r="D79" s="8">
        <v>4</v>
      </c>
      <c r="E79" s="8">
        <v>0</v>
      </c>
      <c r="F79" s="20">
        <f>IF(SUM(C79,D79,E79)=0,0,C79/SUM(C79,D79,E79))</f>
      </c>
      <c r="G79" s="20">
        <f>IF(SUM(C79,D79,E79)=0,0,D79/SUM(C79,D79,E79))</f>
      </c>
      <c r="H79" s="20">
        <f>IF(SUM(C79,D79,E79)=0,0,E79/SUM(C79,D79,E79))</f>
      </c>
    </row>
    <row r="80" spans="2:8" ht="15" customHeight="1">
      <c r="B80" s="13">
        <v>46156</v>
      </c>
      <c r="C80" s="8">
        <v>1</v>
      </c>
      <c r="D80" s="8">
        <v>5</v>
      </c>
      <c r="E80" s="8">
        <v>0</v>
      </c>
      <c r="F80" s="20">
        <f>IF(SUM(C80,D80,E80)=0,0,C80/SUM(C80,D80,E80))</f>
      </c>
      <c r="G80" s="20">
        <f>IF(SUM(C80,D80,E80)=0,0,D80/SUM(C80,D80,E80))</f>
      </c>
      <c r="H80" s="20">
        <f>IF(SUM(C80,D80,E80)=0,0,E80/SUM(C80,D80,E80))</f>
      </c>
    </row>
    <row r="81" spans="2:8" ht="15" customHeight="1">
      <c r="B81" s="13">
        <v>46157</v>
      </c>
      <c r="C81" s="8">
        <v>7</v>
      </c>
      <c r="D81" s="8">
        <v>4</v>
      </c>
      <c r="E81" s="8">
        <v>0</v>
      </c>
      <c r="F81" s="20">
        <f>IF(SUM(C81,D81,E81)=0,0,C81/SUM(C81,D81,E81))</f>
      </c>
      <c r="G81" s="20">
        <f>IF(SUM(C81,D81,E81)=0,0,D81/SUM(C81,D81,E81))</f>
      </c>
      <c r="H81" s="20">
        <f>IF(SUM(C81,D81,E81)=0,0,E81/SUM(C81,D81,E81))</f>
      </c>
    </row>
    <row r="82" spans="2:8" ht="15" customHeight="1">
      <c r="B82" s="13">
        <v>46158</v>
      </c>
      <c r="C82" s="8">
        <v>0</v>
      </c>
      <c r="D82" s="8">
        <v>0</v>
      </c>
      <c r="E82" s="8">
        <v>0</v>
      </c>
      <c r="F82" s="20">
        <f>IF(SUM(C82,D82,E82)=0,0,C82/SUM(C82,D82,E82))</f>
      </c>
      <c r="G82" s="20">
        <f>IF(SUM(C82,D82,E82)=0,0,D82/SUM(C82,D82,E82))</f>
      </c>
      <c r="H82" s="20">
        <f>IF(SUM(C82,D82,E82)=0,0,E82/SUM(C82,D82,E82))</f>
      </c>
    </row>
    <row r="83" spans="2:8" ht="15" customHeight="1">
      <c r="B83" s="13">
        <v>46159</v>
      </c>
      <c r="C83" s="8">
        <v>0</v>
      </c>
      <c r="D83" s="8">
        <v>0</v>
      </c>
      <c r="E83" s="8">
        <v>0</v>
      </c>
      <c r="F83" s="20">
        <f>IF(SUM(C83,D83,E83)=0,0,C83/SUM(C83,D83,E83))</f>
      </c>
      <c r="G83" s="20">
        <f>IF(SUM(C83,D83,E83)=0,0,D83/SUM(C83,D83,E83))</f>
      </c>
      <c r="H83" s="20">
        <f>IF(SUM(C83,D83,E83)=0,0,E83/SUM(C83,D83,E83))</f>
      </c>
    </row>
    <row r="84" spans="2:8" ht="15" customHeight="1">
      <c r="B84" s="13">
        <v>46160</v>
      </c>
      <c r="C84" s="8">
        <v>1</v>
      </c>
      <c r="D84" s="8">
        <v>2</v>
      </c>
      <c r="E84" s="8">
        <v>0</v>
      </c>
      <c r="F84" s="20">
        <f>IF(SUM(C84,D84,E84)=0,0,C84/SUM(C84,D84,E84))</f>
      </c>
      <c r="G84" s="20">
        <f>IF(SUM(C84,D84,E84)=0,0,D84/SUM(C84,D84,E84))</f>
      </c>
      <c r="H84" s="20">
        <f>IF(SUM(C84,D84,E84)=0,0,E84/SUM(C84,D84,E84))</f>
      </c>
    </row>
    <row r="85" spans="2:8" ht="15" customHeight="1">
      <c r="B85" s="13">
        <v>46161</v>
      </c>
      <c r="C85" s="8">
        <v>4</v>
      </c>
      <c r="D85" s="8">
        <v>4</v>
      </c>
      <c r="E85" s="8">
        <v>0</v>
      </c>
      <c r="F85" s="20">
        <f>IF(SUM(C85,D85,E85)=0,0,C85/SUM(C85,D85,E85))</f>
      </c>
      <c r="G85" s="20">
        <f>IF(SUM(C85,D85,E85)=0,0,D85/SUM(C85,D85,E85))</f>
      </c>
      <c r="H85" s="20">
        <f>IF(SUM(C85,D85,E85)=0,0,E85/SUM(C85,D85,E85))</f>
      </c>
    </row>
    <row r="86" spans="2:8" ht="15" customHeight="1">
      <c r="B86" s="13">
        <v>46162</v>
      </c>
      <c r="C86" s="8">
        <v>10</v>
      </c>
      <c r="D86" s="8">
        <v>5</v>
      </c>
      <c r="E86" s="8">
        <v>1</v>
      </c>
      <c r="F86" s="20">
        <f>IF(SUM(C86,D86,E86)=0,0,C86/SUM(C86,D86,E86))</f>
      </c>
      <c r="G86" s="20">
        <f>IF(SUM(C86,D86,E86)=0,0,D86/SUM(C86,D86,E86))</f>
      </c>
      <c r="H86" s="20">
        <f>IF(SUM(C86,D86,E86)=0,0,E86/SUM(C86,D86,E86))</f>
      </c>
    </row>
    <row r="87" spans="2:8" ht="15" customHeight="1">
      <c r="B87" s="13">
        <v>46163</v>
      </c>
      <c r="C87" s="8">
        <v>1</v>
      </c>
      <c r="D87" s="8">
        <v>4</v>
      </c>
      <c r="E87" s="8">
        <v>1</v>
      </c>
      <c r="F87" s="20">
        <f>IF(SUM(C87,D87,E87)=0,0,C87/SUM(C87,D87,E87))</f>
      </c>
      <c r="G87" s="20">
        <f>IF(SUM(C87,D87,E87)=0,0,D87/SUM(C87,D87,E87))</f>
      </c>
      <c r="H87" s="20">
        <f>IF(SUM(C87,D87,E87)=0,0,E87/SUM(C87,D87,E87))</f>
      </c>
    </row>
    <row r="88" spans="2:8" ht="15" customHeight="1">
      <c r="B88" s="13">
        <v>46164</v>
      </c>
      <c r="C88" s="8">
        <v>5</v>
      </c>
      <c r="D88" s="8">
        <v>3</v>
      </c>
      <c r="E88" s="8">
        <v>0</v>
      </c>
      <c r="F88" s="20">
        <f>IF(SUM(C88,D88,E88)=0,0,C88/SUM(C88,D88,E88))</f>
      </c>
      <c r="G88" s="20">
        <f>IF(SUM(C88,D88,E88)=0,0,D88/SUM(C88,D88,E88))</f>
      </c>
      <c r="H88" s="20">
        <f>IF(SUM(C88,D88,E88)=0,0,E88/SUM(C88,D88,E88))</f>
      </c>
    </row>
    <row r="89" spans="2:8" ht="15" customHeight="1">
      <c r="B89" s="13">
        <v>46165</v>
      </c>
      <c r="C89" s="8">
        <v>1</v>
      </c>
      <c r="D89" s="8">
        <v>4</v>
      </c>
      <c r="E89" s="8">
        <v>0</v>
      </c>
      <c r="F89" s="20">
        <f>IF(SUM(C89,D89,E89)=0,0,C89/SUM(C89,D89,E89))</f>
      </c>
      <c r="G89" s="20">
        <f>IF(SUM(C89,D89,E89)=0,0,D89/SUM(C89,D89,E89))</f>
      </c>
      <c r="H89" s="20">
        <f>IF(SUM(C89,D89,E89)=0,0,E89/SUM(C89,D89,E89))</f>
      </c>
    </row>
    <row r="90" spans="2:8" ht="15" customHeight="1">
      <c r="B90" s="13">
        <v>46166</v>
      </c>
      <c r="C90" s="8">
        <v>3</v>
      </c>
      <c r="D90" s="8">
        <v>1</v>
      </c>
      <c r="E90" s="8">
        <v>0</v>
      </c>
      <c r="F90" s="20">
        <f>IF(SUM(C90,D90,E90)=0,0,C90/SUM(C90,D90,E90))</f>
      </c>
      <c r="G90" s="20">
        <f>IF(SUM(C90,D90,E90)=0,0,D90/SUM(C90,D90,E90))</f>
      </c>
      <c r="H90" s="20">
        <f>IF(SUM(C90,D90,E90)=0,0,E90/SUM(C90,D90,E90))</f>
      </c>
    </row>
    <row r="91" spans="2:8" ht="15" customHeight="1">
      <c r="B91" s="13">
        <v>46167</v>
      </c>
      <c r="C91" s="8">
        <v>2</v>
      </c>
      <c r="D91" s="8">
        <v>3</v>
      </c>
      <c r="E91" s="8">
        <v>0</v>
      </c>
      <c r="F91" s="20">
        <f>IF(SUM(C91,D91,E91)=0,0,C91/SUM(C91,D91,E91))</f>
      </c>
      <c r="G91" s="20">
        <f>IF(SUM(C91,D91,E91)=0,0,D91/SUM(C91,D91,E91))</f>
      </c>
      <c r="H91" s="20">
        <f>IF(SUM(C91,D91,E91)=0,0,E91/SUM(C91,D91,E91))</f>
      </c>
    </row>
    <row r="92" spans="2:8" ht="15" customHeight="1">
      <c r="B92" s="13">
        <v>46168</v>
      </c>
      <c r="C92" s="8">
        <v>7</v>
      </c>
      <c r="D92" s="8">
        <v>10</v>
      </c>
      <c r="E92" s="8">
        <v>1</v>
      </c>
      <c r="F92" s="20">
        <f>IF(SUM(C92,D92,E92)=0,0,C92/SUM(C92,D92,E92))</f>
      </c>
      <c r="G92" s="20">
        <f>IF(SUM(C92,D92,E92)=0,0,D92/SUM(C92,D92,E92))</f>
      </c>
      <c r="H92" s="20">
        <f>IF(SUM(C92,D92,E92)=0,0,E92/SUM(C92,D92,E92))</f>
      </c>
    </row>
    <row r="93" spans="2:8" ht="15" customHeight="1">
      <c r="B93" s="13">
        <v>46169</v>
      </c>
      <c r="C93" s="8">
        <v>0</v>
      </c>
      <c r="D93" s="8">
        <v>1</v>
      </c>
      <c r="E93" s="8">
        <v>1</v>
      </c>
      <c r="F93" s="20">
        <f>IF(SUM(C93,D93,E93)=0,0,C93/SUM(C93,D93,E93))</f>
      </c>
      <c r="G93" s="20">
        <f>IF(SUM(C93,D93,E93)=0,0,D93/SUM(C93,D93,E93))</f>
      </c>
      <c r="H93" s="20">
        <f>IF(SUM(C93,D93,E93)=0,0,E93/SUM(C93,D93,E93))</f>
      </c>
    </row>
    <row r="94" spans="2:8" ht="15" customHeight="1">
      <c r="B94" s="13">
        <v>46170</v>
      </c>
      <c r="C94" s="8">
        <v>5</v>
      </c>
      <c r="D94" s="8">
        <v>3</v>
      </c>
      <c r="E94" s="8">
        <v>0</v>
      </c>
      <c r="F94" s="20">
        <f>IF(SUM(C94,D94,E94)=0,0,C94/SUM(C94,D94,E94))</f>
      </c>
      <c r="G94" s="20">
        <f>IF(SUM(C94,D94,E94)=0,0,D94/SUM(C94,D94,E94))</f>
      </c>
      <c r="H94" s="20">
        <f>IF(SUM(C94,D94,E94)=0,0,E94/SUM(C94,D94,E94))</f>
      </c>
    </row>
    <row r="95" spans="2:8" ht="15" customHeight="1">
      <c r="B95" s="13">
        <v>46171</v>
      </c>
      <c r="C95" s="8">
        <v>2</v>
      </c>
      <c r="D95" s="8">
        <v>1</v>
      </c>
      <c r="E95" s="8">
        <v>0</v>
      </c>
      <c r="F95" s="20">
        <f>IF(SUM(C95,D95,E95)=0,0,C95/SUM(C95,D95,E95))</f>
      </c>
      <c r="G95" s="20">
        <f>IF(SUM(C95,D95,E95)=0,0,D95/SUM(C95,D95,E95))</f>
      </c>
      <c r="H95" s="20">
        <f>IF(SUM(C95,D95,E95)=0,0,E95/SUM(C95,D95,E95))</f>
      </c>
    </row>
    <row r="96" spans="2:8" ht="15" customHeight="1">
      <c r="B96" s="13">
        <v>46172</v>
      </c>
      <c r="C96" s="8">
        <v>1</v>
      </c>
      <c r="D96" s="8">
        <v>3</v>
      </c>
      <c r="E96" s="8">
        <v>0</v>
      </c>
      <c r="F96" s="20">
        <f>IF(SUM(C96,D96,E96)=0,0,C96/SUM(C96,D96,E96))</f>
      </c>
      <c r="G96" s="20">
        <f>IF(SUM(C96,D96,E96)=0,0,D96/SUM(C96,D96,E96))</f>
      </c>
      <c r="H96" s="20">
        <f>IF(SUM(C96,D96,E96)=0,0,E96/SUM(C96,D96,E96))</f>
      </c>
    </row>
    <row r="97" spans="2:8" ht="15" customHeight="1">
      <c r="B97" s="13">
        <v>46173</v>
      </c>
      <c r="C97" s="8">
        <v>0</v>
      </c>
      <c r="D97" s="8">
        <v>4</v>
      </c>
      <c r="E97" s="8">
        <v>0</v>
      </c>
      <c r="F97" s="20">
        <f>IF(SUM(C97,D97,E97)=0,0,C97/SUM(C97,D97,E97))</f>
      </c>
      <c r="G97" s="20">
        <f>IF(SUM(C97,D97,E97)=0,0,D97/SUM(C97,D97,E97))</f>
      </c>
      <c r="H97" s="20">
        <f>IF(SUM(C97,D97,E97)=0,0,E97/SUM(C97,D97,E97))</f>
      </c>
    </row>
    <row r="98" spans="2:8" ht="20" customHeight="1">
      <c r="B98" s="15" t="s">
        <v>21</v>
      </c>
      <c r="C98" s="10">
        <v>93</v>
      </c>
      <c r="D98" s="10">
        <v>100</v>
      </c>
      <c r="E98" s="10">
        <v>8</v>
      </c>
      <c r="F98" s="21">
        <f>IF(SUM(C98,D98,E98)=0,0,C98/SUM(C98,D98,E98))</f>
      </c>
      <c r="G98" s="21">
        <f>IF(SUM(C98,D98,E98)=0,0,D98/SUM(C98,D98,E98))</f>
      </c>
      <c r="H98" s="21">
        <f>IF(SUM(C98,D98,E98)=0,0,E98/SUM(C98,D98,E98))</f>
      </c>
    </row>
  </sheetData>
  <hyperlinks>
    <hyperlink ref="C1" location="Содержание!B4" display="К содержанию"/>
  </hyperlinks>
  <pageMargins left="0.75" right="0.75" top="1" bottom="1" header="0.5" footer="0.5"/>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1ca0ec2b-b35f-4c3e-8420-185cd0c99e9a}">
  <dimension ref="B1:F21"/>
  <sheetViews>
    <sheetView showGridLines="0" workbookViewId="0" topLeftCell="A1"/>
  </sheetViews>
  <sheetFormatPr defaultRowHeight="12.75"/>
  <cols>
    <col min="1" max="1" width="4.714285714285714" customWidth="1"/>
    <col min="2" max="2" width="46.857142857142854" customWidth="1"/>
    <col min="3" max="6" width="20.714285714285715" customWidth="1"/>
  </cols>
  <sheetData>
    <row r="1" spans="2:3" s="1" customFormat="1" ht="30" customHeight="1">
      <c r="B1" s="1" t="s">
        <v>0</v>
      </c>
      <c r="C1" s="4" t="s">
        <v>2</v>
      </c>
    </row>
    <row r="4" spans="2:2" ht="12.75">
      <c r="B4" s="2" t="s">
        <v>8</v>
      </c>
    </row>
    <row r="6" spans="2:2" ht="14" customHeight="1"/>
    <row r="7" ht="14" customHeight="1"/>
    <row r="8" ht="14" customHeight="1"/>
    <row r="9" ht="14" customHeight="1"/>
    <row r="10" ht="14" customHeight="1"/>
    <row r="11" ht="14" customHeight="1"/>
    <row r="12" ht="14" customHeight="1"/>
    <row r="13" ht="14" customHeight="1"/>
    <row r="14" ht="14" customHeight="1"/>
    <row r="15" ht="14" customHeight="1"/>
    <row r="16" ht="14" customHeight="1"/>
    <row r="17" ht="14" customHeight="1"/>
    <row r="18" ht="14" customHeight="1"/>
    <row r="19" spans="2:6" ht="30" customHeight="1">
      <c r="B19" s="5" t="s">
        <v>38</v>
      </c>
      <c r="C19" s="6" t="s">
        <v>39</v>
      </c>
      <c r="D19" s="6" t="s">
        <v>5</v>
      </c>
      <c r="E19" s="6" t="s">
        <v>40</v>
      </c>
      <c r="F19" s="6" t="s">
        <v>41</v>
      </c>
    </row>
    <row r="20" spans="2:6" ht="15" customHeight="1">
      <c r="B20" s="16" t="s">
        <v>42</v>
      </c>
      <c r="C20" s="17" t="s">
        <v>43</v>
      </c>
      <c r="D20" s="8">
        <v>3</v>
      </c>
      <c r="E20" s="8">
        <v>1417957</v>
      </c>
      <c r="F20" s="8">
        <v>9</v>
      </c>
    </row>
    <row r="21" spans="2:6" ht="15" customHeight="1">
      <c r="B21" s="16" t="s">
        <v>44</v>
      </c>
      <c r="C21" s="17" t="s">
        <v>43</v>
      </c>
      <c r="D21" s="8">
        <v>1</v>
      </c>
      <c r="E21" s="8">
        <v>311</v>
      </c>
      <c r="F21" s="8">
        <v>0</v>
      </c>
    </row>
  </sheetData>
  <hyperlinks>
    <hyperlink ref="C1" location="Содержание!B4" display="К содержанию"/>
  </hyperlinks>
  <pageMargins left="0.75" right="0.75" top="1" bottom="1" header="0.5" footer="0.5"/>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762696a7-7bcb-4071-83d8-8af3aa821853}">
  <dimension ref="B1:F76"/>
  <sheetViews>
    <sheetView showGridLines="0" workbookViewId="0" topLeftCell="A1"/>
  </sheetViews>
  <sheetFormatPr defaultRowHeight="12.75"/>
  <cols>
    <col min="1" max="1" width="4.714285714285714" customWidth="1"/>
    <col min="2" max="2" width="30.857142857142858" customWidth="1"/>
    <col min="3" max="6" width="26.714285714285715" customWidth="1"/>
  </cols>
  <sheetData>
    <row r="1" spans="2:3" s="1" customFormat="1" ht="30" customHeight="1">
      <c r="B1" s="1" t="s">
        <v>0</v>
      </c>
      <c r="C1" s="4" t="s">
        <v>2</v>
      </c>
    </row>
    <row r="4" spans="2:2" ht="12.75">
      <c r="B4" s="2" t="s">
        <v>9</v>
      </c>
    </row>
    <row r="6" spans="2:2" ht="15" customHeight="1"/>
    <row r="7" ht="15" customHeight="1"/>
    <row r="8" ht="15" customHeight="1"/>
    <row r="9" ht="15" customHeight="1"/>
    <row r="10" ht="15" customHeight="1"/>
    <row r="11" ht="15" customHeight="1"/>
    <row r="12" ht="15" customHeight="1"/>
    <row r="13" ht="15" customHeight="1"/>
    <row r="14" ht="15" customHeight="1"/>
    <row r="15" ht="15" customHeight="1"/>
    <row r="16" ht="15" customHeight="1"/>
    <row r="17" ht="15" customHeight="1"/>
    <row r="18" ht="15" customHeight="1"/>
    <row r="19" ht="15" customHeight="1"/>
    <row r="20" ht="15" customHeight="1"/>
    <row r="21" ht="15" customHeight="1"/>
    <row r="22" ht="15" customHeight="1"/>
    <row r="23" ht="15" customHeight="1"/>
    <row r="24" spans="2:6" ht="30" customHeight="1">
      <c r="B24" s="5" t="s">
        <v>136</v>
      </c>
      <c r="C24" s="6" t="s">
        <v>5</v>
      </c>
      <c r="D24" s="6" t="s">
        <v>43</v>
      </c>
      <c r="E24" s="6" t="s">
        <v>47</v>
      </c>
      <c r="F24" s="6" t="s">
        <v>48</v>
      </c>
    </row>
    <row r="25" spans="2:6" ht="15" customHeight="1">
      <c r="B25" s="16" t="s">
        <v>137</v>
      </c>
      <c r="C25" s="16">
        <v>1</v>
      </c>
      <c r="D25" s="16">
        <v>0</v>
      </c>
      <c r="E25" s="16">
        <v>1</v>
      </c>
      <c r="F25" s="16">
        <v>0</v>
      </c>
    </row>
    <row r="26" spans="2:6" ht="15" customHeight="1">
      <c r="B26" s="16" t="s">
        <v>138</v>
      </c>
      <c r="C26" s="16">
        <v>6</v>
      </c>
      <c r="D26" s="16">
        <v>6</v>
      </c>
      <c r="E26" s="16">
        <v>0</v>
      </c>
      <c r="F26" s="16">
        <v>0</v>
      </c>
    </row>
    <row r="27" spans="2:6" ht="15" customHeight="1">
      <c r="B27" s="16" t="s">
        <v>139</v>
      </c>
      <c r="C27" s="16">
        <v>4</v>
      </c>
      <c r="D27" s="16">
        <v>4</v>
      </c>
      <c r="E27" s="16">
        <v>0</v>
      </c>
      <c r="F27" s="16">
        <v>0</v>
      </c>
    </row>
    <row r="28" spans="2:6" ht="12.75"/>
    <row r="29" ht="15" customHeight="1"/>
    <row r="30" ht="15" customHeight="1"/>
    <row r="31" ht="15" customHeight="1"/>
    <row r="32" ht="15" customHeight="1"/>
    <row r="33" ht="15" customHeight="1"/>
    <row r="34" ht="15" customHeight="1"/>
    <row r="35" ht="15" customHeight="1"/>
    <row r="36" ht="15" customHeight="1"/>
    <row r="37" ht="15" customHeight="1"/>
    <row r="38" ht="15" customHeight="1"/>
    <row r="39" ht="15" customHeight="1"/>
    <row r="40" ht="15" customHeight="1"/>
    <row r="41" ht="15" customHeight="1"/>
    <row r="42" ht="15" customHeight="1"/>
    <row r="43" ht="15" customHeight="1"/>
    <row r="44" ht="15" customHeight="1"/>
    <row r="45" spans="2:5" ht="30" customHeight="1">
      <c r="B45" s="5" t="s">
        <v>140</v>
      </c>
      <c r="C45" s="6" t="s">
        <v>138</v>
      </c>
      <c r="D45" s="6" t="s">
        <v>139</v>
      </c>
      <c r="E45" s="6" t="s">
        <v>137</v>
      </c>
    </row>
    <row r="46" spans="2:5" ht="15" customHeight="1">
      <c r="B46" s="13">
        <v>46143</v>
      </c>
      <c r="C46" s="8">
        <v>0</v>
      </c>
      <c r="D46" s="8">
        <v>0</v>
      </c>
      <c r="E46" s="8">
        <v>0</v>
      </c>
    </row>
    <row r="47" spans="2:5" ht="15" customHeight="1">
      <c r="B47" s="13">
        <v>46144</v>
      </c>
      <c r="C47" s="8">
        <v>0</v>
      </c>
      <c r="D47" s="8">
        <v>0</v>
      </c>
      <c r="E47" s="8">
        <v>0</v>
      </c>
    </row>
    <row r="48" spans="2:5" ht="15" customHeight="1">
      <c r="B48" s="13">
        <v>46145</v>
      </c>
      <c r="C48" s="8">
        <v>0</v>
      </c>
      <c r="D48" s="8">
        <v>0</v>
      </c>
      <c r="E48" s="8">
        <v>0</v>
      </c>
    </row>
    <row r="49" spans="2:5" ht="15" customHeight="1">
      <c r="B49" s="13">
        <v>46146</v>
      </c>
      <c r="C49" s="8">
        <v>2</v>
      </c>
      <c r="D49" s="8">
        <v>0</v>
      </c>
      <c r="E49" s="8">
        <v>0</v>
      </c>
    </row>
    <row r="50" spans="2:5" ht="15" customHeight="1">
      <c r="B50" s="13">
        <v>46147</v>
      </c>
      <c r="C50" s="8">
        <v>1</v>
      </c>
      <c r="D50" s="8">
        <v>0</v>
      </c>
      <c r="E50" s="8">
        <v>0</v>
      </c>
    </row>
    <row r="51" spans="2:5" ht="15" customHeight="1">
      <c r="B51" s="13">
        <v>46148</v>
      </c>
      <c r="C51" s="8">
        <v>0</v>
      </c>
      <c r="D51" s="8">
        <v>0</v>
      </c>
      <c r="E51" s="8">
        <v>0</v>
      </c>
    </row>
    <row r="52" spans="2:5" ht="15" customHeight="1">
      <c r="B52" s="13">
        <v>46149</v>
      </c>
      <c r="C52" s="8">
        <v>0</v>
      </c>
      <c r="D52" s="8">
        <v>0</v>
      </c>
      <c r="E52" s="8">
        <v>0</v>
      </c>
    </row>
    <row r="53" spans="2:5" ht="15" customHeight="1">
      <c r="B53" s="13">
        <v>46150</v>
      </c>
      <c r="C53" s="8">
        <v>0</v>
      </c>
      <c r="D53" s="8">
        <v>0</v>
      </c>
      <c r="E53" s="8">
        <v>0</v>
      </c>
    </row>
    <row r="54" spans="2:5" ht="15" customHeight="1">
      <c r="B54" s="13">
        <v>46151</v>
      </c>
      <c r="C54" s="8">
        <v>0</v>
      </c>
      <c r="D54" s="8">
        <v>0</v>
      </c>
      <c r="E54" s="8">
        <v>0</v>
      </c>
    </row>
    <row r="55" spans="2:5" ht="15" customHeight="1">
      <c r="B55" s="13">
        <v>46152</v>
      </c>
      <c r="C55" s="8">
        <v>0</v>
      </c>
      <c r="D55" s="8">
        <v>1</v>
      </c>
      <c r="E55" s="8">
        <v>0</v>
      </c>
    </row>
    <row r="56" spans="2:5" ht="15" customHeight="1">
      <c r="B56" s="13">
        <v>46153</v>
      </c>
      <c r="C56" s="8">
        <v>0</v>
      </c>
      <c r="D56" s="8">
        <v>0</v>
      </c>
      <c r="E56" s="8">
        <v>0</v>
      </c>
    </row>
    <row r="57" spans="2:5" ht="15" customHeight="1">
      <c r="B57" s="13">
        <v>46154</v>
      </c>
      <c r="C57" s="8">
        <v>0</v>
      </c>
      <c r="D57" s="8">
        <v>0</v>
      </c>
      <c r="E57" s="8">
        <v>0</v>
      </c>
    </row>
    <row r="58" spans="2:5" ht="15" customHeight="1">
      <c r="B58" s="13">
        <v>46155</v>
      </c>
      <c r="C58" s="8">
        <v>0</v>
      </c>
      <c r="D58" s="8">
        <v>0</v>
      </c>
      <c r="E58" s="8">
        <v>0</v>
      </c>
    </row>
    <row r="59" spans="2:5" ht="15" customHeight="1">
      <c r="B59" s="13">
        <v>46156</v>
      </c>
      <c r="C59" s="8">
        <v>0</v>
      </c>
      <c r="D59" s="8">
        <v>0</v>
      </c>
      <c r="E59" s="8">
        <v>0</v>
      </c>
    </row>
    <row r="60" spans="2:5" ht="15" customHeight="1">
      <c r="B60" s="13">
        <v>46157</v>
      </c>
      <c r="C60" s="8">
        <v>0</v>
      </c>
      <c r="D60" s="8">
        <v>0</v>
      </c>
      <c r="E60" s="8">
        <v>0</v>
      </c>
    </row>
    <row r="61" spans="2:5" ht="15" customHeight="1">
      <c r="B61" s="13">
        <v>46158</v>
      </c>
      <c r="C61" s="8">
        <v>0</v>
      </c>
      <c r="D61" s="8">
        <v>0</v>
      </c>
      <c r="E61" s="8">
        <v>0</v>
      </c>
    </row>
    <row r="62" spans="2:5" ht="15" customHeight="1">
      <c r="B62" s="13">
        <v>46159</v>
      </c>
      <c r="C62" s="8">
        <v>0</v>
      </c>
      <c r="D62" s="8">
        <v>0</v>
      </c>
      <c r="E62" s="8">
        <v>0</v>
      </c>
    </row>
    <row r="63" spans="2:5" ht="15" customHeight="1">
      <c r="B63" s="13">
        <v>46160</v>
      </c>
      <c r="C63" s="8">
        <v>0</v>
      </c>
      <c r="D63" s="8">
        <v>0</v>
      </c>
      <c r="E63" s="8">
        <v>0</v>
      </c>
    </row>
    <row r="64" spans="2:5" ht="15" customHeight="1">
      <c r="B64" s="13">
        <v>46161</v>
      </c>
      <c r="C64" s="8">
        <v>0</v>
      </c>
      <c r="D64" s="8">
        <v>2</v>
      </c>
      <c r="E64" s="8">
        <v>0</v>
      </c>
    </row>
    <row r="65" spans="2:5" ht="15" customHeight="1">
      <c r="B65" s="13">
        <v>46162</v>
      </c>
      <c r="C65" s="8">
        <v>0</v>
      </c>
      <c r="D65" s="8">
        <v>0</v>
      </c>
      <c r="E65" s="8">
        <v>0</v>
      </c>
    </row>
    <row r="66" spans="2:5" ht="15" customHeight="1">
      <c r="B66" s="13">
        <v>46163</v>
      </c>
      <c r="C66" s="8">
        <v>0</v>
      </c>
      <c r="D66" s="8">
        <v>0</v>
      </c>
      <c r="E66" s="8">
        <v>0</v>
      </c>
    </row>
    <row r="67" spans="2:5" ht="15" customHeight="1">
      <c r="B67" s="13">
        <v>46164</v>
      </c>
      <c r="C67" s="8">
        <v>0</v>
      </c>
      <c r="D67" s="8">
        <v>0</v>
      </c>
      <c r="E67" s="8">
        <v>0</v>
      </c>
    </row>
    <row r="68" spans="2:5" ht="15" customHeight="1">
      <c r="B68" s="13">
        <v>46165</v>
      </c>
      <c r="C68" s="8">
        <v>0</v>
      </c>
      <c r="D68" s="8">
        <v>0</v>
      </c>
      <c r="E68" s="8">
        <v>0</v>
      </c>
    </row>
    <row r="69" spans="2:5" ht="15" customHeight="1">
      <c r="B69" s="13">
        <v>46166</v>
      </c>
      <c r="C69" s="8">
        <v>1</v>
      </c>
      <c r="D69" s="8">
        <v>0</v>
      </c>
      <c r="E69" s="8">
        <v>0</v>
      </c>
    </row>
    <row r="70" spans="2:5" ht="15" customHeight="1">
      <c r="B70" s="13">
        <v>46167</v>
      </c>
      <c r="C70" s="8">
        <v>0</v>
      </c>
      <c r="D70" s="8">
        <v>0</v>
      </c>
      <c r="E70" s="8">
        <v>0</v>
      </c>
    </row>
    <row r="71" spans="2:5" ht="15" customHeight="1">
      <c r="B71" s="13">
        <v>46168</v>
      </c>
      <c r="C71" s="8">
        <v>0</v>
      </c>
      <c r="D71" s="8">
        <v>1</v>
      </c>
      <c r="E71" s="8">
        <v>0</v>
      </c>
    </row>
    <row r="72" spans="2:5" ht="15" customHeight="1">
      <c r="B72" s="13">
        <v>46169</v>
      </c>
      <c r="C72" s="8">
        <v>0</v>
      </c>
      <c r="D72" s="8">
        <v>0</v>
      </c>
      <c r="E72" s="8">
        <v>0</v>
      </c>
    </row>
    <row r="73" spans="2:5" ht="15" customHeight="1">
      <c r="B73" s="13">
        <v>46170</v>
      </c>
      <c r="C73" s="8">
        <v>0</v>
      </c>
      <c r="D73" s="8">
        <v>0</v>
      </c>
      <c r="E73" s="8">
        <v>1</v>
      </c>
    </row>
    <row r="74" spans="2:5" ht="15" customHeight="1">
      <c r="B74" s="13">
        <v>46171</v>
      </c>
      <c r="C74" s="8">
        <v>2</v>
      </c>
      <c r="D74" s="8">
        <v>0</v>
      </c>
      <c r="E74" s="8">
        <v>0</v>
      </c>
    </row>
    <row r="75" spans="2:5" ht="15" customHeight="1">
      <c r="B75" s="13">
        <v>46172</v>
      </c>
      <c r="C75" s="8">
        <v>0</v>
      </c>
      <c r="D75" s="8">
        <v>0</v>
      </c>
      <c r="E75" s="8">
        <v>0</v>
      </c>
    </row>
    <row r="76" spans="2:5" ht="15" customHeight="1">
      <c r="B76" s="13">
        <v>46173</v>
      </c>
      <c r="C76" s="8">
        <v>0</v>
      </c>
      <c r="D76" s="8">
        <v>0</v>
      </c>
      <c r="E76" s="8">
        <v>0</v>
      </c>
    </row>
  </sheetData>
  <hyperlinks>
    <hyperlink ref="C1" location="Содержание!B4" display="К содержанию"/>
  </hyperlinks>
  <pageMargins left="0.75" right="0.75" top="1" bottom="1" header="0.5" footer="0.5"/>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686cf8eb-6ada-4a00-84cd-2a6f94b6abd4}">
  <dimension ref="B1:I6"/>
  <sheetViews>
    <sheetView showGridLines="0" workbookViewId="0" topLeftCell="A1"/>
  </sheetViews>
  <sheetFormatPr defaultRowHeight="12.75"/>
  <cols>
    <col min="1" max="1" width="4.714285714285714" customWidth="1"/>
    <col min="2" max="2" width="22.714285714285715" customWidth="1"/>
    <col min="3" max="3" width="17.714285714285715" customWidth="1"/>
    <col min="4" max="4" width="25.714285714285715" customWidth="1"/>
    <col min="5" max="9" width="17.714285714285715" customWidth="1"/>
  </cols>
  <sheetData>
    <row r="1" spans="2:3" s="1" customFormat="1" ht="30" customHeight="1">
      <c r="B1" s="1" t="s">
        <v>0</v>
      </c>
      <c r="C1" s="4" t="s">
        <v>2</v>
      </c>
    </row>
    <row r="4" spans="2:2" ht="12.75">
      <c r="B4" s="2" t="s">
        <v>10</v>
      </c>
    </row>
    <row r="6" spans="2:9" ht="30" customHeight="1">
      <c r="B6" s="5" t="s">
        <v>118</v>
      </c>
      <c r="C6" s="5" t="s">
        <v>120</v>
      </c>
      <c r="D6" s="5" t="s">
        <v>121</v>
      </c>
      <c r="E6" s="6" t="s">
        <v>5</v>
      </c>
      <c r="F6" s="6" t="s">
        <v>58</v>
      </c>
      <c r="G6" s="6" t="s">
        <v>40</v>
      </c>
      <c r="H6" s="6" t="s">
        <v>119</v>
      </c>
      <c r="I6" s="6" t="s">
        <v>46</v>
      </c>
    </row>
  </sheetData>
  <hyperlinks>
    <hyperlink ref="C1" location="Содержание!B4" display="К содержанию"/>
  </hyperlinks>
  <pageMargins left="0.75" right="0.75" top="1" bottom="1" header="0.5" footer="0.5"/>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91f7a01e-efcf-437e-b2dc-d4ae62e59a2c}">
  <dimension ref="B1:H6"/>
  <sheetViews>
    <sheetView showGridLines="0" workbookViewId="0" topLeftCell="A1"/>
  </sheetViews>
  <sheetFormatPr defaultRowHeight="12.75"/>
  <cols>
    <col min="1" max="1" width="4.714285714285714" customWidth="1"/>
    <col min="2" max="2" width="40.714285714285715" customWidth="1"/>
    <col min="3" max="6" width="15.714285714285714" customWidth="1"/>
    <col min="7" max="7" width="17.714285714285715" customWidth="1"/>
    <col min="8" max="8" width="15.714285714285714" customWidth="1"/>
  </cols>
  <sheetData>
    <row r="1" spans="2:3" s="1" customFormat="1" ht="30" customHeight="1">
      <c r="B1" s="1" t="s">
        <v>0</v>
      </c>
      <c r="C1" s="4" t="s">
        <v>2</v>
      </c>
    </row>
    <row r="4" spans="2:2" ht="12.75">
      <c r="B4" s="2" t="s">
        <v>11</v>
      </c>
    </row>
    <row r="6" spans="2:8" ht="30" customHeight="1">
      <c r="B6" s="5" t="s">
        <v>118</v>
      </c>
      <c r="C6" s="5" t="s">
        <v>10</v>
      </c>
      <c r="D6" s="5" t="s">
        <v>5</v>
      </c>
      <c r="E6" s="5" t="s">
        <v>58</v>
      </c>
      <c r="F6" s="5" t="s">
        <v>40</v>
      </c>
      <c r="G6" s="5" t="s">
        <v>119</v>
      </c>
      <c r="H6" s="5" t="s">
        <v>46</v>
      </c>
    </row>
  </sheetData>
  <hyperlinks>
    <hyperlink ref="C1" location="Содержание!B4" display="К содержанию"/>
  </hyperlinks>
  <pageMargins left="0.75" right="0.75" top="1" bottom="1" header="0.5" footer="0.5"/>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072ed880-5414-470c-8baa-8ec15bfd46b2}">
  <dimension ref="B1:H102"/>
  <sheetViews>
    <sheetView showGridLines="0" workbookViewId="0" topLeftCell="A1"/>
  </sheetViews>
  <sheetFormatPr defaultRowHeight="12.75"/>
  <cols>
    <col min="1" max="1" width="4.714285714285714" customWidth="1"/>
    <col min="2" max="2" width="22.714285714285715" customWidth="1"/>
    <col min="3" max="8" width="17.857142857142858" customWidth="1"/>
  </cols>
  <sheetData>
    <row r="1" spans="2:3" s="1" customFormat="1" ht="30" customHeight="1">
      <c r="B1" s="1" t="s">
        <v>0</v>
      </c>
      <c r="C1" s="4" t="s">
        <v>2</v>
      </c>
    </row>
    <row r="4" spans="2:2" ht="12.75">
      <c r="B4" s="2" t="s">
        <v>12</v>
      </c>
    </row>
    <row r="6" spans="2:3" ht="30" customHeight="1">
      <c r="B6" s="5" t="s">
        <v>13</v>
      </c>
      <c r="C6" s="6" t="s">
        <v>15</v>
      </c>
    </row>
    <row r="7" spans="2:3" ht="15" customHeight="1">
      <c r="B7" s="7" t="s">
        <v>16</v>
      </c>
      <c r="C7" s="8">
        <v>19</v>
      </c>
    </row>
    <row r="8" spans="2:3" ht="15" customHeight="1">
      <c r="B8" s="7" t="s">
        <v>17</v>
      </c>
      <c r="C8" s="8">
        <v>2</v>
      </c>
    </row>
    <row r="9" spans="2:3" ht="15" customHeight="1">
      <c r="B9" s="7" t="s">
        <v>18</v>
      </c>
      <c r="C9" s="8">
        <v>0</v>
      </c>
    </row>
    <row r="10" spans="2:3" ht="15" customHeight="1">
      <c r="B10" s="7" t="s">
        <v>19</v>
      </c>
      <c r="C10" s="8">
        <v>0</v>
      </c>
    </row>
    <row r="11" spans="2:3" ht="15" customHeight="1">
      <c r="B11" s="7" t="s">
        <v>20</v>
      </c>
      <c r="C11" s="8">
        <v>0</v>
      </c>
    </row>
    <row r="12" spans="2:3" ht="20" customHeight="1">
      <c r="B12" s="9" t="s">
        <v>21</v>
      </c>
      <c r="C12" s="10">
        <f>SUM(C7:C11)</f>
      </c>
    </row>
    <row r="13" spans="2:3" ht="20" customHeight="1">
      <c r="B13" s="9" t="s">
        <v>22</v>
      </c>
      <c r="C13" s="11">
        <f>IF(C12=0,0,(C7*5+C8*4+C9*3+C10*2+C11*1)/C12)</f>
      </c>
    </row>
    <row r="16" spans="2:2" ht="14" customHeight="1"/>
    <row r="17" ht="14" customHeight="1"/>
    <row r="18" ht="14" customHeight="1"/>
    <row r="19" ht="14" customHeight="1"/>
    <row r="20" ht="14" customHeight="1"/>
    <row r="21" ht="14" customHeight="1"/>
    <row r="22" ht="14" customHeight="1"/>
    <row r="23" ht="14" customHeight="1"/>
    <row r="24" ht="14" customHeight="1"/>
    <row r="25" ht="14" customHeight="1"/>
    <row r="26" ht="14" customHeight="1"/>
    <row r="27" ht="14" customHeight="1"/>
    <row r="28" ht="14" customHeight="1"/>
    <row r="29" ht="14" customHeight="1"/>
    <row r="30" ht="14" customHeight="1"/>
    <row r="31" ht="14" customHeight="1"/>
    <row r="32" ht="14" customHeight="1"/>
    <row r="33" ht="14" customHeight="1"/>
    <row r="34" ht="14" customHeight="1"/>
    <row r="35" ht="14" customHeight="1"/>
    <row r="36" ht="14" customHeight="1"/>
    <row r="37" ht="14" customHeight="1"/>
    <row r="38" ht="14" customHeight="1"/>
    <row r="39" ht="14" customHeight="1"/>
    <row r="40" ht="14" customHeight="1"/>
    <row r="41" ht="14" customHeight="1"/>
    <row r="42" spans="2:2" ht="12.75">
      <c r="B42" s="12" t="s">
        <v>25</v>
      </c>
    </row>
    <row r="44" spans="2:8" ht="30" customHeight="1">
      <c r="B44" s="5" t="s">
        <v>26</v>
      </c>
      <c r="C44" s="6" t="s">
        <v>16</v>
      </c>
      <c r="D44" s="6" t="s">
        <v>17</v>
      </c>
      <c r="E44" s="6" t="s">
        <v>18</v>
      </c>
      <c r="F44" s="6" t="s">
        <v>19</v>
      </c>
      <c r="G44" s="6" t="s">
        <v>20</v>
      </c>
      <c r="H44" s="6" t="s">
        <v>22</v>
      </c>
    </row>
    <row r="45" spans="2:8" ht="15" customHeight="1">
      <c r="B45" s="13">
        <v>46143</v>
      </c>
      <c r="C45" s="8">
        <v>0</v>
      </c>
      <c r="D45" s="8">
        <v>0</v>
      </c>
      <c r="E45" s="8">
        <v>0</v>
      </c>
      <c r="F45" s="8">
        <v>0</v>
      </c>
      <c r="G45" s="8">
        <v>0</v>
      </c>
      <c r="H45" s="14">
        <f>IF(SUM(C45:G45)=0,0,SUM(C45*5,D45*4,E45*3,F45*2,G45*1)/SUM(C45:G45))</f>
      </c>
    </row>
    <row r="46" spans="2:8" ht="15" customHeight="1">
      <c r="B46" s="13">
        <v>46144</v>
      </c>
      <c r="C46" s="8">
        <v>0</v>
      </c>
      <c r="D46" s="8">
        <v>0</v>
      </c>
      <c r="E46" s="8">
        <v>0</v>
      </c>
      <c r="F46" s="8">
        <v>0</v>
      </c>
      <c r="G46" s="8">
        <v>0</v>
      </c>
      <c r="H46" s="14">
        <f>IF(SUM(C46:G46)=0,0,SUM(C46*5,D46*4,E46*3,F46*2,G46*1)/SUM(C46:G46))</f>
      </c>
    </row>
    <row r="47" spans="2:8" ht="15" customHeight="1">
      <c r="B47" s="13">
        <v>46145</v>
      </c>
      <c r="C47" s="8">
        <v>0</v>
      </c>
      <c r="D47" s="8">
        <v>0</v>
      </c>
      <c r="E47" s="8">
        <v>0</v>
      </c>
      <c r="F47" s="8">
        <v>0</v>
      </c>
      <c r="G47" s="8">
        <v>0</v>
      </c>
      <c r="H47" s="14">
        <f>IF(SUM(C47:G47)=0,0,SUM(C47*5,D47*4,E47*3,F47*2,G47*1)/SUM(C47:G47))</f>
      </c>
    </row>
    <row r="48" spans="2:8" ht="15" customHeight="1">
      <c r="B48" s="13">
        <v>46146</v>
      </c>
      <c r="C48" s="8">
        <v>2</v>
      </c>
      <c r="D48" s="8">
        <v>0</v>
      </c>
      <c r="E48" s="8">
        <v>0</v>
      </c>
      <c r="F48" s="8">
        <v>0</v>
      </c>
      <c r="G48" s="8">
        <v>0</v>
      </c>
      <c r="H48" s="14">
        <f>IF(SUM(C48:G48)=0,0,SUM(C48*5,D48*4,E48*3,F48*2,G48*1)/SUM(C48:G48))</f>
      </c>
    </row>
    <row r="49" spans="2:8" ht="15" customHeight="1">
      <c r="B49" s="13">
        <v>46147</v>
      </c>
      <c r="C49" s="8">
        <v>1</v>
      </c>
      <c r="D49" s="8">
        <v>0</v>
      </c>
      <c r="E49" s="8">
        <v>0</v>
      </c>
      <c r="F49" s="8">
        <v>0</v>
      </c>
      <c r="G49" s="8">
        <v>0</v>
      </c>
      <c r="H49" s="14">
        <f>IF(SUM(C49:G49)=0,0,SUM(C49*5,D49*4,E49*3,F49*2,G49*1)/SUM(C49:G49))</f>
      </c>
    </row>
    <row r="50" spans="2:8" ht="15" customHeight="1">
      <c r="B50" s="13">
        <v>46148</v>
      </c>
      <c r="C50" s="8">
        <v>1</v>
      </c>
      <c r="D50" s="8">
        <v>0</v>
      </c>
      <c r="E50" s="8">
        <v>0</v>
      </c>
      <c r="F50" s="8">
        <v>0</v>
      </c>
      <c r="G50" s="8">
        <v>0</v>
      </c>
      <c r="H50" s="14">
        <f>IF(SUM(C50:G50)=0,0,SUM(C50*5,D50*4,E50*3,F50*2,G50*1)/SUM(C50:G50))</f>
      </c>
    </row>
    <row r="51" spans="2:8" ht="15" customHeight="1">
      <c r="B51" s="13">
        <v>46149</v>
      </c>
      <c r="C51" s="8">
        <v>2</v>
      </c>
      <c r="D51" s="8">
        <v>0</v>
      </c>
      <c r="E51" s="8">
        <v>0</v>
      </c>
      <c r="F51" s="8">
        <v>0</v>
      </c>
      <c r="G51" s="8">
        <v>0</v>
      </c>
      <c r="H51" s="14">
        <f>IF(SUM(C51:G51)=0,0,SUM(C51*5,D51*4,E51*3,F51*2,G51*1)/SUM(C51:G51))</f>
      </c>
    </row>
    <row r="52" spans="2:8" ht="15" customHeight="1">
      <c r="B52" s="13">
        <v>46150</v>
      </c>
      <c r="C52" s="8">
        <v>0</v>
      </c>
      <c r="D52" s="8">
        <v>0</v>
      </c>
      <c r="E52" s="8">
        <v>0</v>
      </c>
      <c r="F52" s="8">
        <v>0</v>
      </c>
      <c r="G52" s="8">
        <v>0</v>
      </c>
      <c r="H52" s="14">
        <f>IF(SUM(C52:G52)=0,0,SUM(C52*5,D52*4,E52*3,F52*2,G52*1)/SUM(C52:G52))</f>
      </c>
    </row>
    <row r="53" spans="2:8" ht="15" customHeight="1">
      <c r="B53" s="13">
        <v>46151</v>
      </c>
      <c r="C53" s="8">
        <v>0</v>
      </c>
      <c r="D53" s="8">
        <v>0</v>
      </c>
      <c r="E53" s="8">
        <v>0</v>
      </c>
      <c r="F53" s="8">
        <v>0</v>
      </c>
      <c r="G53" s="8">
        <v>0</v>
      </c>
      <c r="H53" s="14">
        <f>IF(SUM(C53:G53)=0,0,SUM(C53*5,D53*4,E53*3,F53*2,G53*1)/SUM(C53:G53))</f>
      </c>
    </row>
    <row r="54" spans="2:8" ht="15" customHeight="1">
      <c r="B54" s="13">
        <v>46152</v>
      </c>
      <c r="C54" s="8">
        <v>0</v>
      </c>
      <c r="D54" s="8">
        <v>0</v>
      </c>
      <c r="E54" s="8">
        <v>0</v>
      </c>
      <c r="F54" s="8">
        <v>0</v>
      </c>
      <c r="G54" s="8">
        <v>0</v>
      </c>
      <c r="H54" s="14">
        <f>IF(SUM(C54:G54)=0,0,SUM(C54*5,D54*4,E54*3,F54*2,G54*1)/SUM(C54:G54))</f>
      </c>
    </row>
    <row r="55" spans="2:8" ht="15" customHeight="1">
      <c r="B55" s="13">
        <v>46153</v>
      </c>
      <c r="C55" s="8">
        <v>0</v>
      </c>
      <c r="D55" s="8">
        <v>0</v>
      </c>
      <c r="E55" s="8">
        <v>0</v>
      </c>
      <c r="F55" s="8">
        <v>0</v>
      </c>
      <c r="G55" s="8">
        <v>0</v>
      </c>
      <c r="H55" s="14">
        <f>IF(SUM(C55:G55)=0,0,SUM(C55*5,D55*4,E55*3,F55*2,G55*1)/SUM(C55:G55))</f>
      </c>
    </row>
    <row r="56" spans="2:8" ht="15" customHeight="1">
      <c r="B56" s="13">
        <v>46154</v>
      </c>
      <c r="C56" s="8">
        <v>0</v>
      </c>
      <c r="D56" s="8">
        <v>0</v>
      </c>
      <c r="E56" s="8">
        <v>0</v>
      </c>
      <c r="F56" s="8">
        <v>0</v>
      </c>
      <c r="G56" s="8">
        <v>0</v>
      </c>
      <c r="H56" s="14">
        <f>IF(SUM(C56:G56)=0,0,SUM(C56*5,D56*4,E56*3,F56*2,G56*1)/SUM(C56:G56))</f>
      </c>
    </row>
    <row r="57" spans="2:8" ht="15" customHeight="1">
      <c r="B57" s="13">
        <v>46155</v>
      </c>
      <c r="C57" s="8">
        <v>0</v>
      </c>
      <c r="D57" s="8">
        <v>0</v>
      </c>
      <c r="E57" s="8">
        <v>0</v>
      </c>
      <c r="F57" s="8">
        <v>0</v>
      </c>
      <c r="G57" s="8">
        <v>0</v>
      </c>
      <c r="H57" s="14">
        <f>IF(SUM(C57:G57)=0,0,SUM(C57*5,D57*4,E57*3,F57*2,G57*1)/SUM(C57:G57))</f>
      </c>
    </row>
    <row r="58" spans="2:8" ht="15" customHeight="1">
      <c r="B58" s="13">
        <v>46156</v>
      </c>
      <c r="C58" s="8">
        <v>0</v>
      </c>
      <c r="D58" s="8">
        <v>0</v>
      </c>
      <c r="E58" s="8">
        <v>0</v>
      </c>
      <c r="F58" s="8">
        <v>0</v>
      </c>
      <c r="G58" s="8">
        <v>0</v>
      </c>
      <c r="H58" s="14">
        <f>IF(SUM(C58:G58)=0,0,SUM(C58*5,D58*4,E58*3,F58*2,G58*1)/SUM(C58:G58))</f>
      </c>
    </row>
    <row r="59" spans="2:8" ht="15" customHeight="1">
      <c r="B59" s="13">
        <v>46157</v>
      </c>
      <c r="C59" s="8">
        <v>1</v>
      </c>
      <c r="D59" s="8">
        <v>0</v>
      </c>
      <c r="E59" s="8">
        <v>0</v>
      </c>
      <c r="F59" s="8">
        <v>0</v>
      </c>
      <c r="G59" s="8">
        <v>0</v>
      </c>
      <c r="H59" s="14">
        <f>IF(SUM(C59:G59)=0,0,SUM(C59*5,D59*4,E59*3,F59*2,G59*1)/SUM(C59:G59))</f>
      </c>
    </row>
    <row r="60" spans="2:8" ht="15" customHeight="1">
      <c r="B60" s="13">
        <v>46158</v>
      </c>
      <c r="C60" s="8">
        <v>0</v>
      </c>
      <c r="D60" s="8">
        <v>0</v>
      </c>
      <c r="E60" s="8">
        <v>0</v>
      </c>
      <c r="F60" s="8">
        <v>0</v>
      </c>
      <c r="G60" s="8">
        <v>0</v>
      </c>
      <c r="H60" s="14">
        <f>IF(SUM(C60:G60)=0,0,SUM(C60*5,D60*4,E60*3,F60*2,G60*1)/SUM(C60:G60))</f>
      </c>
    </row>
    <row r="61" spans="2:8" ht="15" customHeight="1">
      <c r="B61" s="13">
        <v>46159</v>
      </c>
      <c r="C61" s="8">
        <v>0</v>
      </c>
      <c r="D61" s="8">
        <v>0</v>
      </c>
      <c r="E61" s="8">
        <v>0</v>
      </c>
      <c r="F61" s="8">
        <v>0</v>
      </c>
      <c r="G61" s="8">
        <v>0</v>
      </c>
      <c r="H61" s="14">
        <f>IF(SUM(C61:G61)=0,0,SUM(C61*5,D61*4,E61*3,F61*2,G61*1)/SUM(C61:G61))</f>
      </c>
    </row>
    <row r="62" spans="2:8" ht="15" customHeight="1">
      <c r="B62" s="13">
        <v>46160</v>
      </c>
      <c r="C62" s="8">
        <v>0</v>
      </c>
      <c r="D62" s="8">
        <v>1</v>
      </c>
      <c r="E62" s="8">
        <v>0</v>
      </c>
      <c r="F62" s="8">
        <v>0</v>
      </c>
      <c r="G62" s="8">
        <v>0</v>
      </c>
      <c r="H62" s="14">
        <f>IF(SUM(C62:G62)=0,0,SUM(C62*5,D62*4,E62*3,F62*2,G62*1)/SUM(C62:G62))</f>
      </c>
    </row>
    <row r="63" spans="2:8" ht="15" customHeight="1">
      <c r="B63" s="13">
        <v>46161</v>
      </c>
      <c r="C63" s="8">
        <v>1</v>
      </c>
      <c r="D63" s="8">
        <v>0</v>
      </c>
      <c r="E63" s="8">
        <v>0</v>
      </c>
      <c r="F63" s="8">
        <v>0</v>
      </c>
      <c r="G63" s="8">
        <v>0</v>
      </c>
      <c r="H63" s="14">
        <f>IF(SUM(C63:G63)=0,0,SUM(C63*5,D63*4,E63*3,F63*2,G63*1)/SUM(C63:G63))</f>
      </c>
    </row>
    <row r="64" spans="2:8" ht="15" customHeight="1">
      <c r="B64" s="13">
        <v>46162</v>
      </c>
      <c r="C64" s="8">
        <v>3</v>
      </c>
      <c r="D64" s="8">
        <v>0</v>
      </c>
      <c r="E64" s="8">
        <v>0</v>
      </c>
      <c r="F64" s="8">
        <v>0</v>
      </c>
      <c r="G64" s="8">
        <v>0</v>
      </c>
      <c r="H64" s="14">
        <f>IF(SUM(C64:G64)=0,0,SUM(C64*5,D64*4,E64*3,F64*2,G64*1)/SUM(C64:G64))</f>
      </c>
    </row>
    <row r="65" spans="2:8" ht="15" customHeight="1">
      <c r="B65" s="13">
        <v>46163</v>
      </c>
      <c r="C65" s="8">
        <v>0</v>
      </c>
      <c r="D65" s="8">
        <v>0</v>
      </c>
      <c r="E65" s="8">
        <v>0</v>
      </c>
      <c r="F65" s="8">
        <v>0</v>
      </c>
      <c r="G65" s="8">
        <v>0</v>
      </c>
      <c r="H65" s="14">
        <f>IF(SUM(C65:G65)=0,0,SUM(C65*5,D65*4,E65*3,F65*2,G65*1)/SUM(C65:G65))</f>
      </c>
    </row>
    <row r="66" spans="2:8" ht="15" customHeight="1">
      <c r="B66" s="13">
        <v>46164</v>
      </c>
      <c r="C66" s="8">
        <v>2</v>
      </c>
      <c r="D66" s="8">
        <v>0</v>
      </c>
      <c r="E66" s="8">
        <v>0</v>
      </c>
      <c r="F66" s="8">
        <v>0</v>
      </c>
      <c r="G66" s="8">
        <v>0</v>
      </c>
      <c r="H66" s="14">
        <f>IF(SUM(C66:G66)=0,0,SUM(C66*5,D66*4,E66*3,F66*2,G66*1)/SUM(C66:G66))</f>
      </c>
    </row>
    <row r="67" spans="2:8" ht="15" customHeight="1">
      <c r="B67" s="13">
        <v>46165</v>
      </c>
      <c r="C67" s="8">
        <v>0</v>
      </c>
      <c r="D67" s="8">
        <v>0</v>
      </c>
      <c r="E67" s="8">
        <v>0</v>
      </c>
      <c r="F67" s="8">
        <v>0</v>
      </c>
      <c r="G67" s="8">
        <v>0</v>
      </c>
      <c r="H67" s="14">
        <f>IF(SUM(C67:G67)=0,0,SUM(C67*5,D67*4,E67*3,F67*2,G67*1)/SUM(C67:G67))</f>
      </c>
    </row>
    <row r="68" spans="2:8" ht="15" customHeight="1">
      <c r="B68" s="13">
        <v>46166</v>
      </c>
      <c r="C68" s="8">
        <v>1</v>
      </c>
      <c r="D68" s="8">
        <v>0</v>
      </c>
      <c r="E68" s="8">
        <v>0</v>
      </c>
      <c r="F68" s="8">
        <v>0</v>
      </c>
      <c r="G68" s="8">
        <v>0</v>
      </c>
      <c r="H68" s="14">
        <f>IF(SUM(C68:G68)=0,0,SUM(C68*5,D68*4,E68*3,F68*2,G68*1)/SUM(C68:G68))</f>
      </c>
    </row>
    <row r="69" spans="2:8" ht="15" customHeight="1">
      <c r="B69" s="13">
        <v>46167</v>
      </c>
      <c r="C69" s="8">
        <v>2</v>
      </c>
      <c r="D69" s="8">
        <v>0</v>
      </c>
      <c r="E69" s="8">
        <v>0</v>
      </c>
      <c r="F69" s="8">
        <v>0</v>
      </c>
      <c r="G69" s="8">
        <v>0</v>
      </c>
      <c r="H69" s="14">
        <f>IF(SUM(C69:G69)=0,0,SUM(C69*5,D69*4,E69*3,F69*2,G69*1)/SUM(C69:G69))</f>
      </c>
    </row>
    <row r="70" spans="2:8" ht="15" customHeight="1">
      <c r="B70" s="13">
        <v>46168</v>
      </c>
      <c r="C70" s="8">
        <v>1</v>
      </c>
      <c r="D70" s="8">
        <v>0</v>
      </c>
      <c r="E70" s="8">
        <v>0</v>
      </c>
      <c r="F70" s="8">
        <v>0</v>
      </c>
      <c r="G70" s="8">
        <v>0</v>
      </c>
      <c r="H70" s="14">
        <f>IF(SUM(C70:G70)=0,0,SUM(C70*5,D70*4,E70*3,F70*2,G70*1)/SUM(C70:G70))</f>
      </c>
    </row>
    <row r="71" spans="2:8" ht="15" customHeight="1">
      <c r="B71" s="13">
        <v>46169</v>
      </c>
      <c r="C71" s="8">
        <v>0</v>
      </c>
      <c r="D71" s="8">
        <v>0</v>
      </c>
      <c r="E71" s="8">
        <v>0</v>
      </c>
      <c r="F71" s="8">
        <v>0</v>
      </c>
      <c r="G71" s="8">
        <v>0</v>
      </c>
      <c r="H71" s="14">
        <f>IF(SUM(C71:G71)=0,0,SUM(C71*5,D71*4,E71*3,F71*2,G71*1)/SUM(C71:G71))</f>
      </c>
    </row>
    <row r="72" spans="2:8" ht="15" customHeight="1">
      <c r="B72" s="13">
        <v>46170</v>
      </c>
      <c r="C72" s="8">
        <v>1</v>
      </c>
      <c r="D72" s="8">
        <v>0</v>
      </c>
      <c r="E72" s="8">
        <v>0</v>
      </c>
      <c r="F72" s="8">
        <v>0</v>
      </c>
      <c r="G72" s="8">
        <v>0</v>
      </c>
      <c r="H72" s="14">
        <f>IF(SUM(C72:G72)=0,0,SUM(C72*5,D72*4,E72*3,F72*2,G72*1)/SUM(C72:G72))</f>
      </c>
    </row>
    <row r="73" spans="2:8" ht="15" customHeight="1">
      <c r="B73" s="13">
        <v>46171</v>
      </c>
      <c r="C73" s="8">
        <v>1</v>
      </c>
      <c r="D73" s="8">
        <v>1</v>
      </c>
      <c r="E73" s="8">
        <v>0</v>
      </c>
      <c r="F73" s="8">
        <v>0</v>
      </c>
      <c r="G73" s="8">
        <v>0</v>
      </c>
      <c r="H73" s="14">
        <f>IF(SUM(C73:G73)=0,0,SUM(C73*5,D73*4,E73*3,F73*2,G73*1)/SUM(C73:G73))</f>
      </c>
    </row>
    <row r="74" spans="2:8" ht="15" customHeight="1">
      <c r="B74" s="13">
        <v>46172</v>
      </c>
      <c r="C74" s="8">
        <v>0</v>
      </c>
      <c r="D74" s="8">
        <v>0</v>
      </c>
      <c r="E74" s="8">
        <v>0</v>
      </c>
      <c r="F74" s="8">
        <v>0</v>
      </c>
      <c r="G74" s="8">
        <v>0</v>
      </c>
      <c r="H74" s="14">
        <f>IF(SUM(C74:G74)=0,0,SUM(C74*5,D74*4,E74*3,F74*2,G74*1)/SUM(C74:G74))</f>
      </c>
    </row>
    <row r="75" spans="2:8" ht="15" customHeight="1">
      <c r="B75" s="13">
        <v>46173</v>
      </c>
      <c r="C75" s="8">
        <v>0</v>
      </c>
      <c r="D75" s="8">
        <v>0</v>
      </c>
      <c r="E75" s="8">
        <v>0</v>
      </c>
      <c r="F75" s="8">
        <v>0</v>
      </c>
      <c r="G75" s="8">
        <v>0</v>
      </c>
      <c r="H75" s="14">
        <f>IF(SUM(C75:G75)=0,0,SUM(C75*5,D75*4,E75*3,F75*2,G75*1)/SUM(C75:G75))</f>
      </c>
    </row>
    <row r="76" spans="2:8" ht="20" customHeight="1">
      <c r="B76" s="15" t="s">
        <v>21</v>
      </c>
      <c r="C76" s="10">
        <f>SUM(C45:C75)</f>
      </c>
      <c r="D76" s="10">
        <f>SUM(D45:D75)</f>
      </c>
      <c r="E76" s="10">
        <f>SUM(E45:E75)</f>
      </c>
      <c r="F76" s="10">
        <f>SUM(F45:F75)</f>
      </c>
      <c r="G76" s="10">
        <f>SUM(G45:G75)</f>
      </c>
      <c r="H76" s="11">
        <f>IF(SUM(C76:G76)=0,0,SUM(C76*5,D76*4,E76*3,F76*2,G76*1)/SUM(C76:G76))</f>
      </c>
    </row>
    <row r="78" spans="2:2" ht="14" customHeight="1"/>
    <row r="79" ht="14" customHeight="1"/>
    <row r="80" ht="14" customHeight="1"/>
    <row r="81" ht="14" customHeight="1"/>
    <row r="82" ht="14" customHeight="1"/>
    <row r="83" ht="14" customHeight="1"/>
    <row r="84" ht="14" customHeight="1"/>
    <row r="85" ht="14" customHeight="1"/>
    <row r="86" ht="14" customHeight="1"/>
    <row r="87" ht="14" customHeight="1"/>
    <row r="88" ht="14" customHeight="1"/>
    <row r="89" ht="14" customHeight="1"/>
    <row r="90" ht="14" customHeight="1"/>
    <row r="91" ht="14" customHeight="1"/>
    <row r="92" ht="14" customHeight="1"/>
    <row r="93" ht="14" customHeight="1"/>
    <row r="94" ht="14" customHeight="1"/>
    <row r="95" ht="14" customHeight="1"/>
    <row r="96" ht="14" customHeight="1"/>
    <row r="97" ht="14" customHeight="1"/>
    <row r="98" ht="14" customHeight="1"/>
    <row r="99" ht="14" customHeight="1"/>
    <row r="100" ht="14" customHeight="1"/>
    <row r="101" ht="14" customHeight="1"/>
    <row r="102" spans="2:2" ht="14" customHeight="1"/>
    <row r="103" ht="14" customHeight="1"/>
    <row r="104" ht="14" customHeight="1"/>
    <row r="105" ht="14" customHeight="1"/>
    <row r="106" ht="14" customHeight="1"/>
    <row r="107" ht="14" customHeight="1"/>
    <row r="108" ht="14" customHeight="1"/>
    <row r="109" ht="14" customHeight="1"/>
    <row r="110" ht="14" customHeight="1"/>
    <row r="111" ht="14" customHeight="1"/>
    <row r="112" ht="14" customHeight="1"/>
    <row r="113" ht="14" customHeight="1"/>
    <row r="114" ht="14" customHeight="1"/>
    <row r="115" ht="14" customHeight="1"/>
    <row r="116" ht="14" customHeight="1"/>
    <row r="117" ht="14" customHeight="1"/>
    <row r="118" ht="14" customHeight="1"/>
    <row r="119" ht="14" customHeight="1"/>
    <row r="120" ht="14" customHeight="1"/>
    <row r="121" ht="14" customHeight="1"/>
    <row r="122" ht="14" customHeight="1"/>
    <row r="123" ht="14" customHeight="1"/>
    <row r="124" ht="14" customHeight="1"/>
    <row r="125" ht="14" customHeight="1"/>
    <row r="126" ht="14" customHeight="1"/>
    <row r="127" ht="14" customHeight="1"/>
  </sheetData>
  <hyperlinks>
    <hyperlink ref="C1" location="Содержание!B4" display="К содержанию"/>
  </hyperlinks>
  <pageMargins left="0.75" right="0.75" top="1" bottom="1" header="0.5" footer="0.5"/>
  <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3f1cfa67-16d1-497e-903d-77dba62faab6}">
  <dimension ref="B1:J32"/>
  <sheetViews>
    <sheetView showGridLines="0" workbookViewId="0" topLeftCell="A1"/>
  </sheetViews>
  <sheetFormatPr defaultRowHeight="12.75"/>
  <cols>
    <col min="1" max="1" width="4.714285714285714" customWidth="1"/>
    <col min="2" max="2" width="22.714285714285715" customWidth="1"/>
    <col min="3" max="10" width="17.857142857142858" customWidth="1"/>
  </cols>
  <sheetData>
    <row r="1" spans="2:3" s="1" customFormat="1" ht="30" customHeight="1">
      <c r="B1" s="1" t="s">
        <v>0</v>
      </c>
      <c r="C1" s="4" t="s">
        <v>2</v>
      </c>
    </row>
    <row r="4" spans="2:2" ht="12.75">
      <c r="B4" s="2" t="s">
        <v>14</v>
      </c>
    </row>
    <row r="6" spans="2:2" ht="12.75"/>
    <row r="31" spans="2:10" ht="30" customHeight="1">
      <c r="B31" s="5" t="s">
        <v>53</v>
      </c>
      <c r="C31" s="6" t="s">
        <v>54</v>
      </c>
      <c r="D31" s="6" t="s">
        <v>55</v>
      </c>
      <c r="E31" s="6" t="s">
        <v>56</v>
      </c>
      <c r="F31" s="6" t="s">
        <v>57</v>
      </c>
      <c r="G31" s="6" t="s">
        <v>58</v>
      </c>
      <c r="H31" s="6" t="s">
        <v>60</v>
      </c>
      <c r="I31" s="6" t="s">
        <v>61</v>
      </c>
      <c r="J31" s="6" t="s">
        <v>62</v>
      </c>
    </row>
    <row r="32" spans="2:10" ht="12.75">
      <c r="B32" s="16" t="s">
        <v>62</v>
      </c>
      <c r="C32" s="8">
        <v>109</v>
      </c>
      <c r="D32" s="8">
        <v>7</v>
      </c>
      <c r="E32" s="8">
        <v>18</v>
      </c>
      <c r="F32" s="8">
        <v>21</v>
      </c>
      <c r="G32" s="8">
        <v>30</v>
      </c>
      <c r="H32" s="8">
        <v>15</v>
      </c>
      <c r="I32" s="8">
        <v>1</v>
      </c>
      <c r="J32" s="8">
        <f>SUM(C32:I32)</f>
      </c>
    </row>
  </sheetData>
  <hyperlinks>
    <hyperlink ref="C1" location="Содержание!B4" display="К содержанию"/>
  </hyperlinks>
  <pageMargins left="0.75" right="0.75" top="1" bottom="1" header="0.5" footer="0.5"/>
  <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1bd93ff6-b671-4b82-b253-c5e8ede85f8f}">
  <dimension ref="B1:O52"/>
  <sheetViews>
    <sheetView showGridLines="0" workbookViewId="0" topLeftCell="A1"/>
  </sheetViews>
  <sheetFormatPr defaultRowHeight="12.75"/>
  <cols>
    <col min="1" max="1" width="4.714285714285714" customWidth="1"/>
    <col min="2" max="2" width="22.714285714285715" customWidth="1"/>
    <col min="3" max="3" width="23" customWidth="1"/>
    <col min="4" max="4" width="14.714285714285714" customWidth="1"/>
    <col min="5" max="15" width="17.428571428571427" customWidth="1"/>
  </cols>
  <sheetData>
    <row r="1" spans="2:3" s="1" customFormat="1" ht="30" customHeight="1">
      <c r="B1" s="1" t="s">
        <v>0</v>
      </c>
      <c r="C1" s="4" t="s">
        <v>2</v>
      </c>
    </row>
    <row r="4" spans="2:2" ht="12.75">
      <c r="B4" s="2" t="s">
        <v>23</v>
      </c>
    </row>
    <row r="6" spans="2:2" ht="12.75" customHeight="1"/>
    <row r="7" ht="12.75" customHeight="1"/>
    <row r="8" ht="12.75" customHeight="1"/>
    <row r="9" ht="12.75" customHeight="1"/>
    <row r="10" ht="12.75" customHeight="1"/>
    <row r="11" ht="12.75" customHeight="1"/>
    <row r="12" ht="12.75" customHeight="1"/>
    <row r="13" ht="12.75" customHeight="1"/>
    <row r="14" ht="12.75" customHeight="1"/>
    <row r="15" ht="12.75" customHeight="1"/>
    <row r="16" ht="12.75" customHeight="1"/>
    <row r="17" ht="12.75" customHeight="1"/>
    <row r="18" ht="12.75" customHeight="1"/>
    <row r="19" ht="12.75" customHeight="1"/>
    <row r="20" ht="12.75" customHeight="1"/>
    <row r="21" ht="12.75" customHeight="1"/>
    <row r="22" ht="12.75" customHeight="1"/>
    <row r="23" ht="12.75" customHeight="1"/>
    <row r="24" ht="12.75" customHeight="1"/>
    <row r="25" spans="2:2" ht="12.75">
      <c r="B25" s="12" t="s">
        <v>52</v>
      </c>
    </row>
    <row r="27" spans="2:15" ht="30" customHeight="1">
      <c r="B27" s="5" t="s">
        <v>59</v>
      </c>
      <c r="C27" s="5" t="s">
        <v>63</v>
      </c>
      <c r="D27" s="5" t="s">
        <v>39</v>
      </c>
      <c r="E27" s="6" t="s">
        <v>5</v>
      </c>
      <c r="F27" s="6" t="s">
        <v>40</v>
      </c>
      <c r="G27" s="6" t="s">
        <v>46</v>
      </c>
      <c r="H27" s="6" t="s">
        <v>41</v>
      </c>
      <c r="I27" s="6" t="s">
        <v>45</v>
      </c>
      <c r="J27" s="6" t="s">
        <v>22</v>
      </c>
      <c r="K27" s="6" t="s">
        <v>43</v>
      </c>
      <c r="L27" s="6" t="s">
        <v>47</v>
      </c>
      <c r="M27" s="6" t="s">
        <v>48</v>
      </c>
      <c r="N27" s="6" t="s">
        <v>28</v>
      </c>
      <c r="O27" s="6" t="s">
        <v>27</v>
      </c>
    </row>
    <row r="28" spans="2:15" ht="15" customHeight="1">
      <c r="B28" s="16" t="s">
        <v>64</v>
      </c>
      <c r="C28" s="16" t="s">
        <v>65</v>
      </c>
      <c r="D28" s="16" t="s">
        <v>66</v>
      </c>
      <c r="E28" s="8">
        <v>91</v>
      </c>
      <c r="F28" s="8">
        <v>7321640</v>
      </c>
      <c r="G28" s="8">
        <v>8168</v>
      </c>
      <c r="H28" s="8">
        <v>101</v>
      </c>
      <c r="I28" s="8">
        <v>380</v>
      </c>
      <c r="J28" s="8">
        <v>0</v>
      </c>
      <c r="K28" s="8">
        <v>52</v>
      </c>
      <c r="L28" s="8">
        <v>35</v>
      </c>
      <c r="M28" s="8">
        <v>4</v>
      </c>
      <c r="N28" s="8">
        <v>89</v>
      </c>
      <c r="O28" s="8">
        <v>69</v>
      </c>
    </row>
    <row r="29" spans="2:15" ht="15" customHeight="1">
      <c r="B29" s="16" t="s">
        <v>67</v>
      </c>
      <c r="C29" s="16" t="s">
        <v>68</v>
      </c>
      <c r="D29" s="16" t="s">
        <v>69</v>
      </c>
      <c r="E29" s="8">
        <v>23</v>
      </c>
      <c r="F29" s="8">
        <v>1322160</v>
      </c>
      <c r="G29" s="8">
        <v>0</v>
      </c>
      <c r="H29" s="8">
        <v>16</v>
      </c>
      <c r="I29" s="8">
        <v>0</v>
      </c>
      <c r="J29" s="8">
        <v>0</v>
      </c>
      <c r="K29" s="8">
        <v>11</v>
      </c>
      <c r="L29" s="8">
        <v>12</v>
      </c>
      <c r="M29" s="8">
        <v>0</v>
      </c>
      <c r="N29" s="8">
        <v>21</v>
      </c>
      <c r="O29" s="8">
        <v>15</v>
      </c>
    </row>
    <row r="30" spans="2:15" ht="15" customHeight="1">
      <c r="B30" s="16" t="s">
        <v>70</v>
      </c>
      <c r="C30" s="16" t="s">
        <v>71</v>
      </c>
      <c r="D30" s="16" t="s">
        <v>72</v>
      </c>
      <c r="E30" s="8">
        <v>18</v>
      </c>
      <c r="F30" s="8">
        <v>62157</v>
      </c>
      <c r="G30" s="8">
        <v>0</v>
      </c>
      <c r="H30" s="8">
        <v>0</v>
      </c>
      <c r="I30" s="8">
        <v>0</v>
      </c>
      <c r="J30" s="8">
        <v>0</v>
      </c>
      <c r="K30" s="8">
        <v>0</v>
      </c>
      <c r="L30" s="8">
        <v>17</v>
      </c>
      <c r="M30" s="8">
        <v>1</v>
      </c>
      <c r="N30" s="8">
        <v>7</v>
      </c>
      <c r="O30" s="8">
        <v>6</v>
      </c>
    </row>
    <row r="31" spans="2:15" ht="15" customHeight="1">
      <c r="B31" s="16" t="s">
        <v>73</v>
      </c>
      <c r="C31" s="16" t="s">
        <v>74</v>
      </c>
      <c r="D31" s="16" t="s">
        <v>75</v>
      </c>
      <c r="E31" s="8">
        <v>9</v>
      </c>
      <c r="F31" s="8">
        <v>0</v>
      </c>
      <c r="G31" s="8">
        <v>0</v>
      </c>
      <c r="H31" s="8">
        <v>0</v>
      </c>
      <c r="I31" s="8">
        <v>0</v>
      </c>
      <c r="J31" s="8">
        <v>0</v>
      </c>
      <c r="K31" s="8">
        <v>1</v>
      </c>
      <c r="L31" s="8">
        <v>8</v>
      </c>
      <c r="M31" s="8">
        <v>0</v>
      </c>
      <c r="N31" s="8">
        <v>7</v>
      </c>
      <c r="O31" s="8">
        <v>4</v>
      </c>
    </row>
    <row r="32" spans="2:15" ht="15" customHeight="1">
      <c r="B32" s="16" t="s">
        <v>76</v>
      </c>
      <c r="C32" s="16" t="s">
        <v>77</v>
      </c>
      <c r="D32" s="16" t="s">
        <v>66</v>
      </c>
      <c r="E32" s="8">
        <v>8</v>
      </c>
      <c r="F32" s="8">
        <v>312</v>
      </c>
      <c r="G32" s="8">
        <v>2695</v>
      </c>
      <c r="H32" s="8">
        <v>58</v>
      </c>
      <c r="I32" s="8">
        <v>0</v>
      </c>
      <c r="J32" s="8">
        <v>0</v>
      </c>
      <c r="K32" s="8">
        <v>0</v>
      </c>
      <c r="L32" s="8">
        <v>7</v>
      </c>
      <c r="M32" s="8">
        <v>1</v>
      </c>
      <c r="N32" s="8">
        <v>7</v>
      </c>
      <c r="O32" s="8">
        <v>4</v>
      </c>
    </row>
    <row r="33" spans="2:15" ht="15" customHeight="1">
      <c r="B33" s="16" t="s">
        <v>78</v>
      </c>
      <c r="C33" s="16" t="s">
        <v>79</v>
      </c>
      <c r="D33" s="16" t="s">
        <v>66</v>
      </c>
      <c r="E33" s="8">
        <v>7</v>
      </c>
      <c r="F33" s="8">
        <v>27653</v>
      </c>
      <c r="G33" s="8">
        <v>0</v>
      </c>
      <c r="H33" s="8">
        <v>0</v>
      </c>
      <c r="I33" s="8">
        <v>13</v>
      </c>
      <c r="J33" s="8">
        <v>0</v>
      </c>
      <c r="K33" s="8">
        <v>1</v>
      </c>
      <c r="L33" s="8">
        <v>4</v>
      </c>
      <c r="M33" s="8">
        <v>2</v>
      </c>
      <c r="N33" s="8">
        <v>4</v>
      </c>
      <c r="O33" s="8">
        <v>4</v>
      </c>
    </row>
    <row r="34" spans="2:15" ht="15" customHeight="1">
      <c r="B34" s="16" t="s">
        <v>80</v>
      </c>
      <c r="C34" s="16" t="s">
        <v>81</v>
      </c>
      <c r="D34" s="16" t="s">
        <v>57</v>
      </c>
      <c r="E34" s="8">
        <v>7</v>
      </c>
      <c r="F34" s="8" t="s">
        <v>82</v>
      </c>
      <c r="G34" s="8">
        <v>0</v>
      </c>
      <c r="H34" s="8" t="s">
        <v>82</v>
      </c>
      <c r="I34" s="8">
        <v>0</v>
      </c>
      <c r="J34" s="8">
        <v>5</v>
      </c>
      <c r="K34" s="8">
        <v>7</v>
      </c>
      <c r="L34" s="8">
        <v>0</v>
      </c>
      <c r="M34" s="8">
        <v>0</v>
      </c>
      <c r="N34" s="8">
        <v>7</v>
      </c>
      <c r="O34" s="8">
        <v>3</v>
      </c>
    </row>
    <row r="35" spans="2:15" ht="15" customHeight="1">
      <c r="B35" s="16" t="s">
        <v>70</v>
      </c>
      <c r="C35" s="16" t="s">
        <v>71</v>
      </c>
      <c r="D35" s="16" t="s">
        <v>83</v>
      </c>
      <c r="E35" s="8">
        <v>7</v>
      </c>
      <c r="F35" s="8">
        <v>42610</v>
      </c>
      <c r="G35" s="8">
        <v>6371</v>
      </c>
      <c r="H35" s="8">
        <v>373</v>
      </c>
      <c r="I35" s="8">
        <v>1226</v>
      </c>
      <c r="J35" s="8">
        <v>0</v>
      </c>
      <c r="K35" s="8">
        <v>1</v>
      </c>
      <c r="L35" s="8">
        <v>6</v>
      </c>
      <c r="M35" s="8">
        <v>0</v>
      </c>
      <c r="N35" s="8">
        <v>7</v>
      </c>
      <c r="O35" s="8">
        <v>7</v>
      </c>
    </row>
    <row r="36" spans="2:15" ht="15" customHeight="1">
      <c r="B36" s="16" t="s">
        <v>84</v>
      </c>
      <c r="C36" s="16" t="s">
        <v>85</v>
      </c>
      <c r="D36" s="16" t="s">
        <v>57</v>
      </c>
      <c r="E36" s="8">
        <v>5</v>
      </c>
      <c r="F36" s="8" t="s">
        <v>82</v>
      </c>
      <c r="G36" s="8">
        <v>0</v>
      </c>
      <c r="H36" s="8" t="s">
        <v>82</v>
      </c>
      <c r="I36" s="8">
        <v>0</v>
      </c>
      <c r="J36" s="8">
        <v>4.7999999999999998</v>
      </c>
      <c r="K36" s="8">
        <v>5</v>
      </c>
      <c r="L36" s="8">
        <v>0</v>
      </c>
      <c r="M36" s="8">
        <v>0</v>
      </c>
      <c r="N36" s="8">
        <v>5</v>
      </c>
      <c r="O36" s="8">
        <v>1</v>
      </c>
    </row>
    <row r="37" spans="2:15" ht="15" customHeight="1">
      <c r="B37" s="16" t="s">
        <v>86</v>
      </c>
      <c r="C37" s="16" t="s">
        <v>87</v>
      </c>
      <c r="D37" s="16" t="s">
        <v>69</v>
      </c>
      <c r="E37" s="8">
        <v>4</v>
      </c>
      <c r="F37" s="8">
        <v>14</v>
      </c>
      <c r="G37" s="8">
        <v>0</v>
      </c>
      <c r="H37" s="8">
        <v>1</v>
      </c>
      <c r="I37" s="8">
        <v>0</v>
      </c>
      <c r="J37" s="8">
        <v>0</v>
      </c>
      <c r="K37" s="8">
        <v>3</v>
      </c>
      <c r="L37" s="8">
        <v>1</v>
      </c>
      <c r="M37" s="8">
        <v>0</v>
      </c>
      <c r="N37" s="8">
        <v>4</v>
      </c>
      <c r="O37" s="8">
        <v>4</v>
      </c>
    </row>
    <row r="38" spans="2:15" ht="15" customHeight="1">
      <c r="B38" s="16" t="s">
        <v>88</v>
      </c>
      <c r="C38" s="16" t="s">
        <v>89</v>
      </c>
      <c r="D38" s="16" t="s">
        <v>69</v>
      </c>
      <c r="E38" s="8">
        <v>2</v>
      </c>
      <c r="F38" s="8">
        <v>1495000</v>
      </c>
      <c r="G38" s="8">
        <v>154</v>
      </c>
      <c r="H38" s="8">
        <v>6</v>
      </c>
      <c r="I38" s="8">
        <v>133</v>
      </c>
      <c r="J38" s="8">
        <v>0</v>
      </c>
      <c r="K38" s="8">
        <v>0</v>
      </c>
      <c r="L38" s="8">
        <v>2</v>
      </c>
      <c r="M38" s="8">
        <v>0</v>
      </c>
      <c r="N38" s="8">
        <v>2</v>
      </c>
      <c r="O38" s="8">
        <v>2</v>
      </c>
    </row>
    <row r="39" spans="2:15" ht="15" customHeight="1">
      <c r="B39" s="16" t="s">
        <v>90</v>
      </c>
      <c r="C39" s="16" t="s">
        <v>91</v>
      </c>
      <c r="D39" s="16" t="s">
        <v>66</v>
      </c>
      <c r="E39" s="8">
        <v>2</v>
      </c>
      <c r="F39" s="8">
        <v>153614</v>
      </c>
      <c r="G39" s="8">
        <v>0</v>
      </c>
      <c r="H39" s="8">
        <v>0</v>
      </c>
      <c r="I39" s="8">
        <v>6</v>
      </c>
      <c r="J39" s="8">
        <v>0</v>
      </c>
      <c r="K39" s="8">
        <v>0</v>
      </c>
      <c r="L39" s="8">
        <v>2</v>
      </c>
      <c r="M39" s="8">
        <v>0</v>
      </c>
      <c r="N39" s="8">
        <v>2</v>
      </c>
      <c r="O39" s="8">
        <v>2</v>
      </c>
    </row>
    <row r="40" spans="2:15" ht="15" customHeight="1">
      <c r="B40" s="16" t="s">
        <v>92</v>
      </c>
      <c r="C40" s="16" t="s">
        <v>93</v>
      </c>
      <c r="D40" s="16" t="s">
        <v>75</v>
      </c>
      <c r="E40" s="8">
        <v>2</v>
      </c>
      <c r="F40" s="8">
        <v>81</v>
      </c>
      <c r="G40" s="8">
        <v>0</v>
      </c>
      <c r="H40" s="8">
        <v>0</v>
      </c>
      <c r="I40" s="8">
        <v>0</v>
      </c>
      <c r="J40" s="8">
        <v>0</v>
      </c>
      <c r="K40" s="8">
        <v>0</v>
      </c>
      <c r="L40" s="8">
        <v>2</v>
      </c>
      <c r="M40" s="8">
        <v>0</v>
      </c>
      <c r="N40" s="8">
        <v>2</v>
      </c>
      <c r="O40" s="8">
        <v>2</v>
      </c>
    </row>
    <row r="41" spans="2:15" ht="15" customHeight="1">
      <c r="B41" s="16" t="s">
        <v>94</v>
      </c>
      <c r="C41" s="16" t="s">
        <v>95</v>
      </c>
      <c r="D41" s="16" t="s">
        <v>75</v>
      </c>
      <c r="E41" s="8">
        <v>2</v>
      </c>
      <c r="F41" s="8">
        <v>0</v>
      </c>
      <c r="G41" s="8">
        <v>0</v>
      </c>
      <c r="H41" s="8">
        <v>0</v>
      </c>
      <c r="I41" s="8">
        <v>0</v>
      </c>
      <c r="J41" s="8">
        <v>0</v>
      </c>
      <c r="K41" s="8">
        <v>2</v>
      </c>
      <c r="L41" s="8">
        <v>0</v>
      </c>
      <c r="M41" s="8">
        <v>0</v>
      </c>
      <c r="N41" s="8">
        <v>2</v>
      </c>
      <c r="O41" s="8">
        <v>1</v>
      </c>
    </row>
    <row r="42" spans="2:15" ht="15" customHeight="1">
      <c r="B42" s="16" t="s">
        <v>96</v>
      </c>
      <c r="C42" s="16" t="s">
        <v>97</v>
      </c>
      <c r="D42" s="16" t="s">
        <v>57</v>
      </c>
      <c r="E42" s="8">
        <v>2</v>
      </c>
      <c r="F42" s="8" t="s">
        <v>82</v>
      </c>
      <c r="G42" s="8">
        <v>0</v>
      </c>
      <c r="H42" s="8" t="s">
        <v>82</v>
      </c>
      <c r="I42" s="8">
        <v>0</v>
      </c>
      <c r="J42" s="8">
        <v>5</v>
      </c>
      <c r="K42" s="8">
        <v>2</v>
      </c>
      <c r="L42" s="8">
        <v>0</v>
      </c>
      <c r="M42" s="8">
        <v>0</v>
      </c>
      <c r="N42" s="8">
        <v>2</v>
      </c>
      <c r="O42" s="8">
        <v>2</v>
      </c>
    </row>
    <row r="43" spans="2:15" ht="15" customHeight="1">
      <c r="B43" s="16" t="s">
        <v>98</v>
      </c>
      <c r="C43" s="16" t="s">
        <v>99</v>
      </c>
      <c r="D43" s="16" t="s">
        <v>57</v>
      </c>
      <c r="E43" s="8">
        <v>2</v>
      </c>
      <c r="F43" s="8" t="s">
        <v>82</v>
      </c>
      <c r="G43" s="8">
        <v>0</v>
      </c>
      <c r="H43" s="8" t="s">
        <v>82</v>
      </c>
      <c r="I43" s="8">
        <v>0</v>
      </c>
      <c r="J43" s="8">
        <v>5</v>
      </c>
      <c r="K43" s="8">
        <v>2</v>
      </c>
      <c r="L43" s="8">
        <v>0</v>
      </c>
      <c r="M43" s="8">
        <v>0</v>
      </c>
      <c r="N43" s="8">
        <v>2</v>
      </c>
      <c r="O43" s="8">
        <v>1</v>
      </c>
    </row>
    <row r="44" spans="2:15" ht="15" customHeight="1">
      <c r="B44" s="16" t="s">
        <v>100</v>
      </c>
      <c r="C44" s="16" t="s">
        <v>101</v>
      </c>
      <c r="D44" s="16" t="s">
        <v>57</v>
      </c>
      <c r="E44" s="8">
        <v>2</v>
      </c>
      <c r="F44" s="8" t="s">
        <v>82</v>
      </c>
      <c r="G44" s="8">
        <v>0</v>
      </c>
      <c r="H44" s="8" t="s">
        <v>82</v>
      </c>
      <c r="I44" s="8">
        <v>0</v>
      </c>
      <c r="J44" s="8">
        <v>5</v>
      </c>
      <c r="K44" s="8">
        <v>2</v>
      </c>
      <c r="L44" s="8">
        <v>0</v>
      </c>
      <c r="M44" s="8">
        <v>0</v>
      </c>
      <c r="N44" s="8">
        <v>2</v>
      </c>
      <c r="O44" s="8">
        <v>1</v>
      </c>
    </row>
    <row r="45" spans="2:15" ht="15" customHeight="1">
      <c r="B45" s="16" t="s">
        <v>102</v>
      </c>
      <c r="C45" s="16" t="s">
        <v>103</v>
      </c>
      <c r="D45" s="16" t="s">
        <v>69</v>
      </c>
      <c r="E45" s="8">
        <v>1</v>
      </c>
      <c r="F45" s="8">
        <v>826</v>
      </c>
      <c r="G45" s="8">
        <v>0</v>
      </c>
      <c r="H45" s="8">
        <v>0</v>
      </c>
      <c r="I45" s="8">
        <v>0</v>
      </c>
      <c r="J45" s="8">
        <v>0</v>
      </c>
      <c r="K45" s="8">
        <v>0</v>
      </c>
      <c r="L45" s="8">
        <v>1</v>
      </c>
      <c r="M45" s="8">
        <v>0</v>
      </c>
      <c r="N45" s="8">
        <v>1</v>
      </c>
      <c r="O45" s="8">
        <v>1</v>
      </c>
    </row>
    <row r="46" spans="2:15" ht="15" customHeight="1">
      <c r="B46" s="16" t="s">
        <v>104</v>
      </c>
      <c r="C46" s="16" t="s">
        <v>105</v>
      </c>
      <c r="D46" s="16" t="s">
        <v>66</v>
      </c>
      <c r="E46" s="8">
        <v>1</v>
      </c>
      <c r="F46" s="8">
        <v>415500</v>
      </c>
      <c r="G46" s="8">
        <v>1577</v>
      </c>
      <c r="H46" s="8">
        <v>84</v>
      </c>
      <c r="I46" s="8">
        <v>0</v>
      </c>
      <c r="J46" s="8">
        <v>0</v>
      </c>
      <c r="K46" s="8">
        <v>0</v>
      </c>
      <c r="L46" s="8">
        <v>1</v>
      </c>
      <c r="M46" s="8">
        <v>0</v>
      </c>
      <c r="N46" s="8">
        <v>1</v>
      </c>
      <c r="O46" s="8">
        <v>1</v>
      </c>
    </row>
    <row r="47" spans="2:15" ht="15" customHeight="1">
      <c r="B47" s="16" t="s">
        <v>106</v>
      </c>
      <c r="C47" s="16" t="s">
        <v>107</v>
      </c>
      <c r="D47" s="16" t="s">
        <v>75</v>
      </c>
      <c r="E47" s="8">
        <v>1</v>
      </c>
      <c r="F47" s="8">
        <v>0</v>
      </c>
      <c r="G47" s="8">
        <v>0</v>
      </c>
      <c r="H47" s="8">
        <v>0</v>
      </c>
      <c r="I47" s="8">
        <v>0</v>
      </c>
      <c r="J47" s="8">
        <v>0</v>
      </c>
      <c r="K47" s="8">
        <v>0</v>
      </c>
      <c r="L47" s="8">
        <v>1</v>
      </c>
      <c r="M47" s="8">
        <v>0</v>
      </c>
      <c r="N47" s="8">
        <v>1</v>
      </c>
      <c r="O47" s="8">
        <v>1</v>
      </c>
    </row>
    <row r="48" spans="2:15" ht="15" customHeight="1">
      <c r="B48" s="16" t="s">
        <v>108</v>
      </c>
      <c r="C48" s="16" t="s">
        <v>109</v>
      </c>
      <c r="D48" s="16" t="s">
        <v>61</v>
      </c>
      <c r="E48" s="8">
        <v>1</v>
      </c>
      <c r="F48" s="8">
        <v>1060000</v>
      </c>
      <c r="G48" s="8">
        <v>0</v>
      </c>
      <c r="H48" s="8">
        <v>10</v>
      </c>
      <c r="I48" s="8">
        <v>0</v>
      </c>
      <c r="J48" s="8">
        <v>0</v>
      </c>
      <c r="K48" s="8">
        <v>0</v>
      </c>
      <c r="L48" s="8">
        <v>1</v>
      </c>
      <c r="M48" s="8">
        <v>0</v>
      </c>
      <c r="N48" s="8">
        <v>1</v>
      </c>
      <c r="O48" s="8">
        <v>1</v>
      </c>
    </row>
    <row r="49" spans="2:15" ht="15" customHeight="1">
      <c r="B49" s="16" t="s">
        <v>110</v>
      </c>
      <c r="C49" s="16" t="s">
        <v>111</v>
      </c>
      <c r="D49" s="16" t="s">
        <v>57</v>
      </c>
      <c r="E49" s="8">
        <v>1</v>
      </c>
      <c r="F49" s="8" t="s">
        <v>82</v>
      </c>
      <c r="G49" s="8">
        <v>0</v>
      </c>
      <c r="H49" s="8" t="s">
        <v>82</v>
      </c>
      <c r="I49" s="8">
        <v>0</v>
      </c>
      <c r="J49" s="8">
        <v>4</v>
      </c>
      <c r="K49" s="8">
        <v>1</v>
      </c>
      <c r="L49" s="8">
        <v>0</v>
      </c>
      <c r="M49" s="8">
        <v>0</v>
      </c>
      <c r="N49" s="8">
        <v>1</v>
      </c>
      <c r="O49" s="8">
        <v>1</v>
      </c>
    </row>
    <row r="50" spans="2:15" ht="15" customHeight="1">
      <c r="B50" s="16" t="s">
        <v>112</v>
      </c>
      <c r="C50" s="16" t="s">
        <v>113</v>
      </c>
      <c r="D50" s="16" t="s">
        <v>57</v>
      </c>
      <c r="E50" s="8">
        <v>1</v>
      </c>
      <c r="F50" s="8" t="s">
        <v>82</v>
      </c>
      <c r="G50" s="8">
        <v>0</v>
      </c>
      <c r="H50" s="8" t="s">
        <v>82</v>
      </c>
      <c r="I50" s="8">
        <v>0</v>
      </c>
      <c r="J50" s="8">
        <v>5</v>
      </c>
      <c r="K50" s="8">
        <v>1</v>
      </c>
      <c r="L50" s="8">
        <v>0</v>
      </c>
      <c r="M50" s="8">
        <v>0</v>
      </c>
      <c r="N50" s="8">
        <v>1</v>
      </c>
      <c r="O50" s="8">
        <v>1</v>
      </c>
    </row>
    <row r="51" spans="2:15" ht="15" customHeight="1">
      <c r="B51" s="16" t="s">
        <v>114</v>
      </c>
      <c r="C51" s="16" t="s">
        <v>115</v>
      </c>
      <c r="D51" s="16" t="s">
        <v>57</v>
      </c>
      <c r="E51" s="8">
        <v>1</v>
      </c>
      <c r="F51" s="8" t="s">
        <v>82</v>
      </c>
      <c r="G51" s="8">
        <v>0</v>
      </c>
      <c r="H51" s="8" t="s">
        <v>82</v>
      </c>
      <c r="I51" s="8">
        <v>0</v>
      </c>
      <c r="J51" s="8">
        <v>5</v>
      </c>
      <c r="K51" s="8">
        <v>1</v>
      </c>
      <c r="L51" s="8">
        <v>0</v>
      </c>
      <c r="M51" s="8">
        <v>0</v>
      </c>
      <c r="N51" s="8">
        <v>1</v>
      </c>
      <c r="O51" s="8">
        <v>1</v>
      </c>
    </row>
    <row r="52" spans="2:15" ht="15" customHeight="1">
      <c r="B52" s="16" t="s">
        <v>116</v>
      </c>
      <c r="C52" s="16" t="s">
        <v>117</v>
      </c>
      <c r="D52" s="16" t="s">
        <v>75</v>
      </c>
      <c r="E52" s="8">
        <v>1</v>
      </c>
      <c r="F52" s="8">
        <v>0</v>
      </c>
      <c r="G52" s="8">
        <v>0</v>
      </c>
      <c r="H52" s="8">
        <v>0</v>
      </c>
      <c r="I52" s="8">
        <v>0</v>
      </c>
      <c r="J52" s="8">
        <v>0</v>
      </c>
      <c r="K52" s="8">
        <v>1</v>
      </c>
      <c r="L52" s="8">
        <v>0</v>
      </c>
      <c r="M52" s="8">
        <v>0</v>
      </c>
      <c r="N52" s="8">
        <v>1</v>
      </c>
      <c r="O52" s="8">
        <v>1</v>
      </c>
    </row>
  </sheetData>
  <autoFilter ref="B27:O27"/>
  <hyperlinks>
    <hyperlink ref="C1" location="Содержание!B4" display="К содержанию"/>
    <hyperlink ref="C28" r:id="rId1" display="http://vk.com"/>
    <hyperlink ref="C29" r:id="rId2" display="http://dzen.ru"/>
    <hyperlink ref="C30" r:id="rId3" display="http://telegram.org"/>
    <hyperlink ref="C31" r:id="rId4" display="http://sprosivracha.com"/>
    <hyperlink ref="C32" r:id="rId5" display="http://mom.life"/>
    <hyperlink ref="C33" r:id="rId6" display="http://ok.ru"/>
    <hyperlink ref="C34" r:id="rId7" display="http://otzovik.com"/>
    <hyperlink ref="C35" r:id="rId8" display="http://telegram.org"/>
    <hyperlink ref="C36" r:id="rId9" display="http://ozon.ru"/>
    <hyperlink ref="C37" r:id="rId10" display="http://threads.com"/>
    <hyperlink ref="C38" r:id="rId11" display="http://youtube.com"/>
    <hyperlink ref="C39" r:id="rId12" display="http://instagram.com"/>
    <hyperlink ref="C40" r:id="rId13" display="http://babyblog.ru"/>
    <hyperlink ref="C41" r:id="rId14" display="http://woman.ru"/>
    <hyperlink ref="C42" r:id="rId15" display="http://otzyv.pro"/>
    <hyperlink ref="C43" r:id="rId16" display="http://vashe-mnenie.com"/>
    <hyperlink ref="C44" r:id="rId17" display="http://otzyvru.com"/>
    <hyperlink ref="C45" r:id="rId18" display="http://rutube.ru"/>
    <hyperlink ref="C46" r:id="rId19" display="http://tiktok.com"/>
    <hyperlink ref="C47" r:id="rId20" display="http://forum.baby.ru"/>
    <hyperlink ref="C48" r:id="rId21" display="http://sports.ru"/>
    <hyperlink ref="C49" r:id="rId22" display="http://irecommend.ru"/>
    <hyperlink ref="C50" r:id="rId23" display="http://market.yandex.ru"/>
    <hyperlink ref="C51" r:id="rId24" display="http://medcentre24.ru"/>
    <hyperlink ref="C52" r:id="rId25" display="http://medum.ru"/>
  </hyperlinks>
  <pageMargins left="0.75" right="0.75" top="1" bottom="1" header="0.5" footer="0.5"/>
  <drawing r:id="rId26"/>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746f7fd2-13a0-4bd8-8def-7c476a3815b4}">
  <dimension ref="B1:K13"/>
  <sheetViews>
    <sheetView showGridLines="0" workbookViewId="0" topLeftCell="A1"/>
  </sheetViews>
  <sheetFormatPr defaultRowHeight="12.75"/>
  <cols>
    <col min="1" max="1" width="4.714285714285714" customWidth="1"/>
    <col min="2" max="2" width="22.714285714285715" customWidth="1"/>
    <col min="3" max="11" width="17.714285714285715" customWidth="1"/>
  </cols>
  <sheetData>
    <row r="1" spans="2:3" s="1" customFormat="1" ht="30" customHeight="1">
      <c r="B1" s="1" t="s">
        <v>0</v>
      </c>
      <c r="C1" s="4" t="s">
        <v>2</v>
      </c>
    </row>
    <row r="4" spans="2:2" ht="12.75">
      <c r="B4" s="2" t="s">
        <v>24</v>
      </c>
    </row>
    <row r="6" spans="2:11" ht="30" customHeight="1">
      <c r="B6" s="5" t="s">
        <v>122</v>
      </c>
      <c r="C6" s="6" t="s">
        <v>5</v>
      </c>
      <c r="D6" s="6" t="s">
        <v>40</v>
      </c>
      <c r="E6" s="6" t="s">
        <v>41</v>
      </c>
      <c r="F6" s="6" t="s">
        <v>45</v>
      </c>
      <c r="G6" s="6" t="s">
        <v>43</v>
      </c>
      <c r="H6" s="6" t="s">
        <v>47</v>
      </c>
      <c r="I6" s="6" t="s">
        <v>48</v>
      </c>
      <c r="J6" s="6" t="s">
        <v>28</v>
      </c>
      <c r="K6" s="6" t="s">
        <v>27</v>
      </c>
    </row>
    <row r="7" spans="2:11" ht="15" customHeight="1">
      <c r="B7" s="16" t="s">
        <v>123</v>
      </c>
      <c r="C7" s="8">
        <v>28</v>
      </c>
      <c r="D7" s="8">
        <v>1046721</v>
      </c>
      <c r="E7" s="8">
        <v>52</v>
      </c>
      <c r="F7" s="8">
        <v>209</v>
      </c>
      <c r="G7" s="8">
        <v>17</v>
      </c>
      <c r="H7" s="8">
        <v>11</v>
      </c>
      <c r="I7" s="8">
        <v>0</v>
      </c>
      <c r="J7" s="8">
        <v>18</v>
      </c>
      <c r="K7" s="8">
        <v>23</v>
      </c>
    </row>
    <row r="8" spans="2:11" ht="15" customHeight="1">
      <c r="B8" s="16" t="s">
        <v>124</v>
      </c>
      <c r="C8" s="8">
        <v>18</v>
      </c>
      <c r="D8" s="8">
        <v>660225</v>
      </c>
      <c r="E8" s="8">
        <v>13</v>
      </c>
      <c r="F8" s="8">
        <v>35</v>
      </c>
      <c r="G8" s="8">
        <v>13</v>
      </c>
      <c r="H8" s="8">
        <v>5</v>
      </c>
      <c r="I8" s="8">
        <v>0</v>
      </c>
      <c r="J8" s="8">
        <v>12</v>
      </c>
      <c r="K8" s="8">
        <v>15</v>
      </c>
    </row>
    <row r="9" spans="2:11" ht="15" customHeight="1">
      <c r="B9" s="16" t="s">
        <v>125</v>
      </c>
      <c r="C9" s="8">
        <v>14</v>
      </c>
      <c r="D9" s="8">
        <v>2278496</v>
      </c>
      <c r="E9" s="8">
        <v>7</v>
      </c>
      <c r="F9" s="8">
        <v>166</v>
      </c>
      <c r="G9" s="8">
        <v>5</v>
      </c>
      <c r="H9" s="8">
        <v>8</v>
      </c>
      <c r="I9" s="8">
        <v>1</v>
      </c>
      <c r="J9" s="8">
        <v>12</v>
      </c>
      <c r="K9" s="8">
        <v>11</v>
      </c>
    </row>
    <row r="10" spans="2:11" ht="15" customHeight="1">
      <c r="B10" s="16" t="s">
        <v>126</v>
      </c>
      <c r="C10" s="8">
        <v>10</v>
      </c>
      <c r="D10" s="8">
        <v>1737531</v>
      </c>
      <c r="E10" s="8">
        <v>6</v>
      </c>
      <c r="F10" s="8">
        <v>56</v>
      </c>
      <c r="G10" s="8">
        <v>5</v>
      </c>
      <c r="H10" s="8">
        <v>5</v>
      </c>
      <c r="I10" s="8">
        <v>0</v>
      </c>
      <c r="J10" s="8">
        <v>9</v>
      </c>
      <c r="K10" s="8">
        <v>7</v>
      </c>
    </row>
    <row r="11" spans="2:11" ht="15" customHeight="1">
      <c r="B11" s="16" t="s">
        <v>127</v>
      </c>
      <c r="C11" s="8">
        <v>2</v>
      </c>
      <c r="D11" s="8">
        <v>20907</v>
      </c>
      <c r="E11" s="8">
        <v>1</v>
      </c>
      <c r="F11" s="8">
        <v>2</v>
      </c>
      <c r="G11" s="8">
        <v>1</v>
      </c>
      <c r="H11" s="8">
        <v>1</v>
      </c>
      <c r="I11" s="8">
        <v>0</v>
      </c>
      <c r="J11" s="8">
        <v>2</v>
      </c>
      <c r="K11" s="8">
        <v>1</v>
      </c>
    </row>
    <row r="12" spans="2:11" ht="15" customHeight="1">
      <c r="B12" s="16" t="s">
        <v>128</v>
      </c>
      <c r="C12" s="8">
        <v>2</v>
      </c>
      <c r="D12" s="8">
        <v>816457</v>
      </c>
      <c r="E12" s="8" t="s">
        <v>129</v>
      </c>
      <c r="F12" s="8">
        <v>5</v>
      </c>
      <c r="G12" s="8">
        <v>1</v>
      </c>
      <c r="H12" s="8">
        <v>1</v>
      </c>
      <c r="I12" s="8">
        <v>0</v>
      </c>
      <c r="J12" s="8">
        <v>2</v>
      </c>
      <c r="K12" s="8">
        <v>2</v>
      </c>
    </row>
    <row r="13" spans="2:11" ht="15" customHeight="1">
      <c r="B13" s="16" t="s">
        <v>130</v>
      </c>
      <c r="C13" s="8">
        <v>1</v>
      </c>
      <c r="D13" s="8">
        <v>209511</v>
      </c>
      <c r="E13" s="8" t="s">
        <v>129</v>
      </c>
      <c r="F13" s="8">
        <v>0</v>
      </c>
      <c r="G13" s="8">
        <v>0</v>
      </c>
      <c r="H13" s="8">
        <v>1</v>
      </c>
      <c r="I13" s="8">
        <v>0</v>
      </c>
      <c r="J13" s="8">
        <v>1</v>
      </c>
      <c r="K13" s="8">
        <v>1</v>
      </c>
    </row>
  </sheetData>
  <autoFilter ref="B6:K6"/>
  <hyperlinks>
    <hyperlink ref="C1" location="Содержание!B4" display="К содержанию"/>
  </hyperlinks>
  <pageMargins left="0.75" right="0.75" top="1" bottom="1" header="0.5" footer="0.5"/>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abdf3132-e7b5-41c0-95af-947e159eeb06}">
  <dimension ref="B1:W163"/>
  <sheetViews>
    <sheetView showGridLines="0" workbookViewId="0" topLeftCell="A1"/>
  </sheetViews>
  <sheetFormatPr defaultRowHeight="12.75"/>
  <cols>
    <col min="1" max="1" width="4.714285714285714" customWidth="1"/>
    <col min="2" max="2" width="40.714285714285715" customWidth="1"/>
    <col min="3" max="3" width="15.714285714285714" customWidth="1"/>
    <col min="4" max="4" width="23" customWidth="1"/>
    <col min="5" max="5" width="18.857142857142858" customWidth="1"/>
    <col min="6" max="6" width="14.714285714285714" customWidth="1"/>
    <col min="7" max="7" width="15.714285714285714" customWidth="1"/>
    <col min="8" max="8" width="17.285714285714285" customWidth="1"/>
    <col min="9" max="11" width="15.714285714285714" customWidth="1"/>
    <col min="12" max="12" width="16.714285714285715" customWidth="1"/>
    <col min="13" max="23" width="15.714285714285714" customWidth="1"/>
  </cols>
  <sheetData>
    <row r="1" spans="2:3" s="1" customFormat="1" ht="30" customHeight="1">
      <c r="B1" s="1" t="s">
        <v>0</v>
      </c>
      <c r="C1" s="4" t="s">
        <v>2</v>
      </c>
    </row>
    <row r="4" spans="2:2" ht="12.75">
      <c r="B4" s="2" t="s">
        <v>27</v>
      </c>
    </row>
    <row r="6" spans="2:2" ht="12.75" customHeight="1"/>
    <row r="7" ht="12.75" customHeight="1"/>
    <row r="8" ht="12.75" customHeight="1"/>
    <row r="9" ht="12.75" customHeight="1"/>
    <row r="10" ht="12.75" customHeight="1"/>
    <row r="11" ht="12.75" customHeight="1"/>
    <row r="12" ht="12.75" customHeight="1"/>
    <row r="13" ht="12.75" customHeight="1"/>
    <row r="14" ht="12.75" customHeight="1"/>
    <row r="15" ht="12.75" customHeight="1"/>
    <row r="16" ht="12.75" customHeight="1"/>
    <row r="17" ht="12.75" customHeight="1"/>
    <row r="18" ht="12.75" customHeight="1"/>
    <row r="19" ht="12.75" customHeight="1"/>
    <row r="20" ht="12.75" customHeight="1"/>
    <row r="21" ht="12.75" customHeight="1"/>
    <row r="22" ht="12.75" customHeight="1"/>
    <row r="23" ht="12.75" customHeight="1"/>
    <row r="24" ht="12.75" customHeight="1"/>
    <row r="25" spans="2:2" ht="12.75">
      <c r="B25" s="12" t="s">
        <v>145</v>
      </c>
    </row>
    <row r="27" spans="2:23" ht="30" customHeight="1">
      <c r="B27" s="5" t="s">
        <v>146</v>
      </c>
      <c r="C27" s="5" t="s">
        <v>122</v>
      </c>
      <c r="D27" s="5" t="s">
        <v>63</v>
      </c>
      <c r="E27" s="5" t="s">
        <v>59</v>
      </c>
      <c r="F27" s="5" t="s">
        <v>39</v>
      </c>
      <c r="G27" s="6" t="s">
        <v>5</v>
      </c>
      <c r="H27" s="6" t="s">
        <v>147</v>
      </c>
      <c r="I27" s="6" t="s">
        <v>45</v>
      </c>
      <c r="J27" s="6" t="s">
        <v>40</v>
      </c>
      <c r="K27" s="6" t="s">
        <v>46</v>
      </c>
      <c r="L27" s="6" t="s">
        <v>41</v>
      </c>
      <c r="M27" s="6" t="s">
        <v>133</v>
      </c>
      <c r="N27" s="6" t="s">
        <v>134</v>
      </c>
      <c r="O27" s="6" t="s">
        <v>135</v>
      </c>
      <c r="P27" s="6" t="s">
        <v>22</v>
      </c>
      <c r="Q27" s="6" t="s">
        <v>43</v>
      </c>
      <c r="R27" s="6" t="s">
        <v>47</v>
      </c>
      <c r="S27" s="6" t="s">
        <v>48</v>
      </c>
      <c r="T27" s="6" t="s">
        <v>28</v>
      </c>
      <c r="U27" s="5" t="s">
        <v>141</v>
      </c>
      <c r="V27" s="5" t="s">
        <v>148</v>
      </c>
      <c r="W27" s="5" t="s">
        <v>149</v>
      </c>
    </row>
    <row r="28" spans="2:23" ht="15" customHeight="1">
      <c r="B28" s="16" t="s">
        <v>150</v>
      </c>
      <c r="C28" s="16" t="s">
        <v>151</v>
      </c>
      <c r="D28" s="16" t="s">
        <v>152</v>
      </c>
      <c r="E28" s="16" t="s">
        <v>70</v>
      </c>
      <c r="F28" s="16" t="s">
        <v>153</v>
      </c>
      <c r="G28" s="8">
        <v>11</v>
      </c>
      <c r="H28" s="8">
        <v>0</v>
      </c>
      <c r="I28" s="8">
        <v>0</v>
      </c>
      <c r="J28" s="8">
        <v>4402</v>
      </c>
      <c r="K28" s="8">
        <v>0</v>
      </c>
      <c r="L28" s="8">
        <v>0</v>
      </c>
      <c r="M28" s="8">
        <v>0</v>
      </c>
      <c r="N28" s="8">
        <v>0</v>
      </c>
      <c r="O28" s="8">
        <v>0</v>
      </c>
      <c r="P28" s="8">
        <v>0</v>
      </c>
      <c r="Q28" s="8">
        <v>0</v>
      </c>
      <c r="R28" s="8">
        <v>11</v>
      </c>
      <c r="S28" s="8">
        <v>0</v>
      </c>
      <c r="T28" s="24">
        <v>1</v>
      </c>
      <c r="U28" s="16"/>
      <c r="V28" s="16" t="s">
        <v>53</v>
      </c>
      <c r="W28" s="16"/>
    </row>
    <row r="29" spans="2:23" ht="15" customHeight="1">
      <c r="B29" s="16" t="s">
        <v>154</v>
      </c>
      <c r="C29" s="16" t="s">
        <v>151</v>
      </c>
      <c r="D29" s="16" t="s">
        <v>155</v>
      </c>
      <c r="E29" s="16" t="s">
        <v>84</v>
      </c>
      <c r="F29" s="16" t="s">
        <v>156</v>
      </c>
      <c r="G29" s="8">
        <v>5</v>
      </c>
      <c r="H29" s="8"/>
      <c r="I29" s="8">
        <v>0</v>
      </c>
      <c r="J29" s="8" t="s">
        <v>82</v>
      </c>
      <c r="K29" s="8">
        <v>0</v>
      </c>
      <c r="L29" s="8" t="s">
        <v>82</v>
      </c>
      <c r="M29" s="8">
        <v>0</v>
      </c>
      <c r="N29" s="8">
        <v>0</v>
      </c>
      <c r="O29" s="8">
        <v>0</v>
      </c>
      <c r="P29" s="8">
        <v>4.7999999999999998</v>
      </c>
      <c r="Q29" s="8">
        <v>5</v>
      </c>
      <c r="R29" s="8">
        <v>0</v>
      </c>
      <c r="S29" s="8">
        <v>0</v>
      </c>
      <c r="T29" s="24">
        <v>5</v>
      </c>
      <c r="U29" s="16"/>
      <c r="V29" s="16" t="s">
        <v>53</v>
      </c>
      <c r="W29" s="16"/>
    </row>
    <row r="30" spans="2:23" ht="15" customHeight="1">
      <c r="B30" s="16" t="s">
        <v>157</v>
      </c>
      <c r="C30" s="16" t="s">
        <v>151</v>
      </c>
      <c r="D30" s="16" t="s">
        <v>158</v>
      </c>
      <c r="E30" s="16" t="s">
        <v>64</v>
      </c>
      <c r="F30" s="16" t="s">
        <v>153</v>
      </c>
      <c r="G30" s="8">
        <v>4</v>
      </c>
      <c r="H30" s="8">
        <v>14</v>
      </c>
      <c r="I30" s="8">
        <v>4</v>
      </c>
      <c r="J30" s="8">
        <v>8655</v>
      </c>
      <c r="K30" s="8">
        <v>0</v>
      </c>
      <c r="L30" s="8">
        <v>6</v>
      </c>
      <c r="M30" s="8">
        <v>6</v>
      </c>
      <c r="N30" s="8">
        <v>0</v>
      </c>
      <c r="O30" s="8">
        <v>0</v>
      </c>
      <c r="P30" s="8">
        <v>0</v>
      </c>
      <c r="Q30" s="8">
        <v>3</v>
      </c>
      <c r="R30" s="8">
        <v>1</v>
      </c>
      <c r="S30" s="8">
        <v>0</v>
      </c>
      <c r="T30" s="24">
        <v>4</v>
      </c>
      <c r="U30" s="16" t="s">
        <v>142</v>
      </c>
      <c r="V30" s="16" t="s">
        <v>159</v>
      </c>
      <c r="W30" s="16" t="s">
        <v>160</v>
      </c>
    </row>
    <row r="31" spans="2:23" ht="15" customHeight="1">
      <c r="B31" s="16" t="s">
        <v>161</v>
      </c>
      <c r="C31" s="16" t="s">
        <v>151</v>
      </c>
      <c r="D31" s="16" t="s">
        <v>162</v>
      </c>
      <c r="E31" s="16" t="s">
        <v>64</v>
      </c>
      <c r="F31" s="16" t="s">
        <v>153</v>
      </c>
      <c r="G31" s="8">
        <v>4</v>
      </c>
      <c r="H31" s="8">
        <v>234</v>
      </c>
      <c r="I31" s="8">
        <v>16</v>
      </c>
      <c r="J31" s="8">
        <v>191376</v>
      </c>
      <c r="K31" s="8">
        <v>0</v>
      </c>
      <c r="L31" s="8">
        <v>0</v>
      </c>
      <c r="M31" s="8">
        <v>0</v>
      </c>
      <c r="N31" s="8">
        <v>0</v>
      </c>
      <c r="O31" s="8">
        <v>0</v>
      </c>
      <c r="P31" s="8">
        <v>0</v>
      </c>
      <c r="Q31" s="8">
        <v>0</v>
      </c>
      <c r="R31" s="8">
        <v>3</v>
      </c>
      <c r="S31" s="8">
        <v>1</v>
      </c>
      <c r="T31" s="24">
        <v>4</v>
      </c>
      <c r="U31" s="16" t="s">
        <v>142</v>
      </c>
      <c r="V31" s="16" t="s">
        <v>163</v>
      </c>
      <c r="W31" s="16" t="s">
        <v>164</v>
      </c>
    </row>
    <row r="32" spans="2:23" ht="15" customHeight="1">
      <c r="B32" s="16" t="s">
        <v>165</v>
      </c>
      <c r="C32" s="16" t="s">
        <v>151</v>
      </c>
      <c r="D32" s="16" t="s">
        <v>166</v>
      </c>
      <c r="E32" s="16" t="s">
        <v>78</v>
      </c>
      <c r="F32" s="16" t="s">
        <v>167</v>
      </c>
      <c r="G32" s="8">
        <v>4</v>
      </c>
      <c r="H32" s="8"/>
      <c r="I32" s="8">
        <v>0</v>
      </c>
      <c r="J32" s="8">
        <v>331</v>
      </c>
      <c r="K32" s="8">
        <v>0</v>
      </c>
      <c r="L32" s="8">
        <v>0</v>
      </c>
      <c r="M32" s="8">
        <v>0</v>
      </c>
      <c r="N32" s="8">
        <v>0</v>
      </c>
      <c r="O32" s="8">
        <v>0</v>
      </c>
      <c r="P32" s="8">
        <v>0</v>
      </c>
      <c r="Q32" s="8">
        <v>0</v>
      </c>
      <c r="R32" s="8">
        <v>4</v>
      </c>
      <c r="S32" s="8">
        <v>0</v>
      </c>
      <c r="T32" s="24">
        <v>1</v>
      </c>
      <c r="U32" s="16" t="s">
        <v>142</v>
      </c>
      <c r="V32" s="16" t="s">
        <v>168</v>
      </c>
      <c r="W32" s="16" t="s">
        <v>169</v>
      </c>
    </row>
    <row r="33" spans="2:23" ht="15" customHeight="1">
      <c r="B33" s="16" t="s">
        <v>170</v>
      </c>
      <c r="C33" s="16" t="s">
        <v>151</v>
      </c>
      <c r="D33" s="16" t="s">
        <v>171</v>
      </c>
      <c r="E33" s="16" t="s">
        <v>64</v>
      </c>
      <c r="F33" s="16" t="s">
        <v>153</v>
      </c>
      <c r="G33" s="8">
        <v>3</v>
      </c>
      <c r="H33" s="8">
        <v>48</v>
      </c>
      <c r="I33" s="8">
        <v>3</v>
      </c>
      <c r="J33" s="8">
        <v>13924</v>
      </c>
      <c r="K33" s="8">
        <v>0</v>
      </c>
      <c r="L33" s="8">
        <v>8</v>
      </c>
      <c r="M33" s="8">
        <v>8</v>
      </c>
      <c r="N33" s="8">
        <v>0</v>
      </c>
      <c r="O33" s="8">
        <v>0</v>
      </c>
      <c r="P33" s="8">
        <v>0</v>
      </c>
      <c r="Q33" s="8">
        <v>2</v>
      </c>
      <c r="R33" s="8">
        <v>0</v>
      </c>
      <c r="S33" s="8">
        <v>1</v>
      </c>
      <c r="T33" s="24">
        <v>3</v>
      </c>
      <c r="U33" s="16" t="s">
        <v>142</v>
      </c>
      <c r="V33" s="16" t="s">
        <v>159</v>
      </c>
      <c r="W33" s="16" t="s">
        <v>172</v>
      </c>
    </row>
    <row r="34" spans="2:23" ht="15" customHeight="1">
      <c r="B34" s="16" t="s">
        <v>173</v>
      </c>
      <c r="C34" s="16" t="s">
        <v>151</v>
      </c>
      <c r="D34" s="16" t="s">
        <v>174</v>
      </c>
      <c r="E34" s="16" t="s">
        <v>76</v>
      </c>
      <c r="F34" s="16" t="s">
        <v>167</v>
      </c>
      <c r="G34" s="8">
        <v>3</v>
      </c>
      <c r="H34" s="8"/>
      <c r="I34" s="8">
        <v>0</v>
      </c>
      <c r="J34" s="8">
        <v>311</v>
      </c>
      <c r="K34" s="8">
        <v>1674</v>
      </c>
      <c r="L34" s="8">
        <v>23</v>
      </c>
      <c r="M34" s="8">
        <v>0</v>
      </c>
      <c r="N34" s="8">
        <v>23</v>
      </c>
      <c r="O34" s="8">
        <v>0</v>
      </c>
      <c r="P34" s="8">
        <v>0</v>
      </c>
      <c r="Q34" s="8">
        <v>0</v>
      </c>
      <c r="R34" s="8">
        <v>2</v>
      </c>
      <c r="S34" s="8">
        <v>1</v>
      </c>
      <c r="T34" s="24">
        <v>2</v>
      </c>
      <c r="U34" s="16" t="s">
        <v>142</v>
      </c>
      <c r="V34" s="16" t="s">
        <v>175</v>
      </c>
      <c r="W34" s="16" t="s">
        <v>176</v>
      </c>
    </row>
    <row r="35" spans="2:23" ht="15" customHeight="1">
      <c r="B35" s="16" t="s">
        <v>177</v>
      </c>
      <c r="C35" s="16" t="s">
        <v>151</v>
      </c>
      <c r="D35" s="16" t="s">
        <v>178</v>
      </c>
      <c r="E35" s="16" t="s">
        <v>67</v>
      </c>
      <c r="F35" s="16" t="s">
        <v>156</v>
      </c>
      <c r="G35" s="8">
        <v>3</v>
      </c>
      <c r="H35" s="8"/>
      <c r="I35" s="8">
        <v>0</v>
      </c>
      <c r="J35" s="8">
        <v>8389</v>
      </c>
      <c r="K35" s="8">
        <v>0</v>
      </c>
      <c r="L35" s="8">
        <v>0</v>
      </c>
      <c r="M35" s="8">
        <v>0</v>
      </c>
      <c r="N35" s="8">
        <v>0</v>
      </c>
      <c r="O35" s="8">
        <v>0</v>
      </c>
      <c r="P35" s="8">
        <v>0</v>
      </c>
      <c r="Q35" s="8">
        <v>2</v>
      </c>
      <c r="R35" s="8">
        <v>1</v>
      </c>
      <c r="S35" s="8">
        <v>0</v>
      </c>
      <c r="T35" s="24">
        <v>2</v>
      </c>
      <c r="U35" s="16"/>
      <c r="V35" s="16" t="s">
        <v>53</v>
      </c>
      <c r="W35" s="16"/>
    </row>
    <row r="36" spans="2:23" ht="15" customHeight="1">
      <c r="B36" s="16" t="s">
        <v>179</v>
      </c>
      <c r="C36" s="16" t="s">
        <v>151</v>
      </c>
      <c r="D36" s="16" t="s">
        <v>180</v>
      </c>
      <c r="E36" s="16" t="s">
        <v>80</v>
      </c>
      <c r="F36" s="16" t="s">
        <v>156</v>
      </c>
      <c r="G36" s="8">
        <v>3</v>
      </c>
      <c r="H36" s="8"/>
      <c r="I36" s="8">
        <v>0</v>
      </c>
      <c r="J36" s="8" t="s">
        <v>82</v>
      </c>
      <c r="K36" s="8">
        <v>0</v>
      </c>
      <c r="L36" s="8" t="s">
        <v>82</v>
      </c>
      <c r="M36" s="8">
        <v>10</v>
      </c>
      <c r="N36" s="8">
        <v>0</v>
      </c>
      <c r="O36" s="8">
        <v>0</v>
      </c>
      <c r="P36" s="8">
        <v>5</v>
      </c>
      <c r="Q36" s="8">
        <v>3</v>
      </c>
      <c r="R36" s="8">
        <v>0</v>
      </c>
      <c r="S36" s="8">
        <v>0</v>
      </c>
      <c r="T36" s="24">
        <v>3</v>
      </c>
      <c r="U36" s="16"/>
      <c r="V36" s="16" t="s">
        <v>53</v>
      </c>
      <c r="W36" s="16"/>
    </row>
    <row r="37" spans="2:23" ht="15" customHeight="1">
      <c r="B37" s="16" t="s">
        <v>181</v>
      </c>
      <c r="C37" s="16" t="s">
        <v>151</v>
      </c>
      <c r="D37" s="16" t="s">
        <v>182</v>
      </c>
      <c r="E37" s="16" t="s">
        <v>80</v>
      </c>
      <c r="F37" s="16" t="s">
        <v>156</v>
      </c>
      <c r="G37" s="8">
        <v>3</v>
      </c>
      <c r="H37" s="8"/>
      <c r="I37" s="8">
        <v>0</v>
      </c>
      <c r="J37" s="8" t="s">
        <v>82</v>
      </c>
      <c r="K37" s="8">
        <v>0</v>
      </c>
      <c r="L37" s="8" t="s">
        <v>82</v>
      </c>
      <c r="M37" s="8">
        <v>1</v>
      </c>
      <c r="N37" s="8">
        <v>0</v>
      </c>
      <c r="O37" s="8">
        <v>0</v>
      </c>
      <c r="P37" s="8">
        <v>5</v>
      </c>
      <c r="Q37" s="8">
        <v>3</v>
      </c>
      <c r="R37" s="8">
        <v>0</v>
      </c>
      <c r="S37" s="8">
        <v>0</v>
      </c>
      <c r="T37" s="24">
        <v>3</v>
      </c>
      <c r="U37" s="16" t="s">
        <v>142</v>
      </c>
      <c r="V37" s="16" t="s">
        <v>183</v>
      </c>
      <c r="W37" s="16" t="s">
        <v>184</v>
      </c>
    </row>
    <row r="38" spans="2:23" ht="15" customHeight="1">
      <c r="B38" s="16" t="s">
        <v>185</v>
      </c>
      <c r="C38" s="16" t="s">
        <v>151</v>
      </c>
      <c r="D38" s="16" t="s">
        <v>186</v>
      </c>
      <c r="E38" s="16" t="s">
        <v>76</v>
      </c>
      <c r="F38" s="16" t="s">
        <v>153</v>
      </c>
      <c r="G38" s="8">
        <v>3</v>
      </c>
      <c r="H38" s="8"/>
      <c r="I38" s="8">
        <v>0</v>
      </c>
      <c r="J38" s="8">
        <v>0</v>
      </c>
      <c r="K38" s="8">
        <v>728</v>
      </c>
      <c r="L38" s="8">
        <v>27</v>
      </c>
      <c r="M38" s="8">
        <v>2</v>
      </c>
      <c r="N38" s="8">
        <v>25</v>
      </c>
      <c r="O38" s="8">
        <v>0</v>
      </c>
      <c r="P38" s="8">
        <v>0</v>
      </c>
      <c r="Q38" s="8">
        <v>0</v>
      </c>
      <c r="R38" s="8">
        <v>3</v>
      </c>
      <c r="S38" s="8">
        <v>0</v>
      </c>
      <c r="T38" s="24">
        <v>3</v>
      </c>
      <c r="U38" s="16" t="s">
        <v>142</v>
      </c>
      <c r="V38" s="16" t="s">
        <v>187</v>
      </c>
      <c r="W38" s="16" t="s">
        <v>188</v>
      </c>
    </row>
    <row r="39" spans="2:23" ht="15" customHeight="1">
      <c r="B39" s="16" t="s">
        <v>189</v>
      </c>
      <c r="C39" s="16" t="s">
        <v>151</v>
      </c>
      <c r="D39" s="16" t="s">
        <v>190</v>
      </c>
      <c r="E39" s="16" t="s">
        <v>67</v>
      </c>
      <c r="F39" s="16" t="s">
        <v>156</v>
      </c>
      <c r="G39" s="8">
        <v>3</v>
      </c>
      <c r="H39" s="8"/>
      <c r="I39" s="8">
        <v>0</v>
      </c>
      <c r="J39" s="8">
        <v>647</v>
      </c>
      <c r="K39" s="8">
        <v>0</v>
      </c>
      <c r="L39" s="8">
        <v>0</v>
      </c>
      <c r="M39" s="8">
        <v>0</v>
      </c>
      <c r="N39" s="8">
        <v>0</v>
      </c>
      <c r="O39" s="8">
        <v>0</v>
      </c>
      <c r="P39" s="8">
        <v>0</v>
      </c>
      <c r="Q39" s="8">
        <v>2</v>
      </c>
      <c r="R39" s="8">
        <v>1</v>
      </c>
      <c r="S39" s="8">
        <v>0</v>
      </c>
      <c r="T39" s="24">
        <v>3</v>
      </c>
      <c r="U39" s="16"/>
      <c r="V39" s="16" t="s">
        <v>53</v>
      </c>
      <c r="W39" s="16"/>
    </row>
    <row r="40" spans="2:23" ht="15" customHeight="1">
      <c r="B40" s="16" t="s">
        <v>191</v>
      </c>
      <c r="C40" s="16" t="s">
        <v>151</v>
      </c>
      <c r="D40" s="16" t="s">
        <v>192</v>
      </c>
      <c r="E40" s="16" t="s">
        <v>73</v>
      </c>
      <c r="F40" s="16" t="s">
        <v>156</v>
      </c>
      <c r="G40" s="8">
        <v>3</v>
      </c>
      <c r="H40" s="8"/>
      <c r="I40" s="8">
        <v>0</v>
      </c>
      <c r="J40" s="8">
        <v>0</v>
      </c>
      <c r="K40" s="8">
        <v>0</v>
      </c>
      <c r="L40" s="8">
        <v>0</v>
      </c>
      <c r="M40" s="8">
        <v>0</v>
      </c>
      <c r="N40" s="8">
        <v>0</v>
      </c>
      <c r="O40" s="8">
        <v>0</v>
      </c>
      <c r="P40" s="8">
        <v>0</v>
      </c>
      <c r="Q40" s="8">
        <v>0</v>
      </c>
      <c r="R40" s="8">
        <v>3</v>
      </c>
      <c r="S40" s="8">
        <v>0</v>
      </c>
      <c r="T40" s="24">
        <v>2</v>
      </c>
      <c r="U40" s="16"/>
      <c r="V40" s="16" t="s">
        <v>53</v>
      </c>
      <c r="W40" s="16"/>
    </row>
    <row r="41" spans="2:23" ht="15" customHeight="1">
      <c r="B41" s="16" t="s">
        <v>193</v>
      </c>
      <c r="C41" s="16" t="s">
        <v>151</v>
      </c>
      <c r="D41" s="16" t="s">
        <v>194</v>
      </c>
      <c r="E41" s="16" t="s">
        <v>73</v>
      </c>
      <c r="F41" s="16" t="s">
        <v>156</v>
      </c>
      <c r="G41" s="8">
        <v>3</v>
      </c>
      <c r="H41" s="8"/>
      <c r="I41" s="8">
        <v>0</v>
      </c>
      <c r="J41" s="8">
        <v>0</v>
      </c>
      <c r="K41" s="8">
        <v>0</v>
      </c>
      <c r="L41" s="8">
        <v>0</v>
      </c>
      <c r="M41" s="8">
        <v>0</v>
      </c>
      <c r="N41" s="8">
        <v>0</v>
      </c>
      <c r="O41" s="8">
        <v>0</v>
      </c>
      <c r="P41" s="8">
        <v>0</v>
      </c>
      <c r="Q41" s="8">
        <v>0</v>
      </c>
      <c r="R41" s="8">
        <v>3</v>
      </c>
      <c r="S41" s="8">
        <v>0</v>
      </c>
      <c r="T41" s="24">
        <v>2</v>
      </c>
      <c r="U41" s="16" t="s">
        <v>142</v>
      </c>
      <c r="V41" s="16" t="s">
        <v>195</v>
      </c>
      <c r="W41" s="16" t="s">
        <v>196</v>
      </c>
    </row>
    <row r="42" spans="2:23" ht="15" customHeight="1">
      <c r="B42" s="16" t="s">
        <v>197</v>
      </c>
      <c r="C42" s="16" t="s">
        <v>198</v>
      </c>
      <c r="D42" s="16" t="s">
        <v>199</v>
      </c>
      <c r="E42" s="16" t="s">
        <v>64</v>
      </c>
      <c r="F42" s="16" t="s">
        <v>153</v>
      </c>
      <c r="G42" s="8">
        <v>2</v>
      </c>
      <c r="H42" s="8">
        <v>147</v>
      </c>
      <c r="I42" s="8">
        <v>5</v>
      </c>
      <c r="J42" s="8">
        <v>153213</v>
      </c>
      <c r="K42" s="8">
        <v>0</v>
      </c>
      <c r="L42" s="8">
        <v>1</v>
      </c>
      <c r="M42" s="8">
        <v>1</v>
      </c>
      <c r="N42" s="8">
        <v>0</v>
      </c>
      <c r="O42" s="8">
        <v>0</v>
      </c>
      <c r="P42" s="8">
        <v>0</v>
      </c>
      <c r="Q42" s="8">
        <v>2</v>
      </c>
      <c r="R42" s="8">
        <v>0</v>
      </c>
      <c r="S42" s="8">
        <v>0</v>
      </c>
      <c r="T42" s="24">
        <v>2</v>
      </c>
      <c r="U42" s="16" t="s">
        <v>142</v>
      </c>
      <c r="V42" s="16" t="s">
        <v>200</v>
      </c>
      <c r="W42" s="16" t="s">
        <v>201</v>
      </c>
    </row>
    <row r="43" spans="2:23" ht="15" customHeight="1">
      <c r="B43" s="16" t="s">
        <v>202</v>
      </c>
      <c r="C43" s="16" t="s">
        <v>151</v>
      </c>
      <c r="D43" s="16" t="s">
        <v>203</v>
      </c>
      <c r="E43" s="16" t="s">
        <v>64</v>
      </c>
      <c r="F43" s="16" t="s">
        <v>153</v>
      </c>
      <c r="G43" s="8">
        <v>2</v>
      </c>
      <c r="H43" s="8">
        <v>2</v>
      </c>
      <c r="I43" s="8">
        <v>2</v>
      </c>
      <c r="J43" s="8">
        <v>6100</v>
      </c>
      <c r="K43" s="8">
        <v>0</v>
      </c>
      <c r="L43" s="8">
        <v>0</v>
      </c>
      <c r="M43" s="8">
        <v>0</v>
      </c>
      <c r="N43" s="8">
        <v>0</v>
      </c>
      <c r="O43" s="8">
        <v>0</v>
      </c>
      <c r="P43" s="8">
        <v>0</v>
      </c>
      <c r="Q43" s="8">
        <v>2</v>
      </c>
      <c r="R43" s="8">
        <v>0</v>
      </c>
      <c r="S43" s="8">
        <v>0</v>
      </c>
      <c r="T43" s="24">
        <v>2</v>
      </c>
      <c r="U43" s="16" t="s">
        <v>142</v>
      </c>
      <c r="V43" s="16" t="s">
        <v>195</v>
      </c>
      <c r="W43" s="16" t="s">
        <v>204</v>
      </c>
    </row>
    <row r="44" spans="2:23" ht="15" customHeight="1">
      <c r="B44" s="16" t="s">
        <v>205</v>
      </c>
      <c r="C44" s="16" t="s">
        <v>206</v>
      </c>
      <c r="D44" s="16" t="s">
        <v>207</v>
      </c>
      <c r="E44" s="16" t="s">
        <v>64</v>
      </c>
      <c r="F44" s="16" t="s">
        <v>153</v>
      </c>
      <c r="G44" s="8">
        <v>2</v>
      </c>
      <c r="H44" s="8">
        <v>64</v>
      </c>
      <c r="I44" s="8">
        <v>2</v>
      </c>
      <c r="J44" s="8">
        <v>15658</v>
      </c>
      <c r="K44" s="8">
        <v>0</v>
      </c>
      <c r="L44" s="8">
        <v>0</v>
      </c>
      <c r="M44" s="8">
        <v>0</v>
      </c>
      <c r="N44" s="8">
        <v>0</v>
      </c>
      <c r="O44" s="8">
        <v>0</v>
      </c>
      <c r="P44" s="8">
        <v>0</v>
      </c>
      <c r="Q44" s="8">
        <v>2</v>
      </c>
      <c r="R44" s="8">
        <v>0</v>
      </c>
      <c r="S44" s="8">
        <v>0</v>
      </c>
      <c r="T44" s="24">
        <v>2</v>
      </c>
      <c r="U44" s="16" t="s">
        <v>142</v>
      </c>
      <c r="V44" s="16" t="s">
        <v>208</v>
      </c>
      <c r="W44" s="16" t="s">
        <v>209</v>
      </c>
    </row>
    <row r="45" spans="2:23" ht="15" customHeight="1">
      <c r="B45" s="16" t="s">
        <v>210</v>
      </c>
      <c r="C45" s="16" t="s">
        <v>206</v>
      </c>
      <c r="D45" s="16" t="s">
        <v>211</v>
      </c>
      <c r="E45" s="16" t="s">
        <v>64</v>
      </c>
      <c r="F45" s="16" t="s">
        <v>153</v>
      </c>
      <c r="G45" s="8">
        <v>2</v>
      </c>
      <c r="H45" s="8">
        <v>94</v>
      </c>
      <c r="I45" s="8">
        <v>4</v>
      </c>
      <c r="J45" s="8">
        <v>26805</v>
      </c>
      <c r="K45" s="8">
        <v>0</v>
      </c>
      <c r="L45" s="8">
        <v>6</v>
      </c>
      <c r="M45" s="8">
        <v>6</v>
      </c>
      <c r="N45" s="8">
        <v>0</v>
      </c>
      <c r="O45" s="8">
        <v>0</v>
      </c>
      <c r="P45" s="8">
        <v>0</v>
      </c>
      <c r="Q45" s="8">
        <v>2</v>
      </c>
      <c r="R45" s="8">
        <v>0</v>
      </c>
      <c r="S45" s="8">
        <v>0</v>
      </c>
      <c r="T45" s="24">
        <v>2</v>
      </c>
      <c r="U45" s="16" t="s">
        <v>142</v>
      </c>
      <c r="V45" s="16" t="s">
        <v>212</v>
      </c>
      <c r="W45" s="16" t="s">
        <v>213</v>
      </c>
    </row>
    <row r="46" spans="2:23" ht="15" customHeight="1">
      <c r="B46" s="16" t="s">
        <v>214</v>
      </c>
      <c r="C46" s="16" t="s">
        <v>215</v>
      </c>
      <c r="D46" s="16" t="s">
        <v>216</v>
      </c>
      <c r="E46" s="16" t="s">
        <v>64</v>
      </c>
      <c r="F46" s="16" t="s">
        <v>153</v>
      </c>
      <c r="G46" s="8">
        <v>2</v>
      </c>
      <c r="H46" s="8">
        <v>212</v>
      </c>
      <c r="I46" s="8">
        <v>155</v>
      </c>
      <c r="J46" s="8">
        <v>98770</v>
      </c>
      <c r="K46" s="8">
        <v>6236</v>
      </c>
      <c r="L46" s="8">
        <v>28</v>
      </c>
      <c r="M46" s="8">
        <v>9</v>
      </c>
      <c r="N46" s="8">
        <v>17</v>
      </c>
      <c r="O46" s="8">
        <v>2</v>
      </c>
      <c r="P46" s="8">
        <v>0</v>
      </c>
      <c r="Q46" s="8">
        <v>1</v>
      </c>
      <c r="R46" s="8">
        <v>1</v>
      </c>
      <c r="S46" s="8">
        <v>0</v>
      </c>
      <c r="T46" s="24">
        <v>2</v>
      </c>
      <c r="U46" s="16" t="s">
        <v>142</v>
      </c>
      <c r="V46" s="16" t="s">
        <v>163</v>
      </c>
      <c r="W46" s="16" t="s">
        <v>164</v>
      </c>
    </row>
    <row r="47" spans="2:23" ht="15" customHeight="1">
      <c r="B47" s="16" t="s">
        <v>217</v>
      </c>
      <c r="C47" s="16" t="s">
        <v>198</v>
      </c>
      <c r="D47" s="16" t="s">
        <v>218</v>
      </c>
      <c r="E47" s="16" t="s">
        <v>64</v>
      </c>
      <c r="F47" s="16" t="s">
        <v>153</v>
      </c>
      <c r="G47" s="8">
        <v>2</v>
      </c>
      <c r="H47" s="8">
        <v>104</v>
      </c>
      <c r="I47" s="8">
        <v>4</v>
      </c>
      <c r="J47" s="8">
        <v>33595</v>
      </c>
      <c r="K47" s="8">
        <v>0</v>
      </c>
      <c r="L47" s="8">
        <v>4</v>
      </c>
      <c r="M47" s="8">
        <v>4</v>
      </c>
      <c r="N47" s="8">
        <v>0</v>
      </c>
      <c r="O47" s="8">
        <v>0</v>
      </c>
      <c r="P47" s="8">
        <v>0</v>
      </c>
      <c r="Q47" s="8">
        <v>1</v>
      </c>
      <c r="R47" s="8">
        <v>1</v>
      </c>
      <c r="S47" s="8">
        <v>0</v>
      </c>
      <c r="T47" s="24">
        <v>2</v>
      </c>
      <c r="U47" s="16" t="s">
        <v>142</v>
      </c>
      <c r="V47" s="16" t="s">
        <v>219</v>
      </c>
      <c r="W47" s="16" t="s">
        <v>220</v>
      </c>
    </row>
    <row r="48" spans="2:23" ht="15" customHeight="1">
      <c r="B48" s="16" t="s">
        <v>221</v>
      </c>
      <c r="C48" s="16" t="s">
        <v>123</v>
      </c>
      <c r="D48" s="16" t="s">
        <v>222</v>
      </c>
      <c r="E48" s="16" t="s">
        <v>64</v>
      </c>
      <c r="F48" s="16" t="s">
        <v>153</v>
      </c>
      <c r="G48" s="8">
        <v>2</v>
      </c>
      <c r="H48" s="8">
        <v>116</v>
      </c>
      <c r="I48" s="8">
        <v>4</v>
      </c>
      <c r="J48" s="8">
        <v>39845</v>
      </c>
      <c r="K48" s="8">
        <v>0</v>
      </c>
      <c r="L48" s="8">
        <v>3</v>
      </c>
      <c r="M48" s="8">
        <v>3</v>
      </c>
      <c r="N48" s="8">
        <v>0</v>
      </c>
      <c r="O48" s="8">
        <v>0</v>
      </c>
      <c r="P48" s="8">
        <v>0</v>
      </c>
      <c r="Q48" s="8">
        <v>1</v>
      </c>
      <c r="R48" s="8">
        <v>1</v>
      </c>
      <c r="S48" s="8">
        <v>0</v>
      </c>
      <c r="T48" s="24">
        <v>2</v>
      </c>
      <c r="U48" s="16" t="s">
        <v>142</v>
      </c>
      <c r="V48" s="16" t="s">
        <v>212</v>
      </c>
      <c r="W48" s="16" t="s">
        <v>213</v>
      </c>
    </row>
    <row r="49" spans="2:23" ht="15" customHeight="1">
      <c r="B49" s="16" t="s">
        <v>223</v>
      </c>
      <c r="C49" s="16" t="s">
        <v>198</v>
      </c>
      <c r="D49" s="16" t="s">
        <v>224</v>
      </c>
      <c r="E49" s="16" t="s">
        <v>64</v>
      </c>
      <c r="F49" s="16" t="s">
        <v>153</v>
      </c>
      <c r="G49" s="8">
        <v>2</v>
      </c>
      <c r="H49" s="8">
        <v>351</v>
      </c>
      <c r="I49" s="8">
        <v>10</v>
      </c>
      <c r="J49" s="8">
        <v>1280300</v>
      </c>
      <c r="K49" s="8">
        <v>0</v>
      </c>
      <c r="L49" s="8">
        <v>0</v>
      </c>
      <c r="M49" s="8">
        <v>0</v>
      </c>
      <c r="N49" s="8">
        <v>0</v>
      </c>
      <c r="O49" s="8">
        <v>0</v>
      </c>
      <c r="P49" s="8">
        <v>0</v>
      </c>
      <c r="Q49" s="8">
        <v>2</v>
      </c>
      <c r="R49" s="8">
        <v>0</v>
      </c>
      <c r="S49" s="8">
        <v>0</v>
      </c>
      <c r="T49" s="24">
        <v>2</v>
      </c>
      <c r="U49" s="16"/>
      <c r="V49" s="16" t="s">
        <v>53</v>
      </c>
      <c r="W49" s="16"/>
    </row>
    <row r="50" spans="2:23" ht="15" customHeight="1">
      <c r="B50" s="16" t="s">
        <v>225</v>
      </c>
      <c r="C50" s="16" t="s">
        <v>124</v>
      </c>
      <c r="D50" s="16" t="s">
        <v>226</v>
      </c>
      <c r="E50" s="16" t="s">
        <v>64</v>
      </c>
      <c r="F50" s="16" t="s">
        <v>153</v>
      </c>
      <c r="G50" s="8">
        <v>2</v>
      </c>
      <c r="H50" s="8">
        <v>107</v>
      </c>
      <c r="I50" s="8">
        <v>4</v>
      </c>
      <c r="J50" s="8">
        <v>13375</v>
      </c>
      <c r="K50" s="8">
        <v>0</v>
      </c>
      <c r="L50" s="8">
        <v>0</v>
      </c>
      <c r="M50" s="8">
        <v>0</v>
      </c>
      <c r="N50" s="8">
        <v>0</v>
      </c>
      <c r="O50" s="8">
        <v>0</v>
      </c>
      <c r="P50" s="8">
        <v>0</v>
      </c>
      <c r="Q50" s="8">
        <v>2</v>
      </c>
      <c r="R50" s="8">
        <v>0</v>
      </c>
      <c r="S50" s="8">
        <v>0</v>
      </c>
      <c r="T50" s="24">
        <v>2</v>
      </c>
      <c r="U50" s="16" t="s">
        <v>142</v>
      </c>
      <c r="V50" s="16" t="s">
        <v>219</v>
      </c>
      <c r="W50" s="16" t="s">
        <v>227</v>
      </c>
    </row>
    <row r="51" spans="2:23" ht="15" customHeight="1">
      <c r="B51" s="16" t="s">
        <v>228</v>
      </c>
      <c r="C51" s="16" t="s">
        <v>229</v>
      </c>
      <c r="D51" s="16" t="s">
        <v>230</v>
      </c>
      <c r="E51" s="16" t="s">
        <v>64</v>
      </c>
      <c r="F51" s="16" t="s">
        <v>153</v>
      </c>
      <c r="G51" s="8">
        <v>2</v>
      </c>
      <c r="H51" s="8">
        <v>17</v>
      </c>
      <c r="I51" s="8">
        <v>2</v>
      </c>
      <c r="J51" s="8">
        <v>20907</v>
      </c>
      <c r="K51" s="8">
        <v>0</v>
      </c>
      <c r="L51" s="8">
        <v>1</v>
      </c>
      <c r="M51" s="8">
        <v>1</v>
      </c>
      <c r="N51" s="8">
        <v>0</v>
      </c>
      <c r="O51" s="8">
        <v>0</v>
      </c>
      <c r="P51" s="8">
        <v>0</v>
      </c>
      <c r="Q51" s="8">
        <v>1</v>
      </c>
      <c r="R51" s="8">
        <v>1</v>
      </c>
      <c r="S51" s="8">
        <v>0</v>
      </c>
      <c r="T51" s="24">
        <v>2</v>
      </c>
      <c r="U51" s="16" t="s">
        <v>142</v>
      </c>
      <c r="V51" s="16" t="s">
        <v>231</v>
      </c>
      <c r="W51" s="16" t="s">
        <v>232</v>
      </c>
    </row>
    <row r="52" spans="2:23" ht="15" customHeight="1">
      <c r="B52" s="16" t="s">
        <v>233</v>
      </c>
      <c r="C52" s="16" t="s">
        <v>151</v>
      </c>
      <c r="D52" s="16" t="s">
        <v>234</v>
      </c>
      <c r="E52" s="16" t="s">
        <v>64</v>
      </c>
      <c r="F52" s="16" t="s">
        <v>153</v>
      </c>
      <c r="G52" s="8">
        <v>2</v>
      </c>
      <c r="H52" s="8">
        <v>51</v>
      </c>
      <c r="I52" s="8">
        <v>2</v>
      </c>
      <c r="J52" s="8">
        <v>7454</v>
      </c>
      <c r="K52" s="8">
        <v>0</v>
      </c>
      <c r="L52" s="8">
        <v>0</v>
      </c>
      <c r="M52" s="8">
        <v>0</v>
      </c>
      <c r="N52" s="8">
        <v>0</v>
      </c>
      <c r="O52" s="8">
        <v>0</v>
      </c>
      <c r="P52" s="8">
        <v>0</v>
      </c>
      <c r="Q52" s="8">
        <v>0</v>
      </c>
      <c r="R52" s="8">
        <v>2</v>
      </c>
      <c r="S52" s="8">
        <v>0</v>
      </c>
      <c r="T52" s="24">
        <v>1</v>
      </c>
      <c r="U52" s="16" t="s">
        <v>142</v>
      </c>
      <c r="V52" s="16" t="s">
        <v>168</v>
      </c>
      <c r="W52" s="16" t="s">
        <v>169</v>
      </c>
    </row>
    <row r="53" spans="2:23" ht="15" customHeight="1">
      <c r="B53" s="16" t="s">
        <v>235</v>
      </c>
      <c r="C53" s="16" t="s">
        <v>151</v>
      </c>
      <c r="D53" s="16" t="s">
        <v>236</v>
      </c>
      <c r="E53" s="16" t="s">
        <v>64</v>
      </c>
      <c r="F53" s="16" t="s">
        <v>153</v>
      </c>
      <c r="G53" s="8">
        <v>2</v>
      </c>
      <c r="H53" s="8">
        <v>125</v>
      </c>
      <c r="I53" s="8">
        <v>4</v>
      </c>
      <c r="J53" s="8">
        <v>559878</v>
      </c>
      <c r="K53" s="8">
        <v>0</v>
      </c>
      <c r="L53" s="8">
        <v>0</v>
      </c>
      <c r="M53" s="8">
        <v>0</v>
      </c>
      <c r="N53" s="8">
        <v>0</v>
      </c>
      <c r="O53" s="8">
        <v>0</v>
      </c>
      <c r="P53" s="8">
        <v>0</v>
      </c>
      <c r="Q53" s="8">
        <v>0</v>
      </c>
      <c r="R53" s="8">
        <v>2</v>
      </c>
      <c r="S53" s="8">
        <v>0</v>
      </c>
      <c r="T53" s="24">
        <v>2</v>
      </c>
      <c r="U53" s="16" t="s">
        <v>142</v>
      </c>
      <c r="V53" s="16" t="s">
        <v>237</v>
      </c>
      <c r="W53" s="16" t="s">
        <v>238</v>
      </c>
    </row>
    <row r="54" spans="2:23" ht="15" customHeight="1">
      <c r="B54" s="16" t="s">
        <v>239</v>
      </c>
      <c r="C54" s="16" t="s">
        <v>123</v>
      </c>
      <c r="D54" s="16" t="s">
        <v>240</v>
      </c>
      <c r="E54" s="16" t="s">
        <v>64</v>
      </c>
      <c r="F54" s="16" t="s">
        <v>153</v>
      </c>
      <c r="G54" s="8">
        <v>2</v>
      </c>
      <c r="H54" s="8">
        <v>165</v>
      </c>
      <c r="I54" s="8">
        <v>6</v>
      </c>
      <c r="J54" s="8">
        <v>42011</v>
      </c>
      <c r="K54" s="8">
        <v>0</v>
      </c>
      <c r="L54" s="8">
        <v>0</v>
      </c>
      <c r="M54" s="8">
        <v>0</v>
      </c>
      <c r="N54" s="8">
        <v>0</v>
      </c>
      <c r="O54" s="8">
        <v>0</v>
      </c>
      <c r="P54" s="8">
        <v>0</v>
      </c>
      <c r="Q54" s="8">
        <v>0</v>
      </c>
      <c r="R54" s="8">
        <v>2</v>
      </c>
      <c r="S54" s="8">
        <v>0</v>
      </c>
      <c r="T54" s="24">
        <v>2</v>
      </c>
      <c r="U54" s="16" t="s">
        <v>142</v>
      </c>
      <c r="V54" s="16" t="s">
        <v>241</v>
      </c>
      <c r="W54" s="16" t="s">
        <v>242</v>
      </c>
    </row>
    <row r="55" spans="2:23" ht="15" customHeight="1">
      <c r="B55" s="16" t="s">
        <v>243</v>
      </c>
      <c r="C55" s="16" t="s">
        <v>151</v>
      </c>
      <c r="D55" s="16" t="s">
        <v>244</v>
      </c>
      <c r="E55" s="16" t="s">
        <v>70</v>
      </c>
      <c r="F55" s="16" t="s">
        <v>153</v>
      </c>
      <c r="G55" s="8">
        <v>2</v>
      </c>
      <c r="H55" s="8"/>
      <c r="I55" s="8">
        <v>0</v>
      </c>
      <c r="J55" s="8">
        <v>10565</v>
      </c>
      <c r="K55" s="8">
        <v>0</v>
      </c>
      <c r="L55" s="8">
        <v>0</v>
      </c>
      <c r="M55" s="8">
        <v>0</v>
      </c>
      <c r="N55" s="8">
        <v>0</v>
      </c>
      <c r="O55" s="8">
        <v>0</v>
      </c>
      <c r="P55" s="8">
        <v>0</v>
      </c>
      <c r="Q55" s="8">
        <v>0</v>
      </c>
      <c r="R55" s="8">
        <v>1</v>
      </c>
      <c r="S55" s="8">
        <v>1</v>
      </c>
      <c r="T55" s="24">
        <v>1</v>
      </c>
      <c r="U55" s="16"/>
      <c r="V55" s="16" t="s">
        <v>53</v>
      </c>
      <c r="W55" s="16"/>
    </row>
    <row r="56" spans="2:23" ht="15" customHeight="1">
      <c r="B56" s="16" t="s">
        <v>245</v>
      </c>
      <c r="C56" s="16" t="s">
        <v>151</v>
      </c>
      <c r="D56" s="16" t="s">
        <v>246</v>
      </c>
      <c r="E56" s="16" t="s">
        <v>67</v>
      </c>
      <c r="F56" s="16" t="s">
        <v>156</v>
      </c>
      <c r="G56" s="8">
        <v>2</v>
      </c>
      <c r="H56" s="8">
        <v>0</v>
      </c>
      <c r="I56" s="8">
        <v>0</v>
      </c>
      <c r="J56" s="8">
        <v>258004</v>
      </c>
      <c r="K56" s="8">
        <v>0</v>
      </c>
      <c r="L56" s="8">
        <v>10</v>
      </c>
      <c r="M56" s="8">
        <v>10</v>
      </c>
      <c r="N56" s="8">
        <v>0</v>
      </c>
      <c r="O56" s="8">
        <v>0</v>
      </c>
      <c r="P56" s="8">
        <v>0</v>
      </c>
      <c r="Q56" s="8">
        <v>1</v>
      </c>
      <c r="R56" s="8">
        <v>1</v>
      </c>
      <c r="S56" s="8">
        <v>0</v>
      </c>
      <c r="T56" s="24">
        <v>2</v>
      </c>
      <c r="U56" s="16"/>
      <c r="V56" s="16" t="s">
        <v>53</v>
      </c>
      <c r="W56" s="16"/>
    </row>
    <row r="57" spans="2:23" ht="15" customHeight="1">
      <c r="B57" s="16" t="s">
        <v>247</v>
      </c>
      <c r="C57" s="16" t="s">
        <v>151</v>
      </c>
      <c r="D57" s="16" t="s">
        <v>248</v>
      </c>
      <c r="E57" s="16" t="s">
        <v>67</v>
      </c>
      <c r="F57" s="16" t="s">
        <v>156</v>
      </c>
      <c r="G57" s="8">
        <v>2</v>
      </c>
      <c r="H57" s="8">
        <v>0</v>
      </c>
      <c r="I57" s="8">
        <v>0</v>
      </c>
      <c r="J57" s="8">
        <v>43179</v>
      </c>
      <c r="K57" s="8">
        <v>0</v>
      </c>
      <c r="L57" s="8">
        <v>0</v>
      </c>
      <c r="M57" s="8">
        <v>0</v>
      </c>
      <c r="N57" s="8">
        <v>0</v>
      </c>
      <c r="O57" s="8">
        <v>0</v>
      </c>
      <c r="P57" s="8">
        <v>0</v>
      </c>
      <c r="Q57" s="8">
        <v>1</v>
      </c>
      <c r="R57" s="8">
        <v>1</v>
      </c>
      <c r="S57" s="8">
        <v>0</v>
      </c>
      <c r="T57" s="24">
        <v>1</v>
      </c>
      <c r="U57" s="16"/>
      <c r="V57" s="16" t="s">
        <v>53</v>
      </c>
      <c r="W57" s="16"/>
    </row>
    <row r="58" spans="2:23" ht="15" customHeight="1">
      <c r="B58" s="16" t="s">
        <v>249</v>
      </c>
      <c r="C58" s="16" t="s">
        <v>151</v>
      </c>
      <c r="D58" s="16" t="s">
        <v>250</v>
      </c>
      <c r="E58" s="16" t="s">
        <v>98</v>
      </c>
      <c r="F58" s="16" t="s">
        <v>156</v>
      </c>
      <c r="G58" s="8">
        <v>2</v>
      </c>
      <c r="H58" s="8"/>
      <c r="I58" s="8">
        <v>0</v>
      </c>
      <c r="J58" s="8" t="s">
        <v>82</v>
      </c>
      <c r="K58" s="8">
        <v>0</v>
      </c>
      <c r="L58" s="8" t="s">
        <v>82</v>
      </c>
      <c r="M58" s="8">
        <v>0</v>
      </c>
      <c r="N58" s="8">
        <v>0</v>
      </c>
      <c r="O58" s="8">
        <v>0</v>
      </c>
      <c r="P58" s="8">
        <v>5</v>
      </c>
      <c r="Q58" s="8">
        <v>2</v>
      </c>
      <c r="R58" s="8">
        <v>0</v>
      </c>
      <c r="S58" s="8">
        <v>0</v>
      </c>
      <c r="T58" s="24">
        <v>2</v>
      </c>
      <c r="U58" s="16"/>
      <c r="V58" s="16" t="s">
        <v>53</v>
      </c>
      <c r="W58" s="16"/>
    </row>
    <row r="59" spans="2:23" ht="15" customHeight="1">
      <c r="B59" s="16" t="s">
        <v>251</v>
      </c>
      <c r="C59" s="16" t="s">
        <v>252</v>
      </c>
      <c r="D59" s="16" t="s">
        <v>253</v>
      </c>
      <c r="E59" s="16" t="s">
        <v>64</v>
      </c>
      <c r="F59" s="16" t="s">
        <v>153</v>
      </c>
      <c r="G59" s="8">
        <v>2</v>
      </c>
      <c r="H59" s="8">
        <v>490</v>
      </c>
      <c r="I59" s="8">
        <v>14</v>
      </c>
      <c r="J59" s="8">
        <v>289001</v>
      </c>
      <c r="K59" s="8">
        <v>0</v>
      </c>
      <c r="L59" s="8">
        <v>0</v>
      </c>
      <c r="M59" s="8">
        <v>0</v>
      </c>
      <c r="N59" s="8">
        <v>0</v>
      </c>
      <c r="O59" s="8">
        <v>0</v>
      </c>
      <c r="P59" s="8">
        <v>0</v>
      </c>
      <c r="Q59" s="8">
        <v>0</v>
      </c>
      <c r="R59" s="8">
        <v>2</v>
      </c>
      <c r="S59" s="8">
        <v>0</v>
      </c>
      <c r="T59" s="24">
        <v>1</v>
      </c>
      <c r="U59" s="16"/>
      <c r="V59" s="16" t="s">
        <v>53</v>
      </c>
      <c r="W59" s="16"/>
    </row>
    <row r="60" spans="2:23" ht="15" customHeight="1">
      <c r="B60" s="16" t="s">
        <v>254</v>
      </c>
      <c r="C60" s="16" t="s">
        <v>151</v>
      </c>
      <c r="D60" s="16" t="s">
        <v>255</v>
      </c>
      <c r="E60" s="16" t="s">
        <v>67</v>
      </c>
      <c r="F60" s="16" t="s">
        <v>156</v>
      </c>
      <c r="G60" s="8">
        <v>2</v>
      </c>
      <c r="H60" s="8"/>
      <c r="I60" s="8">
        <v>0</v>
      </c>
      <c r="J60" s="8">
        <v>2228</v>
      </c>
      <c r="K60" s="8">
        <v>0</v>
      </c>
      <c r="L60" s="8">
        <v>0</v>
      </c>
      <c r="M60" s="8">
        <v>0</v>
      </c>
      <c r="N60" s="8">
        <v>0</v>
      </c>
      <c r="O60" s="8">
        <v>0</v>
      </c>
      <c r="P60" s="8">
        <v>0</v>
      </c>
      <c r="Q60" s="8">
        <v>1</v>
      </c>
      <c r="R60" s="8">
        <v>1</v>
      </c>
      <c r="S60" s="8">
        <v>0</v>
      </c>
      <c r="T60" s="24">
        <v>2</v>
      </c>
      <c r="U60" s="16"/>
      <c r="V60" s="16" t="s">
        <v>53</v>
      </c>
      <c r="W60" s="16"/>
    </row>
    <row r="61" spans="2:23" ht="15" customHeight="1">
      <c r="B61" s="16" t="s">
        <v>256</v>
      </c>
      <c r="C61" s="16" t="s">
        <v>151</v>
      </c>
      <c r="D61" s="16" t="s">
        <v>257</v>
      </c>
      <c r="E61" s="16" t="s">
        <v>67</v>
      </c>
      <c r="F61" s="16" t="s">
        <v>156</v>
      </c>
      <c r="G61" s="8">
        <v>2</v>
      </c>
      <c r="H61" s="8">
        <v>0</v>
      </c>
      <c r="I61" s="8">
        <v>0</v>
      </c>
      <c r="J61" s="8">
        <v>52937</v>
      </c>
      <c r="K61" s="8">
        <v>0</v>
      </c>
      <c r="L61" s="8">
        <v>0</v>
      </c>
      <c r="M61" s="8">
        <v>0</v>
      </c>
      <c r="N61" s="8">
        <v>0</v>
      </c>
      <c r="O61" s="8">
        <v>0</v>
      </c>
      <c r="P61" s="8">
        <v>0</v>
      </c>
      <c r="Q61" s="8">
        <v>1</v>
      </c>
      <c r="R61" s="8">
        <v>1</v>
      </c>
      <c r="S61" s="8">
        <v>0</v>
      </c>
      <c r="T61" s="24">
        <v>2</v>
      </c>
      <c r="U61" s="16"/>
      <c r="V61" s="16" t="s">
        <v>53</v>
      </c>
      <c r="W61" s="16"/>
    </row>
    <row r="62" spans="2:23" ht="15" customHeight="1">
      <c r="B62" s="16" t="s">
        <v>258</v>
      </c>
      <c r="C62" s="16" t="s">
        <v>151</v>
      </c>
      <c r="D62" s="16" t="s">
        <v>259</v>
      </c>
      <c r="E62" s="16" t="s">
        <v>70</v>
      </c>
      <c r="F62" s="16" t="s">
        <v>153</v>
      </c>
      <c r="G62" s="8">
        <v>2</v>
      </c>
      <c r="H62" s="8"/>
      <c r="I62" s="8">
        <v>0</v>
      </c>
      <c r="J62" s="8">
        <v>329</v>
      </c>
      <c r="K62" s="8">
        <v>0</v>
      </c>
      <c r="L62" s="8">
        <v>0</v>
      </c>
      <c r="M62" s="8">
        <v>0</v>
      </c>
      <c r="N62" s="8">
        <v>0</v>
      </c>
      <c r="O62" s="8">
        <v>0</v>
      </c>
      <c r="P62" s="8">
        <v>0</v>
      </c>
      <c r="Q62" s="8">
        <v>0</v>
      </c>
      <c r="R62" s="8">
        <v>2</v>
      </c>
      <c r="S62" s="8">
        <v>0</v>
      </c>
      <c r="T62" s="24">
        <v>2</v>
      </c>
      <c r="U62" s="16"/>
      <c r="V62" s="16" t="s">
        <v>53</v>
      </c>
      <c r="W62" s="16"/>
    </row>
    <row r="63" spans="2:23" ht="15" customHeight="1">
      <c r="B63" s="16" t="s">
        <v>249</v>
      </c>
      <c r="C63" s="16" t="s">
        <v>151</v>
      </c>
      <c r="D63" s="16" t="s">
        <v>260</v>
      </c>
      <c r="E63" s="16" t="s">
        <v>100</v>
      </c>
      <c r="F63" s="16" t="s">
        <v>156</v>
      </c>
      <c r="G63" s="8">
        <v>2</v>
      </c>
      <c r="H63" s="8"/>
      <c r="I63" s="8">
        <v>0</v>
      </c>
      <c r="J63" s="8" t="s">
        <v>82</v>
      </c>
      <c r="K63" s="8">
        <v>0</v>
      </c>
      <c r="L63" s="8" t="s">
        <v>82</v>
      </c>
      <c r="M63" s="8">
        <v>0</v>
      </c>
      <c r="N63" s="8">
        <v>0</v>
      </c>
      <c r="O63" s="8">
        <v>0</v>
      </c>
      <c r="P63" s="8">
        <v>5</v>
      </c>
      <c r="Q63" s="8">
        <v>2</v>
      </c>
      <c r="R63" s="8">
        <v>0</v>
      </c>
      <c r="S63" s="8">
        <v>0</v>
      </c>
      <c r="T63" s="24">
        <v>2</v>
      </c>
      <c r="U63" s="16"/>
      <c r="V63" s="16" t="s">
        <v>53</v>
      </c>
      <c r="W63" s="16"/>
    </row>
    <row r="64" spans="2:23" ht="15" customHeight="1">
      <c r="B64" s="16" t="s">
        <v>261</v>
      </c>
      <c r="C64" s="16" t="s">
        <v>151</v>
      </c>
      <c r="D64" s="16" t="s">
        <v>262</v>
      </c>
      <c r="E64" s="16" t="s">
        <v>73</v>
      </c>
      <c r="F64" s="16" t="s">
        <v>156</v>
      </c>
      <c r="G64" s="8">
        <v>2</v>
      </c>
      <c r="H64" s="8"/>
      <c r="I64" s="8">
        <v>0</v>
      </c>
      <c r="J64" s="8">
        <v>0</v>
      </c>
      <c r="K64" s="8">
        <v>0</v>
      </c>
      <c r="L64" s="8">
        <v>0</v>
      </c>
      <c r="M64" s="8">
        <v>0</v>
      </c>
      <c r="N64" s="8">
        <v>0</v>
      </c>
      <c r="O64" s="8">
        <v>0</v>
      </c>
      <c r="P64" s="8">
        <v>0</v>
      </c>
      <c r="Q64" s="8">
        <v>0</v>
      </c>
      <c r="R64" s="8">
        <v>2</v>
      </c>
      <c r="S64" s="8">
        <v>0</v>
      </c>
      <c r="T64" s="24">
        <v>2</v>
      </c>
      <c r="U64" s="16" t="s">
        <v>142</v>
      </c>
      <c r="V64" s="16" t="s">
        <v>263</v>
      </c>
      <c r="W64" s="16" t="s">
        <v>264</v>
      </c>
    </row>
    <row r="65" spans="2:23" ht="15" customHeight="1">
      <c r="B65" s="16" t="s">
        <v>265</v>
      </c>
      <c r="C65" s="16" t="s">
        <v>151</v>
      </c>
      <c r="D65" s="16" t="s">
        <v>266</v>
      </c>
      <c r="E65" s="16" t="s">
        <v>94</v>
      </c>
      <c r="F65" s="16" t="s">
        <v>156</v>
      </c>
      <c r="G65" s="8">
        <v>2</v>
      </c>
      <c r="H65" s="8"/>
      <c r="I65" s="8">
        <v>0</v>
      </c>
      <c r="J65" s="8">
        <v>0</v>
      </c>
      <c r="K65" s="8">
        <v>0</v>
      </c>
      <c r="L65" s="8">
        <v>0</v>
      </c>
      <c r="M65" s="8">
        <v>0</v>
      </c>
      <c r="N65" s="8">
        <v>0</v>
      </c>
      <c r="O65" s="8">
        <v>0</v>
      </c>
      <c r="P65" s="8">
        <v>0</v>
      </c>
      <c r="Q65" s="8">
        <v>2</v>
      </c>
      <c r="R65" s="8">
        <v>0</v>
      </c>
      <c r="S65" s="8">
        <v>0</v>
      </c>
      <c r="T65" s="24">
        <v>2</v>
      </c>
      <c r="U65" s="16"/>
      <c r="V65" s="16" t="s">
        <v>53</v>
      </c>
      <c r="W65" s="16"/>
    </row>
    <row r="66" spans="2:23" ht="15" customHeight="1">
      <c r="B66" s="16" t="s">
        <v>267</v>
      </c>
      <c r="C66" s="16" t="s">
        <v>268</v>
      </c>
      <c r="D66" s="16" t="s">
        <v>269</v>
      </c>
      <c r="E66" s="16" t="s">
        <v>64</v>
      </c>
      <c r="F66" s="16" t="s">
        <v>153</v>
      </c>
      <c r="G66" s="8">
        <v>1</v>
      </c>
      <c r="H66" s="8">
        <v>56</v>
      </c>
      <c r="I66" s="8">
        <v>1</v>
      </c>
      <c r="J66" s="8">
        <v>93764</v>
      </c>
      <c r="K66" s="8">
        <v>0</v>
      </c>
      <c r="L66" s="8">
        <v>0</v>
      </c>
      <c r="M66" s="8">
        <v>0</v>
      </c>
      <c r="N66" s="8">
        <v>0</v>
      </c>
      <c r="O66" s="8">
        <v>0</v>
      </c>
      <c r="P66" s="8">
        <v>0</v>
      </c>
      <c r="Q66" s="8">
        <v>1</v>
      </c>
      <c r="R66" s="8">
        <v>0</v>
      </c>
      <c r="S66" s="8">
        <v>0</v>
      </c>
      <c r="T66" s="24">
        <v>1</v>
      </c>
      <c r="U66" s="16" t="s">
        <v>142</v>
      </c>
      <c r="V66" s="16" t="s">
        <v>168</v>
      </c>
      <c r="W66" s="16" t="s">
        <v>169</v>
      </c>
    </row>
    <row r="67" spans="2:23" ht="15" customHeight="1">
      <c r="B67" s="16" t="s">
        <v>270</v>
      </c>
      <c r="C67" s="16" t="s">
        <v>151</v>
      </c>
      <c r="D67" s="16" t="s">
        <v>271</v>
      </c>
      <c r="E67" s="16" t="s">
        <v>64</v>
      </c>
      <c r="F67" s="16" t="s">
        <v>153</v>
      </c>
      <c r="G67" s="8">
        <v>1</v>
      </c>
      <c r="H67" s="8">
        <v>94</v>
      </c>
      <c r="I67" s="8">
        <v>2</v>
      </c>
      <c r="J67" s="8">
        <v>38542</v>
      </c>
      <c r="K67" s="8">
        <v>0</v>
      </c>
      <c r="L67" s="8">
        <v>0</v>
      </c>
      <c r="M67" s="8">
        <v>0</v>
      </c>
      <c r="N67" s="8">
        <v>0</v>
      </c>
      <c r="O67" s="8">
        <v>0</v>
      </c>
      <c r="P67" s="8">
        <v>0</v>
      </c>
      <c r="Q67" s="8">
        <v>1</v>
      </c>
      <c r="R67" s="8">
        <v>0</v>
      </c>
      <c r="S67" s="8">
        <v>0</v>
      </c>
      <c r="T67" s="24">
        <v>1</v>
      </c>
      <c r="U67" s="16" t="s">
        <v>142</v>
      </c>
      <c r="V67" s="16" t="s">
        <v>159</v>
      </c>
      <c r="W67" s="16" t="s">
        <v>172</v>
      </c>
    </row>
    <row r="68" spans="2:23" ht="15" customHeight="1">
      <c r="B68" s="16" t="s">
        <v>272</v>
      </c>
      <c r="C68" s="16" t="s">
        <v>151</v>
      </c>
      <c r="D68" s="16" t="s">
        <v>273</v>
      </c>
      <c r="E68" s="16" t="s">
        <v>64</v>
      </c>
      <c r="F68" s="16" t="s">
        <v>153</v>
      </c>
      <c r="G68" s="8">
        <v>1</v>
      </c>
      <c r="H68" s="8">
        <v>46</v>
      </c>
      <c r="I68" s="8">
        <v>33</v>
      </c>
      <c r="J68" s="8">
        <v>23499</v>
      </c>
      <c r="K68" s="8">
        <v>0</v>
      </c>
      <c r="L68" s="8">
        <v>0</v>
      </c>
      <c r="M68" s="8">
        <v>0</v>
      </c>
      <c r="N68" s="8">
        <v>0</v>
      </c>
      <c r="O68" s="8">
        <v>0</v>
      </c>
      <c r="P68" s="8">
        <v>0</v>
      </c>
      <c r="Q68" s="8">
        <v>0</v>
      </c>
      <c r="R68" s="8">
        <v>1</v>
      </c>
      <c r="S68" s="8">
        <v>0</v>
      </c>
      <c r="T68" s="24">
        <v>1</v>
      </c>
      <c r="U68" s="16" t="s">
        <v>142</v>
      </c>
      <c r="V68" s="16" t="s">
        <v>195</v>
      </c>
      <c r="W68" s="16" t="s">
        <v>274</v>
      </c>
    </row>
    <row r="69" spans="2:23" ht="15" customHeight="1">
      <c r="B69" s="16" t="s">
        <v>275</v>
      </c>
      <c r="C69" s="16" t="s">
        <v>276</v>
      </c>
      <c r="D69" s="16" t="s">
        <v>277</v>
      </c>
      <c r="E69" s="16" t="s">
        <v>64</v>
      </c>
      <c r="F69" s="16" t="s">
        <v>153</v>
      </c>
      <c r="G69" s="8">
        <v>1</v>
      </c>
      <c r="H69" s="8">
        <v>170</v>
      </c>
      <c r="I69" s="8">
        <v>3</v>
      </c>
      <c r="J69" s="8">
        <v>1026083</v>
      </c>
      <c r="K69" s="8">
        <v>0</v>
      </c>
      <c r="L69" s="8">
        <v>3</v>
      </c>
      <c r="M69" s="8">
        <v>3</v>
      </c>
      <c r="N69" s="8">
        <v>0</v>
      </c>
      <c r="O69" s="8">
        <v>0</v>
      </c>
      <c r="P69" s="8">
        <v>0</v>
      </c>
      <c r="Q69" s="8">
        <v>1</v>
      </c>
      <c r="R69" s="8">
        <v>0</v>
      </c>
      <c r="S69" s="8">
        <v>0</v>
      </c>
      <c r="T69" s="24">
        <v>1</v>
      </c>
      <c r="U69" s="16"/>
      <c r="V69" s="16" t="s">
        <v>53</v>
      </c>
      <c r="W69" s="16"/>
    </row>
    <row r="70" spans="2:23" ht="15" customHeight="1">
      <c r="B70" s="16" t="s">
        <v>278</v>
      </c>
      <c r="C70" s="16" t="s">
        <v>125</v>
      </c>
      <c r="D70" s="16" t="s">
        <v>279</v>
      </c>
      <c r="E70" s="16" t="s">
        <v>64</v>
      </c>
      <c r="F70" s="16" t="s">
        <v>153</v>
      </c>
      <c r="G70" s="8">
        <v>1</v>
      </c>
      <c r="H70" s="8">
        <v>16</v>
      </c>
      <c r="I70" s="8">
        <v>1</v>
      </c>
      <c r="J70" s="8">
        <v>202715</v>
      </c>
      <c r="K70" s="8">
        <v>0</v>
      </c>
      <c r="L70" s="8">
        <v>0</v>
      </c>
      <c r="M70" s="8">
        <v>0</v>
      </c>
      <c r="N70" s="8">
        <v>0</v>
      </c>
      <c r="O70" s="8">
        <v>0</v>
      </c>
      <c r="P70" s="8">
        <v>0</v>
      </c>
      <c r="Q70" s="8">
        <v>1</v>
      </c>
      <c r="R70" s="8">
        <v>0</v>
      </c>
      <c r="S70" s="8">
        <v>0</v>
      </c>
      <c r="T70" s="24">
        <v>1</v>
      </c>
      <c r="U70" s="16"/>
      <c r="V70" s="16" t="s">
        <v>53</v>
      </c>
      <c r="W70" s="16"/>
    </row>
    <row r="71" spans="2:23" ht="15" customHeight="1">
      <c r="B71" s="16" t="s">
        <v>280</v>
      </c>
      <c r="C71" s="16" t="s">
        <v>151</v>
      </c>
      <c r="D71" s="16" t="s">
        <v>281</v>
      </c>
      <c r="E71" s="16" t="s">
        <v>64</v>
      </c>
      <c r="F71" s="16" t="s">
        <v>153</v>
      </c>
      <c r="G71" s="8">
        <v>1</v>
      </c>
      <c r="H71" s="8">
        <v>48</v>
      </c>
      <c r="I71" s="8">
        <v>1</v>
      </c>
      <c r="J71" s="8">
        <v>8374</v>
      </c>
      <c r="K71" s="8">
        <v>0</v>
      </c>
      <c r="L71" s="8">
        <v>0</v>
      </c>
      <c r="M71" s="8">
        <v>0</v>
      </c>
      <c r="N71" s="8">
        <v>0</v>
      </c>
      <c r="O71" s="8">
        <v>0</v>
      </c>
      <c r="P71" s="8">
        <v>0</v>
      </c>
      <c r="Q71" s="8">
        <v>0</v>
      </c>
      <c r="R71" s="8">
        <v>1</v>
      </c>
      <c r="S71" s="8">
        <v>0</v>
      </c>
      <c r="T71" s="24">
        <v>1</v>
      </c>
      <c r="U71" s="16"/>
      <c r="V71" s="16" t="s">
        <v>53</v>
      </c>
      <c r="W71" s="16"/>
    </row>
    <row r="72" spans="2:23" ht="15" customHeight="1">
      <c r="B72" s="16" t="s">
        <v>282</v>
      </c>
      <c r="C72" s="16" t="s">
        <v>215</v>
      </c>
      <c r="D72" s="16" t="s">
        <v>283</v>
      </c>
      <c r="E72" s="16" t="s">
        <v>64</v>
      </c>
      <c r="F72" s="16" t="s">
        <v>153</v>
      </c>
      <c r="G72" s="8">
        <v>1</v>
      </c>
      <c r="H72" s="8">
        <v>185</v>
      </c>
      <c r="I72" s="8">
        <v>3</v>
      </c>
      <c r="J72" s="8">
        <v>53969</v>
      </c>
      <c r="K72" s="8">
        <v>0</v>
      </c>
      <c r="L72" s="8">
        <v>0</v>
      </c>
      <c r="M72" s="8">
        <v>0</v>
      </c>
      <c r="N72" s="8">
        <v>0</v>
      </c>
      <c r="O72" s="8">
        <v>0</v>
      </c>
      <c r="P72" s="8">
        <v>0</v>
      </c>
      <c r="Q72" s="8">
        <v>1</v>
      </c>
      <c r="R72" s="8">
        <v>0</v>
      </c>
      <c r="S72" s="8">
        <v>0</v>
      </c>
      <c r="T72" s="24">
        <v>1</v>
      </c>
      <c r="U72" s="16" t="s">
        <v>142</v>
      </c>
      <c r="V72" s="16" t="s">
        <v>168</v>
      </c>
      <c r="W72" s="16" t="s">
        <v>169</v>
      </c>
    </row>
    <row r="73" spans="2:23" ht="15" customHeight="1">
      <c r="B73" s="16" t="s">
        <v>284</v>
      </c>
      <c r="C73" s="16" t="s">
        <v>151</v>
      </c>
      <c r="D73" s="16" t="s">
        <v>285</v>
      </c>
      <c r="E73" s="16" t="s">
        <v>64</v>
      </c>
      <c r="F73" s="16" t="s">
        <v>153</v>
      </c>
      <c r="G73" s="8">
        <v>1</v>
      </c>
      <c r="H73" s="8">
        <v>0</v>
      </c>
      <c r="I73" s="8">
        <v>0</v>
      </c>
      <c r="J73" s="8">
        <v>8765</v>
      </c>
      <c r="K73" s="8">
        <v>60</v>
      </c>
      <c r="L73" s="8">
        <v>0</v>
      </c>
      <c r="M73" s="8">
        <v>0</v>
      </c>
      <c r="N73" s="8">
        <v>0</v>
      </c>
      <c r="O73" s="8">
        <v>0</v>
      </c>
      <c r="P73" s="8">
        <v>0</v>
      </c>
      <c r="Q73" s="8">
        <v>0</v>
      </c>
      <c r="R73" s="8">
        <v>0</v>
      </c>
      <c r="S73" s="8">
        <v>1</v>
      </c>
      <c r="T73" s="24">
        <v>1</v>
      </c>
      <c r="U73" s="16"/>
      <c r="V73" s="16" t="s">
        <v>53</v>
      </c>
      <c r="W73" s="16"/>
    </row>
    <row r="74" spans="2:23" ht="15" customHeight="1">
      <c r="B74" s="16" t="s">
        <v>286</v>
      </c>
      <c r="C74" s="16" t="s">
        <v>151</v>
      </c>
      <c r="D74" s="16" t="s">
        <v>287</v>
      </c>
      <c r="E74" s="16" t="s">
        <v>64</v>
      </c>
      <c r="F74" s="16" t="s">
        <v>153</v>
      </c>
      <c r="G74" s="8">
        <v>1</v>
      </c>
      <c r="H74" s="8">
        <v>0</v>
      </c>
      <c r="I74" s="8">
        <v>0</v>
      </c>
      <c r="J74" s="8">
        <v>18225</v>
      </c>
      <c r="K74" s="8">
        <v>1355</v>
      </c>
      <c r="L74" s="8">
        <v>3</v>
      </c>
      <c r="M74" s="8">
        <v>0</v>
      </c>
      <c r="N74" s="8">
        <v>0</v>
      </c>
      <c r="O74" s="8">
        <v>3</v>
      </c>
      <c r="P74" s="8">
        <v>0</v>
      </c>
      <c r="Q74" s="8">
        <v>0</v>
      </c>
      <c r="R74" s="8">
        <v>0</v>
      </c>
      <c r="S74" s="8">
        <v>1</v>
      </c>
      <c r="T74" s="24">
        <v>1</v>
      </c>
      <c r="U74" s="16"/>
      <c r="V74" s="16" t="s">
        <v>53</v>
      </c>
      <c r="W74" s="16"/>
    </row>
    <row r="75" spans="2:23" ht="15" customHeight="1">
      <c r="B75" s="16" t="s">
        <v>288</v>
      </c>
      <c r="C75" s="16" t="s">
        <v>268</v>
      </c>
      <c r="D75" s="16" t="s">
        <v>289</v>
      </c>
      <c r="E75" s="16" t="s">
        <v>64</v>
      </c>
      <c r="F75" s="16" t="s">
        <v>153</v>
      </c>
      <c r="G75" s="8">
        <v>1</v>
      </c>
      <c r="H75" s="8">
        <v>56</v>
      </c>
      <c r="I75" s="8">
        <v>1</v>
      </c>
      <c r="J75" s="8">
        <v>60187</v>
      </c>
      <c r="K75" s="8">
        <v>0</v>
      </c>
      <c r="L75" s="8">
        <v>0</v>
      </c>
      <c r="M75" s="8">
        <v>0</v>
      </c>
      <c r="N75" s="8">
        <v>0</v>
      </c>
      <c r="O75" s="8">
        <v>0</v>
      </c>
      <c r="P75" s="8">
        <v>0</v>
      </c>
      <c r="Q75" s="8">
        <v>1</v>
      </c>
      <c r="R75" s="8">
        <v>0</v>
      </c>
      <c r="S75" s="8">
        <v>0</v>
      </c>
      <c r="T75" s="24">
        <v>1</v>
      </c>
      <c r="U75" s="16" t="s">
        <v>142</v>
      </c>
      <c r="V75" s="16" t="s">
        <v>290</v>
      </c>
      <c r="W75" s="16" t="s">
        <v>291</v>
      </c>
    </row>
    <row r="76" spans="2:23" ht="15" customHeight="1">
      <c r="B76" s="16" t="s">
        <v>292</v>
      </c>
      <c r="C76" s="16" t="s">
        <v>293</v>
      </c>
      <c r="D76" s="16" t="s">
        <v>294</v>
      </c>
      <c r="E76" s="16" t="s">
        <v>64</v>
      </c>
      <c r="F76" s="16" t="s">
        <v>153</v>
      </c>
      <c r="G76" s="8">
        <v>1</v>
      </c>
      <c r="H76" s="8">
        <v>194</v>
      </c>
      <c r="I76" s="8">
        <v>3</v>
      </c>
      <c r="J76" s="8">
        <v>37647</v>
      </c>
      <c r="K76" s="8">
        <v>0</v>
      </c>
      <c r="L76" s="8">
        <v>0</v>
      </c>
      <c r="M76" s="8">
        <v>0</v>
      </c>
      <c r="N76" s="8">
        <v>0</v>
      </c>
      <c r="O76" s="8">
        <v>0</v>
      </c>
      <c r="P76" s="8">
        <v>0</v>
      </c>
      <c r="Q76" s="8">
        <v>1</v>
      </c>
      <c r="R76" s="8">
        <v>0</v>
      </c>
      <c r="S76" s="8">
        <v>0</v>
      </c>
      <c r="T76" s="24">
        <v>1</v>
      </c>
      <c r="U76" s="16" t="s">
        <v>142</v>
      </c>
      <c r="V76" s="16" t="s">
        <v>163</v>
      </c>
      <c r="W76" s="16" t="s">
        <v>164</v>
      </c>
    </row>
    <row r="77" spans="2:23" ht="15" customHeight="1">
      <c r="B77" s="16" t="s">
        <v>295</v>
      </c>
      <c r="C77" s="16" t="s">
        <v>125</v>
      </c>
      <c r="D77" s="16" t="s">
        <v>296</v>
      </c>
      <c r="E77" s="16" t="s">
        <v>64</v>
      </c>
      <c r="F77" s="16" t="s">
        <v>153</v>
      </c>
      <c r="G77" s="8">
        <v>1</v>
      </c>
      <c r="H77" s="8">
        <v>158</v>
      </c>
      <c r="I77" s="8">
        <v>3</v>
      </c>
      <c r="J77" s="8">
        <v>104566</v>
      </c>
      <c r="K77" s="8">
        <v>0</v>
      </c>
      <c r="L77" s="8">
        <v>0</v>
      </c>
      <c r="M77" s="8">
        <v>0</v>
      </c>
      <c r="N77" s="8">
        <v>0</v>
      </c>
      <c r="O77" s="8">
        <v>0</v>
      </c>
      <c r="P77" s="8">
        <v>0</v>
      </c>
      <c r="Q77" s="8">
        <v>1</v>
      </c>
      <c r="R77" s="8">
        <v>0</v>
      </c>
      <c r="S77" s="8">
        <v>0</v>
      </c>
      <c r="T77" s="24">
        <v>1</v>
      </c>
      <c r="U77" s="16" t="s">
        <v>142</v>
      </c>
      <c r="V77" s="16" t="s">
        <v>237</v>
      </c>
      <c r="W77" s="16" t="s">
        <v>238</v>
      </c>
    </row>
    <row r="78" spans="2:23" ht="15" customHeight="1">
      <c r="B78" s="16" t="s">
        <v>297</v>
      </c>
      <c r="C78" s="16" t="s">
        <v>151</v>
      </c>
      <c r="D78" s="16" t="s">
        <v>298</v>
      </c>
      <c r="E78" s="16" t="s">
        <v>64</v>
      </c>
      <c r="F78" s="16" t="s">
        <v>153</v>
      </c>
      <c r="G78" s="8">
        <v>1</v>
      </c>
      <c r="H78" s="8">
        <v>90</v>
      </c>
      <c r="I78" s="8">
        <v>2</v>
      </c>
      <c r="J78" s="8">
        <v>61816</v>
      </c>
      <c r="K78" s="8">
        <v>0</v>
      </c>
      <c r="L78" s="8">
        <v>0</v>
      </c>
      <c r="M78" s="8">
        <v>0</v>
      </c>
      <c r="N78" s="8">
        <v>0</v>
      </c>
      <c r="O78" s="8">
        <v>0</v>
      </c>
      <c r="P78" s="8">
        <v>0</v>
      </c>
      <c r="Q78" s="8">
        <v>1</v>
      </c>
      <c r="R78" s="8">
        <v>0</v>
      </c>
      <c r="S78" s="8">
        <v>0</v>
      </c>
      <c r="T78" s="24">
        <v>1</v>
      </c>
      <c r="U78" s="16" t="s">
        <v>142</v>
      </c>
      <c r="V78" s="16" t="s">
        <v>299</v>
      </c>
      <c r="W78" s="16" t="s">
        <v>300</v>
      </c>
    </row>
    <row r="79" spans="2:23" ht="15" customHeight="1">
      <c r="B79" s="16" t="s">
        <v>301</v>
      </c>
      <c r="C79" s="16" t="s">
        <v>302</v>
      </c>
      <c r="D79" s="16" t="s">
        <v>303</v>
      </c>
      <c r="E79" s="16" t="s">
        <v>88</v>
      </c>
      <c r="F79" s="16" t="s">
        <v>156</v>
      </c>
      <c r="G79" s="8">
        <v>1</v>
      </c>
      <c r="H79" s="8">
        <v>174</v>
      </c>
      <c r="I79" s="8">
        <v>124</v>
      </c>
      <c r="J79" s="8">
        <v>115000</v>
      </c>
      <c r="K79" s="8">
        <v>154</v>
      </c>
      <c r="L79" s="8">
        <v>6</v>
      </c>
      <c r="M79" s="8">
        <v>5</v>
      </c>
      <c r="N79" s="8">
        <v>1</v>
      </c>
      <c r="O79" s="8">
        <v>0</v>
      </c>
      <c r="P79" s="8">
        <v>0</v>
      </c>
      <c r="Q79" s="8">
        <v>0</v>
      </c>
      <c r="R79" s="8">
        <v>1</v>
      </c>
      <c r="S79" s="8">
        <v>0</v>
      </c>
      <c r="T79" s="24">
        <v>1</v>
      </c>
      <c r="U79" s="16"/>
      <c r="V79" s="16" t="s">
        <v>53</v>
      </c>
      <c r="W79" s="16"/>
    </row>
    <row r="80" spans="2:23" ht="15" customHeight="1">
      <c r="B80" s="16" t="s">
        <v>304</v>
      </c>
      <c r="C80" s="16" t="s">
        <v>206</v>
      </c>
      <c r="D80" s="16" t="s">
        <v>305</v>
      </c>
      <c r="E80" s="16" t="s">
        <v>64</v>
      </c>
      <c r="F80" s="16" t="s">
        <v>153</v>
      </c>
      <c r="G80" s="8">
        <v>1</v>
      </c>
      <c r="H80" s="8">
        <v>66</v>
      </c>
      <c r="I80" s="8">
        <v>1</v>
      </c>
      <c r="J80" s="8">
        <v>25816</v>
      </c>
      <c r="K80" s="8">
        <v>0</v>
      </c>
      <c r="L80" s="8">
        <v>0</v>
      </c>
      <c r="M80" s="8">
        <v>0</v>
      </c>
      <c r="N80" s="8">
        <v>0</v>
      </c>
      <c r="O80" s="8">
        <v>0</v>
      </c>
      <c r="P80" s="8">
        <v>0</v>
      </c>
      <c r="Q80" s="8">
        <v>1</v>
      </c>
      <c r="R80" s="8">
        <v>0</v>
      </c>
      <c r="S80" s="8">
        <v>0</v>
      </c>
      <c r="T80" s="24">
        <v>1</v>
      </c>
      <c r="U80" s="16" t="s">
        <v>142</v>
      </c>
      <c r="V80" s="16" t="s">
        <v>306</v>
      </c>
      <c r="W80" s="16" t="s">
        <v>307</v>
      </c>
    </row>
    <row r="81" spans="2:23" ht="15" customHeight="1">
      <c r="B81" s="16" t="s">
        <v>308</v>
      </c>
      <c r="C81" s="16" t="s">
        <v>206</v>
      </c>
      <c r="D81" s="16" t="s">
        <v>309</v>
      </c>
      <c r="E81" s="16" t="s">
        <v>64</v>
      </c>
      <c r="F81" s="16" t="s">
        <v>153</v>
      </c>
      <c r="G81" s="8">
        <v>1</v>
      </c>
      <c r="H81" s="8">
        <v>90</v>
      </c>
      <c r="I81" s="8">
        <v>2</v>
      </c>
      <c r="J81" s="8">
        <v>29569</v>
      </c>
      <c r="K81" s="8">
        <v>0</v>
      </c>
      <c r="L81" s="8">
        <v>1</v>
      </c>
      <c r="M81" s="8">
        <v>1</v>
      </c>
      <c r="N81" s="8">
        <v>0</v>
      </c>
      <c r="O81" s="8">
        <v>0</v>
      </c>
      <c r="P81" s="8">
        <v>0</v>
      </c>
      <c r="Q81" s="8">
        <v>1</v>
      </c>
      <c r="R81" s="8">
        <v>0</v>
      </c>
      <c r="S81" s="8">
        <v>0</v>
      </c>
      <c r="T81" s="24">
        <v>1</v>
      </c>
      <c r="U81" s="16"/>
      <c r="V81" s="16" t="s">
        <v>53</v>
      </c>
      <c r="W81" s="16"/>
    </row>
    <row r="82" spans="2:23" ht="15" customHeight="1">
      <c r="B82" s="16" t="s">
        <v>310</v>
      </c>
      <c r="C82" s="16" t="s">
        <v>206</v>
      </c>
      <c r="D82" s="16" t="s">
        <v>311</v>
      </c>
      <c r="E82" s="16" t="s">
        <v>64</v>
      </c>
      <c r="F82" s="16" t="s">
        <v>153</v>
      </c>
      <c r="G82" s="8">
        <v>1</v>
      </c>
      <c r="H82" s="8">
        <v>117</v>
      </c>
      <c r="I82" s="8">
        <v>2</v>
      </c>
      <c r="J82" s="8">
        <v>29359</v>
      </c>
      <c r="K82" s="8">
        <v>0</v>
      </c>
      <c r="L82" s="8">
        <v>2</v>
      </c>
      <c r="M82" s="8">
        <v>2</v>
      </c>
      <c r="N82" s="8">
        <v>0</v>
      </c>
      <c r="O82" s="8">
        <v>0</v>
      </c>
      <c r="P82" s="8">
        <v>0</v>
      </c>
      <c r="Q82" s="8">
        <v>1</v>
      </c>
      <c r="R82" s="8">
        <v>0</v>
      </c>
      <c r="S82" s="8">
        <v>0</v>
      </c>
      <c r="T82" s="24">
        <v>1</v>
      </c>
      <c r="U82" s="16"/>
      <c r="V82" s="16" t="s">
        <v>53</v>
      </c>
      <c r="W82" s="16"/>
    </row>
    <row r="83" spans="2:23" ht="15" customHeight="1">
      <c r="B83" s="16" t="s">
        <v>185</v>
      </c>
      <c r="C83" s="16" t="s">
        <v>206</v>
      </c>
      <c r="D83" s="16" t="s">
        <v>312</v>
      </c>
      <c r="E83" s="16" t="s">
        <v>64</v>
      </c>
      <c r="F83" s="16" t="s">
        <v>153</v>
      </c>
      <c r="G83" s="8">
        <v>1</v>
      </c>
      <c r="H83" s="8">
        <v>207</v>
      </c>
      <c r="I83" s="8">
        <v>3</v>
      </c>
      <c r="J83" s="8">
        <v>169218</v>
      </c>
      <c r="K83" s="8">
        <v>0</v>
      </c>
      <c r="L83" s="8">
        <v>3</v>
      </c>
      <c r="M83" s="8">
        <v>3</v>
      </c>
      <c r="N83" s="8">
        <v>0</v>
      </c>
      <c r="O83" s="8">
        <v>0</v>
      </c>
      <c r="P83" s="8">
        <v>0</v>
      </c>
      <c r="Q83" s="8">
        <v>1</v>
      </c>
      <c r="R83" s="8">
        <v>0</v>
      </c>
      <c r="S83" s="8">
        <v>0</v>
      </c>
      <c r="T83" s="24">
        <v>1</v>
      </c>
      <c r="U83" s="16"/>
      <c r="V83" s="16" t="s">
        <v>53</v>
      </c>
      <c r="W83" s="16"/>
    </row>
    <row r="84" spans="2:23" ht="15" customHeight="1">
      <c r="B84" s="16" t="s">
        <v>286</v>
      </c>
      <c r="C84" s="16" t="s">
        <v>151</v>
      </c>
      <c r="D84" s="16" t="s">
        <v>313</v>
      </c>
      <c r="E84" s="16" t="s">
        <v>78</v>
      </c>
      <c r="F84" s="16" t="s">
        <v>153</v>
      </c>
      <c r="G84" s="8">
        <v>1</v>
      </c>
      <c r="H84" s="8">
        <v>17</v>
      </c>
      <c r="I84" s="8">
        <v>12</v>
      </c>
      <c r="J84" s="8">
        <v>13602</v>
      </c>
      <c r="K84" s="8">
        <v>0</v>
      </c>
      <c r="L84" s="8">
        <v>0</v>
      </c>
      <c r="M84" s="8">
        <v>0</v>
      </c>
      <c r="N84" s="8">
        <v>0</v>
      </c>
      <c r="O84" s="8">
        <v>0</v>
      </c>
      <c r="P84" s="8">
        <v>0</v>
      </c>
      <c r="Q84" s="8">
        <v>0</v>
      </c>
      <c r="R84" s="8">
        <v>0</v>
      </c>
      <c r="S84" s="8">
        <v>1</v>
      </c>
      <c r="T84" s="24">
        <v>1</v>
      </c>
      <c r="U84" s="16"/>
      <c r="V84" s="16" t="s">
        <v>53</v>
      </c>
      <c r="W84" s="16"/>
    </row>
    <row r="85" spans="2:23" ht="15" customHeight="1">
      <c r="B85" s="16" t="s">
        <v>284</v>
      </c>
      <c r="C85" s="16" t="s">
        <v>151</v>
      </c>
      <c r="D85" s="16" t="s">
        <v>314</v>
      </c>
      <c r="E85" s="16" t="s">
        <v>78</v>
      </c>
      <c r="F85" s="16" t="s">
        <v>153</v>
      </c>
      <c r="G85" s="8">
        <v>1</v>
      </c>
      <c r="H85" s="8"/>
      <c r="I85" s="8">
        <v>0</v>
      </c>
      <c r="J85" s="8">
        <v>2830</v>
      </c>
      <c r="K85" s="8">
        <v>0</v>
      </c>
      <c r="L85" s="8">
        <v>0</v>
      </c>
      <c r="M85" s="8">
        <v>0</v>
      </c>
      <c r="N85" s="8">
        <v>0</v>
      </c>
      <c r="O85" s="8">
        <v>0</v>
      </c>
      <c r="P85" s="8">
        <v>0</v>
      </c>
      <c r="Q85" s="8">
        <v>0</v>
      </c>
      <c r="R85" s="8">
        <v>0</v>
      </c>
      <c r="S85" s="8">
        <v>1</v>
      </c>
      <c r="T85" s="24">
        <v>1</v>
      </c>
      <c r="U85" s="16"/>
      <c r="V85" s="16" t="s">
        <v>53</v>
      </c>
      <c r="W85" s="16"/>
    </row>
    <row r="86" spans="2:23" ht="15" customHeight="1">
      <c r="B86" s="16" t="s">
        <v>315</v>
      </c>
      <c r="C86" s="16" t="s">
        <v>123</v>
      </c>
      <c r="D86" s="16" t="s">
        <v>316</v>
      </c>
      <c r="E86" s="16" t="s">
        <v>64</v>
      </c>
      <c r="F86" s="16" t="s">
        <v>153</v>
      </c>
      <c r="G86" s="8">
        <v>1</v>
      </c>
      <c r="H86" s="8">
        <v>189</v>
      </c>
      <c r="I86" s="8">
        <v>3</v>
      </c>
      <c r="J86" s="8">
        <v>22662</v>
      </c>
      <c r="K86" s="8">
        <v>0</v>
      </c>
      <c r="L86" s="8">
        <v>0</v>
      </c>
      <c r="M86" s="8">
        <v>0</v>
      </c>
      <c r="N86" s="8">
        <v>0</v>
      </c>
      <c r="O86" s="8">
        <v>0</v>
      </c>
      <c r="P86" s="8">
        <v>0</v>
      </c>
      <c r="Q86" s="8">
        <v>1</v>
      </c>
      <c r="R86" s="8">
        <v>0</v>
      </c>
      <c r="S86" s="8">
        <v>0</v>
      </c>
      <c r="T86" s="24">
        <v>1</v>
      </c>
      <c r="U86" s="16" t="s">
        <v>142</v>
      </c>
      <c r="V86" s="16" t="s">
        <v>231</v>
      </c>
      <c r="W86" s="16" t="s">
        <v>317</v>
      </c>
    </row>
    <row r="87" spans="2:23" ht="15" customHeight="1">
      <c r="B87" s="16" t="s">
        <v>318</v>
      </c>
      <c r="C87" s="16" t="s">
        <v>151</v>
      </c>
      <c r="D87" s="16" t="s">
        <v>319</v>
      </c>
      <c r="E87" s="16" t="s">
        <v>64</v>
      </c>
      <c r="F87" s="16" t="s">
        <v>153</v>
      </c>
      <c r="G87" s="8">
        <v>1</v>
      </c>
      <c r="H87" s="8">
        <v>110</v>
      </c>
      <c r="I87" s="8">
        <v>2</v>
      </c>
      <c r="J87" s="8">
        <v>3437</v>
      </c>
      <c r="K87" s="8">
        <v>0</v>
      </c>
      <c r="L87" s="8">
        <v>0</v>
      </c>
      <c r="M87" s="8">
        <v>0</v>
      </c>
      <c r="N87" s="8">
        <v>0</v>
      </c>
      <c r="O87" s="8">
        <v>0</v>
      </c>
      <c r="P87" s="8">
        <v>0</v>
      </c>
      <c r="Q87" s="8">
        <v>0</v>
      </c>
      <c r="R87" s="8">
        <v>1</v>
      </c>
      <c r="S87" s="8">
        <v>0</v>
      </c>
      <c r="T87" s="24">
        <v>1</v>
      </c>
      <c r="U87" s="16" t="s">
        <v>142</v>
      </c>
      <c r="V87" s="16" t="s">
        <v>168</v>
      </c>
      <c r="W87" s="16" t="s">
        <v>169</v>
      </c>
    </row>
    <row r="88" spans="2:23" ht="15" customHeight="1">
      <c r="B88" s="16" t="s">
        <v>320</v>
      </c>
      <c r="C88" s="16" t="s">
        <v>123</v>
      </c>
      <c r="D88" s="16" t="s">
        <v>321</v>
      </c>
      <c r="E88" s="16" t="s">
        <v>64</v>
      </c>
      <c r="F88" s="16" t="s">
        <v>153</v>
      </c>
      <c r="G88" s="8">
        <v>1</v>
      </c>
      <c r="H88" s="8">
        <v>119</v>
      </c>
      <c r="I88" s="8">
        <v>2</v>
      </c>
      <c r="J88" s="8">
        <v>21913</v>
      </c>
      <c r="K88" s="8">
        <v>0</v>
      </c>
      <c r="L88" s="8">
        <v>1</v>
      </c>
      <c r="M88" s="8">
        <v>1</v>
      </c>
      <c r="N88" s="8">
        <v>0</v>
      </c>
      <c r="O88" s="8">
        <v>0</v>
      </c>
      <c r="P88" s="8">
        <v>0</v>
      </c>
      <c r="Q88" s="8">
        <v>1</v>
      </c>
      <c r="R88" s="8">
        <v>0</v>
      </c>
      <c r="S88" s="8">
        <v>0</v>
      </c>
      <c r="T88" s="24">
        <v>1</v>
      </c>
      <c r="U88" s="16" t="s">
        <v>142</v>
      </c>
      <c r="V88" s="16" t="s">
        <v>322</v>
      </c>
      <c r="W88" s="16" t="s">
        <v>323</v>
      </c>
    </row>
    <row r="89" spans="2:23" ht="15" customHeight="1">
      <c r="B89" s="16" t="s">
        <v>324</v>
      </c>
      <c r="C89" s="16" t="s">
        <v>206</v>
      </c>
      <c r="D89" s="16" t="s">
        <v>325</v>
      </c>
      <c r="E89" s="16" t="s">
        <v>64</v>
      </c>
      <c r="F89" s="16" t="s">
        <v>153</v>
      </c>
      <c r="G89" s="8">
        <v>1</v>
      </c>
      <c r="H89" s="8">
        <v>173</v>
      </c>
      <c r="I89" s="8">
        <v>3</v>
      </c>
      <c r="J89" s="8">
        <v>173962</v>
      </c>
      <c r="K89" s="8">
        <v>0</v>
      </c>
      <c r="L89" s="8">
        <v>1</v>
      </c>
      <c r="M89" s="8">
        <v>1</v>
      </c>
      <c r="N89" s="8">
        <v>0</v>
      </c>
      <c r="O89" s="8">
        <v>0</v>
      </c>
      <c r="P89" s="8">
        <v>0</v>
      </c>
      <c r="Q89" s="8">
        <v>0</v>
      </c>
      <c r="R89" s="8">
        <v>1</v>
      </c>
      <c r="S89" s="8">
        <v>0</v>
      </c>
      <c r="T89" s="24">
        <v>1</v>
      </c>
      <c r="U89" s="16"/>
      <c r="V89" s="16" t="s">
        <v>53</v>
      </c>
      <c r="W89" s="16"/>
    </row>
    <row r="90" spans="2:23" ht="15" customHeight="1">
      <c r="B90" s="16" t="s">
        <v>326</v>
      </c>
      <c r="C90" s="16" t="s">
        <v>206</v>
      </c>
      <c r="D90" s="16" t="s">
        <v>327</v>
      </c>
      <c r="E90" s="16" t="s">
        <v>64</v>
      </c>
      <c r="F90" s="16" t="s">
        <v>153</v>
      </c>
      <c r="G90" s="8">
        <v>1</v>
      </c>
      <c r="H90" s="8">
        <v>123</v>
      </c>
      <c r="I90" s="8">
        <v>2</v>
      </c>
      <c r="J90" s="8">
        <v>24003</v>
      </c>
      <c r="K90" s="8">
        <v>0</v>
      </c>
      <c r="L90" s="8">
        <v>0</v>
      </c>
      <c r="M90" s="8">
        <v>0</v>
      </c>
      <c r="N90" s="8">
        <v>0</v>
      </c>
      <c r="O90" s="8">
        <v>0</v>
      </c>
      <c r="P90" s="8">
        <v>0</v>
      </c>
      <c r="Q90" s="8">
        <v>0</v>
      </c>
      <c r="R90" s="8">
        <v>1</v>
      </c>
      <c r="S90" s="8">
        <v>0</v>
      </c>
      <c r="T90" s="24">
        <v>1</v>
      </c>
      <c r="U90" s="16" t="s">
        <v>142</v>
      </c>
      <c r="V90" s="16" t="s">
        <v>237</v>
      </c>
      <c r="W90" s="16" t="s">
        <v>238</v>
      </c>
    </row>
    <row r="91" spans="2:23" ht="15" customHeight="1">
      <c r="B91" s="16" t="s">
        <v>328</v>
      </c>
      <c r="C91" s="16" t="s">
        <v>206</v>
      </c>
      <c r="D91" s="16" t="s">
        <v>329</v>
      </c>
      <c r="E91" s="16" t="s">
        <v>64</v>
      </c>
      <c r="F91" s="16" t="s">
        <v>153</v>
      </c>
      <c r="G91" s="8">
        <v>1</v>
      </c>
      <c r="H91" s="8">
        <v>72</v>
      </c>
      <c r="I91" s="8">
        <v>2</v>
      </c>
      <c r="J91" s="8">
        <v>22250</v>
      </c>
      <c r="K91" s="8">
        <v>0</v>
      </c>
      <c r="L91" s="8">
        <v>0</v>
      </c>
      <c r="M91" s="8">
        <v>0</v>
      </c>
      <c r="N91" s="8">
        <v>0</v>
      </c>
      <c r="O91" s="8">
        <v>0</v>
      </c>
      <c r="P91" s="8">
        <v>0</v>
      </c>
      <c r="Q91" s="8">
        <v>0</v>
      </c>
      <c r="R91" s="8">
        <v>1</v>
      </c>
      <c r="S91" s="8">
        <v>0</v>
      </c>
      <c r="T91" s="24">
        <v>1</v>
      </c>
      <c r="U91" s="16" t="s">
        <v>142</v>
      </c>
      <c r="V91" s="16" t="s">
        <v>330</v>
      </c>
      <c r="W91" s="16" t="s">
        <v>331</v>
      </c>
    </row>
    <row r="92" spans="2:23" ht="15" customHeight="1">
      <c r="B92" s="16" t="s">
        <v>332</v>
      </c>
      <c r="C92" s="16" t="s">
        <v>198</v>
      </c>
      <c r="D92" s="16" t="s">
        <v>333</v>
      </c>
      <c r="E92" s="16" t="s">
        <v>64</v>
      </c>
      <c r="F92" s="16" t="s">
        <v>153</v>
      </c>
      <c r="G92" s="8">
        <v>1</v>
      </c>
      <c r="H92" s="8">
        <v>160</v>
      </c>
      <c r="I92" s="8">
        <v>3</v>
      </c>
      <c r="J92" s="8">
        <v>22770</v>
      </c>
      <c r="K92" s="8">
        <v>0</v>
      </c>
      <c r="L92" s="8">
        <v>0</v>
      </c>
      <c r="M92" s="8">
        <v>0</v>
      </c>
      <c r="N92" s="8">
        <v>0</v>
      </c>
      <c r="O92" s="8">
        <v>0</v>
      </c>
      <c r="P92" s="8">
        <v>0</v>
      </c>
      <c r="Q92" s="8">
        <v>0</v>
      </c>
      <c r="R92" s="8">
        <v>1</v>
      </c>
      <c r="S92" s="8">
        <v>0</v>
      </c>
      <c r="T92" s="24">
        <v>1</v>
      </c>
      <c r="U92" s="16" t="s">
        <v>142</v>
      </c>
      <c r="V92" s="16" t="s">
        <v>334</v>
      </c>
      <c r="W92" s="16" t="s">
        <v>335</v>
      </c>
    </row>
    <row r="93" spans="2:23" ht="15" customHeight="1">
      <c r="B93" s="16" t="s">
        <v>336</v>
      </c>
      <c r="C93" s="16" t="s">
        <v>206</v>
      </c>
      <c r="D93" s="16" t="s">
        <v>337</v>
      </c>
      <c r="E93" s="16" t="s">
        <v>64</v>
      </c>
      <c r="F93" s="16" t="s">
        <v>153</v>
      </c>
      <c r="G93" s="8">
        <v>1</v>
      </c>
      <c r="H93" s="8">
        <v>87</v>
      </c>
      <c r="I93" s="8">
        <v>2</v>
      </c>
      <c r="J93" s="8">
        <v>27256</v>
      </c>
      <c r="K93" s="8">
        <v>0</v>
      </c>
      <c r="L93" s="8">
        <v>0</v>
      </c>
      <c r="M93" s="8">
        <v>0</v>
      </c>
      <c r="N93" s="8">
        <v>0</v>
      </c>
      <c r="O93" s="8">
        <v>0</v>
      </c>
      <c r="P93" s="8">
        <v>0</v>
      </c>
      <c r="Q93" s="8">
        <v>0</v>
      </c>
      <c r="R93" s="8">
        <v>1</v>
      </c>
      <c r="S93" s="8">
        <v>0</v>
      </c>
      <c r="T93" s="24">
        <v>1</v>
      </c>
      <c r="U93" s="16" t="s">
        <v>142</v>
      </c>
      <c r="V93" s="16" t="s">
        <v>338</v>
      </c>
      <c r="W93" s="16" t="s">
        <v>339</v>
      </c>
    </row>
    <row r="94" spans="2:23" ht="15" customHeight="1">
      <c r="B94" s="16" t="s">
        <v>340</v>
      </c>
      <c r="C94" s="16" t="s">
        <v>151</v>
      </c>
      <c r="D94" s="16" t="s">
        <v>341</v>
      </c>
      <c r="E94" s="16" t="s">
        <v>90</v>
      </c>
      <c r="F94" s="16" t="s">
        <v>167</v>
      </c>
      <c r="G94" s="8">
        <v>1</v>
      </c>
      <c r="H94" s="8">
        <v>412</v>
      </c>
      <c r="I94" s="8">
        <v>6</v>
      </c>
      <c r="J94" s="8">
        <v>153466</v>
      </c>
      <c r="K94" s="8">
        <v>0</v>
      </c>
      <c r="L94" s="8">
        <v>0</v>
      </c>
      <c r="M94" s="8">
        <v>0</v>
      </c>
      <c r="N94" s="8">
        <v>0</v>
      </c>
      <c r="O94" s="8">
        <v>0</v>
      </c>
      <c r="P94" s="8">
        <v>0</v>
      </c>
      <c r="Q94" s="8">
        <v>0</v>
      </c>
      <c r="R94" s="8">
        <v>1</v>
      </c>
      <c r="S94" s="8">
        <v>0</v>
      </c>
      <c r="T94" s="24">
        <v>1</v>
      </c>
      <c r="U94" s="16"/>
      <c r="V94" s="16" t="s">
        <v>53</v>
      </c>
      <c r="W94" s="16"/>
    </row>
    <row r="95" spans="2:23" ht="15" customHeight="1">
      <c r="B95" s="16" t="s">
        <v>342</v>
      </c>
      <c r="C95" s="16" t="s">
        <v>151</v>
      </c>
      <c r="D95" s="16" t="s">
        <v>343</v>
      </c>
      <c r="E95" s="16" t="s">
        <v>64</v>
      </c>
      <c r="F95" s="16" t="s">
        <v>153</v>
      </c>
      <c r="G95" s="8">
        <v>1</v>
      </c>
      <c r="H95" s="8">
        <v>130</v>
      </c>
      <c r="I95" s="8">
        <v>2</v>
      </c>
      <c r="J95" s="8">
        <v>17881</v>
      </c>
      <c r="K95" s="8">
        <v>0</v>
      </c>
      <c r="L95" s="8">
        <v>2</v>
      </c>
      <c r="M95" s="8">
        <v>2</v>
      </c>
      <c r="N95" s="8">
        <v>0</v>
      </c>
      <c r="O95" s="8">
        <v>0</v>
      </c>
      <c r="P95" s="8">
        <v>0</v>
      </c>
      <c r="Q95" s="8">
        <v>0</v>
      </c>
      <c r="R95" s="8">
        <v>1</v>
      </c>
      <c r="S95" s="8">
        <v>0</v>
      </c>
      <c r="T95" s="24">
        <v>1</v>
      </c>
      <c r="U95" s="16" t="s">
        <v>142</v>
      </c>
      <c r="V95" s="16" t="s">
        <v>195</v>
      </c>
      <c r="W95" s="16" t="s">
        <v>344</v>
      </c>
    </row>
    <row r="96" spans="2:23" ht="15" customHeight="1">
      <c r="B96" s="16" t="s">
        <v>345</v>
      </c>
      <c r="C96" s="16" t="s">
        <v>151</v>
      </c>
      <c r="D96" s="16" t="s">
        <v>346</v>
      </c>
      <c r="E96" s="16" t="s">
        <v>64</v>
      </c>
      <c r="F96" s="16" t="s">
        <v>153</v>
      </c>
      <c r="G96" s="8">
        <v>1</v>
      </c>
      <c r="H96" s="8">
        <v>110</v>
      </c>
      <c r="I96" s="8">
        <v>2</v>
      </c>
      <c r="J96" s="8">
        <v>507238</v>
      </c>
      <c r="K96" s="8">
        <v>0</v>
      </c>
      <c r="L96" s="8">
        <v>0</v>
      </c>
      <c r="M96" s="8">
        <v>0</v>
      </c>
      <c r="N96" s="8">
        <v>0</v>
      </c>
      <c r="O96" s="8">
        <v>0</v>
      </c>
      <c r="P96" s="8">
        <v>0</v>
      </c>
      <c r="Q96" s="8">
        <v>0</v>
      </c>
      <c r="R96" s="8">
        <v>1</v>
      </c>
      <c r="S96" s="8">
        <v>0</v>
      </c>
      <c r="T96" s="24">
        <v>1</v>
      </c>
      <c r="U96" s="16"/>
      <c r="V96" s="16" t="s">
        <v>53</v>
      </c>
      <c r="W96" s="16"/>
    </row>
    <row r="97" spans="2:23" ht="15" customHeight="1">
      <c r="B97" s="16" t="s">
        <v>336</v>
      </c>
      <c r="C97" s="16" t="s">
        <v>123</v>
      </c>
      <c r="D97" s="16" t="s">
        <v>347</v>
      </c>
      <c r="E97" s="16" t="s">
        <v>64</v>
      </c>
      <c r="F97" s="16" t="s">
        <v>153</v>
      </c>
      <c r="G97" s="8">
        <v>1</v>
      </c>
      <c r="H97" s="8">
        <v>48</v>
      </c>
      <c r="I97" s="8">
        <v>1</v>
      </c>
      <c r="J97" s="8">
        <v>22118</v>
      </c>
      <c r="K97" s="8">
        <v>0</v>
      </c>
      <c r="L97" s="8">
        <v>3</v>
      </c>
      <c r="M97" s="8">
        <v>3</v>
      </c>
      <c r="N97" s="8">
        <v>0</v>
      </c>
      <c r="O97" s="8">
        <v>0</v>
      </c>
      <c r="P97" s="8">
        <v>0</v>
      </c>
      <c r="Q97" s="8">
        <v>1</v>
      </c>
      <c r="R97" s="8">
        <v>0</v>
      </c>
      <c r="S97" s="8">
        <v>0</v>
      </c>
      <c r="T97" s="24">
        <v>1</v>
      </c>
      <c r="U97" s="16" t="s">
        <v>142</v>
      </c>
      <c r="V97" s="16" t="s">
        <v>338</v>
      </c>
      <c r="W97" s="16" t="s">
        <v>339</v>
      </c>
    </row>
    <row r="98" spans="2:23" ht="15" customHeight="1">
      <c r="B98" s="16" t="s">
        <v>348</v>
      </c>
      <c r="C98" s="16" t="s">
        <v>123</v>
      </c>
      <c r="D98" s="16" t="s">
        <v>349</v>
      </c>
      <c r="E98" s="16" t="s">
        <v>64</v>
      </c>
      <c r="F98" s="16" t="s">
        <v>153</v>
      </c>
      <c r="G98" s="8">
        <v>1</v>
      </c>
      <c r="H98" s="8">
        <v>179</v>
      </c>
      <c r="I98" s="8">
        <v>3</v>
      </c>
      <c r="J98" s="8">
        <v>87176</v>
      </c>
      <c r="K98" s="8">
        <v>0</v>
      </c>
      <c r="L98" s="8">
        <v>1</v>
      </c>
      <c r="M98" s="8">
        <v>1</v>
      </c>
      <c r="N98" s="8">
        <v>0</v>
      </c>
      <c r="O98" s="8">
        <v>0</v>
      </c>
      <c r="P98" s="8">
        <v>0</v>
      </c>
      <c r="Q98" s="8">
        <v>0</v>
      </c>
      <c r="R98" s="8">
        <v>1</v>
      </c>
      <c r="S98" s="8">
        <v>0</v>
      </c>
      <c r="T98" s="24">
        <v>1</v>
      </c>
      <c r="U98" s="16" t="s">
        <v>142</v>
      </c>
      <c r="V98" s="16" t="s">
        <v>237</v>
      </c>
      <c r="W98" s="16" t="s">
        <v>238</v>
      </c>
    </row>
    <row r="99" spans="2:23" ht="15" customHeight="1">
      <c r="B99" s="16" t="s">
        <v>350</v>
      </c>
      <c r="C99" s="16" t="s">
        <v>151</v>
      </c>
      <c r="D99" s="16" t="s">
        <v>351</v>
      </c>
      <c r="E99" s="16" t="s">
        <v>64</v>
      </c>
      <c r="F99" s="16" t="s">
        <v>153</v>
      </c>
      <c r="G99" s="8">
        <v>1</v>
      </c>
      <c r="H99" s="8">
        <v>138</v>
      </c>
      <c r="I99" s="8">
        <v>2</v>
      </c>
      <c r="J99" s="8">
        <v>50706</v>
      </c>
      <c r="K99" s="8">
        <v>0</v>
      </c>
      <c r="L99" s="8">
        <v>3</v>
      </c>
      <c r="M99" s="8">
        <v>3</v>
      </c>
      <c r="N99" s="8">
        <v>0</v>
      </c>
      <c r="O99" s="8">
        <v>0</v>
      </c>
      <c r="P99" s="8">
        <v>0</v>
      </c>
      <c r="Q99" s="8">
        <v>1</v>
      </c>
      <c r="R99" s="8">
        <v>0</v>
      </c>
      <c r="S99" s="8">
        <v>0</v>
      </c>
      <c r="T99" s="24">
        <v>1</v>
      </c>
      <c r="U99" s="16" t="s">
        <v>142</v>
      </c>
      <c r="V99" s="16" t="s">
        <v>352</v>
      </c>
      <c r="W99" s="16" t="s">
        <v>353</v>
      </c>
    </row>
    <row r="100" spans="2:23" ht="15" customHeight="1">
      <c r="B100" s="16" t="s">
        <v>354</v>
      </c>
      <c r="C100" s="16" t="s">
        <v>151</v>
      </c>
      <c r="D100" s="16" t="s">
        <v>355</v>
      </c>
      <c r="E100" s="16" t="s">
        <v>64</v>
      </c>
      <c r="F100" s="16" t="s">
        <v>153</v>
      </c>
      <c r="G100" s="8">
        <v>1</v>
      </c>
      <c r="H100" s="8">
        <v>195</v>
      </c>
      <c r="I100" s="8">
        <v>3</v>
      </c>
      <c r="J100" s="8">
        <v>66349</v>
      </c>
      <c r="K100" s="8">
        <v>0</v>
      </c>
      <c r="L100" s="8">
        <v>0</v>
      </c>
      <c r="M100" s="8">
        <v>0</v>
      </c>
      <c r="N100" s="8">
        <v>0</v>
      </c>
      <c r="O100" s="8">
        <v>0</v>
      </c>
      <c r="P100" s="8">
        <v>0</v>
      </c>
      <c r="Q100" s="8">
        <v>0</v>
      </c>
      <c r="R100" s="8">
        <v>1</v>
      </c>
      <c r="S100" s="8">
        <v>0</v>
      </c>
      <c r="T100" s="24">
        <v>1</v>
      </c>
      <c r="U100" s="16" t="s">
        <v>142</v>
      </c>
      <c r="V100" s="16" t="s">
        <v>356</v>
      </c>
      <c r="W100" s="16" t="s">
        <v>357</v>
      </c>
    </row>
    <row r="101" spans="2:23" ht="15" customHeight="1">
      <c r="B101" s="16" t="s">
        <v>358</v>
      </c>
      <c r="C101" s="16" t="s">
        <v>151</v>
      </c>
      <c r="D101" s="16" t="s">
        <v>109</v>
      </c>
      <c r="E101" s="16" t="s">
        <v>108</v>
      </c>
      <c r="F101" s="16" t="s">
        <v>156</v>
      </c>
      <c r="G101" s="8">
        <v>1</v>
      </c>
      <c r="H101" s="8"/>
      <c r="I101" s="8">
        <v>0</v>
      </c>
      <c r="J101" s="8">
        <v>1060000</v>
      </c>
      <c r="K101" s="8">
        <v>0</v>
      </c>
      <c r="L101" s="8">
        <v>10</v>
      </c>
      <c r="M101" s="8">
        <v>10</v>
      </c>
      <c r="N101" s="8">
        <v>0</v>
      </c>
      <c r="O101" s="8">
        <v>0</v>
      </c>
      <c r="P101" s="8">
        <v>0</v>
      </c>
      <c r="Q101" s="8">
        <v>0</v>
      </c>
      <c r="R101" s="8">
        <v>1</v>
      </c>
      <c r="S101" s="8">
        <v>0</v>
      </c>
      <c r="T101" s="24">
        <v>1</v>
      </c>
      <c r="U101" s="16"/>
      <c r="V101" s="16" t="s">
        <v>53</v>
      </c>
      <c r="W101" s="16"/>
    </row>
    <row r="102" spans="2:23" ht="15" customHeight="1">
      <c r="B102" s="16" t="s">
        <v>359</v>
      </c>
      <c r="C102" s="16" t="s">
        <v>151</v>
      </c>
      <c r="D102" s="16" t="s">
        <v>360</v>
      </c>
      <c r="E102" s="16" t="s">
        <v>64</v>
      </c>
      <c r="F102" s="16" t="s">
        <v>153</v>
      </c>
      <c r="G102" s="8">
        <v>1</v>
      </c>
      <c r="H102" s="8">
        <v>91</v>
      </c>
      <c r="I102" s="8">
        <v>2</v>
      </c>
      <c r="J102" s="8">
        <v>135552</v>
      </c>
      <c r="K102" s="8">
        <v>0</v>
      </c>
      <c r="L102" s="8">
        <v>0</v>
      </c>
      <c r="M102" s="8">
        <v>0</v>
      </c>
      <c r="N102" s="8">
        <v>0</v>
      </c>
      <c r="O102" s="8">
        <v>0</v>
      </c>
      <c r="P102" s="8">
        <v>0</v>
      </c>
      <c r="Q102" s="8">
        <v>1</v>
      </c>
      <c r="R102" s="8">
        <v>0</v>
      </c>
      <c r="S102" s="8">
        <v>0</v>
      </c>
      <c r="T102" s="24">
        <v>1</v>
      </c>
      <c r="U102" s="16"/>
      <c r="V102" s="16" t="s">
        <v>53</v>
      </c>
      <c r="W102" s="16"/>
    </row>
    <row r="103" spans="2:23" ht="15" customHeight="1">
      <c r="B103" s="16" t="s">
        <v>361</v>
      </c>
      <c r="C103" s="16" t="s">
        <v>124</v>
      </c>
      <c r="D103" s="16" t="s">
        <v>362</v>
      </c>
      <c r="E103" s="16" t="s">
        <v>64</v>
      </c>
      <c r="F103" s="16" t="s">
        <v>153</v>
      </c>
      <c r="G103" s="8">
        <v>1</v>
      </c>
      <c r="H103" s="8">
        <v>141</v>
      </c>
      <c r="I103" s="8">
        <v>2</v>
      </c>
      <c r="J103" s="8">
        <v>21668</v>
      </c>
      <c r="K103" s="8">
        <v>0</v>
      </c>
      <c r="L103" s="8">
        <v>0</v>
      </c>
      <c r="M103" s="8">
        <v>0</v>
      </c>
      <c r="N103" s="8">
        <v>0</v>
      </c>
      <c r="O103" s="8">
        <v>0</v>
      </c>
      <c r="P103" s="8">
        <v>0</v>
      </c>
      <c r="Q103" s="8">
        <v>1</v>
      </c>
      <c r="R103" s="8">
        <v>0</v>
      </c>
      <c r="S103" s="8">
        <v>0</v>
      </c>
      <c r="T103" s="24">
        <v>1</v>
      </c>
      <c r="U103" s="16" t="s">
        <v>142</v>
      </c>
      <c r="V103" s="16" t="s">
        <v>334</v>
      </c>
      <c r="W103" s="16" t="s">
        <v>363</v>
      </c>
    </row>
    <row r="104" spans="2:23" ht="15" customHeight="1">
      <c r="B104" s="16" t="s">
        <v>364</v>
      </c>
      <c r="C104" s="16" t="s">
        <v>151</v>
      </c>
      <c r="D104" s="16" t="s">
        <v>365</v>
      </c>
      <c r="E104" s="16" t="s">
        <v>64</v>
      </c>
      <c r="F104" s="16" t="s">
        <v>153</v>
      </c>
      <c r="G104" s="8">
        <v>1</v>
      </c>
      <c r="H104" s="8">
        <v>50</v>
      </c>
      <c r="I104" s="8">
        <v>1</v>
      </c>
      <c r="J104" s="8">
        <v>62391</v>
      </c>
      <c r="K104" s="8">
        <v>0</v>
      </c>
      <c r="L104" s="8">
        <v>0</v>
      </c>
      <c r="M104" s="8">
        <v>0</v>
      </c>
      <c r="N104" s="8">
        <v>0</v>
      </c>
      <c r="O104" s="8">
        <v>0</v>
      </c>
      <c r="P104" s="8">
        <v>0</v>
      </c>
      <c r="Q104" s="8">
        <v>1</v>
      </c>
      <c r="R104" s="8">
        <v>0</v>
      </c>
      <c r="S104" s="8">
        <v>0</v>
      </c>
      <c r="T104" s="24">
        <v>1</v>
      </c>
      <c r="U104" s="16"/>
      <c r="V104" s="16" t="s">
        <v>53</v>
      </c>
      <c r="W104" s="16"/>
    </row>
    <row r="105" spans="2:23" ht="15" customHeight="1">
      <c r="B105" s="16" t="s">
        <v>366</v>
      </c>
      <c r="C105" s="16" t="s">
        <v>151</v>
      </c>
      <c r="D105" s="16" t="s">
        <v>367</v>
      </c>
      <c r="E105" s="16" t="s">
        <v>64</v>
      </c>
      <c r="F105" s="16" t="s">
        <v>153</v>
      </c>
      <c r="G105" s="8">
        <v>1</v>
      </c>
      <c r="H105" s="8">
        <v>44</v>
      </c>
      <c r="I105" s="8">
        <v>1</v>
      </c>
      <c r="J105" s="8">
        <v>10616</v>
      </c>
      <c r="K105" s="8">
        <v>0</v>
      </c>
      <c r="L105" s="8">
        <v>0</v>
      </c>
      <c r="M105" s="8">
        <v>0</v>
      </c>
      <c r="N105" s="8">
        <v>0</v>
      </c>
      <c r="O105" s="8">
        <v>0</v>
      </c>
      <c r="P105" s="8">
        <v>0</v>
      </c>
      <c r="Q105" s="8">
        <v>1</v>
      </c>
      <c r="R105" s="8">
        <v>0</v>
      </c>
      <c r="S105" s="8">
        <v>0</v>
      </c>
      <c r="T105" s="24">
        <v>1</v>
      </c>
      <c r="U105" s="16" t="s">
        <v>142</v>
      </c>
      <c r="V105" s="16" t="s">
        <v>368</v>
      </c>
      <c r="W105" s="16" t="s">
        <v>369</v>
      </c>
    </row>
    <row r="106" spans="2:23" ht="15" customHeight="1">
      <c r="B106" s="16" t="s">
        <v>160</v>
      </c>
      <c r="C106" s="16" t="s">
        <v>198</v>
      </c>
      <c r="D106" s="16" t="s">
        <v>370</v>
      </c>
      <c r="E106" s="16" t="s">
        <v>64</v>
      </c>
      <c r="F106" s="16" t="s">
        <v>153</v>
      </c>
      <c r="G106" s="8">
        <v>1</v>
      </c>
      <c r="H106" s="8">
        <v>31</v>
      </c>
      <c r="I106" s="8">
        <v>1</v>
      </c>
      <c r="J106" s="8">
        <v>53188</v>
      </c>
      <c r="K106" s="8">
        <v>0</v>
      </c>
      <c r="L106" s="8">
        <v>0</v>
      </c>
      <c r="M106" s="8">
        <v>0</v>
      </c>
      <c r="N106" s="8">
        <v>0</v>
      </c>
      <c r="O106" s="8">
        <v>0</v>
      </c>
      <c r="P106" s="8">
        <v>0</v>
      </c>
      <c r="Q106" s="8">
        <v>0</v>
      </c>
      <c r="R106" s="8">
        <v>1</v>
      </c>
      <c r="S106" s="8">
        <v>0</v>
      </c>
      <c r="T106" s="24">
        <v>1</v>
      </c>
      <c r="U106" s="16" t="s">
        <v>142</v>
      </c>
      <c r="V106" s="16" t="s">
        <v>159</v>
      </c>
      <c r="W106" s="16" t="s">
        <v>160</v>
      </c>
    </row>
    <row r="107" spans="2:23" ht="15" customHeight="1">
      <c r="B107" s="16" t="s">
        <v>371</v>
      </c>
      <c r="C107" s="16" t="s">
        <v>123</v>
      </c>
      <c r="D107" s="16" t="s">
        <v>372</v>
      </c>
      <c r="E107" s="16" t="s">
        <v>64</v>
      </c>
      <c r="F107" s="16" t="s">
        <v>153</v>
      </c>
      <c r="G107" s="8">
        <v>1</v>
      </c>
      <c r="H107" s="8">
        <v>125</v>
      </c>
      <c r="I107" s="8">
        <v>2</v>
      </c>
      <c r="J107" s="8">
        <v>28802</v>
      </c>
      <c r="K107" s="8">
        <v>0</v>
      </c>
      <c r="L107" s="8">
        <v>0</v>
      </c>
      <c r="M107" s="8">
        <v>0</v>
      </c>
      <c r="N107" s="8">
        <v>0</v>
      </c>
      <c r="O107" s="8">
        <v>0</v>
      </c>
      <c r="P107" s="8">
        <v>0</v>
      </c>
      <c r="Q107" s="8">
        <v>0</v>
      </c>
      <c r="R107" s="8">
        <v>1</v>
      </c>
      <c r="S107" s="8">
        <v>0</v>
      </c>
      <c r="T107" s="24">
        <v>1</v>
      </c>
      <c r="U107" s="16"/>
      <c r="V107" s="16" t="s">
        <v>53</v>
      </c>
      <c r="W107" s="16"/>
    </row>
    <row r="108" spans="2:23" ht="15" customHeight="1">
      <c r="B108" s="16" t="s">
        <v>373</v>
      </c>
      <c r="C108" s="16" t="s">
        <v>206</v>
      </c>
      <c r="D108" s="16" t="s">
        <v>374</v>
      </c>
      <c r="E108" s="16" t="s">
        <v>64</v>
      </c>
      <c r="F108" s="16" t="s">
        <v>153</v>
      </c>
      <c r="G108" s="8">
        <v>1</v>
      </c>
      <c r="H108" s="8">
        <v>105</v>
      </c>
      <c r="I108" s="8">
        <v>2</v>
      </c>
      <c r="J108" s="8">
        <v>26143</v>
      </c>
      <c r="K108" s="8">
        <v>0</v>
      </c>
      <c r="L108" s="8">
        <v>0</v>
      </c>
      <c r="M108" s="8">
        <v>0</v>
      </c>
      <c r="N108" s="8">
        <v>0</v>
      </c>
      <c r="O108" s="8">
        <v>0</v>
      </c>
      <c r="P108" s="8">
        <v>0</v>
      </c>
      <c r="Q108" s="8">
        <v>0</v>
      </c>
      <c r="R108" s="8">
        <v>1</v>
      </c>
      <c r="S108" s="8">
        <v>0</v>
      </c>
      <c r="T108" s="24">
        <v>1</v>
      </c>
      <c r="U108" s="16" t="s">
        <v>142</v>
      </c>
      <c r="V108" s="16" t="s">
        <v>375</v>
      </c>
      <c r="W108" s="16" t="s">
        <v>376</v>
      </c>
    </row>
    <row r="109" spans="2:23" ht="15" customHeight="1">
      <c r="B109" s="16" t="s">
        <v>377</v>
      </c>
      <c r="C109" s="16" t="s">
        <v>252</v>
      </c>
      <c r="D109" s="16" t="s">
        <v>378</v>
      </c>
      <c r="E109" s="16" t="s">
        <v>88</v>
      </c>
      <c r="F109" s="16" t="s">
        <v>156</v>
      </c>
      <c r="G109" s="8">
        <v>1</v>
      </c>
      <c r="H109" s="8">
        <v>572</v>
      </c>
      <c r="I109" s="8">
        <v>9</v>
      </c>
      <c r="J109" s="8">
        <v>1380000</v>
      </c>
      <c r="K109" s="8">
        <v>0</v>
      </c>
      <c r="L109" s="8">
        <v>0</v>
      </c>
      <c r="M109" s="8">
        <v>0</v>
      </c>
      <c r="N109" s="8">
        <v>0</v>
      </c>
      <c r="O109" s="8">
        <v>0</v>
      </c>
      <c r="P109" s="8">
        <v>0</v>
      </c>
      <c r="Q109" s="8">
        <v>0</v>
      </c>
      <c r="R109" s="8">
        <v>1</v>
      </c>
      <c r="S109" s="8">
        <v>0</v>
      </c>
      <c r="T109" s="24">
        <v>1</v>
      </c>
      <c r="U109" s="16"/>
      <c r="V109" s="16" t="s">
        <v>53</v>
      </c>
      <c r="W109" s="16"/>
    </row>
    <row r="110" spans="2:23" ht="15" customHeight="1">
      <c r="B110" s="16" t="s">
        <v>379</v>
      </c>
      <c r="C110" s="16" t="s">
        <v>123</v>
      </c>
      <c r="D110" s="16" t="s">
        <v>380</v>
      </c>
      <c r="E110" s="16" t="s">
        <v>64</v>
      </c>
      <c r="F110" s="16" t="s">
        <v>153</v>
      </c>
      <c r="G110" s="8">
        <v>1</v>
      </c>
      <c r="H110" s="8">
        <v>125</v>
      </c>
      <c r="I110" s="8">
        <v>2</v>
      </c>
      <c r="J110" s="8">
        <v>23238</v>
      </c>
      <c r="K110" s="8">
        <v>0</v>
      </c>
      <c r="L110" s="8">
        <v>3</v>
      </c>
      <c r="M110" s="8">
        <v>3</v>
      </c>
      <c r="N110" s="8">
        <v>0</v>
      </c>
      <c r="O110" s="8">
        <v>0</v>
      </c>
      <c r="P110" s="8">
        <v>0</v>
      </c>
      <c r="Q110" s="8">
        <v>1</v>
      </c>
      <c r="R110" s="8">
        <v>0</v>
      </c>
      <c r="S110" s="8">
        <v>0</v>
      </c>
      <c r="T110" s="24">
        <v>1</v>
      </c>
      <c r="U110" s="16" t="s">
        <v>142</v>
      </c>
      <c r="V110" s="16" t="s">
        <v>219</v>
      </c>
      <c r="W110" s="16" t="s">
        <v>220</v>
      </c>
    </row>
    <row r="111" spans="2:23" ht="15" customHeight="1">
      <c r="B111" s="16" t="s">
        <v>381</v>
      </c>
      <c r="C111" s="16" t="s">
        <v>151</v>
      </c>
      <c r="D111" s="16" t="s">
        <v>382</v>
      </c>
      <c r="E111" s="16" t="s">
        <v>67</v>
      </c>
      <c r="F111" s="16" t="s">
        <v>156</v>
      </c>
      <c r="G111" s="8">
        <v>1</v>
      </c>
      <c r="H111" s="8">
        <v>0</v>
      </c>
      <c r="I111" s="8">
        <v>0</v>
      </c>
      <c r="J111" s="8">
        <v>195802</v>
      </c>
      <c r="K111" s="8">
        <v>0</v>
      </c>
      <c r="L111" s="8">
        <v>0</v>
      </c>
      <c r="M111" s="8">
        <v>0</v>
      </c>
      <c r="N111" s="8">
        <v>0</v>
      </c>
      <c r="O111" s="8">
        <v>0</v>
      </c>
      <c r="P111" s="8">
        <v>0</v>
      </c>
      <c r="Q111" s="8">
        <v>0</v>
      </c>
      <c r="R111" s="8">
        <v>1</v>
      </c>
      <c r="S111" s="8">
        <v>0</v>
      </c>
      <c r="T111" s="24">
        <v>1</v>
      </c>
      <c r="U111" s="16"/>
      <c r="V111" s="16" t="s">
        <v>53</v>
      </c>
      <c r="W111" s="16"/>
    </row>
    <row r="112" spans="2:23" ht="15" customHeight="1">
      <c r="B112" s="16" t="s">
        <v>267</v>
      </c>
      <c r="C112" s="16" t="s">
        <v>151</v>
      </c>
      <c r="D112" s="16" t="s">
        <v>383</v>
      </c>
      <c r="E112" s="16" t="s">
        <v>67</v>
      </c>
      <c r="F112" s="16" t="s">
        <v>156</v>
      </c>
      <c r="G112" s="8">
        <v>1</v>
      </c>
      <c r="H112" s="8">
        <v>0</v>
      </c>
      <c r="I112" s="8">
        <v>0</v>
      </c>
      <c r="J112" s="8">
        <v>280517</v>
      </c>
      <c r="K112" s="8">
        <v>0</v>
      </c>
      <c r="L112" s="8">
        <v>0</v>
      </c>
      <c r="M112" s="8">
        <v>0</v>
      </c>
      <c r="N112" s="8">
        <v>0</v>
      </c>
      <c r="O112" s="8">
        <v>0</v>
      </c>
      <c r="P112" s="8">
        <v>0</v>
      </c>
      <c r="Q112" s="8">
        <v>1</v>
      </c>
      <c r="R112" s="8">
        <v>0</v>
      </c>
      <c r="S112" s="8">
        <v>0</v>
      </c>
      <c r="T112" s="24">
        <v>1</v>
      </c>
      <c r="U112" s="16"/>
      <c r="V112" s="16" t="s">
        <v>53</v>
      </c>
      <c r="W112" s="16"/>
    </row>
    <row r="113" spans="2:23" ht="15" customHeight="1">
      <c r="B113" s="16" t="s">
        <v>384</v>
      </c>
      <c r="C113" s="16" t="s">
        <v>206</v>
      </c>
      <c r="D113" s="16" t="s">
        <v>385</v>
      </c>
      <c r="E113" s="16" t="s">
        <v>64</v>
      </c>
      <c r="F113" s="16" t="s">
        <v>153</v>
      </c>
      <c r="G113" s="8">
        <v>1</v>
      </c>
      <c r="H113" s="8">
        <v>8</v>
      </c>
      <c r="I113" s="8">
        <v>1</v>
      </c>
      <c r="J113" s="8">
        <v>17496</v>
      </c>
      <c r="K113" s="8">
        <v>0</v>
      </c>
      <c r="L113" s="8">
        <v>0</v>
      </c>
      <c r="M113" s="8">
        <v>0</v>
      </c>
      <c r="N113" s="8">
        <v>0</v>
      </c>
      <c r="O113" s="8">
        <v>0</v>
      </c>
      <c r="P113" s="8">
        <v>0</v>
      </c>
      <c r="Q113" s="8">
        <v>1</v>
      </c>
      <c r="R113" s="8">
        <v>0</v>
      </c>
      <c r="S113" s="8">
        <v>0</v>
      </c>
      <c r="T113" s="24">
        <v>1</v>
      </c>
      <c r="U113" s="16" t="s">
        <v>142</v>
      </c>
      <c r="V113" s="16" t="s">
        <v>241</v>
      </c>
      <c r="W113" s="16" t="s">
        <v>242</v>
      </c>
    </row>
    <row r="114" spans="2:23" ht="15" customHeight="1">
      <c r="B114" s="16" t="s">
        <v>386</v>
      </c>
      <c r="C114" s="16" t="s">
        <v>151</v>
      </c>
      <c r="D114" s="16" t="s">
        <v>387</v>
      </c>
      <c r="E114" s="16" t="s">
        <v>64</v>
      </c>
      <c r="F114" s="16" t="s">
        <v>167</v>
      </c>
      <c r="G114" s="8">
        <v>1</v>
      </c>
      <c r="H114" s="8"/>
      <c r="I114" s="8">
        <v>0</v>
      </c>
      <c r="J114" s="8">
        <v>112</v>
      </c>
      <c r="K114" s="8">
        <v>12</v>
      </c>
      <c r="L114" s="8">
        <v>0</v>
      </c>
      <c r="M114" s="8">
        <v>0</v>
      </c>
      <c r="N114" s="8">
        <v>0</v>
      </c>
      <c r="O114" s="8">
        <v>0</v>
      </c>
      <c r="P114" s="8">
        <v>0</v>
      </c>
      <c r="Q114" s="8">
        <v>0</v>
      </c>
      <c r="R114" s="8">
        <v>1</v>
      </c>
      <c r="S114" s="8">
        <v>0</v>
      </c>
      <c r="T114" s="24">
        <v>1</v>
      </c>
      <c r="U114" s="16"/>
      <c r="V114" s="16" t="s">
        <v>53</v>
      </c>
      <c r="W114" s="16"/>
    </row>
    <row r="115" spans="2:23" ht="15" customHeight="1">
      <c r="B115" s="16" t="s">
        <v>388</v>
      </c>
      <c r="C115" s="16" t="s">
        <v>151</v>
      </c>
      <c r="D115" s="16" t="s">
        <v>389</v>
      </c>
      <c r="E115" s="16" t="s">
        <v>110</v>
      </c>
      <c r="F115" s="16" t="s">
        <v>156</v>
      </c>
      <c r="G115" s="8">
        <v>1</v>
      </c>
      <c r="H115" s="8"/>
      <c r="I115" s="8">
        <v>0</v>
      </c>
      <c r="J115" s="8" t="s">
        <v>82</v>
      </c>
      <c r="K115" s="8">
        <v>0</v>
      </c>
      <c r="L115" s="8" t="s">
        <v>82</v>
      </c>
      <c r="M115" s="8">
        <v>0</v>
      </c>
      <c r="N115" s="8">
        <v>0</v>
      </c>
      <c r="O115" s="8">
        <v>0</v>
      </c>
      <c r="P115" s="8">
        <v>4</v>
      </c>
      <c r="Q115" s="8">
        <v>1</v>
      </c>
      <c r="R115" s="8">
        <v>0</v>
      </c>
      <c r="S115" s="8">
        <v>0</v>
      </c>
      <c r="T115" s="24">
        <v>1</v>
      </c>
      <c r="U115" s="16"/>
      <c r="V115" s="16" t="s">
        <v>53</v>
      </c>
      <c r="W115" s="16"/>
    </row>
    <row r="116" spans="2:23" ht="15" customHeight="1">
      <c r="B116" s="16" t="s">
        <v>390</v>
      </c>
      <c r="C116" s="16" t="s">
        <v>151</v>
      </c>
      <c r="D116" s="16" t="s">
        <v>391</v>
      </c>
      <c r="E116" s="16" t="s">
        <v>64</v>
      </c>
      <c r="F116" s="16" t="s">
        <v>153</v>
      </c>
      <c r="G116" s="8">
        <v>1</v>
      </c>
      <c r="H116" s="8">
        <v>71</v>
      </c>
      <c r="I116" s="8">
        <v>1</v>
      </c>
      <c r="J116" s="8">
        <v>9410</v>
      </c>
      <c r="K116" s="8">
        <v>0</v>
      </c>
      <c r="L116" s="8">
        <v>0</v>
      </c>
      <c r="M116" s="8">
        <v>0</v>
      </c>
      <c r="N116" s="8">
        <v>0</v>
      </c>
      <c r="O116" s="8">
        <v>0</v>
      </c>
      <c r="P116" s="8">
        <v>0</v>
      </c>
      <c r="Q116" s="8">
        <v>1</v>
      </c>
      <c r="R116" s="8">
        <v>0</v>
      </c>
      <c r="S116" s="8">
        <v>0</v>
      </c>
      <c r="T116" s="24">
        <v>1</v>
      </c>
      <c r="U116" s="16" t="s">
        <v>142</v>
      </c>
      <c r="V116" s="16" t="s">
        <v>392</v>
      </c>
      <c r="W116" s="16" t="s">
        <v>393</v>
      </c>
    </row>
    <row r="117" spans="2:23" ht="15" customHeight="1">
      <c r="B117" s="16" t="s">
        <v>394</v>
      </c>
      <c r="C117" s="16" t="s">
        <v>123</v>
      </c>
      <c r="D117" s="16" t="s">
        <v>395</v>
      </c>
      <c r="E117" s="16" t="s">
        <v>64</v>
      </c>
      <c r="F117" s="16" t="s">
        <v>153</v>
      </c>
      <c r="G117" s="8">
        <v>1</v>
      </c>
      <c r="H117" s="8">
        <v>142</v>
      </c>
      <c r="I117" s="8">
        <v>2</v>
      </c>
      <c r="J117" s="8">
        <v>18682</v>
      </c>
      <c r="K117" s="8">
        <v>0</v>
      </c>
      <c r="L117" s="8">
        <v>0</v>
      </c>
      <c r="M117" s="8">
        <v>0</v>
      </c>
      <c r="N117" s="8">
        <v>0</v>
      </c>
      <c r="O117" s="8">
        <v>0</v>
      </c>
      <c r="P117" s="8">
        <v>0</v>
      </c>
      <c r="Q117" s="8">
        <v>1</v>
      </c>
      <c r="R117" s="8">
        <v>0</v>
      </c>
      <c r="S117" s="8">
        <v>0</v>
      </c>
      <c r="T117" s="24">
        <v>1</v>
      </c>
      <c r="U117" s="16" t="s">
        <v>142</v>
      </c>
      <c r="V117" s="16" t="s">
        <v>212</v>
      </c>
      <c r="W117" s="16" t="s">
        <v>213</v>
      </c>
    </row>
    <row r="118" spans="2:23" ht="15" customHeight="1">
      <c r="B118" s="16" t="s">
        <v>396</v>
      </c>
      <c r="C118" s="16" t="s">
        <v>151</v>
      </c>
      <c r="D118" s="16" t="s">
        <v>397</v>
      </c>
      <c r="E118" s="16" t="s">
        <v>64</v>
      </c>
      <c r="F118" s="16" t="s">
        <v>167</v>
      </c>
      <c r="G118" s="8">
        <v>1</v>
      </c>
      <c r="H118" s="8">
        <v>4</v>
      </c>
      <c r="I118" s="8">
        <v>3</v>
      </c>
      <c r="J118" s="8">
        <v>3996</v>
      </c>
      <c r="K118" s="8">
        <v>48</v>
      </c>
      <c r="L118" s="8">
        <v>1</v>
      </c>
      <c r="M118" s="8">
        <v>1</v>
      </c>
      <c r="N118" s="8">
        <v>0</v>
      </c>
      <c r="O118" s="8">
        <v>0</v>
      </c>
      <c r="P118" s="8">
        <v>0</v>
      </c>
      <c r="Q118" s="8">
        <v>0</v>
      </c>
      <c r="R118" s="8">
        <v>1</v>
      </c>
      <c r="S118" s="8">
        <v>0</v>
      </c>
      <c r="T118" s="24">
        <v>1</v>
      </c>
      <c r="U118" s="16" t="s">
        <v>142</v>
      </c>
      <c r="V118" s="16" t="s">
        <v>231</v>
      </c>
      <c r="W118" s="16" t="s">
        <v>232</v>
      </c>
    </row>
    <row r="119" spans="2:23" ht="15" customHeight="1">
      <c r="B119" s="16" t="s">
        <v>398</v>
      </c>
      <c r="C119" s="16" t="s">
        <v>151</v>
      </c>
      <c r="D119" s="16" t="s">
        <v>399</v>
      </c>
      <c r="E119" s="16" t="s">
        <v>64</v>
      </c>
      <c r="F119" s="16" t="s">
        <v>167</v>
      </c>
      <c r="G119" s="8">
        <v>1</v>
      </c>
      <c r="H119" s="8">
        <v>13</v>
      </c>
      <c r="I119" s="8">
        <v>10</v>
      </c>
      <c r="J119" s="8">
        <v>3005</v>
      </c>
      <c r="K119" s="8">
        <v>219</v>
      </c>
      <c r="L119" s="8">
        <v>3</v>
      </c>
      <c r="M119" s="8">
        <v>3</v>
      </c>
      <c r="N119" s="8">
        <v>0</v>
      </c>
      <c r="O119" s="8">
        <v>0</v>
      </c>
      <c r="P119" s="8">
        <v>0</v>
      </c>
      <c r="Q119" s="8">
        <v>1</v>
      </c>
      <c r="R119" s="8">
        <v>0</v>
      </c>
      <c r="S119" s="8">
        <v>0</v>
      </c>
      <c r="T119" s="24">
        <v>1</v>
      </c>
      <c r="U119" s="16" t="s">
        <v>142</v>
      </c>
      <c r="V119" s="16" t="s">
        <v>400</v>
      </c>
      <c r="W119" s="16" t="s">
        <v>401</v>
      </c>
    </row>
    <row r="120" spans="2:23" ht="15" customHeight="1">
      <c r="B120" s="16" t="s">
        <v>402</v>
      </c>
      <c r="C120" s="16" t="s">
        <v>276</v>
      </c>
      <c r="D120" s="16" t="s">
        <v>403</v>
      </c>
      <c r="E120" s="16" t="s">
        <v>64</v>
      </c>
      <c r="F120" s="16" t="s">
        <v>153</v>
      </c>
      <c r="G120" s="8">
        <v>1</v>
      </c>
      <c r="H120" s="8">
        <v>158</v>
      </c>
      <c r="I120" s="8">
        <v>3</v>
      </c>
      <c r="J120" s="8">
        <v>153000</v>
      </c>
      <c r="K120" s="8">
        <v>0</v>
      </c>
      <c r="L120" s="8">
        <v>3</v>
      </c>
      <c r="M120" s="8">
        <v>3</v>
      </c>
      <c r="N120" s="8">
        <v>0</v>
      </c>
      <c r="O120" s="8">
        <v>0</v>
      </c>
      <c r="P120" s="8">
        <v>0</v>
      </c>
      <c r="Q120" s="8">
        <v>1</v>
      </c>
      <c r="R120" s="8">
        <v>0</v>
      </c>
      <c r="S120" s="8">
        <v>0</v>
      </c>
      <c r="T120" s="24">
        <v>1</v>
      </c>
      <c r="U120" s="16"/>
      <c r="V120" s="16" t="s">
        <v>53</v>
      </c>
      <c r="W120" s="16"/>
    </row>
    <row r="121" spans="2:23" ht="15" customHeight="1">
      <c r="B121" s="16" t="s">
        <v>404</v>
      </c>
      <c r="C121" s="16" t="s">
        <v>151</v>
      </c>
      <c r="D121" s="16" t="s">
        <v>405</v>
      </c>
      <c r="E121" s="16" t="s">
        <v>70</v>
      </c>
      <c r="F121" s="16" t="s">
        <v>153</v>
      </c>
      <c r="G121" s="8">
        <v>1</v>
      </c>
      <c r="H121" s="8"/>
      <c r="I121" s="8">
        <v>0</v>
      </c>
      <c r="J121" s="8">
        <v>4</v>
      </c>
      <c r="K121" s="8">
        <v>2</v>
      </c>
      <c r="L121" s="8">
        <v>0</v>
      </c>
      <c r="M121" s="8">
        <v>0</v>
      </c>
      <c r="N121" s="8">
        <v>0</v>
      </c>
      <c r="O121" s="8">
        <v>0</v>
      </c>
      <c r="P121" s="8">
        <v>0</v>
      </c>
      <c r="Q121" s="8">
        <v>0</v>
      </c>
      <c r="R121" s="8">
        <v>1</v>
      </c>
      <c r="S121" s="8">
        <v>0</v>
      </c>
      <c r="T121" s="24">
        <v>1</v>
      </c>
      <c r="U121" s="16"/>
      <c r="V121" s="16" t="s">
        <v>53</v>
      </c>
      <c r="W121" s="16"/>
    </row>
    <row r="122" spans="2:23" ht="15" customHeight="1">
      <c r="B122" s="16" t="s">
        <v>406</v>
      </c>
      <c r="C122" s="16" t="s">
        <v>151</v>
      </c>
      <c r="D122" s="16" t="s">
        <v>407</v>
      </c>
      <c r="E122" s="16" t="s">
        <v>67</v>
      </c>
      <c r="F122" s="16" t="s">
        <v>156</v>
      </c>
      <c r="G122" s="8">
        <v>1</v>
      </c>
      <c r="H122" s="8">
        <v>0</v>
      </c>
      <c r="I122" s="8">
        <v>0</v>
      </c>
      <c r="J122" s="8">
        <v>209511</v>
      </c>
      <c r="K122" s="8">
        <v>0</v>
      </c>
      <c r="L122" s="8">
        <v>0</v>
      </c>
      <c r="M122" s="8">
        <v>0</v>
      </c>
      <c r="N122" s="8">
        <v>0</v>
      </c>
      <c r="O122" s="8">
        <v>0</v>
      </c>
      <c r="P122" s="8">
        <v>0</v>
      </c>
      <c r="Q122" s="8">
        <v>0</v>
      </c>
      <c r="R122" s="8">
        <v>1</v>
      </c>
      <c r="S122" s="8">
        <v>0</v>
      </c>
      <c r="T122" s="24">
        <v>1</v>
      </c>
      <c r="U122" s="16"/>
      <c r="V122" s="16" t="s">
        <v>53</v>
      </c>
      <c r="W122" s="16"/>
    </row>
    <row r="123" spans="2:23" ht="15" customHeight="1">
      <c r="B123" s="16" t="s">
        <v>408</v>
      </c>
      <c r="C123" s="16" t="s">
        <v>151</v>
      </c>
      <c r="D123" s="16" t="s">
        <v>409</v>
      </c>
      <c r="E123" s="16" t="s">
        <v>67</v>
      </c>
      <c r="F123" s="16" t="s">
        <v>156</v>
      </c>
      <c r="G123" s="8">
        <v>1</v>
      </c>
      <c r="H123" s="8">
        <v>0</v>
      </c>
      <c r="I123" s="8">
        <v>0</v>
      </c>
      <c r="J123" s="8">
        <v>50202</v>
      </c>
      <c r="K123" s="8">
        <v>0</v>
      </c>
      <c r="L123" s="8">
        <v>0</v>
      </c>
      <c r="M123" s="8">
        <v>0</v>
      </c>
      <c r="N123" s="8">
        <v>0</v>
      </c>
      <c r="O123" s="8">
        <v>0</v>
      </c>
      <c r="P123" s="8">
        <v>0</v>
      </c>
      <c r="Q123" s="8">
        <v>0</v>
      </c>
      <c r="R123" s="8">
        <v>1</v>
      </c>
      <c r="S123" s="8">
        <v>0</v>
      </c>
      <c r="T123" s="24">
        <v>1</v>
      </c>
      <c r="U123" s="16"/>
      <c r="V123" s="16" t="s">
        <v>53</v>
      </c>
      <c r="W123" s="16"/>
    </row>
    <row r="124" spans="2:23" ht="15" customHeight="1">
      <c r="B124" s="16" t="s">
        <v>410</v>
      </c>
      <c r="C124" s="16" t="s">
        <v>151</v>
      </c>
      <c r="D124" s="16" t="s">
        <v>411</v>
      </c>
      <c r="E124" s="16" t="s">
        <v>64</v>
      </c>
      <c r="F124" s="16" t="s">
        <v>153</v>
      </c>
      <c r="G124" s="8">
        <v>1</v>
      </c>
      <c r="H124" s="8">
        <v>0</v>
      </c>
      <c r="I124" s="8">
        <v>0</v>
      </c>
      <c r="J124" s="8">
        <v>1317</v>
      </c>
      <c r="K124" s="8">
        <v>0</v>
      </c>
      <c r="L124" s="8">
        <v>0</v>
      </c>
      <c r="M124" s="8">
        <v>0</v>
      </c>
      <c r="N124" s="8">
        <v>0</v>
      </c>
      <c r="O124" s="8">
        <v>0</v>
      </c>
      <c r="P124" s="8">
        <v>0</v>
      </c>
      <c r="Q124" s="8">
        <v>1</v>
      </c>
      <c r="R124" s="8">
        <v>0</v>
      </c>
      <c r="S124" s="8">
        <v>0</v>
      </c>
      <c r="T124" s="24">
        <v>1</v>
      </c>
      <c r="U124" s="16"/>
      <c r="V124" s="16" t="s">
        <v>53</v>
      </c>
      <c r="W124" s="16"/>
    </row>
    <row r="125" spans="2:23" ht="15" customHeight="1">
      <c r="B125" s="16" t="s">
        <v>412</v>
      </c>
      <c r="C125" s="16" t="s">
        <v>151</v>
      </c>
      <c r="D125" s="16" t="s">
        <v>413</v>
      </c>
      <c r="E125" s="16" t="s">
        <v>78</v>
      </c>
      <c r="F125" s="16" t="s">
        <v>153</v>
      </c>
      <c r="G125" s="8">
        <v>1</v>
      </c>
      <c r="H125" s="8">
        <v>20</v>
      </c>
      <c r="I125" s="8">
        <v>1</v>
      </c>
      <c r="J125" s="8">
        <v>10890</v>
      </c>
      <c r="K125" s="8">
        <v>0</v>
      </c>
      <c r="L125" s="8">
        <v>0</v>
      </c>
      <c r="M125" s="8">
        <v>0</v>
      </c>
      <c r="N125" s="8">
        <v>0</v>
      </c>
      <c r="O125" s="8">
        <v>0</v>
      </c>
      <c r="P125" s="8">
        <v>0</v>
      </c>
      <c r="Q125" s="8">
        <v>1</v>
      </c>
      <c r="R125" s="8">
        <v>0</v>
      </c>
      <c r="S125" s="8">
        <v>0</v>
      </c>
      <c r="T125" s="24">
        <v>1</v>
      </c>
      <c r="U125" s="16" t="s">
        <v>142</v>
      </c>
      <c r="V125" s="16" t="s">
        <v>168</v>
      </c>
      <c r="W125" s="16" t="s">
        <v>169</v>
      </c>
    </row>
    <row r="126" spans="2:23" ht="15" customHeight="1">
      <c r="B126" s="16" t="s">
        <v>414</v>
      </c>
      <c r="C126" s="16" t="s">
        <v>151</v>
      </c>
      <c r="D126" s="16" t="s">
        <v>415</v>
      </c>
      <c r="E126" s="16" t="s">
        <v>104</v>
      </c>
      <c r="F126" s="16" t="s">
        <v>167</v>
      </c>
      <c r="G126" s="8">
        <v>1</v>
      </c>
      <c r="H126" s="8"/>
      <c r="I126" s="8">
        <v>0</v>
      </c>
      <c r="J126" s="8">
        <v>415500</v>
      </c>
      <c r="K126" s="8">
        <v>1577</v>
      </c>
      <c r="L126" s="8">
        <v>84</v>
      </c>
      <c r="M126" s="8">
        <v>65</v>
      </c>
      <c r="N126" s="8">
        <v>1</v>
      </c>
      <c r="O126" s="8">
        <v>18</v>
      </c>
      <c r="P126" s="8">
        <v>0</v>
      </c>
      <c r="Q126" s="8">
        <v>0</v>
      </c>
      <c r="R126" s="8">
        <v>1</v>
      </c>
      <c r="S126" s="8">
        <v>0</v>
      </c>
      <c r="T126" s="24">
        <v>1</v>
      </c>
      <c r="U126" s="16"/>
      <c r="V126" s="16" t="s">
        <v>53</v>
      </c>
      <c r="W126" s="16"/>
    </row>
    <row r="127" spans="2:23" ht="15" customHeight="1">
      <c r="B127" s="16" t="s">
        <v>416</v>
      </c>
      <c r="C127" s="16" t="s">
        <v>151</v>
      </c>
      <c r="D127" s="16" t="s">
        <v>417</v>
      </c>
      <c r="E127" s="16" t="s">
        <v>114</v>
      </c>
      <c r="F127" s="16" t="s">
        <v>156</v>
      </c>
      <c r="G127" s="8">
        <v>1</v>
      </c>
      <c r="H127" s="8"/>
      <c r="I127" s="8">
        <v>0</v>
      </c>
      <c r="J127" s="8" t="s">
        <v>82</v>
      </c>
      <c r="K127" s="8">
        <v>0</v>
      </c>
      <c r="L127" s="8" t="s">
        <v>82</v>
      </c>
      <c r="M127" s="8">
        <v>0</v>
      </c>
      <c r="N127" s="8">
        <v>0</v>
      </c>
      <c r="O127" s="8">
        <v>0</v>
      </c>
      <c r="P127" s="8">
        <v>5</v>
      </c>
      <c r="Q127" s="8">
        <v>1</v>
      </c>
      <c r="R127" s="8">
        <v>0</v>
      </c>
      <c r="S127" s="8">
        <v>0</v>
      </c>
      <c r="T127" s="24">
        <v>1</v>
      </c>
      <c r="U127" s="16"/>
      <c r="V127" s="16" t="s">
        <v>53</v>
      </c>
      <c r="W127" s="16"/>
    </row>
    <row r="128" spans="2:23" ht="15" customHeight="1">
      <c r="B128" s="16" t="s">
        <v>418</v>
      </c>
      <c r="C128" s="16" t="s">
        <v>151</v>
      </c>
      <c r="D128" s="16" t="s">
        <v>419</v>
      </c>
      <c r="E128" s="16" t="s">
        <v>70</v>
      </c>
      <c r="F128" s="16" t="s">
        <v>153</v>
      </c>
      <c r="G128" s="8">
        <v>1</v>
      </c>
      <c r="H128" s="8">
        <v>396</v>
      </c>
      <c r="I128" s="8">
        <v>396</v>
      </c>
      <c r="J128" s="8">
        <v>17748</v>
      </c>
      <c r="K128" s="8">
        <v>3460</v>
      </c>
      <c r="L128" s="8">
        <v>254</v>
      </c>
      <c r="M128" s="8">
        <v>233</v>
      </c>
      <c r="N128" s="8">
        <v>21</v>
      </c>
      <c r="O128" s="8">
        <v>0</v>
      </c>
      <c r="P128" s="8">
        <v>0</v>
      </c>
      <c r="Q128" s="8">
        <v>0</v>
      </c>
      <c r="R128" s="8">
        <v>1</v>
      </c>
      <c r="S128" s="8">
        <v>0</v>
      </c>
      <c r="T128" s="24">
        <v>1</v>
      </c>
      <c r="U128" s="16"/>
      <c r="V128" s="16" t="s">
        <v>53</v>
      </c>
      <c r="W128" s="16"/>
    </row>
    <row r="129" spans="2:23" ht="15" customHeight="1">
      <c r="B129" s="16" t="s">
        <v>420</v>
      </c>
      <c r="C129" s="16" t="s">
        <v>151</v>
      </c>
      <c r="D129" s="16" t="s">
        <v>421</v>
      </c>
      <c r="E129" s="16" t="s">
        <v>70</v>
      </c>
      <c r="F129" s="16" t="s">
        <v>153</v>
      </c>
      <c r="G129" s="8">
        <v>1</v>
      </c>
      <c r="H129" s="8">
        <v>346</v>
      </c>
      <c r="I129" s="8">
        <v>328</v>
      </c>
      <c r="J129" s="8">
        <v>10458</v>
      </c>
      <c r="K129" s="8">
        <v>1420</v>
      </c>
      <c r="L129" s="8">
        <v>83</v>
      </c>
      <c r="M129" s="8">
        <v>67</v>
      </c>
      <c r="N129" s="8">
        <v>16</v>
      </c>
      <c r="O129" s="8">
        <v>0</v>
      </c>
      <c r="P129" s="8">
        <v>0</v>
      </c>
      <c r="Q129" s="8">
        <v>0</v>
      </c>
      <c r="R129" s="8">
        <v>1</v>
      </c>
      <c r="S129" s="8">
        <v>0</v>
      </c>
      <c r="T129" s="24">
        <v>1</v>
      </c>
      <c r="U129" s="16"/>
      <c r="V129" s="16" t="s">
        <v>53</v>
      </c>
      <c r="W129" s="16"/>
    </row>
    <row r="130" spans="2:23" ht="15" customHeight="1">
      <c r="B130" s="16" t="s">
        <v>422</v>
      </c>
      <c r="C130" s="16" t="s">
        <v>151</v>
      </c>
      <c r="D130" s="16" t="s">
        <v>423</v>
      </c>
      <c r="E130" s="16" t="s">
        <v>70</v>
      </c>
      <c r="F130" s="16" t="s">
        <v>153</v>
      </c>
      <c r="G130" s="8">
        <v>1</v>
      </c>
      <c r="H130" s="8">
        <v>210</v>
      </c>
      <c r="I130" s="8">
        <v>147</v>
      </c>
      <c r="J130" s="8">
        <v>2183</v>
      </c>
      <c r="K130" s="8">
        <v>533</v>
      </c>
      <c r="L130" s="8">
        <v>0</v>
      </c>
      <c r="M130" s="8">
        <v>0</v>
      </c>
      <c r="N130" s="8">
        <v>0</v>
      </c>
      <c r="O130" s="8">
        <v>0</v>
      </c>
      <c r="P130" s="8">
        <v>0</v>
      </c>
      <c r="Q130" s="8">
        <v>0</v>
      </c>
      <c r="R130" s="8">
        <v>1</v>
      </c>
      <c r="S130" s="8">
        <v>0</v>
      </c>
      <c r="T130" s="24">
        <v>1</v>
      </c>
      <c r="U130" s="16"/>
      <c r="V130" s="16" t="s">
        <v>53</v>
      </c>
      <c r="W130" s="16"/>
    </row>
    <row r="131" spans="2:23" ht="15" customHeight="1">
      <c r="B131" s="16" t="s">
        <v>424</v>
      </c>
      <c r="C131" s="16" t="s">
        <v>151</v>
      </c>
      <c r="D131" s="16" t="s">
        <v>425</v>
      </c>
      <c r="E131" s="16" t="s">
        <v>64</v>
      </c>
      <c r="F131" s="16" t="s">
        <v>153</v>
      </c>
      <c r="G131" s="8">
        <v>1</v>
      </c>
      <c r="H131" s="8">
        <v>454</v>
      </c>
      <c r="I131" s="8">
        <v>7</v>
      </c>
      <c r="J131" s="8">
        <v>86541</v>
      </c>
      <c r="K131" s="8">
        <v>0</v>
      </c>
      <c r="L131" s="8">
        <v>0</v>
      </c>
      <c r="M131" s="8">
        <v>0</v>
      </c>
      <c r="N131" s="8">
        <v>0</v>
      </c>
      <c r="O131" s="8">
        <v>0</v>
      </c>
      <c r="P131" s="8">
        <v>0</v>
      </c>
      <c r="Q131" s="8">
        <v>1</v>
      </c>
      <c r="R131" s="8">
        <v>0</v>
      </c>
      <c r="S131" s="8">
        <v>0</v>
      </c>
      <c r="T131" s="24">
        <v>1</v>
      </c>
      <c r="U131" s="16"/>
      <c r="V131" s="16" t="s">
        <v>53</v>
      </c>
      <c r="W131" s="16"/>
    </row>
    <row r="132" spans="2:23" ht="15" customHeight="1">
      <c r="B132" s="16" t="s">
        <v>426</v>
      </c>
      <c r="C132" s="16" t="s">
        <v>151</v>
      </c>
      <c r="D132" s="16" t="s">
        <v>427</v>
      </c>
      <c r="E132" s="16" t="s">
        <v>67</v>
      </c>
      <c r="F132" s="16" t="s">
        <v>156</v>
      </c>
      <c r="G132" s="8">
        <v>1</v>
      </c>
      <c r="H132" s="8">
        <v>0</v>
      </c>
      <c r="I132" s="8">
        <v>0</v>
      </c>
      <c r="J132" s="8">
        <v>170966</v>
      </c>
      <c r="K132" s="8">
        <v>0</v>
      </c>
      <c r="L132" s="8">
        <v>1</v>
      </c>
      <c r="M132" s="8">
        <v>1</v>
      </c>
      <c r="N132" s="8">
        <v>0</v>
      </c>
      <c r="O132" s="8">
        <v>0</v>
      </c>
      <c r="P132" s="8">
        <v>0</v>
      </c>
      <c r="Q132" s="8">
        <v>0</v>
      </c>
      <c r="R132" s="8">
        <v>1</v>
      </c>
      <c r="S132" s="8">
        <v>0</v>
      </c>
      <c r="T132" s="24">
        <v>1</v>
      </c>
      <c r="U132" s="16"/>
      <c r="V132" s="16" t="s">
        <v>53</v>
      </c>
      <c r="W132" s="16"/>
    </row>
    <row r="133" spans="2:23" ht="15" customHeight="1">
      <c r="B133" s="16" t="s">
        <v>428</v>
      </c>
      <c r="C133" s="16" t="s">
        <v>151</v>
      </c>
      <c r="D133" s="16" t="s">
        <v>429</v>
      </c>
      <c r="E133" s="16" t="s">
        <v>67</v>
      </c>
      <c r="F133" s="16" t="s">
        <v>156</v>
      </c>
      <c r="G133" s="8">
        <v>1</v>
      </c>
      <c r="H133" s="8">
        <v>0</v>
      </c>
      <c r="I133" s="8">
        <v>0</v>
      </c>
      <c r="J133" s="8">
        <v>40156</v>
      </c>
      <c r="K133" s="8">
        <v>0</v>
      </c>
      <c r="L133" s="8">
        <v>0</v>
      </c>
      <c r="M133" s="8">
        <v>0</v>
      </c>
      <c r="N133" s="8">
        <v>0</v>
      </c>
      <c r="O133" s="8">
        <v>0</v>
      </c>
      <c r="P133" s="8">
        <v>0</v>
      </c>
      <c r="Q133" s="8">
        <v>0</v>
      </c>
      <c r="R133" s="8">
        <v>1</v>
      </c>
      <c r="S133" s="8">
        <v>0</v>
      </c>
      <c r="T133" s="24">
        <v>1</v>
      </c>
      <c r="U133" s="16"/>
      <c r="V133" s="16" t="s">
        <v>53</v>
      </c>
      <c r="W133" s="16"/>
    </row>
    <row r="134" spans="2:23" ht="15" customHeight="1">
      <c r="B134" s="16" t="s">
        <v>430</v>
      </c>
      <c r="C134" s="16" t="s">
        <v>151</v>
      </c>
      <c r="D134" s="16" t="s">
        <v>431</v>
      </c>
      <c r="E134" s="16" t="s">
        <v>67</v>
      </c>
      <c r="F134" s="16" t="s">
        <v>156</v>
      </c>
      <c r="G134" s="8">
        <v>1</v>
      </c>
      <c r="H134" s="8"/>
      <c r="I134" s="8">
        <v>0</v>
      </c>
      <c r="J134" s="8">
        <v>1944</v>
      </c>
      <c r="K134" s="8">
        <v>0</v>
      </c>
      <c r="L134" s="8">
        <v>3</v>
      </c>
      <c r="M134" s="8">
        <v>3</v>
      </c>
      <c r="N134" s="8">
        <v>0</v>
      </c>
      <c r="O134" s="8">
        <v>0</v>
      </c>
      <c r="P134" s="8">
        <v>0</v>
      </c>
      <c r="Q134" s="8">
        <v>1</v>
      </c>
      <c r="R134" s="8">
        <v>0</v>
      </c>
      <c r="S134" s="8">
        <v>0</v>
      </c>
      <c r="T134" s="24">
        <v>1</v>
      </c>
      <c r="U134" s="16"/>
      <c r="V134" s="16" t="s">
        <v>53</v>
      </c>
      <c r="W134" s="16"/>
    </row>
    <row r="135" spans="2:23" ht="15" customHeight="1">
      <c r="B135" s="16" t="s">
        <v>432</v>
      </c>
      <c r="C135" s="16" t="s">
        <v>151</v>
      </c>
      <c r="D135" s="16" t="s">
        <v>433</v>
      </c>
      <c r="E135" s="16" t="s">
        <v>102</v>
      </c>
      <c r="F135" s="16" t="s">
        <v>156</v>
      </c>
      <c r="G135" s="8">
        <v>1</v>
      </c>
      <c r="H135" s="8"/>
      <c r="I135" s="8">
        <v>0</v>
      </c>
      <c r="J135" s="8">
        <v>826</v>
      </c>
      <c r="K135" s="8">
        <v>0</v>
      </c>
      <c r="L135" s="8">
        <v>0</v>
      </c>
      <c r="M135" s="8">
        <v>0</v>
      </c>
      <c r="N135" s="8">
        <v>0</v>
      </c>
      <c r="O135" s="8">
        <v>0</v>
      </c>
      <c r="P135" s="8">
        <v>0</v>
      </c>
      <c r="Q135" s="8">
        <v>0</v>
      </c>
      <c r="R135" s="8">
        <v>1</v>
      </c>
      <c r="S135" s="8">
        <v>0</v>
      </c>
      <c r="T135" s="24">
        <v>1</v>
      </c>
      <c r="U135" s="16"/>
      <c r="V135" s="16" t="s">
        <v>53</v>
      </c>
      <c r="W135" s="16"/>
    </row>
    <row r="136" spans="2:23" ht="15" customHeight="1">
      <c r="B136" s="16" t="s">
        <v>434</v>
      </c>
      <c r="C136" s="16" t="s">
        <v>151</v>
      </c>
      <c r="D136" s="16" t="s">
        <v>435</v>
      </c>
      <c r="E136" s="16" t="s">
        <v>436</v>
      </c>
      <c r="F136" s="16" t="s">
        <v>167</v>
      </c>
      <c r="G136" s="8">
        <v>1</v>
      </c>
      <c r="H136" s="8"/>
      <c r="I136" s="8">
        <v>0</v>
      </c>
      <c r="J136" s="8">
        <v>81</v>
      </c>
      <c r="K136" s="8">
        <v>0</v>
      </c>
      <c r="L136" s="8">
        <v>0</v>
      </c>
      <c r="M136" s="8">
        <v>0</v>
      </c>
      <c r="N136" s="8">
        <v>0</v>
      </c>
      <c r="O136" s="8">
        <v>0</v>
      </c>
      <c r="P136" s="8">
        <v>0</v>
      </c>
      <c r="Q136" s="8">
        <v>0</v>
      </c>
      <c r="R136" s="8">
        <v>1</v>
      </c>
      <c r="S136" s="8">
        <v>0</v>
      </c>
      <c r="T136" s="24">
        <v>1</v>
      </c>
      <c r="U136" s="16"/>
      <c r="V136" s="16" t="s">
        <v>53</v>
      </c>
      <c r="W136" s="16"/>
    </row>
    <row r="137" spans="2:23" ht="15" customHeight="1">
      <c r="B137" s="16" t="s">
        <v>437</v>
      </c>
      <c r="C137" s="16" t="s">
        <v>151</v>
      </c>
      <c r="D137" s="16" t="s">
        <v>438</v>
      </c>
      <c r="E137" s="16" t="s">
        <v>70</v>
      </c>
      <c r="F137" s="16" t="s">
        <v>153</v>
      </c>
      <c r="G137" s="8">
        <v>1</v>
      </c>
      <c r="H137" s="8">
        <v>180</v>
      </c>
      <c r="I137" s="8">
        <v>180</v>
      </c>
      <c r="J137" s="8">
        <v>1987</v>
      </c>
      <c r="K137" s="8">
        <v>473</v>
      </c>
      <c r="L137" s="8">
        <v>28</v>
      </c>
      <c r="M137" s="8">
        <v>28</v>
      </c>
      <c r="N137" s="8">
        <v>0</v>
      </c>
      <c r="O137" s="8">
        <v>0</v>
      </c>
      <c r="P137" s="8">
        <v>0</v>
      </c>
      <c r="Q137" s="8">
        <v>1</v>
      </c>
      <c r="R137" s="8">
        <v>0</v>
      </c>
      <c r="S137" s="8">
        <v>0</v>
      </c>
      <c r="T137" s="24">
        <v>1</v>
      </c>
      <c r="U137" s="16"/>
      <c r="V137" s="16" t="s">
        <v>53</v>
      </c>
      <c r="W137" s="16"/>
    </row>
    <row r="138" spans="2:23" ht="15" customHeight="1">
      <c r="B138" s="16" t="s">
        <v>439</v>
      </c>
      <c r="C138" s="16" t="s">
        <v>151</v>
      </c>
      <c r="D138" s="16" t="s">
        <v>440</v>
      </c>
      <c r="E138" s="16" t="s">
        <v>70</v>
      </c>
      <c r="F138" s="16" t="s">
        <v>153</v>
      </c>
      <c r="G138" s="8">
        <v>1</v>
      </c>
      <c r="H138" s="8">
        <v>331</v>
      </c>
      <c r="I138" s="8">
        <v>5</v>
      </c>
      <c r="J138" s="8">
        <v>8352</v>
      </c>
      <c r="K138" s="8">
        <v>0</v>
      </c>
      <c r="L138" s="8">
        <v>0</v>
      </c>
      <c r="M138" s="8">
        <v>0</v>
      </c>
      <c r="N138" s="8">
        <v>0</v>
      </c>
      <c r="O138" s="8">
        <v>0</v>
      </c>
      <c r="P138" s="8">
        <v>0</v>
      </c>
      <c r="Q138" s="8">
        <v>0</v>
      </c>
      <c r="R138" s="8">
        <v>1</v>
      </c>
      <c r="S138" s="8">
        <v>0</v>
      </c>
      <c r="T138" s="24">
        <v>1</v>
      </c>
      <c r="U138" s="16"/>
      <c r="V138" s="16" t="s">
        <v>53</v>
      </c>
      <c r="W138" s="16"/>
    </row>
    <row r="139" spans="2:23" ht="15" customHeight="1">
      <c r="B139" s="16" t="s">
        <v>441</v>
      </c>
      <c r="C139" s="16" t="s">
        <v>151</v>
      </c>
      <c r="D139" s="16" t="s">
        <v>442</v>
      </c>
      <c r="E139" s="16" t="s">
        <v>70</v>
      </c>
      <c r="F139" s="16" t="s">
        <v>153</v>
      </c>
      <c r="G139" s="8">
        <v>1</v>
      </c>
      <c r="H139" s="8">
        <v>201</v>
      </c>
      <c r="I139" s="8">
        <v>170</v>
      </c>
      <c r="J139" s="8">
        <v>1878</v>
      </c>
      <c r="K139" s="8">
        <v>483</v>
      </c>
      <c r="L139" s="8">
        <v>8</v>
      </c>
      <c r="M139" s="8">
        <v>8</v>
      </c>
      <c r="N139" s="8">
        <v>0</v>
      </c>
      <c r="O139" s="8">
        <v>0</v>
      </c>
      <c r="P139" s="8">
        <v>0</v>
      </c>
      <c r="Q139" s="8">
        <v>0</v>
      </c>
      <c r="R139" s="8">
        <v>1</v>
      </c>
      <c r="S139" s="8">
        <v>0</v>
      </c>
      <c r="T139" s="24">
        <v>1</v>
      </c>
      <c r="U139" s="16"/>
      <c r="V139" s="16" t="s">
        <v>53</v>
      </c>
      <c r="W139" s="16"/>
    </row>
    <row r="140" spans="2:23" ht="15" customHeight="1">
      <c r="B140" s="16" t="s">
        <v>443</v>
      </c>
      <c r="C140" s="16" t="s">
        <v>128</v>
      </c>
      <c r="D140" s="16" t="s">
        <v>444</v>
      </c>
      <c r="E140" s="16" t="s">
        <v>64</v>
      </c>
      <c r="F140" s="16" t="s">
        <v>153</v>
      </c>
      <c r="G140" s="8">
        <v>1</v>
      </c>
      <c r="H140" s="8">
        <v>79</v>
      </c>
      <c r="I140" s="8">
        <v>2</v>
      </c>
      <c r="J140" s="8">
        <v>778810</v>
      </c>
      <c r="K140" s="8">
        <v>0</v>
      </c>
      <c r="L140" s="8">
        <v>0</v>
      </c>
      <c r="M140" s="8">
        <v>0</v>
      </c>
      <c r="N140" s="8">
        <v>0</v>
      </c>
      <c r="O140" s="8">
        <v>0</v>
      </c>
      <c r="P140" s="8">
        <v>0</v>
      </c>
      <c r="Q140" s="8">
        <v>0</v>
      </c>
      <c r="R140" s="8">
        <v>1</v>
      </c>
      <c r="S140" s="8">
        <v>0</v>
      </c>
      <c r="T140" s="24">
        <v>1</v>
      </c>
      <c r="U140" s="16" t="s">
        <v>142</v>
      </c>
      <c r="V140" s="16" t="s">
        <v>195</v>
      </c>
      <c r="W140" s="16" t="s">
        <v>445</v>
      </c>
    </row>
    <row r="141" spans="2:23" ht="15" customHeight="1">
      <c r="B141" s="16" t="s">
        <v>446</v>
      </c>
      <c r="C141" s="16" t="s">
        <v>151</v>
      </c>
      <c r="D141" s="16" t="s">
        <v>447</v>
      </c>
      <c r="E141" s="16" t="s">
        <v>64</v>
      </c>
      <c r="F141" s="16" t="s">
        <v>153</v>
      </c>
      <c r="G141" s="8">
        <v>1</v>
      </c>
      <c r="H141" s="8"/>
      <c r="I141" s="8">
        <v>0</v>
      </c>
      <c r="J141" s="8">
        <v>50</v>
      </c>
      <c r="K141" s="8">
        <v>7</v>
      </c>
      <c r="L141" s="8">
        <v>0</v>
      </c>
      <c r="M141" s="8">
        <v>0</v>
      </c>
      <c r="N141" s="8">
        <v>0</v>
      </c>
      <c r="O141" s="8">
        <v>0</v>
      </c>
      <c r="P141" s="8">
        <v>0</v>
      </c>
      <c r="Q141" s="8">
        <v>0</v>
      </c>
      <c r="R141" s="8">
        <v>1</v>
      </c>
      <c r="S141" s="8">
        <v>0</v>
      </c>
      <c r="T141" s="24">
        <v>1</v>
      </c>
      <c r="U141" s="16" t="s">
        <v>142</v>
      </c>
      <c r="V141" s="16" t="s">
        <v>168</v>
      </c>
      <c r="W141" s="16" t="s">
        <v>169</v>
      </c>
    </row>
    <row r="142" spans="2:23" ht="15" customHeight="1">
      <c r="B142" s="16" t="s">
        <v>448</v>
      </c>
      <c r="C142" s="16" t="s">
        <v>151</v>
      </c>
      <c r="D142" s="16" t="s">
        <v>449</v>
      </c>
      <c r="E142" s="16" t="s">
        <v>90</v>
      </c>
      <c r="F142" s="16" t="s">
        <v>167</v>
      </c>
      <c r="G142" s="8">
        <v>1</v>
      </c>
      <c r="H142" s="8"/>
      <c r="I142" s="8">
        <v>0</v>
      </c>
      <c r="J142" s="8">
        <v>148</v>
      </c>
      <c r="K142" s="8">
        <v>0</v>
      </c>
      <c r="L142" s="8">
        <v>0</v>
      </c>
      <c r="M142" s="8">
        <v>0</v>
      </c>
      <c r="N142" s="8">
        <v>0</v>
      </c>
      <c r="O142" s="8">
        <v>0</v>
      </c>
      <c r="P142" s="8">
        <v>0</v>
      </c>
      <c r="Q142" s="8">
        <v>0</v>
      </c>
      <c r="R142" s="8">
        <v>1</v>
      </c>
      <c r="S142" s="8">
        <v>0</v>
      </c>
      <c r="T142" s="24">
        <v>1</v>
      </c>
      <c r="U142" s="16"/>
      <c r="V142" s="16" t="s">
        <v>53</v>
      </c>
      <c r="W142" s="16"/>
    </row>
    <row r="143" spans="2:23" ht="15" customHeight="1">
      <c r="B143" s="16" t="s">
        <v>450</v>
      </c>
      <c r="C143" s="16" t="s">
        <v>151</v>
      </c>
      <c r="D143" s="16" t="s">
        <v>451</v>
      </c>
      <c r="E143" s="16" t="s">
        <v>76</v>
      </c>
      <c r="F143" s="16" t="s">
        <v>167</v>
      </c>
      <c r="G143" s="8">
        <v>1</v>
      </c>
      <c r="H143" s="8"/>
      <c r="I143" s="8">
        <v>0</v>
      </c>
      <c r="J143" s="8">
        <v>1</v>
      </c>
      <c r="K143" s="8">
        <v>0</v>
      </c>
      <c r="L143" s="8">
        <v>0</v>
      </c>
      <c r="M143" s="8">
        <v>0</v>
      </c>
      <c r="N143" s="8">
        <v>0</v>
      </c>
      <c r="O143" s="8">
        <v>0</v>
      </c>
      <c r="P143" s="8">
        <v>0</v>
      </c>
      <c r="Q143" s="8">
        <v>0</v>
      </c>
      <c r="R143" s="8">
        <v>1</v>
      </c>
      <c r="S143" s="8">
        <v>0</v>
      </c>
      <c r="T143" s="24">
        <v>1</v>
      </c>
      <c r="U143" s="16"/>
      <c r="V143" s="16" t="s">
        <v>53</v>
      </c>
      <c r="W143" s="16"/>
    </row>
    <row r="144" spans="2:23" ht="15" customHeight="1">
      <c r="B144" s="16" t="s">
        <v>452</v>
      </c>
      <c r="C144" s="16" t="s">
        <v>151</v>
      </c>
      <c r="D144" s="16" t="s">
        <v>453</v>
      </c>
      <c r="E144" s="16" t="s">
        <v>67</v>
      </c>
      <c r="F144" s="16" t="s">
        <v>156</v>
      </c>
      <c r="G144" s="8">
        <v>1</v>
      </c>
      <c r="H144" s="8"/>
      <c r="I144" s="8">
        <v>0</v>
      </c>
      <c r="J144" s="8">
        <v>6679</v>
      </c>
      <c r="K144" s="8">
        <v>0</v>
      </c>
      <c r="L144" s="8">
        <v>0</v>
      </c>
      <c r="M144" s="8">
        <v>0</v>
      </c>
      <c r="N144" s="8">
        <v>0</v>
      </c>
      <c r="O144" s="8">
        <v>0</v>
      </c>
      <c r="P144" s="8">
        <v>0</v>
      </c>
      <c r="Q144" s="8">
        <v>0</v>
      </c>
      <c r="R144" s="8">
        <v>1</v>
      </c>
      <c r="S144" s="8">
        <v>0</v>
      </c>
      <c r="T144" s="24">
        <v>1</v>
      </c>
      <c r="U144" s="16"/>
      <c r="V144" s="16" t="s">
        <v>53</v>
      </c>
      <c r="W144" s="16"/>
    </row>
    <row r="145" spans="2:23" ht="15" customHeight="1">
      <c r="B145" s="16" t="s">
        <v>454</v>
      </c>
      <c r="C145" s="16" t="s">
        <v>151</v>
      </c>
      <c r="D145" s="16" t="s">
        <v>455</v>
      </c>
      <c r="E145" s="16" t="s">
        <v>70</v>
      </c>
      <c r="F145" s="16" t="s">
        <v>153</v>
      </c>
      <c r="G145" s="8">
        <v>1</v>
      </c>
      <c r="H145" s="8">
        <v>0</v>
      </c>
      <c r="I145" s="8">
        <v>0</v>
      </c>
      <c r="J145" s="8">
        <v>15117</v>
      </c>
      <c r="K145" s="8">
        <v>0</v>
      </c>
      <c r="L145" s="8">
        <v>0</v>
      </c>
      <c r="M145" s="8">
        <v>0</v>
      </c>
      <c r="N145" s="8">
        <v>0</v>
      </c>
      <c r="O145" s="8">
        <v>0</v>
      </c>
      <c r="P145" s="8">
        <v>0</v>
      </c>
      <c r="Q145" s="8">
        <v>0</v>
      </c>
      <c r="R145" s="8">
        <v>1</v>
      </c>
      <c r="S145" s="8">
        <v>0</v>
      </c>
      <c r="T145" s="24">
        <v>1</v>
      </c>
      <c r="U145" s="16"/>
      <c r="V145" s="16" t="s">
        <v>53</v>
      </c>
      <c r="W145" s="16"/>
    </row>
    <row r="146" spans="2:23" ht="15" customHeight="1">
      <c r="B146" s="16" t="s">
        <v>456</v>
      </c>
      <c r="C146" s="16" t="s">
        <v>151</v>
      </c>
      <c r="D146" s="16" t="s">
        <v>457</v>
      </c>
      <c r="E146" s="16" t="s">
        <v>80</v>
      </c>
      <c r="F146" s="16" t="s">
        <v>156</v>
      </c>
      <c r="G146" s="8">
        <v>1</v>
      </c>
      <c r="H146" s="8"/>
      <c r="I146" s="8">
        <v>0</v>
      </c>
      <c r="J146" s="8" t="s">
        <v>82</v>
      </c>
      <c r="K146" s="8">
        <v>0</v>
      </c>
      <c r="L146" s="8" t="s">
        <v>82</v>
      </c>
      <c r="M146" s="8">
        <v>3</v>
      </c>
      <c r="N146" s="8">
        <v>0</v>
      </c>
      <c r="O146" s="8">
        <v>0</v>
      </c>
      <c r="P146" s="8">
        <v>5</v>
      </c>
      <c r="Q146" s="8">
        <v>1</v>
      </c>
      <c r="R146" s="8">
        <v>0</v>
      </c>
      <c r="S146" s="8">
        <v>0</v>
      </c>
      <c r="T146" s="24">
        <v>1</v>
      </c>
      <c r="U146" s="16"/>
      <c r="V146" s="16" t="s">
        <v>53</v>
      </c>
      <c r="W146" s="16"/>
    </row>
    <row r="147" spans="2:23" ht="15" customHeight="1">
      <c r="B147" s="16" t="s">
        <v>458</v>
      </c>
      <c r="C147" s="16" t="s">
        <v>151</v>
      </c>
      <c r="D147" s="16" t="s">
        <v>459</v>
      </c>
      <c r="E147" s="16" t="s">
        <v>64</v>
      </c>
      <c r="F147" s="16" t="s">
        <v>153</v>
      </c>
      <c r="G147" s="8">
        <v>1</v>
      </c>
      <c r="H147" s="8">
        <v>285</v>
      </c>
      <c r="I147" s="8">
        <v>4</v>
      </c>
      <c r="J147" s="8">
        <v>24742</v>
      </c>
      <c r="K147" s="8">
        <v>0</v>
      </c>
      <c r="L147" s="8">
        <v>0</v>
      </c>
      <c r="M147" s="8">
        <v>0</v>
      </c>
      <c r="N147" s="8">
        <v>0</v>
      </c>
      <c r="O147" s="8">
        <v>0</v>
      </c>
      <c r="P147" s="8">
        <v>0</v>
      </c>
      <c r="Q147" s="8">
        <v>1</v>
      </c>
      <c r="R147" s="8">
        <v>0</v>
      </c>
      <c r="S147" s="8">
        <v>0</v>
      </c>
      <c r="T147" s="24">
        <v>1</v>
      </c>
      <c r="U147" s="16"/>
      <c r="V147" s="16" t="s">
        <v>53</v>
      </c>
      <c r="W147" s="16"/>
    </row>
    <row r="148" spans="2:23" ht="15" customHeight="1">
      <c r="B148" s="16" t="s">
        <v>460</v>
      </c>
      <c r="C148" s="16" t="s">
        <v>151</v>
      </c>
      <c r="D148" s="16" t="s">
        <v>461</v>
      </c>
      <c r="E148" s="16" t="s">
        <v>112</v>
      </c>
      <c r="F148" s="16" t="s">
        <v>156</v>
      </c>
      <c r="G148" s="8">
        <v>1</v>
      </c>
      <c r="H148" s="8"/>
      <c r="I148" s="8">
        <v>0</v>
      </c>
      <c r="J148" s="8" t="s">
        <v>82</v>
      </c>
      <c r="K148" s="8">
        <v>0</v>
      </c>
      <c r="L148" s="8" t="s">
        <v>82</v>
      </c>
      <c r="M148" s="8">
        <v>0</v>
      </c>
      <c r="N148" s="8">
        <v>0</v>
      </c>
      <c r="O148" s="8">
        <v>0</v>
      </c>
      <c r="P148" s="8">
        <v>5</v>
      </c>
      <c r="Q148" s="8">
        <v>1</v>
      </c>
      <c r="R148" s="8">
        <v>0</v>
      </c>
      <c r="S148" s="8">
        <v>0</v>
      </c>
      <c r="T148" s="24">
        <v>1</v>
      </c>
      <c r="U148" s="16"/>
      <c r="V148" s="16" t="s">
        <v>53</v>
      </c>
      <c r="W148" s="16"/>
    </row>
    <row r="149" spans="2:23" ht="15" customHeight="1">
      <c r="B149" s="16" t="s">
        <v>181</v>
      </c>
      <c r="C149" s="16" t="s">
        <v>151</v>
      </c>
      <c r="D149" s="16" t="s">
        <v>462</v>
      </c>
      <c r="E149" s="16" t="s">
        <v>116</v>
      </c>
      <c r="F149" s="16" t="s">
        <v>156</v>
      </c>
      <c r="G149" s="8">
        <v>1</v>
      </c>
      <c r="H149" s="8"/>
      <c r="I149" s="8">
        <v>0</v>
      </c>
      <c r="J149" s="8">
        <v>0</v>
      </c>
      <c r="K149" s="8">
        <v>0</v>
      </c>
      <c r="L149" s="8">
        <v>0</v>
      </c>
      <c r="M149" s="8">
        <v>0</v>
      </c>
      <c r="N149" s="8">
        <v>0</v>
      </c>
      <c r="O149" s="8">
        <v>0</v>
      </c>
      <c r="P149" s="8">
        <v>0</v>
      </c>
      <c r="Q149" s="8">
        <v>1</v>
      </c>
      <c r="R149" s="8">
        <v>0</v>
      </c>
      <c r="S149" s="8">
        <v>0</v>
      </c>
      <c r="T149" s="24">
        <v>1</v>
      </c>
      <c r="U149" s="16"/>
      <c r="V149" s="16" t="s">
        <v>53</v>
      </c>
      <c r="W149" s="16"/>
    </row>
    <row r="150" spans="2:23" ht="15" customHeight="1">
      <c r="B150" s="16" t="s">
        <v>463</v>
      </c>
      <c r="C150" s="16" t="s">
        <v>151</v>
      </c>
      <c r="D150" s="16" t="s">
        <v>464</v>
      </c>
      <c r="E150" s="16" t="s">
        <v>67</v>
      </c>
      <c r="F150" s="16" t="s">
        <v>156</v>
      </c>
      <c r="G150" s="8">
        <v>1</v>
      </c>
      <c r="H150" s="8"/>
      <c r="I150" s="8">
        <v>0</v>
      </c>
      <c r="J150" s="8">
        <v>999</v>
      </c>
      <c r="K150" s="8">
        <v>0</v>
      </c>
      <c r="L150" s="8">
        <v>2</v>
      </c>
      <c r="M150" s="8">
        <v>2</v>
      </c>
      <c r="N150" s="8">
        <v>0</v>
      </c>
      <c r="O150" s="8">
        <v>0</v>
      </c>
      <c r="P150" s="8">
        <v>0</v>
      </c>
      <c r="Q150" s="8">
        <v>1</v>
      </c>
      <c r="R150" s="8">
        <v>0</v>
      </c>
      <c r="S150" s="8">
        <v>0</v>
      </c>
      <c r="T150" s="24">
        <v>1</v>
      </c>
      <c r="U150" s="16"/>
      <c r="V150" s="16" t="s">
        <v>53</v>
      </c>
      <c r="W150" s="16"/>
    </row>
    <row r="151" spans="2:23" ht="15" customHeight="1">
      <c r="B151" s="16" t="s">
        <v>465</v>
      </c>
      <c r="C151" s="16" t="s">
        <v>151</v>
      </c>
      <c r="D151" s="16" t="s">
        <v>466</v>
      </c>
      <c r="E151" s="16" t="s">
        <v>76</v>
      </c>
      <c r="F151" s="16" t="s">
        <v>153</v>
      </c>
      <c r="G151" s="8">
        <v>1</v>
      </c>
      <c r="H151" s="8"/>
      <c r="I151" s="8">
        <v>0</v>
      </c>
      <c r="J151" s="8">
        <v>0</v>
      </c>
      <c r="K151" s="8">
        <v>293</v>
      </c>
      <c r="L151" s="8">
        <v>8</v>
      </c>
      <c r="M151" s="8">
        <v>0</v>
      </c>
      <c r="N151" s="8">
        <v>8</v>
      </c>
      <c r="O151" s="8">
        <v>0</v>
      </c>
      <c r="P151" s="8">
        <v>0</v>
      </c>
      <c r="Q151" s="8">
        <v>0</v>
      </c>
      <c r="R151" s="8">
        <v>1</v>
      </c>
      <c r="S151" s="8">
        <v>0</v>
      </c>
      <c r="T151" s="24">
        <v>1</v>
      </c>
      <c r="U151" s="16" t="s">
        <v>142</v>
      </c>
      <c r="V151" s="16" t="s">
        <v>467</v>
      </c>
      <c r="W151" s="16" t="s">
        <v>468</v>
      </c>
    </row>
    <row r="152" spans="2:23" ht="15" customHeight="1">
      <c r="B152" s="16" t="s">
        <v>469</v>
      </c>
      <c r="C152" s="16" t="s">
        <v>151</v>
      </c>
      <c r="D152" s="16" t="s">
        <v>470</v>
      </c>
      <c r="E152" s="16" t="s">
        <v>96</v>
      </c>
      <c r="F152" s="16" t="s">
        <v>156</v>
      </c>
      <c r="G152" s="8">
        <v>1</v>
      </c>
      <c r="H152" s="8"/>
      <c r="I152" s="8">
        <v>0</v>
      </c>
      <c r="J152" s="8" t="s">
        <v>82</v>
      </c>
      <c r="K152" s="8">
        <v>0</v>
      </c>
      <c r="L152" s="8" t="s">
        <v>82</v>
      </c>
      <c r="M152" s="8">
        <v>0</v>
      </c>
      <c r="N152" s="8">
        <v>0</v>
      </c>
      <c r="O152" s="8">
        <v>0</v>
      </c>
      <c r="P152" s="8">
        <v>5</v>
      </c>
      <c r="Q152" s="8">
        <v>1</v>
      </c>
      <c r="R152" s="8">
        <v>0</v>
      </c>
      <c r="S152" s="8">
        <v>0</v>
      </c>
      <c r="T152" s="24">
        <v>1</v>
      </c>
      <c r="U152" s="16"/>
      <c r="V152" s="16" t="s">
        <v>53</v>
      </c>
      <c r="W152" s="16"/>
    </row>
    <row r="153" spans="2:23" ht="15" customHeight="1">
      <c r="B153" s="16" t="s">
        <v>471</v>
      </c>
      <c r="C153" s="16" t="s">
        <v>151</v>
      </c>
      <c r="D153" s="16" t="s">
        <v>472</v>
      </c>
      <c r="E153" s="16" t="s">
        <v>70</v>
      </c>
      <c r="F153" s="16" t="s">
        <v>153</v>
      </c>
      <c r="G153" s="8">
        <v>1</v>
      </c>
      <c r="H153" s="8"/>
      <c r="I153" s="8">
        <v>0</v>
      </c>
      <c r="J153" s="8">
        <v>1033</v>
      </c>
      <c r="K153" s="8">
        <v>0</v>
      </c>
      <c r="L153" s="8">
        <v>0</v>
      </c>
      <c r="M153" s="8">
        <v>0</v>
      </c>
      <c r="N153" s="8">
        <v>0</v>
      </c>
      <c r="O153" s="8">
        <v>0</v>
      </c>
      <c r="P153" s="8">
        <v>0</v>
      </c>
      <c r="Q153" s="8">
        <v>0</v>
      </c>
      <c r="R153" s="8">
        <v>1</v>
      </c>
      <c r="S153" s="8">
        <v>0</v>
      </c>
      <c r="T153" s="24">
        <v>1</v>
      </c>
      <c r="U153" s="16"/>
      <c r="V153" s="16" t="s">
        <v>53</v>
      </c>
      <c r="W153" s="16"/>
    </row>
    <row r="154" spans="2:23" ht="15" customHeight="1">
      <c r="B154" s="16" t="s">
        <v>473</v>
      </c>
      <c r="C154" s="16" t="s">
        <v>151</v>
      </c>
      <c r="D154" s="16" t="s">
        <v>474</v>
      </c>
      <c r="E154" s="16" t="s">
        <v>96</v>
      </c>
      <c r="F154" s="16" t="s">
        <v>156</v>
      </c>
      <c r="G154" s="8">
        <v>1</v>
      </c>
      <c r="H154" s="8"/>
      <c r="I154" s="8">
        <v>0</v>
      </c>
      <c r="J154" s="8" t="s">
        <v>82</v>
      </c>
      <c r="K154" s="8">
        <v>0</v>
      </c>
      <c r="L154" s="8" t="s">
        <v>82</v>
      </c>
      <c r="M154" s="8">
        <v>0</v>
      </c>
      <c r="N154" s="8">
        <v>0</v>
      </c>
      <c r="O154" s="8">
        <v>0</v>
      </c>
      <c r="P154" s="8">
        <v>5</v>
      </c>
      <c r="Q154" s="8">
        <v>1</v>
      </c>
      <c r="R154" s="8">
        <v>0</v>
      </c>
      <c r="S154" s="8">
        <v>0</v>
      </c>
      <c r="T154" s="24">
        <v>1</v>
      </c>
      <c r="U154" s="16"/>
      <c r="V154" s="16" t="s">
        <v>53</v>
      </c>
      <c r="W154" s="16"/>
    </row>
    <row r="155" spans="2:23" ht="15" customHeight="1">
      <c r="B155" s="16" t="s">
        <v>475</v>
      </c>
      <c r="C155" s="16" t="s">
        <v>151</v>
      </c>
      <c r="D155" s="16" t="s">
        <v>476</v>
      </c>
      <c r="E155" s="16" t="s">
        <v>86</v>
      </c>
      <c r="F155" s="16" t="s">
        <v>167</v>
      </c>
      <c r="G155" s="8">
        <v>1</v>
      </c>
      <c r="H155" s="8"/>
      <c r="I155" s="8">
        <v>0</v>
      </c>
      <c r="J155" s="8">
        <v>12</v>
      </c>
      <c r="K155" s="8">
        <v>0</v>
      </c>
      <c r="L155" s="8">
        <v>0</v>
      </c>
      <c r="M155" s="8">
        <v>0</v>
      </c>
      <c r="N155" s="8">
        <v>0</v>
      </c>
      <c r="O155" s="8">
        <v>0</v>
      </c>
      <c r="P155" s="8">
        <v>0</v>
      </c>
      <c r="Q155" s="8">
        <v>0</v>
      </c>
      <c r="R155" s="8">
        <v>1</v>
      </c>
      <c r="S155" s="8">
        <v>0</v>
      </c>
      <c r="T155" s="24">
        <v>1</v>
      </c>
      <c r="U155" s="16"/>
      <c r="V155" s="16" t="s">
        <v>53</v>
      </c>
      <c r="W155" s="16"/>
    </row>
    <row r="156" spans="2:23" ht="15" customHeight="1">
      <c r="B156" s="16" t="s">
        <v>477</v>
      </c>
      <c r="C156" s="16" t="s">
        <v>151</v>
      </c>
      <c r="D156" s="16" t="s">
        <v>478</v>
      </c>
      <c r="E156" s="16" t="s">
        <v>70</v>
      </c>
      <c r="F156" s="16" t="s">
        <v>153</v>
      </c>
      <c r="G156" s="8">
        <v>1</v>
      </c>
      <c r="H156" s="8"/>
      <c r="I156" s="8">
        <v>0</v>
      </c>
      <c r="J156" s="8">
        <v>30711</v>
      </c>
      <c r="K156" s="8">
        <v>0</v>
      </c>
      <c r="L156" s="8">
        <v>0</v>
      </c>
      <c r="M156" s="8">
        <v>0</v>
      </c>
      <c r="N156" s="8">
        <v>0</v>
      </c>
      <c r="O156" s="8">
        <v>0</v>
      </c>
      <c r="P156" s="8">
        <v>0</v>
      </c>
      <c r="Q156" s="8">
        <v>0</v>
      </c>
      <c r="R156" s="8">
        <v>1</v>
      </c>
      <c r="S156" s="8">
        <v>0</v>
      </c>
      <c r="T156" s="24">
        <v>1</v>
      </c>
      <c r="U156" s="16"/>
      <c r="V156" s="16" t="s">
        <v>53</v>
      </c>
      <c r="W156" s="16"/>
    </row>
    <row r="157" spans="2:23" ht="15" customHeight="1">
      <c r="B157" s="16" t="s">
        <v>479</v>
      </c>
      <c r="C157" s="16" t="s">
        <v>151</v>
      </c>
      <c r="D157" s="16" t="s">
        <v>480</v>
      </c>
      <c r="E157" s="16" t="s">
        <v>106</v>
      </c>
      <c r="F157" s="16" t="s">
        <v>167</v>
      </c>
      <c r="G157" s="8">
        <v>1</v>
      </c>
      <c r="H157" s="8"/>
      <c r="I157" s="8">
        <v>0</v>
      </c>
      <c r="J157" s="8">
        <v>0</v>
      </c>
      <c r="K157" s="8">
        <v>0</v>
      </c>
      <c r="L157" s="8">
        <v>0</v>
      </c>
      <c r="M157" s="8">
        <v>0</v>
      </c>
      <c r="N157" s="8">
        <v>0</v>
      </c>
      <c r="O157" s="8">
        <v>0</v>
      </c>
      <c r="P157" s="8">
        <v>0</v>
      </c>
      <c r="Q157" s="8">
        <v>0</v>
      </c>
      <c r="R157" s="8">
        <v>1</v>
      </c>
      <c r="S157" s="8">
        <v>0</v>
      </c>
      <c r="T157" s="24">
        <v>1</v>
      </c>
      <c r="U157" s="16" t="s">
        <v>142</v>
      </c>
      <c r="V157" s="16" t="s">
        <v>481</v>
      </c>
      <c r="W157" s="16" t="s">
        <v>482</v>
      </c>
    </row>
    <row r="158" spans="2:23" ht="15" customHeight="1">
      <c r="B158" s="16" t="s">
        <v>483</v>
      </c>
      <c r="C158" s="16" t="s">
        <v>151</v>
      </c>
      <c r="D158" s="16" t="s">
        <v>484</v>
      </c>
      <c r="E158" s="16" t="s">
        <v>86</v>
      </c>
      <c r="F158" s="16" t="s">
        <v>167</v>
      </c>
      <c r="G158" s="8">
        <v>1</v>
      </c>
      <c r="H158" s="8"/>
      <c r="I158" s="8">
        <v>0</v>
      </c>
      <c r="J158" s="8">
        <v>2</v>
      </c>
      <c r="K158" s="8">
        <v>0</v>
      </c>
      <c r="L158" s="8">
        <v>1</v>
      </c>
      <c r="M158" s="8">
        <v>0</v>
      </c>
      <c r="N158" s="8">
        <v>1</v>
      </c>
      <c r="O158" s="8">
        <v>0</v>
      </c>
      <c r="P158" s="8">
        <v>0</v>
      </c>
      <c r="Q158" s="8">
        <v>1</v>
      </c>
      <c r="R158" s="8">
        <v>0</v>
      </c>
      <c r="S158" s="8">
        <v>0</v>
      </c>
      <c r="T158" s="24">
        <v>1</v>
      </c>
      <c r="U158" s="16"/>
      <c r="V158" s="16" t="s">
        <v>53</v>
      </c>
      <c r="W158" s="16"/>
    </row>
    <row r="159" spans="2:23" ht="15" customHeight="1">
      <c r="B159" s="16" t="s">
        <v>485</v>
      </c>
      <c r="C159" s="16" t="s">
        <v>151</v>
      </c>
      <c r="D159" s="16" t="s">
        <v>486</v>
      </c>
      <c r="E159" s="16" t="s">
        <v>64</v>
      </c>
      <c r="F159" s="16" t="s">
        <v>153</v>
      </c>
      <c r="G159" s="8">
        <v>1</v>
      </c>
      <c r="H159" s="8"/>
      <c r="I159" s="8">
        <v>0</v>
      </c>
      <c r="J159" s="8">
        <v>179</v>
      </c>
      <c r="K159" s="8">
        <v>231</v>
      </c>
      <c r="L159" s="8">
        <v>11</v>
      </c>
      <c r="M159" s="8">
        <v>10</v>
      </c>
      <c r="N159" s="8">
        <v>0</v>
      </c>
      <c r="O159" s="8">
        <v>1</v>
      </c>
      <c r="P159" s="8">
        <v>0</v>
      </c>
      <c r="Q159" s="8">
        <v>1</v>
      </c>
      <c r="R159" s="8">
        <v>0</v>
      </c>
      <c r="S159" s="8">
        <v>0</v>
      </c>
      <c r="T159" s="24">
        <v>1</v>
      </c>
      <c r="U159" s="16" t="s">
        <v>142</v>
      </c>
      <c r="V159" s="16" t="s">
        <v>237</v>
      </c>
      <c r="W159" s="16" t="s">
        <v>238</v>
      </c>
    </row>
    <row r="160" spans="2:23" ht="15" customHeight="1">
      <c r="B160" s="16" t="s">
        <v>261</v>
      </c>
      <c r="C160" s="16" t="s">
        <v>151</v>
      </c>
      <c r="D160" s="16" t="s">
        <v>487</v>
      </c>
      <c r="E160" s="16" t="s">
        <v>73</v>
      </c>
      <c r="F160" s="16" t="s">
        <v>156</v>
      </c>
      <c r="G160" s="8">
        <v>1</v>
      </c>
      <c r="H160" s="8"/>
      <c r="I160" s="8">
        <v>0</v>
      </c>
      <c r="J160" s="8">
        <v>0</v>
      </c>
      <c r="K160" s="8">
        <v>0</v>
      </c>
      <c r="L160" s="8">
        <v>0</v>
      </c>
      <c r="M160" s="8">
        <v>0</v>
      </c>
      <c r="N160" s="8">
        <v>0</v>
      </c>
      <c r="O160" s="8">
        <v>0</v>
      </c>
      <c r="P160" s="8">
        <v>0</v>
      </c>
      <c r="Q160" s="8">
        <v>1</v>
      </c>
      <c r="R160" s="8">
        <v>0</v>
      </c>
      <c r="S160" s="8">
        <v>0</v>
      </c>
      <c r="T160" s="24">
        <v>1</v>
      </c>
      <c r="U160" s="16"/>
      <c r="V160" s="16" t="s">
        <v>53</v>
      </c>
      <c r="W160" s="16"/>
    </row>
    <row r="161" spans="2:23" ht="15" customHeight="1">
      <c r="B161" s="16" t="s">
        <v>488</v>
      </c>
      <c r="C161" s="16" t="s">
        <v>151</v>
      </c>
      <c r="D161" s="16" t="s">
        <v>489</v>
      </c>
      <c r="E161" s="16" t="s">
        <v>92</v>
      </c>
      <c r="F161" s="16" t="s">
        <v>167</v>
      </c>
      <c r="G161" s="8">
        <v>1</v>
      </c>
      <c r="H161" s="8"/>
      <c r="I161" s="8">
        <v>0</v>
      </c>
      <c r="J161" s="8">
        <v>0</v>
      </c>
      <c r="K161" s="8">
        <v>0</v>
      </c>
      <c r="L161" s="8">
        <v>0</v>
      </c>
      <c r="M161" s="8">
        <v>0</v>
      </c>
      <c r="N161" s="8">
        <v>0</v>
      </c>
      <c r="O161" s="8">
        <v>0</v>
      </c>
      <c r="P161" s="8">
        <v>0</v>
      </c>
      <c r="Q161" s="8">
        <v>0</v>
      </c>
      <c r="R161" s="8">
        <v>1</v>
      </c>
      <c r="S161" s="8">
        <v>0</v>
      </c>
      <c r="T161" s="24">
        <v>1</v>
      </c>
      <c r="U161" s="16" t="s">
        <v>142</v>
      </c>
      <c r="V161" s="16" t="s">
        <v>481</v>
      </c>
      <c r="W161" s="16" t="s">
        <v>490</v>
      </c>
    </row>
    <row r="162" spans="2:23" ht="15" customHeight="1">
      <c r="B162" s="16" t="s">
        <v>491</v>
      </c>
      <c r="C162" s="16" t="s">
        <v>151</v>
      </c>
      <c r="D162" s="16" t="s">
        <v>492</v>
      </c>
      <c r="E162" s="16" t="s">
        <v>86</v>
      </c>
      <c r="F162" s="16" t="s">
        <v>167</v>
      </c>
      <c r="G162" s="8">
        <v>1</v>
      </c>
      <c r="H162" s="8"/>
      <c r="I162" s="8">
        <v>0</v>
      </c>
      <c r="J162" s="8">
        <v>0</v>
      </c>
      <c r="K162" s="8">
        <v>0</v>
      </c>
      <c r="L162" s="8">
        <v>0</v>
      </c>
      <c r="M162" s="8">
        <v>0</v>
      </c>
      <c r="N162" s="8">
        <v>0</v>
      </c>
      <c r="O162" s="8">
        <v>0</v>
      </c>
      <c r="P162" s="8">
        <v>0</v>
      </c>
      <c r="Q162" s="8">
        <v>1</v>
      </c>
      <c r="R162" s="8">
        <v>0</v>
      </c>
      <c r="S162" s="8">
        <v>0</v>
      </c>
      <c r="T162" s="24">
        <v>1</v>
      </c>
      <c r="U162" s="16"/>
      <c r="V162" s="16" t="s">
        <v>53</v>
      </c>
      <c r="W162" s="16"/>
    </row>
    <row r="163" spans="2:23" ht="15" customHeight="1">
      <c r="B163" s="16" t="s">
        <v>493</v>
      </c>
      <c r="C163" s="16" t="s">
        <v>151</v>
      </c>
      <c r="D163" s="16" t="s">
        <v>494</v>
      </c>
      <c r="E163" s="16" t="s">
        <v>86</v>
      </c>
      <c r="F163" s="16" t="s">
        <v>167</v>
      </c>
      <c r="G163" s="8">
        <v>1</v>
      </c>
      <c r="H163" s="8"/>
      <c r="I163" s="8">
        <v>0</v>
      </c>
      <c r="J163" s="8">
        <v>0</v>
      </c>
      <c r="K163" s="8">
        <v>0</v>
      </c>
      <c r="L163" s="8">
        <v>0</v>
      </c>
      <c r="M163" s="8">
        <v>0</v>
      </c>
      <c r="N163" s="8">
        <v>0</v>
      </c>
      <c r="O163" s="8">
        <v>0</v>
      </c>
      <c r="P163" s="8">
        <v>0</v>
      </c>
      <c r="Q163" s="8">
        <v>1</v>
      </c>
      <c r="R163" s="8">
        <v>0</v>
      </c>
      <c r="S163" s="8">
        <v>0</v>
      </c>
      <c r="T163" s="24">
        <v>1</v>
      </c>
      <c r="U163" s="16"/>
      <c r="V163" s="16" t="s">
        <v>53</v>
      </c>
      <c r="W163" s="16"/>
    </row>
  </sheetData>
  <autoFilter ref="B27:W27"/>
  <hyperlinks>
    <hyperlink ref="C1" location="Содержание!B4" display="К содержанию"/>
    <hyperlink ref="D28" r:id="rId1" display="https://web.telegram.org/#/im?p=@ap_patient"/>
    <hyperlink ref="D29" r:id="rId2" display="https://www.ozon.ru/context/detail/id/754249148"/>
    <hyperlink ref="D30" r:id="rId3" display="http://vk.com/club155019350"/>
    <hyperlink ref="D31" r:id="rId4" display="http://vk.com/club211243521"/>
    <hyperlink ref="D32" r:id="rId5" display="http://ok.ru/profile/910116631862"/>
    <hyperlink ref="D33" r:id="rId6" display="http://vk.com/club55884956"/>
    <hyperlink ref="D34" r:id="rId7" display="https://mom.life/user/5c6d48f80bdf004ed10e6684"/>
    <hyperlink ref="D35" r:id="rId8" display="https://dzen.ru/id/66f3e42b025ba177c356b855"/>
    <hyperlink ref="D36" r:id="rId9" display="https://otzovik.com/reviews/tabletki_alfa_wassermann_vessel_due_f_250_le"/>
    <hyperlink ref="D37" r:id="rId10" display="https://otzovik.com/reviews/tromboliks_pro"/>
    <hyperlink ref="D38" r:id="rId11" display="https://mom.life/channel/5d4811d6ebdb000de72653af"/>
    <hyperlink ref="D39" r:id="rId12" display="https://dzen.ru/id/69b5bb875330f8608cd9b95d"/>
    <hyperlink ref="D40" r:id="rId13" display="https://sprosivracha.com/questions/4310948-terapiya-pri-beremennosti"/>
    <hyperlink ref="D41" r:id="rId14" display="https://sprosivracha.com/questions/4324170-gematolog-ubral-vse-vitaminy-pochemu"/>
    <hyperlink ref="D42" r:id="rId15" display="http://vk.com/club60212615"/>
    <hyperlink ref="D43" r:id="rId16" display="http://vk.com/club80942402"/>
    <hyperlink ref="D44" r:id="rId17" display="http://vk.com/club114905525"/>
    <hyperlink ref="D45" r:id="rId18" display="http://vk.com/club115360655"/>
    <hyperlink ref="D46" r:id="rId19" display="http://vk.com/club116010319"/>
    <hyperlink ref="D47" r:id="rId20" display="http://vk.com/club121964063"/>
    <hyperlink ref="D48" r:id="rId21" display="http://vk.com/club131931112"/>
    <hyperlink ref="D49" r:id="rId22" display="http://vk.com/club135703188"/>
    <hyperlink ref="D50" r:id="rId23" display="http://vk.com/club158881136"/>
    <hyperlink ref="D51" r:id="rId24" display="http://vk.com/club166736387"/>
    <hyperlink ref="D52" r:id="rId25" display="http://vk.com/club171736200"/>
    <hyperlink ref="D53" r:id="rId26" display="http://vk.com/club177688766"/>
    <hyperlink ref="D54" r:id="rId27" display="http://vk.com/club185317296"/>
    <hyperlink ref="D55" r:id="rId28" display="https://web.telegram.org/#/im?p=@alopecia_info"/>
    <hyperlink ref="D56" r:id="rId29" display="https://dzen.ru/id/5ea3fd8b22b6bd32eecb63f5"/>
    <hyperlink ref="D57" r:id="rId30" display="https://dzen.ru/id/5eaafa59cf77ee27c9421287"/>
    <hyperlink ref="D58" r:id="rId31" display="https://www.vashe-mnenie.com/reviews.php?name=vessel-due-f"/>
    <hyperlink ref="D59" r:id="rId32" display="http://vk.com/club210934520"/>
    <hyperlink ref="D60" r:id="rId33" display="https://dzen.ru/id/65f3067dd5f4eb779713e531"/>
    <hyperlink ref="D61" r:id="rId34" display="https://dzen.ru/id/65f1dc2e477f931a69a2da7e"/>
    <hyperlink ref="D62" r:id="rId35" display="https://web.telegram.org/#/im?p=@doctor_alina_chat"/>
    <hyperlink ref="D63" r:id="rId36" display="https://www.otzyvru.com/vessel-due-f"/>
    <hyperlink ref="D64" r:id="rId37" display="https://sprosivracha.com/questions/4317017-giperplaziya-endometriyanorkoluttrombofiliyakleksan"/>
    <hyperlink ref="D65" r:id="rId38" display="https://www.woman.ru/forum/all/health/woman-health/thread-varikoz-chto-prinimaete-id6426253"/>
    <hyperlink ref="D66" r:id="rId39" display="http://vk.com/club29487103"/>
    <hyperlink ref="D67" r:id="rId40" display="http://vk.com/club12670685"/>
    <hyperlink ref="D68" r:id="rId41" display="http://vk.com/club47981464"/>
    <hyperlink ref="D69" r:id="rId42" display="http://vk.com/club55122354"/>
    <hyperlink ref="D70" r:id="rId43" display="http://vk.com/club29445319"/>
    <hyperlink ref="D71" r:id="rId44" display="http://vk.com/club66100600"/>
    <hyperlink ref="D72" r:id="rId45" display="http://vk.com/club85415124"/>
    <hyperlink ref="D73" r:id="rId46" display="http://vk.com/club35402404"/>
    <hyperlink ref="D74" r:id="rId47" display="http://vk.com/club61570233"/>
    <hyperlink ref="D75" r:id="rId48" display="http://vk.com/club38982223"/>
    <hyperlink ref="D76" r:id="rId49" display="http://vk.com/club86403806"/>
    <hyperlink ref="D77" r:id="rId50" display="http://vk.com/club88570414"/>
    <hyperlink ref="D78" r:id="rId51" display="http://vk.com/club48183890"/>
    <hyperlink ref="D79" r:id="rId52" display="http://www.youtube.com/channel/UCmXcQ3wSf1szPGmssQOop8Q"/>
    <hyperlink ref="D80" r:id="rId53" display="http://vk.com/club74631162"/>
    <hyperlink ref="D81" r:id="rId54" display="http://vk.com/club110697191"/>
    <hyperlink ref="D82" r:id="rId55" display="http://vk.com/club110697272"/>
    <hyperlink ref="D83" r:id="rId56" display="http://vk.com/club112011819"/>
    <hyperlink ref="D84" r:id="rId57" display="http://ok.ru/group/52171764269129"/>
    <hyperlink ref="D85" r:id="rId58" display="http://ok.ru/group/52161146519625"/>
    <hyperlink ref="D86" r:id="rId59" display="http://vk.com/club113506584"/>
    <hyperlink ref="D87" r:id="rId60" display="http://vk.com/club78602257"/>
    <hyperlink ref="D88" r:id="rId61" display="http://vk.com/club102968436"/>
    <hyperlink ref="D89" r:id="rId62" display="http://vk.com/club123403112"/>
    <hyperlink ref="D90" r:id="rId63" display="http://vk.com/club37094416"/>
    <hyperlink ref="D91" r:id="rId64" display="http://vk.com/club121511206"/>
    <hyperlink ref="D92" r:id="rId65" display="http://vk.com/club127033373"/>
    <hyperlink ref="D93" r:id="rId66" display="http://vk.com/club126850514"/>
    <hyperlink ref="D94" r:id="rId67" display="https://instagram.com/iri.levchuk"/>
    <hyperlink ref="D95" r:id="rId68" display="http://vk.com/club132664992"/>
    <hyperlink ref="D96" r:id="rId69" display="http://vk.com/club138737375"/>
    <hyperlink ref="D97" r:id="rId70" display="http://vk.com/club143027530"/>
    <hyperlink ref="D98" r:id="rId71" display="http://vk.com/club146361880"/>
    <hyperlink ref="D99" r:id="rId72" display="http://vk.com/club146414683"/>
    <hyperlink ref="D100" r:id="rId73" display="http://vk.com/club149047382"/>
    <hyperlink ref="D101" r:id="rId74" display="http://sports.ru"/>
    <hyperlink ref="D102" r:id="rId75" display="http://vk.com/club153846848"/>
    <hyperlink ref="D103" r:id="rId76" display="http://vk.com/club153326278"/>
    <hyperlink ref="D104" r:id="rId77" display="http://vk.com/club157831435"/>
    <hyperlink ref="D105" r:id="rId78" display="http://vk.com/club159559335"/>
    <hyperlink ref="D106" r:id="rId79" display="http://vk.com/club162456827"/>
    <hyperlink ref="D107" r:id="rId80" display="http://vk.com/club163661733"/>
    <hyperlink ref="D108" r:id="rId81" display="http://vk.com/club164931876"/>
    <hyperlink ref="D109" r:id="rId82" display="http://www.youtube.com/channel/UCj5sl2ikNJVEgNQKCVQXUoA"/>
    <hyperlink ref="D110" r:id="rId83" display="http://vk.com/club163661411"/>
    <hyperlink ref="D111" r:id="rId84" display="https://dzen.ru/id/5994437877d0e668483ba5cb"/>
    <hyperlink ref="D112" r:id="rId85" display="https://dzen.ru/id/59b7ace157906a468e38e6c5"/>
    <hyperlink ref="D113" r:id="rId86" display="http://vk.com/club170066150"/>
    <hyperlink ref="D114" r:id="rId87" display="http://vk.com/id466341803"/>
    <hyperlink ref="D115" r:id="rId88" display="https://irecommend.ru/content/antikoagulyant-alfa-wassermann-spa-vessel-due-f-kaps-250-le-50"/>
    <hyperlink ref="D116" r:id="rId89" display="http://vk.com/club180149085"/>
    <hyperlink ref="D117" r:id="rId90" display="http://vk.com/club183105257"/>
    <hyperlink ref="D118" r:id="rId91" display="http://vk.com/id569170044"/>
    <hyperlink ref="D119" r:id="rId92" display="http://vk.com/id530424871"/>
    <hyperlink ref="D120" r:id="rId93" display="http://vk.com/club193354828"/>
    <hyperlink ref="D121" r:id="rId94" display="https://web.telegram.org/#/im?p=@tamzdes"/>
    <hyperlink ref="D122" r:id="rId95" display="https://dzen.ru/id/5ebadf94d86ce72cb4b1e6de"/>
    <hyperlink ref="D123" r:id="rId96" display="https://dzen.ru/id/5db82d1d4e057700b0d04411"/>
    <hyperlink ref="D124" r:id="rId97" display="http://vk.com/club201625372"/>
    <hyperlink ref="D125" r:id="rId98" display="http://ok.ru/group/59240543158337"/>
    <hyperlink ref="D126" r:id="rId99" display="https://www.tiktok.com/@ripsime_pro_food"/>
    <hyperlink ref="D127" r:id="rId100" display="https://www.medcentre24.ru/medikamenty/vessel-due-f.html"/>
    <hyperlink ref="D128" r:id="rId101" display="https://web.telegram.org/#/im?p=@izbamolodilnya"/>
    <hyperlink ref="D129" r:id="rId102" display="https://web.telegram.org/#/im?p=@drvkuvaev"/>
    <hyperlink ref="D130" r:id="rId103" display="https://web.telegram.org/#/im?p=@aleksatru"/>
    <hyperlink ref="D131" r:id="rId104" display="http://vk.com/club213047982"/>
    <hyperlink ref="D132" r:id="rId105" display="https://dzen.ru/id/5fc4f61b0c08f433f3ac864e"/>
    <hyperlink ref="D133" r:id="rId106" display="https://dzen.ru/id/5c41f31debbae500ac645050"/>
    <hyperlink ref="D134" r:id="rId107" display="https://dzen.ru/id/60c090e7ef324247ee9673bb"/>
    <hyperlink ref="D135" r:id="rId108" display="https://rutube.ru/video/person/24831553"/>
    <hyperlink ref="D136" r:id="rId109" display="https://www.babyblog.ru/user/nastyaeta"/>
    <hyperlink ref="D137" r:id="rId110" display="https://web.telegram.org/#/im?p=@actual_phlebology_ru"/>
    <hyperlink ref="D138" r:id="rId111" display="https://web.telegram.org/#/im?p=@immortaldrops"/>
    <hyperlink ref="D139" r:id="rId112" display="https://web.telegram.org/#/im?p=@dr_kikina"/>
    <hyperlink ref="D140" r:id="rId113" display="http://vk.com/club223318821"/>
    <hyperlink ref="D141" r:id="rId114" display="http://vk.com/club226299499"/>
    <hyperlink ref="D142" r:id="rId115" display="https://instagram.com/aizana.stambulova"/>
    <hyperlink ref="D143" r:id="rId116" display="https://mom.life/user/66b2e6108d119b05b376d241"/>
    <hyperlink ref="D144" r:id="rId117" display="https://dzen.ru/id/60324e29084cc34524539a3a"/>
    <hyperlink ref="D145" r:id="rId118" display="https://web.telegram.org/#/im?p=@1268734773"/>
    <hyperlink ref="D146" r:id="rId119" display="https://otzovik.com/reviews/ampuli_vessel_due_f"/>
    <hyperlink ref="D147" r:id="rId120" display="http://vk.com/club219212745"/>
    <hyperlink ref="D148" r:id="rId121" display="https://market.yandex.ru/product/1778173803"/>
    <hyperlink ref="D149" r:id="rId122" display="https://medum.ru/tromboliks-pro-otzyvy"/>
    <hyperlink ref="D150" r:id="rId123" display="https://dzen.ru/id/62c842a6dfc4571c72d12933"/>
    <hyperlink ref="D151" r:id="rId124" display="https://mom.life/channel/56f8222d8439832c128b4567"/>
    <hyperlink ref="D152" r:id="rId125" display="https://otzyv.pro/category/lekarstvennyie-sredstva/756151-vessel-due-f-cena.html"/>
    <hyperlink ref="D153" r:id="rId126" display="https://web.telegram.org/#/im?p=@dnevnikdoctorachat"/>
    <hyperlink ref="D154" r:id="rId127" display="https://otzyv.pro/category/lekarstvennyie-sredstva/821439-tromboliks-pro.html"/>
    <hyperlink ref="D155" r:id="rId128" display="https://threads.com/@znaika121"/>
    <hyperlink ref="D156" r:id="rId129" display="https://web.telegram.org/#/im?p=@beremennost_pregnancy"/>
    <hyperlink ref="D157" r:id="rId130" display="https://forum.baby.ru/u/usr598918"/>
    <hyperlink ref="D158" r:id="rId131" display="https://threads.com/@sssevorobeva"/>
    <hyperlink ref="D159" r:id="rId132" display="http://vk.com/club227216729"/>
    <hyperlink ref="D160" r:id="rId133" display="https://sprosivracha.com/questions/4308352-prolezhni-na-pyatke"/>
    <hyperlink ref="D161" r:id="rId134" display="https://www.babyblog.ru/user/zinnatullinainzilya"/>
    <hyperlink ref="D162" r:id="rId135" display="https://threads.com/@itreva741"/>
    <hyperlink ref="D163" r:id="rId136" display="https://threads.com/@kuroskinam"/>
  </hyperlinks>
  <pageMargins left="0.75" right="0.75" top="1" bottom="1" header="0.5" footer="0.5"/>
  <drawing r:id="rId137"/>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989741d8-6ae6-4101-8e44-4a7aa8f3d01b}">
  <dimension ref="B1:Z163"/>
  <sheetViews>
    <sheetView showGridLines="0" workbookViewId="0" topLeftCell="A1"/>
  </sheetViews>
  <sheetFormatPr defaultRowHeight="12.75"/>
  <cols>
    <col min="1" max="1" width="4.714285714285714" customWidth="1"/>
    <col min="2" max="2" width="40.714285714285715" customWidth="1"/>
    <col min="3" max="3" width="15.714285714285714" customWidth="1"/>
    <col min="4" max="4" width="16.714285714285715" customWidth="1"/>
    <col min="5" max="5" width="15.714285714285714" customWidth="1"/>
    <col min="6" max="6" width="23" customWidth="1"/>
    <col min="7" max="11" width="15.714285714285714" customWidth="1"/>
    <col min="12" max="12" width="16.714285714285715" customWidth="1"/>
    <col min="13" max="24" width="15.714285714285714" customWidth="1"/>
    <col min="25" max="25" width="16.714285714285715" customWidth="1"/>
    <col min="26" max="26" width="15.714285714285714" customWidth="1"/>
  </cols>
  <sheetData>
    <row r="1" spans="2:3" s="1" customFormat="1" ht="30" customHeight="1">
      <c r="B1" s="1" t="s">
        <v>0</v>
      </c>
      <c r="C1" s="4" t="s">
        <v>2</v>
      </c>
    </row>
    <row r="4" spans="2:2" ht="12.75">
      <c r="B4" s="2" t="s">
        <v>28</v>
      </c>
    </row>
    <row r="6" spans="2:2" ht="12.75" customHeight="1"/>
    <row r="7" ht="12.75" customHeight="1"/>
    <row r="8" ht="12.75" customHeight="1"/>
    <row r="9" ht="12.75" customHeight="1"/>
    <row r="10" ht="12.75" customHeight="1"/>
    <row r="11" ht="12.75" customHeight="1"/>
    <row r="12" ht="12.75" customHeight="1"/>
    <row r="13" ht="12.75" customHeight="1"/>
    <row r="14" ht="12.75" customHeight="1"/>
    <row r="15" ht="12.75" customHeight="1"/>
    <row r="16" ht="12.75" customHeight="1"/>
    <row r="17" ht="12.75" customHeight="1"/>
    <row r="18" ht="12.75" customHeight="1"/>
    <row r="19" ht="12.75" customHeight="1"/>
    <row r="20" ht="12.75" customHeight="1"/>
    <row r="21" ht="12.75" customHeight="1"/>
    <row r="22" ht="12.75" customHeight="1"/>
    <row r="23" ht="12.75" customHeight="1"/>
    <row r="24" ht="12.75" customHeight="1"/>
    <row r="25" spans="2:2" ht="12.75">
      <c r="B25" s="12" t="s">
        <v>564</v>
      </c>
    </row>
    <row r="27" spans="2:26" ht="30" customHeight="1">
      <c r="B27" s="5" t="s">
        <v>565</v>
      </c>
      <c r="C27" s="5" t="s">
        <v>122</v>
      </c>
      <c r="D27" s="5" t="s">
        <v>59</v>
      </c>
      <c r="E27" s="5" t="s">
        <v>39</v>
      </c>
      <c r="F27" s="5" t="s">
        <v>63</v>
      </c>
      <c r="G27" s="6" t="s">
        <v>5</v>
      </c>
      <c r="H27" s="6" t="s">
        <v>45</v>
      </c>
      <c r="I27" s="6" t="s">
        <v>566</v>
      </c>
      <c r="J27" s="6" t="s">
        <v>567</v>
      </c>
      <c r="K27" s="6" t="s">
        <v>46</v>
      </c>
      <c r="L27" s="6" t="s">
        <v>41</v>
      </c>
      <c r="M27" s="6" t="s">
        <v>133</v>
      </c>
      <c r="N27" s="6" t="s">
        <v>134</v>
      </c>
      <c r="O27" s="6" t="s">
        <v>135</v>
      </c>
      <c r="P27" s="6" t="s">
        <v>43</v>
      </c>
      <c r="Q27" s="6" t="s">
        <v>47</v>
      </c>
      <c r="R27" s="6" t="s">
        <v>48</v>
      </c>
      <c r="S27" s="5" t="s">
        <v>27</v>
      </c>
      <c r="T27" s="5" t="s">
        <v>141</v>
      </c>
      <c r="U27" s="5" t="s">
        <v>148</v>
      </c>
      <c r="V27" s="5" t="s">
        <v>149</v>
      </c>
      <c r="W27" s="5" t="s">
        <v>506</v>
      </c>
      <c r="X27" s="5" t="s">
        <v>511</v>
      </c>
      <c r="Y27" s="5" t="s">
        <v>568</v>
      </c>
      <c r="Z27" s="5" t="s">
        <v>127</v>
      </c>
    </row>
    <row r="28" spans="2:26" ht="15" customHeight="1">
      <c r="B28" s="16" t="s">
        <v>569</v>
      </c>
      <c r="C28" s="16" t="s">
        <v>151</v>
      </c>
      <c r="D28" s="16" t="s">
        <v>70</v>
      </c>
      <c r="E28" s="16" t="s">
        <v>167</v>
      </c>
      <c r="F28" s="16" t="s">
        <v>570</v>
      </c>
      <c r="G28" s="8">
        <v>11</v>
      </c>
      <c r="H28" s="8">
        <v>0</v>
      </c>
      <c r="I28" s="8">
        <v>0</v>
      </c>
      <c r="J28" s="8">
        <v>4229</v>
      </c>
      <c r="K28" s="8">
        <v>0</v>
      </c>
      <c r="L28" s="8">
        <v>0</v>
      </c>
      <c r="M28" s="8">
        <v>0</v>
      </c>
      <c r="N28" s="8">
        <v>0</v>
      </c>
      <c r="O28" s="8">
        <v>0</v>
      </c>
      <c r="P28" s="8">
        <v>0</v>
      </c>
      <c r="Q28" s="8">
        <v>11</v>
      </c>
      <c r="R28" s="8">
        <v>0</v>
      </c>
      <c r="S28" s="16">
        <v>1</v>
      </c>
      <c r="T28" s="16"/>
      <c r="U28" s="16" t="s">
        <v>53</v>
      </c>
      <c r="V28" s="16"/>
      <c r="W28" s="16" t="s">
        <v>571</v>
      </c>
      <c r="X28" s="7" t="s">
        <v>571</v>
      </c>
      <c r="Y28" s="16" t="s">
        <v>53</v>
      </c>
      <c r="Z28" s="16" t="s">
        <v>53</v>
      </c>
    </row>
    <row r="29" spans="2:26" ht="15" customHeight="1">
      <c r="B29" s="16" t="s">
        <v>572</v>
      </c>
      <c r="C29" s="16" t="s">
        <v>151</v>
      </c>
      <c r="D29" s="16" t="s">
        <v>64</v>
      </c>
      <c r="E29" s="16" t="s">
        <v>167</v>
      </c>
      <c r="F29" s="16" t="s">
        <v>573</v>
      </c>
      <c r="G29" s="8">
        <v>8</v>
      </c>
      <c r="H29" s="8">
        <v>12</v>
      </c>
      <c r="I29" s="8">
        <v>0</v>
      </c>
      <c r="J29" s="8">
        <v>1301562</v>
      </c>
      <c r="K29" s="8">
        <v>0</v>
      </c>
      <c r="L29" s="8">
        <v>3</v>
      </c>
      <c r="M29" s="8">
        <v>3</v>
      </c>
      <c r="N29" s="8">
        <v>0</v>
      </c>
      <c r="O29" s="8">
        <v>0</v>
      </c>
      <c r="P29" s="8">
        <v>8</v>
      </c>
      <c r="Q29" s="8">
        <v>0</v>
      </c>
      <c r="R29" s="8">
        <v>0</v>
      </c>
      <c r="S29" s="16">
        <v>8</v>
      </c>
      <c r="T29" s="16"/>
      <c r="U29" s="16" t="s">
        <v>53</v>
      </c>
      <c r="V29" s="16"/>
      <c r="W29" s="16" t="s">
        <v>574</v>
      </c>
      <c r="X29" s="7" t="s">
        <v>574</v>
      </c>
      <c r="Y29" s="16" t="s">
        <v>53</v>
      </c>
      <c r="Z29" s="16" t="s">
        <v>53</v>
      </c>
    </row>
    <row r="30" spans="2:26" ht="15" customHeight="1">
      <c r="B30" s="16" t="s">
        <v>575</v>
      </c>
      <c r="C30" s="16" t="s">
        <v>206</v>
      </c>
      <c r="D30" s="16" t="s">
        <v>64</v>
      </c>
      <c r="E30" s="16" t="s">
        <v>167</v>
      </c>
      <c r="F30" s="16" t="s">
        <v>576</v>
      </c>
      <c r="G30" s="8">
        <v>5</v>
      </c>
      <c r="H30" s="8">
        <v>10</v>
      </c>
      <c r="I30" s="8">
        <v>0</v>
      </c>
      <c r="J30" s="8">
        <v>258192</v>
      </c>
      <c r="K30" s="8">
        <v>0</v>
      </c>
      <c r="L30" s="8">
        <v>4</v>
      </c>
      <c r="M30" s="8">
        <v>4</v>
      </c>
      <c r="N30" s="8">
        <v>0</v>
      </c>
      <c r="O30" s="8">
        <v>0</v>
      </c>
      <c r="P30" s="8">
        <v>5</v>
      </c>
      <c r="Q30" s="8">
        <v>0</v>
      </c>
      <c r="R30" s="8">
        <v>0</v>
      </c>
      <c r="S30" s="16">
        <v>5</v>
      </c>
      <c r="T30" s="16"/>
      <c r="U30" s="16" t="s">
        <v>53</v>
      </c>
      <c r="V30" s="16"/>
      <c r="W30" s="16" t="s">
        <v>574</v>
      </c>
      <c r="X30" s="7" t="s">
        <v>574</v>
      </c>
      <c r="Y30" s="16" t="s">
        <v>53</v>
      </c>
      <c r="Z30" s="16" t="s">
        <v>53</v>
      </c>
    </row>
    <row r="31" spans="2:26" ht="15" customHeight="1">
      <c r="B31" s="16" t="s">
        <v>577</v>
      </c>
      <c r="C31" s="16" t="s">
        <v>151</v>
      </c>
      <c r="D31" s="16" t="s">
        <v>67</v>
      </c>
      <c r="E31" s="16" t="s">
        <v>156</v>
      </c>
      <c r="F31" s="16" t="s">
        <v>578</v>
      </c>
      <c r="G31" s="8">
        <v>5</v>
      </c>
      <c r="H31" s="8">
        <v>0</v>
      </c>
      <c r="I31" s="8">
        <v>0</v>
      </c>
      <c r="J31" s="8">
        <v>426835</v>
      </c>
      <c r="K31" s="8">
        <v>0</v>
      </c>
      <c r="L31" s="8">
        <v>0</v>
      </c>
      <c r="M31" s="8">
        <v>0</v>
      </c>
      <c r="N31" s="8">
        <v>0</v>
      </c>
      <c r="O31" s="8">
        <v>0</v>
      </c>
      <c r="P31" s="8">
        <v>2</v>
      </c>
      <c r="Q31" s="8">
        <v>3</v>
      </c>
      <c r="R31" s="8">
        <v>0</v>
      </c>
      <c r="S31" s="16">
        <v>4</v>
      </c>
      <c r="T31" s="16"/>
      <c r="U31" s="16" t="s">
        <v>53</v>
      </c>
      <c r="V31" s="16"/>
      <c r="W31" s="16" t="s">
        <v>53</v>
      </c>
      <c r="X31" s="7" t="s">
        <v>53</v>
      </c>
      <c r="Y31" s="16" t="s">
        <v>53</v>
      </c>
      <c r="Z31" s="16" t="s">
        <v>53</v>
      </c>
    </row>
    <row r="32" spans="2:26" ht="15" customHeight="1">
      <c r="B32" s="16" t="s">
        <v>165</v>
      </c>
      <c r="C32" s="16" t="s">
        <v>151</v>
      </c>
      <c r="D32" s="16" t="s">
        <v>78</v>
      </c>
      <c r="E32" s="16" t="s">
        <v>167</v>
      </c>
      <c r="F32" s="16" t="s">
        <v>166</v>
      </c>
      <c r="G32" s="8">
        <v>4</v>
      </c>
      <c r="H32" s="8">
        <v>0</v>
      </c>
      <c r="I32" s="8">
        <v>324</v>
      </c>
      <c r="J32" s="8">
        <v>324</v>
      </c>
      <c r="K32" s="8">
        <v>0</v>
      </c>
      <c r="L32" s="8">
        <v>0</v>
      </c>
      <c r="M32" s="8">
        <v>0</v>
      </c>
      <c r="N32" s="8">
        <v>0</v>
      </c>
      <c r="O32" s="8">
        <v>0</v>
      </c>
      <c r="P32" s="8">
        <v>0</v>
      </c>
      <c r="Q32" s="8">
        <v>4</v>
      </c>
      <c r="R32" s="8">
        <v>0</v>
      </c>
      <c r="S32" s="16">
        <v>1</v>
      </c>
      <c r="T32" s="16" t="s">
        <v>142</v>
      </c>
      <c r="U32" s="16" t="s">
        <v>168</v>
      </c>
      <c r="V32" s="16" t="s">
        <v>169</v>
      </c>
      <c r="W32" s="16" t="s">
        <v>571</v>
      </c>
      <c r="X32" s="7" t="s">
        <v>571</v>
      </c>
      <c r="Y32" s="16" t="s">
        <v>53</v>
      </c>
      <c r="Z32" s="16" t="s">
        <v>53</v>
      </c>
    </row>
    <row r="33" spans="2:26" ht="15" customHeight="1">
      <c r="B33" s="16" t="s">
        <v>579</v>
      </c>
      <c r="C33" s="16" t="s">
        <v>151</v>
      </c>
      <c r="D33" s="16" t="s">
        <v>73</v>
      </c>
      <c r="E33" s="16" t="s">
        <v>156</v>
      </c>
      <c r="F33" s="16" t="s">
        <v>580</v>
      </c>
      <c r="G33" s="8">
        <v>4</v>
      </c>
      <c r="H33" s="8">
        <v>0</v>
      </c>
      <c r="I33" s="8">
        <v>0</v>
      </c>
      <c r="J33" s="8">
        <v>0</v>
      </c>
      <c r="K33" s="8">
        <v>0</v>
      </c>
      <c r="L33" s="8">
        <v>0</v>
      </c>
      <c r="M33" s="8">
        <v>0</v>
      </c>
      <c r="N33" s="8">
        <v>0</v>
      </c>
      <c r="O33" s="8">
        <v>0</v>
      </c>
      <c r="P33" s="8">
        <v>0</v>
      </c>
      <c r="Q33" s="8">
        <v>4</v>
      </c>
      <c r="R33" s="8">
        <v>0</v>
      </c>
      <c r="S33" s="16">
        <v>3</v>
      </c>
      <c r="T33" s="16"/>
      <c r="U33" s="16" t="s">
        <v>53</v>
      </c>
      <c r="V33" s="16"/>
      <c r="W33" s="16" t="s">
        <v>53</v>
      </c>
      <c r="X33" s="7" t="s">
        <v>53</v>
      </c>
      <c r="Y33" s="16" t="s">
        <v>53</v>
      </c>
      <c r="Z33" s="16" t="s">
        <v>53</v>
      </c>
    </row>
    <row r="34" spans="2:26" ht="15" customHeight="1">
      <c r="B34" s="16" t="s">
        <v>581</v>
      </c>
      <c r="C34" s="16" t="s">
        <v>206</v>
      </c>
      <c r="D34" s="16" t="s">
        <v>64</v>
      </c>
      <c r="E34" s="16" t="s">
        <v>167</v>
      </c>
      <c r="F34" s="16" t="s">
        <v>582</v>
      </c>
      <c r="G34" s="8">
        <v>4</v>
      </c>
      <c r="H34" s="8">
        <v>12</v>
      </c>
      <c r="I34" s="8">
        <v>150</v>
      </c>
      <c r="J34" s="8">
        <v>1488458</v>
      </c>
      <c r="K34" s="8">
        <v>0</v>
      </c>
      <c r="L34" s="8">
        <v>1</v>
      </c>
      <c r="M34" s="8">
        <v>1</v>
      </c>
      <c r="N34" s="8">
        <v>0</v>
      </c>
      <c r="O34" s="8">
        <v>0</v>
      </c>
      <c r="P34" s="8">
        <v>2</v>
      </c>
      <c r="Q34" s="8">
        <v>2</v>
      </c>
      <c r="R34" s="8">
        <v>0</v>
      </c>
      <c r="S34" s="16">
        <v>4</v>
      </c>
      <c r="T34" s="16"/>
      <c r="U34" s="16" t="s">
        <v>53</v>
      </c>
      <c r="V34" s="16"/>
      <c r="W34" s="16" t="s">
        <v>574</v>
      </c>
      <c r="X34" s="7" t="s">
        <v>574</v>
      </c>
      <c r="Y34" s="16" t="s">
        <v>583</v>
      </c>
      <c r="Z34" s="16" t="s">
        <v>53</v>
      </c>
    </row>
    <row r="35" spans="2:26" ht="15" customHeight="1">
      <c r="B35" s="16" t="s">
        <v>584</v>
      </c>
      <c r="C35" s="16" t="s">
        <v>151</v>
      </c>
      <c r="D35" s="16" t="s">
        <v>64</v>
      </c>
      <c r="E35" s="16" t="s">
        <v>167</v>
      </c>
      <c r="F35" s="16" t="s">
        <v>585</v>
      </c>
      <c r="G35" s="8">
        <v>4</v>
      </c>
      <c r="H35" s="8">
        <v>8</v>
      </c>
      <c r="I35" s="8">
        <v>0</v>
      </c>
      <c r="J35" s="8">
        <v>608903</v>
      </c>
      <c r="K35" s="8">
        <v>0</v>
      </c>
      <c r="L35" s="8">
        <v>2</v>
      </c>
      <c r="M35" s="8">
        <v>2</v>
      </c>
      <c r="N35" s="8">
        <v>0</v>
      </c>
      <c r="O35" s="8">
        <v>0</v>
      </c>
      <c r="P35" s="8">
        <v>0</v>
      </c>
      <c r="Q35" s="8">
        <v>4</v>
      </c>
      <c r="R35" s="8">
        <v>0</v>
      </c>
      <c r="S35" s="16">
        <v>4</v>
      </c>
      <c r="T35" s="16"/>
      <c r="U35" s="16" t="s">
        <v>53</v>
      </c>
      <c r="V35" s="16"/>
      <c r="W35" s="16" t="s">
        <v>574</v>
      </c>
      <c r="X35" s="7" t="s">
        <v>574</v>
      </c>
      <c r="Y35" s="16" t="s">
        <v>53</v>
      </c>
      <c r="Z35" s="16" t="s">
        <v>53</v>
      </c>
    </row>
    <row r="36" spans="2:26" ht="15" customHeight="1">
      <c r="B36" s="16" t="s">
        <v>586</v>
      </c>
      <c r="C36" s="16" t="s">
        <v>151</v>
      </c>
      <c r="D36" s="16" t="s">
        <v>64</v>
      </c>
      <c r="E36" s="16" t="s">
        <v>167</v>
      </c>
      <c r="F36" s="16" t="s">
        <v>587</v>
      </c>
      <c r="G36" s="8">
        <v>4</v>
      </c>
      <c r="H36" s="8">
        <v>7</v>
      </c>
      <c r="I36" s="8">
        <v>0</v>
      </c>
      <c r="J36" s="8">
        <v>1098752</v>
      </c>
      <c r="K36" s="8">
        <v>0</v>
      </c>
      <c r="L36" s="8">
        <v>0</v>
      </c>
      <c r="M36" s="8">
        <v>0</v>
      </c>
      <c r="N36" s="8">
        <v>0</v>
      </c>
      <c r="O36" s="8">
        <v>0</v>
      </c>
      <c r="P36" s="8">
        <v>1</v>
      </c>
      <c r="Q36" s="8">
        <v>3</v>
      </c>
      <c r="R36" s="8">
        <v>0</v>
      </c>
      <c r="S36" s="16">
        <v>4</v>
      </c>
      <c r="T36" s="16"/>
      <c r="U36" s="16" t="s">
        <v>53</v>
      </c>
      <c r="V36" s="16"/>
      <c r="W36" s="16" t="s">
        <v>53</v>
      </c>
      <c r="X36" s="7" t="s">
        <v>53</v>
      </c>
      <c r="Y36" s="16" t="s">
        <v>53</v>
      </c>
      <c r="Z36" s="16" t="s">
        <v>53</v>
      </c>
    </row>
    <row r="37" spans="2:26" ht="15" customHeight="1">
      <c r="B37" s="16" t="s">
        <v>588</v>
      </c>
      <c r="C37" s="16" t="s">
        <v>123</v>
      </c>
      <c r="D37" s="16" t="s">
        <v>64</v>
      </c>
      <c r="E37" s="16" t="s">
        <v>167</v>
      </c>
      <c r="F37" s="16" t="s">
        <v>589</v>
      </c>
      <c r="G37" s="8">
        <v>3</v>
      </c>
      <c r="H37" s="8">
        <v>6</v>
      </c>
      <c r="I37" s="8">
        <v>3</v>
      </c>
      <c r="J37" s="8">
        <v>83628</v>
      </c>
      <c r="K37" s="8">
        <v>0</v>
      </c>
      <c r="L37" s="8">
        <v>6</v>
      </c>
      <c r="M37" s="8">
        <v>6</v>
      </c>
      <c r="N37" s="8">
        <v>0</v>
      </c>
      <c r="O37" s="8">
        <v>0</v>
      </c>
      <c r="P37" s="8">
        <v>2</v>
      </c>
      <c r="Q37" s="8">
        <v>1</v>
      </c>
      <c r="R37" s="8">
        <v>0</v>
      </c>
      <c r="S37" s="16">
        <v>3</v>
      </c>
      <c r="T37" s="16" t="s">
        <v>142</v>
      </c>
      <c r="U37" s="16" t="s">
        <v>168</v>
      </c>
      <c r="V37" s="16" t="s">
        <v>169</v>
      </c>
      <c r="W37" s="16" t="s">
        <v>574</v>
      </c>
      <c r="X37" s="7" t="s">
        <v>574</v>
      </c>
      <c r="Y37" s="16" t="s">
        <v>53</v>
      </c>
      <c r="Z37" s="16" t="s">
        <v>53</v>
      </c>
    </row>
    <row r="38" spans="2:26" ht="15" customHeight="1">
      <c r="B38" s="16" t="s">
        <v>590</v>
      </c>
      <c r="C38" s="16" t="s">
        <v>276</v>
      </c>
      <c r="D38" s="16" t="s">
        <v>64</v>
      </c>
      <c r="E38" s="16" t="s">
        <v>167</v>
      </c>
      <c r="F38" s="16" t="s">
        <v>591</v>
      </c>
      <c r="G38" s="8">
        <v>3</v>
      </c>
      <c r="H38" s="8">
        <v>7</v>
      </c>
      <c r="I38" s="8">
        <v>0</v>
      </c>
      <c r="J38" s="8">
        <v>214757</v>
      </c>
      <c r="K38" s="8">
        <v>0</v>
      </c>
      <c r="L38" s="8">
        <v>7</v>
      </c>
      <c r="M38" s="8">
        <v>7</v>
      </c>
      <c r="N38" s="8">
        <v>0</v>
      </c>
      <c r="O38" s="8">
        <v>0</v>
      </c>
      <c r="P38" s="8">
        <v>3</v>
      </c>
      <c r="Q38" s="8">
        <v>0</v>
      </c>
      <c r="R38" s="8">
        <v>0</v>
      </c>
      <c r="S38" s="16">
        <v>3</v>
      </c>
      <c r="T38" s="16" t="s">
        <v>142</v>
      </c>
      <c r="U38" s="16" t="s">
        <v>53</v>
      </c>
      <c r="V38" s="16"/>
      <c r="W38" s="16" t="s">
        <v>574</v>
      </c>
      <c r="X38" s="7" t="s">
        <v>574</v>
      </c>
      <c r="Y38" s="16" t="s">
        <v>53</v>
      </c>
      <c r="Z38" s="16" t="s">
        <v>53</v>
      </c>
    </row>
    <row r="39" spans="2:26" ht="15" customHeight="1">
      <c r="B39" s="16" t="s">
        <v>592</v>
      </c>
      <c r="C39" s="16" t="s">
        <v>206</v>
      </c>
      <c r="D39" s="16" t="s">
        <v>64</v>
      </c>
      <c r="E39" s="16" t="s">
        <v>167</v>
      </c>
      <c r="F39" s="16" t="s">
        <v>593</v>
      </c>
      <c r="G39" s="8">
        <v>3</v>
      </c>
      <c r="H39" s="8">
        <v>5</v>
      </c>
      <c r="I39" s="8">
        <v>0</v>
      </c>
      <c r="J39" s="8">
        <v>85885</v>
      </c>
      <c r="K39" s="8">
        <v>0</v>
      </c>
      <c r="L39" s="8">
        <v>0</v>
      </c>
      <c r="M39" s="8">
        <v>0</v>
      </c>
      <c r="N39" s="8">
        <v>0</v>
      </c>
      <c r="O39" s="8">
        <v>0</v>
      </c>
      <c r="P39" s="8">
        <v>3</v>
      </c>
      <c r="Q39" s="8">
        <v>0</v>
      </c>
      <c r="R39" s="8">
        <v>0</v>
      </c>
      <c r="S39" s="16">
        <v>3</v>
      </c>
      <c r="T39" s="16"/>
      <c r="U39" s="16" t="s">
        <v>53</v>
      </c>
      <c r="V39" s="16"/>
      <c r="W39" s="16" t="s">
        <v>574</v>
      </c>
      <c r="X39" s="7" t="s">
        <v>574</v>
      </c>
      <c r="Y39" s="16" t="s">
        <v>53</v>
      </c>
      <c r="Z39" s="16" t="s">
        <v>53</v>
      </c>
    </row>
    <row r="40" spans="2:26" ht="15" customHeight="1">
      <c r="B40" s="16" t="s">
        <v>594</v>
      </c>
      <c r="C40" s="16" t="s">
        <v>198</v>
      </c>
      <c r="D40" s="16" t="s">
        <v>64</v>
      </c>
      <c r="E40" s="16" t="s">
        <v>167</v>
      </c>
      <c r="F40" s="16" t="s">
        <v>595</v>
      </c>
      <c r="G40" s="8">
        <v>3</v>
      </c>
      <c r="H40" s="8">
        <v>9</v>
      </c>
      <c r="I40" s="8">
        <v>0</v>
      </c>
      <c r="J40" s="8">
        <v>1396726</v>
      </c>
      <c r="K40" s="8">
        <v>0</v>
      </c>
      <c r="L40" s="8">
        <v>0</v>
      </c>
      <c r="M40" s="8">
        <v>0</v>
      </c>
      <c r="N40" s="8">
        <v>0</v>
      </c>
      <c r="O40" s="8">
        <v>0</v>
      </c>
      <c r="P40" s="8">
        <v>3</v>
      </c>
      <c r="Q40" s="8">
        <v>0</v>
      </c>
      <c r="R40" s="8">
        <v>0</v>
      </c>
      <c r="S40" s="16">
        <v>3</v>
      </c>
      <c r="T40" s="16"/>
      <c r="U40" s="16" t="s">
        <v>53</v>
      </c>
      <c r="V40" s="16"/>
      <c r="W40" s="16" t="s">
        <v>574</v>
      </c>
      <c r="X40" s="7" t="s">
        <v>574</v>
      </c>
      <c r="Y40" s="16" t="s">
        <v>53</v>
      </c>
      <c r="Z40" s="16" t="s">
        <v>53</v>
      </c>
    </row>
    <row r="41" spans="2:26" ht="15" customHeight="1">
      <c r="B41" s="16" t="s">
        <v>596</v>
      </c>
      <c r="C41" s="16" t="s">
        <v>123</v>
      </c>
      <c r="D41" s="16" t="s">
        <v>64</v>
      </c>
      <c r="E41" s="16" t="s">
        <v>167</v>
      </c>
      <c r="F41" s="16" t="s">
        <v>597</v>
      </c>
      <c r="G41" s="8">
        <v>3</v>
      </c>
      <c r="H41" s="8">
        <v>7</v>
      </c>
      <c r="I41" s="8">
        <v>0</v>
      </c>
      <c r="J41" s="8">
        <v>137829</v>
      </c>
      <c r="K41" s="8">
        <v>0</v>
      </c>
      <c r="L41" s="8">
        <v>1</v>
      </c>
      <c r="M41" s="8">
        <v>1</v>
      </c>
      <c r="N41" s="8">
        <v>0</v>
      </c>
      <c r="O41" s="8">
        <v>0</v>
      </c>
      <c r="P41" s="8">
        <v>0</v>
      </c>
      <c r="Q41" s="8">
        <v>3</v>
      </c>
      <c r="R41" s="8">
        <v>0</v>
      </c>
      <c r="S41" s="16">
        <v>3</v>
      </c>
      <c r="T41" s="16"/>
      <c r="U41" s="16" t="s">
        <v>53</v>
      </c>
      <c r="V41" s="16"/>
      <c r="W41" s="16" t="s">
        <v>574</v>
      </c>
      <c r="X41" s="7" t="s">
        <v>574</v>
      </c>
      <c r="Y41" s="16" t="s">
        <v>53</v>
      </c>
      <c r="Z41" s="16" t="s">
        <v>53</v>
      </c>
    </row>
    <row r="42" spans="2:26" ht="15" customHeight="1">
      <c r="B42" s="16" t="s">
        <v>598</v>
      </c>
      <c r="C42" s="16" t="s">
        <v>198</v>
      </c>
      <c r="D42" s="16" t="s">
        <v>64</v>
      </c>
      <c r="E42" s="16" t="s">
        <v>167</v>
      </c>
      <c r="F42" s="16" t="s">
        <v>599</v>
      </c>
      <c r="G42" s="8">
        <v>3</v>
      </c>
      <c r="H42" s="8">
        <v>6</v>
      </c>
      <c r="I42" s="8">
        <v>0</v>
      </c>
      <c r="J42" s="8">
        <v>254406</v>
      </c>
      <c r="K42" s="8">
        <v>0</v>
      </c>
      <c r="L42" s="8">
        <v>1</v>
      </c>
      <c r="M42" s="8">
        <v>1</v>
      </c>
      <c r="N42" s="8">
        <v>0</v>
      </c>
      <c r="O42" s="8">
        <v>0</v>
      </c>
      <c r="P42" s="8">
        <v>0</v>
      </c>
      <c r="Q42" s="8">
        <v>3</v>
      </c>
      <c r="R42" s="8">
        <v>0</v>
      </c>
      <c r="S42" s="16">
        <v>3</v>
      </c>
      <c r="T42" s="16"/>
      <c r="U42" s="16" t="s">
        <v>53</v>
      </c>
      <c r="V42" s="16"/>
      <c r="W42" s="16" t="s">
        <v>574</v>
      </c>
      <c r="X42" s="7" t="s">
        <v>574</v>
      </c>
      <c r="Y42" s="16" t="s">
        <v>53</v>
      </c>
      <c r="Z42" s="16" t="s">
        <v>53</v>
      </c>
    </row>
    <row r="43" spans="2:26" ht="15" customHeight="1">
      <c r="B43" s="16" t="s">
        <v>600</v>
      </c>
      <c r="C43" s="16" t="s">
        <v>151</v>
      </c>
      <c r="D43" s="16" t="s">
        <v>64</v>
      </c>
      <c r="E43" s="16" t="s">
        <v>167</v>
      </c>
      <c r="F43" s="16" t="s">
        <v>601</v>
      </c>
      <c r="G43" s="8">
        <v>2</v>
      </c>
      <c r="H43" s="8">
        <v>2</v>
      </c>
      <c r="I43" s="8">
        <v>4</v>
      </c>
      <c r="J43" s="8">
        <v>22579</v>
      </c>
      <c r="K43" s="8">
        <v>0</v>
      </c>
      <c r="L43" s="8">
        <v>6</v>
      </c>
      <c r="M43" s="8">
        <v>6</v>
      </c>
      <c r="N43" s="8">
        <v>0</v>
      </c>
      <c r="O43" s="8">
        <v>0</v>
      </c>
      <c r="P43" s="8">
        <v>2</v>
      </c>
      <c r="Q43" s="8">
        <v>0</v>
      </c>
      <c r="R43" s="8">
        <v>0</v>
      </c>
      <c r="S43" s="16">
        <v>2</v>
      </c>
      <c r="T43" s="16" t="s">
        <v>142</v>
      </c>
      <c r="U43" s="16" t="s">
        <v>53</v>
      </c>
      <c r="V43" s="16"/>
      <c r="W43" s="16" t="s">
        <v>574</v>
      </c>
      <c r="X43" s="7" t="s">
        <v>574</v>
      </c>
      <c r="Y43" s="16" t="s">
        <v>53</v>
      </c>
      <c r="Z43" s="16" t="s">
        <v>53</v>
      </c>
    </row>
    <row r="44" spans="2:26" ht="15" customHeight="1">
      <c r="B44" s="16" t="s">
        <v>602</v>
      </c>
      <c r="C44" s="16" t="s">
        <v>151</v>
      </c>
      <c r="D44" s="16" t="s">
        <v>64</v>
      </c>
      <c r="E44" s="16" t="s">
        <v>167</v>
      </c>
      <c r="F44" s="16" t="s">
        <v>603</v>
      </c>
      <c r="G44" s="8">
        <v>2</v>
      </c>
      <c r="H44" s="8">
        <v>2</v>
      </c>
      <c r="I44" s="8">
        <v>95</v>
      </c>
      <c r="J44" s="8">
        <v>7454</v>
      </c>
      <c r="K44" s="8">
        <v>0</v>
      </c>
      <c r="L44" s="8">
        <v>0</v>
      </c>
      <c r="M44" s="8">
        <v>0</v>
      </c>
      <c r="N44" s="8">
        <v>0</v>
      </c>
      <c r="O44" s="8">
        <v>0</v>
      </c>
      <c r="P44" s="8">
        <v>0</v>
      </c>
      <c r="Q44" s="8">
        <v>2</v>
      </c>
      <c r="R44" s="8">
        <v>0</v>
      </c>
      <c r="S44" s="16">
        <v>1</v>
      </c>
      <c r="T44" s="16"/>
      <c r="U44" s="16" t="s">
        <v>53</v>
      </c>
      <c r="V44" s="16"/>
      <c r="W44" s="16" t="s">
        <v>574</v>
      </c>
      <c r="X44" s="7" t="s">
        <v>574</v>
      </c>
      <c r="Y44" s="16" t="s">
        <v>53</v>
      </c>
      <c r="Z44" s="16" t="s">
        <v>53</v>
      </c>
    </row>
    <row r="45" spans="2:26" ht="15" customHeight="1">
      <c r="B45" s="16" t="s">
        <v>604</v>
      </c>
      <c r="C45" s="16" t="s">
        <v>151</v>
      </c>
      <c r="D45" s="16" t="s">
        <v>70</v>
      </c>
      <c r="E45" s="16" t="s">
        <v>156</v>
      </c>
      <c r="F45" s="16" t="s">
        <v>605</v>
      </c>
      <c r="G45" s="8">
        <v>2</v>
      </c>
      <c r="H45" s="8">
        <v>0</v>
      </c>
      <c r="I45" s="8">
        <v>0</v>
      </c>
      <c r="J45" s="8">
        <v>10565</v>
      </c>
      <c r="K45" s="8">
        <v>0</v>
      </c>
      <c r="L45" s="8">
        <v>0</v>
      </c>
      <c r="M45" s="8">
        <v>0</v>
      </c>
      <c r="N45" s="8">
        <v>0</v>
      </c>
      <c r="O45" s="8">
        <v>0</v>
      </c>
      <c r="P45" s="8">
        <v>0</v>
      </c>
      <c r="Q45" s="8">
        <v>1</v>
      </c>
      <c r="R45" s="8">
        <v>1</v>
      </c>
      <c r="S45" s="16">
        <v>1</v>
      </c>
      <c r="T45" s="16"/>
      <c r="U45" s="16" t="s">
        <v>53</v>
      </c>
      <c r="V45" s="16"/>
      <c r="W45" s="16" t="s">
        <v>574</v>
      </c>
      <c r="X45" s="7" t="s">
        <v>574</v>
      </c>
      <c r="Y45" s="16" t="s">
        <v>53</v>
      </c>
      <c r="Z45" s="16" t="s">
        <v>53</v>
      </c>
    </row>
    <row r="46" spans="2:26" ht="15" customHeight="1">
      <c r="B46" s="16" t="s">
        <v>606</v>
      </c>
      <c r="C46" s="16" t="s">
        <v>123</v>
      </c>
      <c r="D46" s="16" t="s">
        <v>64</v>
      </c>
      <c r="E46" s="16" t="s">
        <v>167</v>
      </c>
      <c r="F46" s="16" t="s">
        <v>607</v>
      </c>
      <c r="G46" s="8">
        <v>2</v>
      </c>
      <c r="H46" s="8">
        <v>4</v>
      </c>
      <c r="I46" s="8">
        <v>25</v>
      </c>
      <c r="J46" s="8">
        <v>58527</v>
      </c>
      <c r="K46" s="8">
        <v>0</v>
      </c>
      <c r="L46" s="8">
        <v>0</v>
      </c>
      <c r="M46" s="8">
        <v>0</v>
      </c>
      <c r="N46" s="8">
        <v>0</v>
      </c>
      <c r="O46" s="8">
        <v>0</v>
      </c>
      <c r="P46" s="8">
        <v>1</v>
      </c>
      <c r="Q46" s="8">
        <v>1</v>
      </c>
      <c r="R46" s="8">
        <v>0</v>
      </c>
      <c r="S46" s="16">
        <v>2</v>
      </c>
      <c r="T46" s="16" t="s">
        <v>142</v>
      </c>
      <c r="U46" s="16" t="s">
        <v>212</v>
      </c>
      <c r="V46" s="16" t="s">
        <v>213</v>
      </c>
      <c r="W46" s="16" t="s">
        <v>574</v>
      </c>
      <c r="X46" s="7" t="s">
        <v>574</v>
      </c>
      <c r="Y46" s="16" t="s">
        <v>53</v>
      </c>
      <c r="Z46" s="16" t="s">
        <v>53</v>
      </c>
    </row>
    <row r="47" spans="2:26" ht="15" customHeight="1">
      <c r="B47" s="16" t="s">
        <v>608</v>
      </c>
      <c r="C47" s="16" t="s">
        <v>151</v>
      </c>
      <c r="D47" s="16" t="s">
        <v>73</v>
      </c>
      <c r="E47" s="16" t="s">
        <v>156</v>
      </c>
      <c r="F47" s="16" t="s">
        <v>609</v>
      </c>
      <c r="G47" s="8">
        <v>2</v>
      </c>
      <c r="H47" s="8">
        <v>0</v>
      </c>
      <c r="I47" s="8">
        <v>0</v>
      </c>
      <c r="J47" s="8">
        <v>0</v>
      </c>
      <c r="K47" s="8">
        <v>0</v>
      </c>
      <c r="L47" s="8">
        <v>0</v>
      </c>
      <c r="M47" s="8">
        <v>0</v>
      </c>
      <c r="N47" s="8">
        <v>0</v>
      </c>
      <c r="O47" s="8">
        <v>0</v>
      </c>
      <c r="P47" s="8">
        <v>0</v>
      </c>
      <c r="Q47" s="8">
        <v>2</v>
      </c>
      <c r="R47" s="8">
        <v>0</v>
      </c>
      <c r="S47" s="16">
        <v>1</v>
      </c>
      <c r="T47" s="16"/>
      <c r="U47" s="16" t="s">
        <v>53</v>
      </c>
      <c r="V47" s="16"/>
      <c r="W47" s="16" t="s">
        <v>574</v>
      </c>
      <c r="X47" s="7" t="s">
        <v>574</v>
      </c>
      <c r="Y47" s="16" t="s">
        <v>53</v>
      </c>
      <c r="Z47" s="16" t="s">
        <v>53</v>
      </c>
    </row>
    <row r="48" spans="2:26" ht="15" customHeight="1">
      <c r="B48" s="16" t="s">
        <v>610</v>
      </c>
      <c r="C48" s="16" t="s">
        <v>151</v>
      </c>
      <c r="D48" s="16" t="s">
        <v>64</v>
      </c>
      <c r="E48" s="16" t="s">
        <v>167</v>
      </c>
      <c r="F48" s="16" t="s">
        <v>611</v>
      </c>
      <c r="G48" s="8">
        <v>2</v>
      </c>
      <c r="H48" s="8">
        <v>3</v>
      </c>
      <c r="I48" s="8">
        <v>0</v>
      </c>
      <c r="J48" s="8">
        <v>35449</v>
      </c>
      <c r="K48" s="8">
        <v>0</v>
      </c>
      <c r="L48" s="8">
        <v>6</v>
      </c>
      <c r="M48" s="8">
        <v>6</v>
      </c>
      <c r="N48" s="8">
        <v>0</v>
      </c>
      <c r="O48" s="8">
        <v>0</v>
      </c>
      <c r="P48" s="8">
        <v>2</v>
      </c>
      <c r="Q48" s="8">
        <v>0</v>
      </c>
      <c r="R48" s="8">
        <v>0</v>
      </c>
      <c r="S48" s="16">
        <v>2</v>
      </c>
      <c r="T48" s="16" t="s">
        <v>142</v>
      </c>
      <c r="U48" s="16" t="s">
        <v>168</v>
      </c>
      <c r="V48" s="16" t="s">
        <v>169</v>
      </c>
      <c r="W48" s="16" t="s">
        <v>574</v>
      </c>
      <c r="X48" s="7" t="s">
        <v>574</v>
      </c>
      <c r="Y48" s="16" t="s">
        <v>53</v>
      </c>
      <c r="Z48" s="16" t="s">
        <v>53</v>
      </c>
    </row>
    <row r="49" spans="2:26" ht="15" customHeight="1">
      <c r="B49" s="16" t="s">
        <v>612</v>
      </c>
      <c r="C49" s="16" t="s">
        <v>151</v>
      </c>
      <c r="D49" s="16" t="s">
        <v>64</v>
      </c>
      <c r="E49" s="16" t="s">
        <v>167</v>
      </c>
      <c r="F49" s="16" t="s">
        <v>613</v>
      </c>
      <c r="G49" s="8">
        <v>2</v>
      </c>
      <c r="H49" s="8">
        <v>6</v>
      </c>
      <c r="I49" s="8">
        <v>1</v>
      </c>
      <c r="J49" s="8">
        <v>38117</v>
      </c>
      <c r="K49" s="8">
        <v>0</v>
      </c>
      <c r="L49" s="8">
        <v>0</v>
      </c>
      <c r="M49" s="8">
        <v>0</v>
      </c>
      <c r="N49" s="8">
        <v>0</v>
      </c>
      <c r="O49" s="8">
        <v>0</v>
      </c>
      <c r="P49" s="8">
        <v>2</v>
      </c>
      <c r="Q49" s="8">
        <v>0</v>
      </c>
      <c r="R49" s="8">
        <v>0</v>
      </c>
      <c r="S49" s="16">
        <v>2</v>
      </c>
      <c r="T49" s="16"/>
      <c r="U49" s="16" t="s">
        <v>53</v>
      </c>
      <c r="V49" s="16"/>
      <c r="W49" s="16" t="s">
        <v>574</v>
      </c>
      <c r="X49" s="7" t="s">
        <v>574</v>
      </c>
      <c r="Y49" s="16" t="s">
        <v>53</v>
      </c>
      <c r="Z49" s="16" t="s">
        <v>53</v>
      </c>
    </row>
    <row r="50" spans="2:26" ht="15" customHeight="1">
      <c r="B50" s="16" t="s">
        <v>173</v>
      </c>
      <c r="C50" s="16" t="s">
        <v>151</v>
      </c>
      <c r="D50" s="16" t="s">
        <v>76</v>
      </c>
      <c r="E50" s="16" t="s">
        <v>167</v>
      </c>
      <c r="F50" s="16" t="s">
        <v>174</v>
      </c>
      <c r="G50" s="8">
        <v>2</v>
      </c>
      <c r="H50" s="8">
        <v>0</v>
      </c>
      <c r="I50" s="8">
        <v>311</v>
      </c>
      <c r="J50" s="8">
        <v>311</v>
      </c>
      <c r="K50" s="8">
        <v>1674</v>
      </c>
      <c r="L50" s="8">
        <v>23</v>
      </c>
      <c r="M50" s="8">
        <v>0</v>
      </c>
      <c r="N50" s="8">
        <v>23</v>
      </c>
      <c r="O50" s="8">
        <v>0</v>
      </c>
      <c r="P50" s="8">
        <v>0</v>
      </c>
      <c r="Q50" s="8">
        <v>2</v>
      </c>
      <c r="R50" s="8">
        <v>0</v>
      </c>
      <c r="S50" s="16">
        <v>1</v>
      </c>
      <c r="T50" s="16"/>
      <c r="U50" s="16" t="s">
        <v>53</v>
      </c>
      <c r="V50" s="16"/>
      <c r="W50" s="16" t="s">
        <v>53</v>
      </c>
      <c r="X50" s="7" t="s">
        <v>53</v>
      </c>
      <c r="Y50" s="16" t="s">
        <v>53</v>
      </c>
      <c r="Z50" s="16" t="s">
        <v>53</v>
      </c>
    </row>
    <row r="51" spans="2:26" ht="15" customHeight="1">
      <c r="B51" s="16" t="s">
        <v>614</v>
      </c>
      <c r="C51" s="16" t="s">
        <v>151</v>
      </c>
      <c r="D51" s="16" t="s">
        <v>64</v>
      </c>
      <c r="E51" s="16" t="s">
        <v>167</v>
      </c>
      <c r="F51" s="16" t="s">
        <v>615</v>
      </c>
      <c r="G51" s="8">
        <v>2</v>
      </c>
      <c r="H51" s="8">
        <v>3</v>
      </c>
      <c r="I51" s="8">
        <v>0</v>
      </c>
      <c r="J51" s="8">
        <v>44211</v>
      </c>
      <c r="K51" s="8">
        <v>0</v>
      </c>
      <c r="L51" s="8">
        <v>4</v>
      </c>
      <c r="M51" s="8">
        <v>4</v>
      </c>
      <c r="N51" s="8">
        <v>0</v>
      </c>
      <c r="O51" s="8">
        <v>0</v>
      </c>
      <c r="P51" s="8">
        <v>2</v>
      </c>
      <c r="Q51" s="8">
        <v>0</v>
      </c>
      <c r="R51" s="8">
        <v>0</v>
      </c>
      <c r="S51" s="16">
        <v>2</v>
      </c>
      <c r="T51" s="16"/>
      <c r="U51" s="16" t="s">
        <v>53</v>
      </c>
      <c r="V51" s="16"/>
      <c r="W51" s="16" t="s">
        <v>574</v>
      </c>
      <c r="X51" s="7" t="s">
        <v>574</v>
      </c>
      <c r="Y51" s="16" t="s">
        <v>53</v>
      </c>
      <c r="Z51" s="16" t="s">
        <v>53</v>
      </c>
    </row>
    <row r="52" spans="2:26" ht="15" customHeight="1">
      <c r="B52" s="16" t="s">
        <v>616</v>
      </c>
      <c r="C52" s="16" t="s">
        <v>252</v>
      </c>
      <c r="D52" s="16" t="s">
        <v>64</v>
      </c>
      <c r="E52" s="16" t="s">
        <v>167</v>
      </c>
      <c r="F52" s="16" t="s">
        <v>617</v>
      </c>
      <c r="G52" s="8">
        <v>2</v>
      </c>
      <c r="H52" s="8">
        <v>14</v>
      </c>
      <c r="I52" s="8">
        <v>204</v>
      </c>
      <c r="J52" s="8">
        <v>289001</v>
      </c>
      <c r="K52" s="8">
        <v>0</v>
      </c>
      <c r="L52" s="8">
        <v>0</v>
      </c>
      <c r="M52" s="8">
        <v>0</v>
      </c>
      <c r="N52" s="8">
        <v>0</v>
      </c>
      <c r="O52" s="8">
        <v>0</v>
      </c>
      <c r="P52" s="8">
        <v>0</v>
      </c>
      <c r="Q52" s="8">
        <v>2</v>
      </c>
      <c r="R52" s="8">
        <v>0</v>
      </c>
      <c r="S52" s="16">
        <v>1</v>
      </c>
      <c r="T52" s="16"/>
      <c r="U52" s="16" t="s">
        <v>53</v>
      </c>
      <c r="V52" s="16"/>
      <c r="W52" s="16" t="s">
        <v>574</v>
      </c>
      <c r="X52" s="7" t="s">
        <v>574</v>
      </c>
      <c r="Y52" s="16" t="s">
        <v>53</v>
      </c>
      <c r="Z52" s="16" t="s">
        <v>53</v>
      </c>
    </row>
    <row r="53" spans="2:26" ht="15" customHeight="1">
      <c r="B53" s="16" t="s">
        <v>618</v>
      </c>
      <c r="C53" s="16" t="s">
        <v>206</v>
      </c>
      <c r="D53" s="16" t="s">
        <v>64</v>
      </c>
      <c r="E53" s="16" t="s">
        <v>167</v>
      </c>
      <c r="F53" s="16" t="s">
        <v>619</v>
      </c>
      <c r="G53" s="8">
        <v>2</v>
      </c>
      <c r="H53" s="8">
        <v>3</v>
      </c>
      <c r="I53" s="8">
        <v>0</v>
      </c>
      <c r="J53" s="8">
        <v>46855</v>
      </c>
      <c r="K53" s="8">
        <v>0</v>
      </c>
      <c r="L53" s="8">
        <v>2</v>
      </c>
      <c r="M53" s="8">
        <v>2</v>
      </c>
      <c r="N53" s="8">
        <v>0</v>
      </c>
      <c r="O53" s="8">
        <v>0</v>
      </c>
      <c r="P53" s="8">
        <v>2</v>
      </c>
      <c r="Q53" s="8">
        <v>0</v>
      </c>
      <c r="R53" s="8">
        <v>0</v>
      </c>
      <c r="S53" s="16">
        <v>2</v>
      </c>
      <c r="T53" s="16"/>
      <c r="U53" s="16" t="s">
        <v>53</v>
      </c>
      <c r="V53" s="16"/>
      <c r="W53" s="16" t="s">
        <v>574</v>
      </c>
      <c r="X53" s="7" t="s">
        <v>574</v>
      </c>
      <c r="Y53" s="16" t="s">
        <v>53</v>
      </c>
      <c r="Z53" s="16" t="s">
        <v>53</v>
      </c>
    </row>
    <row r="54" spans="2:26" ht="15" customHeight="1">
      <c r="B54" s="16" t="s">
        <v>620</v>
      </c>
      <c r="C54" s="16" t="s">
        <v>151</v>
      </c>
      <c r="D54" s="16" t="s">
        <v>67</v>
      </c>
      <c r="E54" s="16" t="s">
        <v>156</v>
      </c>
      <c r="F54" s="16" t="s">
        <v>621</v>
      </c>
      <c r="G54" s="8">
        <v>2</v>
      </c>
      <c r="H54" s="8">
        <v>0</v>
      </c>
      <c r="I54" s="8">
        <v>0</v>
      </c>
      <c r="J54" s="8">
        <v>8389</v>
      </c>
      <c r="K54" s="8">
        <v>0</v>
      </c>
      <c r="L54" s="8">
        <v>0</v>
      </c>
      <c r="M54" s="8">
        <v>0</v>
      </c>
      <c r="N54" s="8">
        <v>0</v>
      </c>
      <c r="O54" s="8">
        <v>0</v>
      </c>
      <c r="P54" s="8">
        <v>2</v>
      </c>
      <c r="Q54" s="8">
        <v>0</v>
      </c>
      <c r="R54" s="8">
        <v>0</v>
      </c>
      <c r="S54" s="16">
        <v>1</v>
      </c>
      <c r="T54" s="16"/>
      <c r="U54" s="16" t="s">
        <v>53</v>
      </c>
      <c r="V54" s="16"/>
      <c r="W54" s="16" t="s">
        <v>53</v>
      </c>
      <c r="X54" s="7" t="s">
        <v>53</v>
      </c>
      <c r="Y54" s="16" t="s">
        <v>53</v>
      </c>
      <c r="Z54" s="16" t="s">
        <v>53</v>
      </c>
    </row>
    <row r="55" spans="2:26" ht="15" customHeight="1">
      <c r="B55" s="16" t="s">
        <v>622</v>
      </c>
      <c r="C55" s="16" t="s">
        <v>151</v>
      </c>
      <c r="D55" s="16" t="s">
        <v>67</v>
      </c>
      <c r="E55" s="16" t="s">
        <v>156</v>
      </c>
      <c r="F55" s="16" t="s">
        <v>623</v>
      </c>
      <c r="G55" s="8">
        <v>2</v>
      </c>
      <c r="H55" s="8">
        <v>0</v>
      </c>
      <c r="I55" s="8">
        <v>0</v>
      </c>
      <c r="J55" s="8">
        <v>248739</v>
      </c>
      <c r="K55" s="8">
        <v>0</v>
      </c>
      <c r="L55" s="8">
        <v>0</v>
      </c>
      <c r="M55" s="8">
        <v>0</v>
      </c>
      <c r="N55" s="8">
        <v>0</v>
      </c>
      <c r="O55" s="8">
        <v>0</v>
      </c>
      <c r="P55" s="8">
        <v>1</v>
      </c>
      <c r="Q55" s="8">
        <v>1</v>
      </c>
      <c r="R55" s="8">
        <v>0</v>
      </c>
      <c r="S55" s="16">
        <v>2</v>
      </c>
      <c r="T55" s="16"/>
      <c r="U55" s="16" t="s">
        <v>53</v>
      </c>
      <c r="V55" s="16"/>
      <c r="W55" s="16" t="s">
        <v>53</v>
      </c>
      <c r="X55" s="7" t="s">
        <v>53</v>
      </c>
      <c r="Y55" s="16" t="s">
        <v>53</v>
      </c>
      <c r="Z55" s="16" t="s">
        <v>53</v>
      </c>
    </row>
    <row r="56" spans="2:26" ht="15" customHeight="1">
      <c r="B56" s="16" t="s">
        <v>624</v>
      </c>
      <c r="C56" s="16" t="s">
        <v>151</v>
      </c>
      <c r="D56" s="16" t="s">
        <v>64</v>
      </c>
      <c r="E56" s="16" t="s">
        <v>167</v>
      </c>
      <c r="F56" s="16" t="s">
        <v>625</v>
      </c>
      <c r="G56" s="8">
        <v>1</v>
      </c>
      <c r="H56" s="8">
        <v>4</v>
      </c>
      <c r="I56" s="8">
        <v>91</v>
      </c>
      <c r="J56" s="8">
        <v>190515</v>
      </c>
      <c r="K56" s="8">
        <v>0</v>
      </c>
      <c r="L56" s="8">
        <v>0</v>
      </c>
      <c r="M56" s="8">
        <v>0</v>
      </c>
      <c r="N56" s="8">
        <v>0</v>
      </c>
      <c r="O56" s="8">
        <v>0</v>
      </c>
      <c r="P56" s="8">
        <v>0</v>
      </c>
      <c r="Q56" s="8">
        <v>1</v>
      </c>
      <c r="R56" s="8">
        <v>0</v>
      </c>
      <c r="S56" s="16">
        <v>1</v>
      </c>
      <c r="T56" s="16" t="s">
        <v>142</v>
      </c>
      <c r="U56" s="16" t="s">
        <v>168</v>
      </c>
      <c r="V56" s="16" t="s">
        <v>169</v>
      </c>
      <c r="W56" s="16" t="s">
        <v>574</v>
      </c>
      <c r="X56" s="7" t="s">
        <v>574</v>
      </c>
      <c r="Y56" s="16" t="s">
        <v>53</v>
      </c>
      <c r="Z56" s="16" t="s">
        <v>53</v>
      </c>
    </row>
    <row r="57" spans="2:26" ht="15" customHeight="1">
      <c r="B57" s="16" t="s">
        <v>626</v>
      </c>
      <c r="C57" s="16" t="s">
        <v>151</v>
      </c>
      <c r="D57" s="16" t="s">
        <v>64</v>
      </c>
      <c r="E57" s="16" t="s">
        <v>167</v>
      </c>
      <c r="F57" s="16" t="s">
        <v>627</v>
      </c>
      <c r="G57" s="8">
        <v>1</v>
      </c>
      <c r="H57" s="8">
        <v>33</v>
      </c>
      <c r="I57" s="8">
        <v>52</v>
      </c>
      <c r="J57" s="8">
        <v>23499</v>
      </c>
      <c r="K57" s="8">
        <v>0</v>
      </c>
      <c r="L57" s="8">
        <v>0</v>
      </c>
      <c r="M57" s="8">
        <v>0</v>
      </c>
      <c r="N57" s="8">
        <v>0</v>
      </c>
      <c r="O57" s="8">
        <v>0</v>
      </c>
      <c r="P57" s="8">
        <v>0</v>
      </c>
      <c r="Q57" s="8">
        <v>1</v>
      </c>
      <c r="R57" s="8">
        <v>0</v>
      </c>
      <c r="S57" s="16">
        <v>1</v>
      </c>
      <c r="T57" s="16" t="s">
        <v>142</v>
      </c>
      <c r="U57" s="16" t="s">
        <v>168</v>
      </c>
      <c r="V57" s="16" t="s">
        <v>169</v>
      </c>
      <c r="W57" s="16" t="s">
        <v>574</v>
      </c>
      <c r="X57" s="7" t="s">
        <v>574</v>
      </c>
      <c r="Y57" s="16" t="s">
        <v>583</v>
      </c>
      <c r="Z57" s="16" t="s">
        <v>522</v>
      </c>
    </row>
    <row r="58" spans="2:26" ht="15" customHeight="1">
      <c r="B58" s="16" t="s">
        <v>284</v>
      </c>
      <c r="C58" s="16" t="s">
        <v>151</v>
      </c>
      <c r="D58" s="16" t="s">
        <v>64</v>
      </c>
      <c r="E58" s="16" t="s">
        <v>153</v>
      </c>
      <c r="F58" s="16" t="s">
        <v>285</v>
      </c>
      <c r="G58" s="8">
        <v>1</v>
      </c>
      <c r="H58" s="8">
        <v>0</v>
      </c>
      <c r="I58" s="8">
        <v>8765</v>
      </c>
      <c r="J58" s="8">
        <v>8765</v>
      </c>
      <c r="K58" s="8">
        <v>60</v>
      </c>
      <c r="L58" s="8">
        <v>0</v>
      </c>
      <c r="M58" s="8">
        <v>0</v>
      </c>
      <c r="N58" s="8">
        <v>0</v>
      </c>
      <c r="O58" s="8">
        <v>0</v>
      </c>
      <c r="P58" s="8">
        <v>0</v>
      </c>
      <c r="Q58" s="8">
        <v>0</v>
      </c>
      <c r="R58" s="8">
        <v>1</v>
      </c>
      <c r="S58" s="16">
        <v>1</v>
      </c>
      <c r="T58" s="16"/>
      <c r="U58" s="16" t="s">
        <v>53</v>
      </c>
      <c r="V58" s="16"/>
      <c r="W58" s="16" t="s">
        <v>53</v>
      </c>
      <c r="X58" s="7" t="s">
        <v>53</v>
      </c>
      <c r="Y58" s="16" t="s">
        <v>53</v>
      </c>
      <c r="Z58" s="16" t="s">
        <v>53</v>
      </c>
    </row>
    <row r="59" spans="2:26" ht="15" customHeight="1">
      <c r="B59" s="16" t="s">
        <v>286</v>
      </c>
      <c r="C59" s="16" t="s">
        <v>151</v>
      </c>
      <c r="D59" s="16" t="s">
        <v>64</v>
      </c>
      <c r="E59" s="16" t="s">
        <v>153</v>
      </c>
      <c r="F59" s="16" t="s">
        <v>287</v>
      </c>
      <c r="G59" s="8">
        <v>1</v>
      </c>
      <c r="H59" s="8">
        <v>0</v>
      </c>
      <c r="I59" s="8">
        <v>18225</v>
      </c>
      <c r="J59" s="8">
        <v>18225</v>
      </c>
      <c r="K59" s="8">
        <v>1355</v>
      </c>
      <c r="L59" s="8">
        <v>3</v>
      </c>
      <c r="M59" s="8">
        <v>0</v>
      </c>
      <c r="N59" s="8">
        <v>0</v>
      </c>
      <c r="O59" s="8">
        <v>3</v>
      </c>
      <c r="P59" s="8">
        <v>0</v>
      </c>
      <c r="Q59" s="8">
        <v>0</v>
      </c>
      <c r="R59" s="8">
        <v>1</v>
      </c>
      <c r="S59" s="16">
        <v>1</v>
      </c>
      <c r="T59" s="16"/>
      <c r="U59" s="16" t="s">
        <v>53</v>
      </c>
      <c r="V59" s="16"/>
      <c r="W59" s="16" t="s">
        <v>53</v>
      </c>
      <c r="X59" s="7" t="s">
        <v>53</v>
      </c>
      <c r="Y59" s="16" t="s">
        <v>53</v>
      </c>
      <c r="Z59" s="16" t="s">
        <v>53</v>
      </c>
    </row>
    <row r="60" spans="2:26" ht="15" customHeight="1">
      <c r="B60" s="16" t="s">
        <v>301</v>
      </c>
      <c r="C60" s="16" t="s">
        <v>302</v>
      </c>
      <c r="D60" s="16" t="s">
        <v>88</v>
      </c>
      <c r="E60" s="16" t="s">
        <v>156</v>
      </c>
      <c r="F60" s="16" t="s">
        <v>303</v>
      </c>
      <c r="G60" s="8">
        <v>1</v>
      </c>
      <c r="H60" s="8">
        <v>124</v>
      </c>
      <c r="I60" s="8">
        <v>115000</v>
      </c>
      <c r="J60" s="8">
        <v>115000</v>
      </c>
      <c r="K60" s="8">
        <v>154</v>
      </c>
      <c r="L60" s="8">
        <v>6</v>
      </c>
      <c r="M60" s="8">
        <v>5</v>
      </c>
      <c r="N60" s="8">
        <v>1</v>
      </c>
      <c r="O60" s="8">
        <v>0</v>
      </c>
      <c r="P60" s="8">
        <v>0</v>
      </c>
      <c r="Q60" s="8">
        <v>1</v>
      </c>
      <c r="R60" s="8">
        <v>0</v>
      </c>
      <c r="S60" s="16">
        <v>1</v>
      </c>
      <c r="T60" s="16" t="s">
        <v>142</v>
      </c>
      <c r="U60" s="16" t="s">
        <v>53</v>
      </c>
      <c r="V60" s="16"/>
      <c r="W60" s="16" t="s">
        <v>53</v>
      </c>
      <c r="X60" s="7" t="s">
        <v>53</v>
      </c>
      <c r="Y60" s="16" t="s">
        <v>53</v>
      </c>
      <c r="Z60" s="16" t="s">
        <v>53</v>
      </c>
    </row>
    <row r="61" spans="2:26" ht="15" customHeight="1">
      <c r="B61" s="16" t="s">
        <v>286</v>
      </c>
      <c r="C61" s="16" t="s">
        <v>151</v>
      </c>
      <c r="D61" s="16" t="s">
        <v>78</v>
      </c>
      <c r="E61" s="16" t="s">
        <v>153</v>
      </c>
      <c r="F61" s="16" t="s">
        <v>313</v>
      </c>
      <c r="G61" s="8">
        <v>1</v>
      </c>
      <c r="H61" s="8">
        <v>12</v>
      </c>
      <c r="I61" s="8">
        <v>13602</v>
      </c>
      <c r="J61" s="8">
        <v>13602</v>
      </c>
      <c r="K61" s="8">
        <v>0</v>
      </c>
      <c r="L61" s="8">
        <v>0</v>
      </c>
      <c r="M61" s="8">
        <v>0</v>
      </c>
      <c r="N61" s="8">
        <v>0</v>
      </c>
      <c r="O61" s="8">
        <v>0</v>
      </c>
      <c r="P61" s="8">
        <v>0</v>
      </c>
      <c r="Q61" s="8">
        <v>0</v>
      </c>
      <c r="R61" s="8">
        <v>1</v>
      </c>
      <c r="S61" s="16">
        <v>1</v>
      </c>
      <c r="T61" s="16"/>
      <c r="U61" s="16" t="s">
        <v>53</v>
      </c>
      <c r="V61" s="16"/>
      <c r="W61" s="16" t="s">
        <v>53</v>
      </c>
      <c r="X61" s="7" t="s">
        <v>53</v>
      </c>
      <c r="Y61" s="16" t="s">
        <v>53</v>
      </c>
      <c r="Z61" s="16" t="s">
        <v>53</v>
      </c>
    </row>
    <row r="62" spans="2:26" ht="15" customHeight="1">
      <c r="B62" s="16" t="s">
        <v>628</v>
      </c>
      <c r="C62" s="16" t="s">
        <v>125</v>
      </c>
      <c r="D62" s="16" t="s">
        <v>64</v>
      </c>
      <c r="E62" s="16" t="s">
        <v>167</v>
      </c>
      <c r="F62" s="16" t="s">
        <v>629</v>
      </c>
      <c r="G62" s="8">
        <v>1</v>
      </c>
      <c r="H62" s="8">
        <v>3</v>
      </c>
      <c r="I62" s="8">
        <v>501</v>
      </c>
      <c r="J62" s="8">
        <v>104566</v>
      </c>
      <c r="K62" s="8">
        <v>0</v>
      </c>
      <c r="L62" s="8">
        <v>0</v>
      </c>
      <c r="M62" s="8">
        <v>0</v>
      </c>
      <c r="N62" s="8">
        <v>0</v>
      </c>
      <c r="O62" s="8">
        <v>0</v>
      </c>
      <c r="P62" s="8">
        <v>1</v>
      </c>
      <c r="Q62" s="8">
        <v>0</v>
      </c>
      <c r="R62" s="8">
        <v>0</v>
      </c>
      <c r="S62" s="16">
        <v>1</v>
      </c>
      <c r="T62" s="16" t="s">
        <v>142</v>
      </c>
      <c r="U62" s="16" t="s">
        <v>237</v>
      </c>
      <c r="V62" s="16" t="s">
        <v>238</v>
      </c>
      <c r="W62" s="16" t="s">
        <v>574</v>
      </c>
      <c r="X62" s="7" t="s">
        <v>574</v>
      </c>
      <c r="Y62" s="16" t="s">
        <v>583</v>
      </c>
      <c r="Z62" s="16" t="s">
        <v>522</v>
      </c>
    </row>
    <row r="63" spans="2:26" ht="15" customHeight="1">
      <c r="B63" s="16" t="s">
        <v>284</v>
      </c>
      <c r="C63" s="16" t="s">
        <v>151</v>
      </c>
      <c r="D63" s="16" t="s">
        <v>78</v>
      </c>
      <c r="E63" s="16" t="s">
        <v>153</v>
      </c>
      <c r="F63" s="16" t="s">
        <v>314</v>
      </c>
      <c r="G63" s="8">
        <v>1</v>
      </c>
      <c r="H63" s="8">
        <v>0</v>
      </c>
      <c r="I63" s="8">
        <v>2830</v>
      </c>
      <c r="J63" s="8">
        <v>2830</v>
      </c>
      <c r="K63" s="8">
        <v>0</v>
      </c>
      <c r="L63" s="8">
        <v>0</v>
      </c>
      <c r="M63" s="8">
        <v>0</v>
      </c>
      <c r="N63" s="8">
        <v>0</v>
      </c>
      <c r="O63" s="8">
        <v>0</v>
      </c>
      <c r="P63" s="8">
        <v>0</v>
      </c>
      <c r="Q63" s="8">
        <v>0</v>
      </c>
      <c r="R63" s="8">
        <v>1</v>
      </c>
      <c r="S63" s="16">
        <v>1</v>
      </c>
      <c r="T63" s="16"/>
      <c r="U63" s="16" t="s">
        <v>53</v>
      </c>
      <c r="V63" s="16"/>
      <c r="W63" s="16" t="s">
        <v>53</v>
      </c>
      <c r="X63" s="7" t="s">
        <v>53</v>
      </c>
      <c r="Y63" s="16" t="s">
        <v>53</v>
      </c>
      <c r="Z63" s="16" t="s">
        <v>53</v>
      </c>
    </row>
    <row r="64" spans="2:26" ht="15" customHeight="1">
      <c r="B64" s="16" t="s">
        <v>214</v>
      </c>
      <c r="C64" s="16" t="s">
        <v>215</v>
      </c>
      <c r="D64" s="16" t="s">
        <v>64</v>
      </c>
      <c r="E64" s="16" t="s">
        <v>153</v>
      </c>
      <c r="F64" s="16" t="s">
        <v>216</v>
      </c>
      <c r="G64" s="8">
        <v>1</v>
      </c>
      <c r="H64" s="8">
        <v>152</v>
      </c>
      <c r="I64" s="8">
        <v>98715</v>
      </c>
      <c r="J64" s="8">
        <v>98715</v>
      </c>
      <c r="K64" s="8">
        <v>6236</v>
      </c>
      <c r="L64" s="8">
        <v>27</v>
      </c>
      <c r="M64" s="8">
        <v>8</v>
      </c>
      <c r="N64" s="8">
        <v>17</v>
      </c>
      <c r="O64" s="8">
        <v>2</v>
      </c>
      <c r="P64" s="8">
        <v>1</v>
      </c>
      <c r="Q64" s="8">
        <v>0</v>
      </c>
      <c r="R64" s="8">
        <v>0</v>
      </c>
      <c r="S64" s="16">
        <v>1</v>
      </c>
      <c r="T64" s="16" t="s">
        <v>142</v>
      </c>
      <c r="U64" s="16" t="s">
        <v>163</v>
      </c>
      <c r="V64" s="16" t="s">
        <v>164</v>
      </c>
      <c r="W64" s="16" t="s">
        <v>53</v>
      </c>
      <c r="X64" s="7" t="s">
        <v>53</v>
      </c>
      <c r="Y64" s="16" t="s">
        <v>53</v>
      </c>
      <c r="Z64" s="16" t="s">
        <v>53</v>
      </c>
    </row>
    <row r="65" spans="2:26" ht="15" customHeight="1">
      <c r="B65" s="16" t="s">
        <v>630</v>
      </c>
      <c r="C65" s="16" t="s">
        <v>229</v>
      </c>
      <c r="D65" s="16" t="s">
        <v>64</v>
      </c>
      <c r="E65" s="16" t="s">
        <v>167</v>
      </c>
      <c r="F65" s="16" t="s">
        <v>631</v>
      </c>
      <c r="G65" s="8">
        <v>1</v>
      </c>
      <c r="H65" s="8">
        <v>1</v>
      </c>
      <c r="I65" s="8">
        <v>158</v>
      </c>
      <c r="J65" s="8">
        <v>20907</v>
      </c>
      <c r="K65" s="8">
        <v>0</v>
      </c>
      <c r="L65" s="8">
        <v>1</v>
      </c>
      <c r="M65" s="8">
        <v>1</v>
      </c>
      <c r="N65" s="8">
        <v>0</v>
      </c>
      <c r="O65" s="8">
        <v>0</v>
      </c>
      <c r="P65" s="8">
        <v>0</v>
      </c>
      <c r="Q65" s="8">
        <v>1</v>
      </c>
      <c r="R65" s="8">
        <v>0</v>
      </c>
      <c r="S65" s="16">
        <v>1</v>
      </c>
      <c r="T65" s="16" t="s">
        <v>142</v>
      </c>
      <c r="U65" s="16" t="s">
        <v>263</v>
      </c>
      <c r="V65" s="16" t="s">
        <v>548</v>
      </c>
      <c r="W65" s="16" t="s">
        <v>574</v>
      </c>
      <c r="X65" s="7" t="s">
        <v>574</v>
      </c>
      <c r="Y65" s="16" t="s">
        <v>53</v>
      </c>
      <c r="Z65" s="16" t="s">
        <v>53</v>
      </c>
    </row>
    <row r="66" spans="2:26" ht="15" customHeight="1">
      <c r="B66" s="16" t="s">
        <v>632</v>
      </c>
      <c r="C66" s="16" t="s">
        <v>128</v>
      </c>
      <c r="D66" s="16" t="s">
        <v>64</v>
      </c>
      <c r="E66" s="16" t="s">
        <v>167</v>
      </c>
      <c r="F66" s="16" t="s">
        <v>633</v>
      </c>
      <c r="G66" s="8">
        <v>1</v>
      </c>
      <c r="H66" s="8">
        <v>2</v>
      </c>
      <c r="I66" s="8">
        <v>348</v>
      </c>
      <c r="J66" s="8">
        <v>778810</v>
      </c>
      <c r="K66" s="8">
        <v>0</v>
      </c>
      <c r="L66" s="8">
        <v>0</v>
      </c>
      <c r="M66" s="8">
        <v>0</v>
      </c>
      <c r="N66" s="8">
        <v>0</v>
      </c>
      <c r="O66" s="8">
        <v>0</v>
      </c>
      <c r="P66" s="8">
        <v>0</v>
      </c>
      <c r="Q66" s="8">
        <v>1</v>
      </c>
      <c r="R66" s="8">
        <v>0</v>
      </c>
      <c r="S66" s="16">
        <v>1</v>
      </c>
      <c r="T66" s="16" t="s">
        <v>142</v>
      </c>
      <c r="U66" s="16" t="s">
        <v>195</v>
      </c>
      <c r="V66" s="16" t="s">
        <v>445</v>
      </c>
      <c r="W66" s="16" t="s">
        <v>574</v>
      </c>
      <c r="X66" s="7" t="s">
        <v>574</v>
      </c>
      <c r="Y66" s="16" t="s">
        <v>53</v>
      </c>
      <c r="Z66" s="16" t="s">
        <v>53</v>
      </c>
    </row>
    <row r="67" spans="2:26" ht="15" customHeight="1">
      <c r="B67" s="16" t="s">
        <v>634</v>
      </c>
      <c r="C67" s="16" t="s">
        <v>151</v>
      </c>
      <c r="D67" s="16" t="s">
        <v>90</v>
      </c>
      <c r="E67" s="16" t="s">
        <v>167</v>
      </c>
      <c r="F67" s="16" t="s">
        <v>635</v>
      </c>
      <c r="G67" s="8">
        <v>1</v>
      </c>
      <c r="H67" s="8">
        <v>6</v>
      </c>
      <c r="I67" s="8">
        <v>852</v>
      </c>
      <c r="J67" s="8">
        <v>153466</v>
      </c>
      <c r="K67" s="8">
        <v>0</v>
      </c>
      <c r="L67" s="8">
        <v>0</v>
      </c>
      <c r="M67" s="8">
        <v>0</v>
      </c>
      <c r="N67" s="8">
        <v>0</v>
      </c>
      <c r="O67" s="8">
        <v>0</v>
      </c>
      <c r="P67" s="8">
        <v>0</v>
      </c>
      <c r="Q67" s="8">
        <v>1</v>
      </c>
      <c r="R67" s="8">
        <v>0</v>
      </c>
      <c r="S67" s="16">
        <v>1</v>
      </c>
      <c r="T67" s="16"/>
      <c r="U67" s="16" t="s">
        <v>53</v>
      </c>
      <c r="V67" s="16"/>
      <c r="W67" s="16" t="s">
        <v>574</v>
      </c>
      <c r="X67" s="7" t="s">
        <v>574</v>
      </c>
      <c r="Y67" s="16" t="s">
        <v>53</v>
      </c>
      <c r="Z67" s="16" t="s">
        <v>53</v>
      </c>
    </row>
    <row r="68" spans="2:26" ht="15" customHeight="1">
      <c r="B68" s="16" t="s">
        <v>636</v>
      </c>
      <c r="C68" s="16" t="s">
        <v>151</v>
      </c>
      <c r="D68" s="16" t="s">
        <v>64</v>
      </c>
      <c r="E68" s="16" t="s">
        <v>167</v>
      </c>
      <c r="F68" s="16" t="s">
        <v>637</v>
      </c>
      <c r="G68" s="8">
        <v>1</v>
      </c>
      <c r="H68" s="8">
        <v>4</v>
      </c>
      <c r="I68" s="8">
        <v>152</v>
      </c>
      <c r="J68" s="8">
        <v>191376</v>
      </c>
      <c r="K68" s="8">
        <v>0</v>
      </c>
      <c r="L68" s="8">
        <v>0</v>
      </c>
      <c r="M68" s="8">
        <v>0</v>
      </c>
      <c r="N68" s="8">
        <v>0</v>
      </c>
      <c r="O68" s="8">
        <v>0</v>
      </c>
      <c r="P68" s="8">
        <v>0</v>
      </c>
      <c r="Q68" s="8">
        <v>1</v>
      </c>
      <c r="R68" s="8">
        <v>0</v>
      </c>
      <c r="S68" s="16">
        <v>1</v>
      </c>
      <c r="T68" s="16"/>
      <c r="U68" s="16" t="s">
        <v>53</v>
      </c>
      <c r="V68" s="16"/>
      <c r="W68" s="16" t="s">
        <v>574</v>
      </c>
      <c r="X68" s="7" t="s">
        <v>574</v>
      </c>
      <c r="Y68" s="16" t="s">
        <v>53</v>
      </c>
      <c r="Z68" s="16" t="s">
        <v>53</v>
      </c>
    </row>
    <row r="69" spans="2:26" ht="15" customHeight="1">
      <c r="B69" s="16" t="s">
        <v>638</v>
      </c>
      <c r="C69" s="16" t="s">
        <v>229</v>
      </c>
      <c r="D69" s="16" t="s">
        <v>64</v>
      </c>
      <c r="E69" s="16" t="s">
        <v>167</v>
      </c>
      <c r="F69" s="16" t="s">
        <v>639</v>
      </c>
      <c r="G69" s="8">
        <v>1</v>
      </c>
      <c r="H69" s="8">
        <v>1</v>
      </c>
      <c r="I69" s="8">
        <v>207</v>
      </c>
      <c r="J69" s="8">
        <v>20907</v>
      </c>
      <c r="K69" s="8">
        <v>0</v>
      </c>
      <c r="L69" s="8">
        <v>0</v>
      </c>
      <c r="M69" s="8">
        <v>0</v>
      </c>
      <c r="N69" s="8">
        <v>0</v>
      </c>
      <c r="O69" s="8">
        <v>0</v>
      </c>
      <c r="P69" s="8">
        <v>1</v>
      </c>
      <c r="Q69" s="8">
        <v>0</v>
      </c>
      <c r="R69" s="8">
        <v>0</v>
      </c>
      <c r="S69" s="16">
        <v>1</v>
      </c>
      <c r="T69" s="16" t="s">
        <v>142</v>
      </c>
      <c r="U69" s="16" t="s">
        <v>231</v>
      </c>
      <c r="V69" s="16" t="s">
        <v>232</v>
      </c>
      <c r="W69" s="16" t="s">
        <v>574</v>
      </c>
      <c r="X69" s="7" t="s">
        <v>574</v>
      </c>
      <c r="Y69" s="16" t="s">
        <v>53</v>
      </c>
      <c r="Z69" s="16" t="s">
        <v>53</v>
      </c>
    </row>
    <row r="70" spans="2:26" ht="15" customHeight="1">
      <c r="B70" s="16" t="s">
        <v>377</v>
      </c>
      <c r="C70" s="16" t="s">
        <v>252</v>
      </c>
      <c r="D70" s="16" t="s">
        <v>88</v>
      </c>
      <c r="E70" s="16" t="s">
        <v>156</v>
      </c>
      <c r="F70" s="16" t="s">
        <v>378</v>
      </c>
      <c r="G70" s="8">
        <v>1</v>
      </c>
      <c r="H70" s="8">
        <v>9</v>
      </c>
      <c r="I70" s="8">
        <v>1380000</v>
      </c>
      <c r="J70" s="8">
        <v>1380000</v>
      </c>
      <c r="K70" s="8">
        <v>0</v>
      </c>
      <c r="L70" s="8">
        <v>0</v>
      </c>
      <c r="M70" s="8">
        <v>0</v>
      </c>
      <c r="N70" s="8">
        <v>0</v>
      </c>
      <c r="O70" s="8">
        <v>0</v>
      </c>
      <c r="P70" s="8">
        <v>0</v>
      </c>
      <c r="Q70" s="8">
        <v>1</v>
      </c>
      <c r="R70" s="8">
        <v>0</v>
      </c>
      <c r="S70" s="16">
        <v>1</v>
      </c>
      <c r="T70" s="16" t="s">
        <v>142</v>
      </c>
      <c r="U70" s="16" t="s">
        <v>53</v>
      </c>
      <c r="V70" s="16"/>
      <c r="W70" s="16" t="s">
        <v>53</v>
      </c>
      <c r="X70" s="7" t="s">
        <v>53</v>
      </c>
      <c r="Y70" s="16" t="s">
        <v>53</v>
      </c>
      <c r="Z70" s="16" t="s">
        <v>53</v>
      </c>
    </row>
    <row r="71" spans="2:26" ht="15" customHeight="1">
      <c r="B71" s="16" t="s">
        <v>386</v>
      </c>
      <c r="C71" s="16" t="s">
        <v>151</v>
      </c>
      <c r="D71" s="16" t="s">
        <v>64</v>
      </c>
      <c r="E71" s="16" t="s">
        <v>167</v>
      </c>
      <c r="F71" s="16" t="s">
        <v>387</v>
      </c>
      <c r="G71" s="8">
        <v>1</v>
      </c>
      <c r="H71" s="8">
        <v>0</v>
      </c>
      <c r="I71" s="8">
        <v>112</v>
      </c>
      <c r="J71" s="8">
        <v>112</v>
      </c>
      <c r="K71" s="8">
        <v>12</v>
      </c>
      <c r="L71" s="8">
        <v>0</v>
      </c>
      <c r="M71" s="8">
        <v>0</v>
      </c>
      <c r="N71" s="8">
        <v>0</v>
      </c>
      <c r="O71" s="8">
        <v>0</v>
      </c>
      <c r="P71" s="8">
        <v>0</v>
      </c>
      <c r="Q71" s="8">
        <v>1</v>
      </c>
      <c r="R71" s="8">
        <v>0</v>
      </c>
      <c r="S71" s="16">
        <v>1</v>
      </c>
      <c r="T71" s="16"/>
      <c r="U71" s="16" t="s">
        <v>53</v>
      </c>
      <c r="V71" s="16"/>
      <c r="W71" s="16" t="s">
        <v>574</v>
      </c>
      <c r="X71" s="7" t="s">
        <v>574</v>
      </c>
      <c r="Y71" s="16" t="s">
        <v>583</v>
      </c>
      <c r="Z71" s="16" t="s">
        <v>53</v>
      </c>
    </row>
    <row r="72" spans="2:26" ht="15" customHeight="1">
      <c r="B72" s="16" t="s">
        <v>640</v>
      </c>
      <c r="C72" s="16" t="s">
        <v>125</v>
      </c>
      <c r="D72" s="16" t="s">
        <v>64</v>
      </c>
      <c r="E72" s="16" t="s">
        <v>167</v>
      </c>
      <c r="F72" s="16" t="s">
        <v>641</v>
      </c>
      <c r="G72" s="8">
        <v>1</v>
      </c>
      <c r="H72" s="8">
        <v>1</v>
      </c>
      <c r="I72" s="8">
        <v>26</v>
      </c>
      <c r="J72" s="8">
        <v>202715</v>
      </c>
      <c r="K72" s="8">
        <v>0</v>
      </c>
      <c r="L72" s="8">
        <v>0</v>
      </c>
      <c r="M72" s="8">
        <v>0</v>
      </c>
      <c r="N72" s="8">
        <v>0</v>
      </c>
      <c r="O72" s="8">
        <v>0</v>
      </c>
      <c r="P72" s="8">
        <v>1</v>
      </c>
      <c r="Q72" s="8">
        <v>0</v>
      </c>
      <c r="R72" s="8">
        <v>0</v>
      </c>
      <c r="S72" s="16">
        <v>1</v>
      </c>
      <c r="T72" s="16"/>
      <c r="U72" s="16" t="s">
        <v>53</v>
      </c>
      <c r="V72" s="16"/>
      <c r="W72" s="16" t="s">
        <v>574</v>
      </c>
      <c r="X72" s="7" t="s">
        <v>574</v>
      </c>
      <c r="Y72" s="16" t="s">
        <v>53</v>
      </c>
      <c r="Z72" s="16" t="s">
        <v>53</v>
      </c>
    </row>
    <row r="73" spans="2:26" ht="15" customHeight="1">
      <c r="B73" s="16" t="s">
        <v>642</v>
      </c>
      <c r="C73" s="16" t="s">
        <v>151</v>
      </c>
      <c r="D73" s="16" t="s">
        <v>64</v>
      </c>
      <c r="E73" s="16" t="s">
        <v>167</v>
      </c>
      <c r="F73" s="16" t="s">
        <v>643</v>
      </c>
      <c r="G73" s="8">
        <v>1</v>
      </c>
      <c r="H73" s="8">
        <v>4</v>
      </c>
      <c r="I73" s="8">
        <v>18</v>
      </c>
      <c r="J73" s="8">
        <v>189883</v>
      </c>
      <c r="K73" s="8">
        <v>0</v>
      </c>
      <c r="L73" s="8">
        <v>0</v>
      </c>
      <c r="M73" s="8">
        <v>0</v>
      </c>
      <c r="N73" s="8">
        <v>0</v>
      </c>
      <c r="O73" s="8">
        <v>0</v>
      </c>
      <c r="P73" s="8">
        <v>0</v>
      </c>
      <c r="Q73" s="8">
        <v>1</v>
      </c>
      <c r="R73" s="8">
        <v>0</v>
      </c>
      <c r="S73" s="16">
        <v>1</v>
      </c>
      <c r="T73" s="16" t="s">
        <v>142</v>
      </c>
      <c r="U73" s="16" t="s">
        <v>53</v>
      </c>
      <c r="V73" s="16"/>
      <c r="W73" s="16" t="s">
        <v>574</v>
      </c>
      <c r="X73" s="7" t="s">
        <v>574</v>
      </c>
      <c r="Y73" s="16" t="s">
        <v>53</v>
      </c>
      <c r="Z73" s="16" t="s">
        <v>53</v>
      </c>
    </row>
    <row r="74" spans="2:26" ht="15" customHeight="1">
      <c r="B74" s="16" t="s">
        <v>396</v>
      </c>
      <c r="C74" s="16" t="s">
        <v>151</v>
      </c>
      <c r="D74" s="16" t="s">
        <v>64</v>
      </c>
      <c r="E74" s="16" t="s">
        <v>167</v>
      </c>
      <c r="F74" s="16" t="s">
        <v>397</v>
      </c>
      <c r="G74" s="8">
        <v>1</v>
      </c>
      <c r="H74" s="8">
        <v>3</v>
      </c>
      <c r="I74" s="8">
        <v>3996</v>
      </c>
      <c r="J74" s="8">
        <v>3996</v>
      </c>
      <c r="K74" s="8">
        <v>48</v>
      </c>
      <c r="L74" s="8">
        <v>1</v>
      </c>
      <c r="M74" s="8">
        <v>1</v>
      </c>
      <c r="N74" s="8">
        <v>0</v>
      </c>
      <c r="O74" s="8">
        <v>0</v>
      </c>
      <c r="P74" s="8">
        <v>0</v>
      </c>
      <c r="Q74" s="8">
        <v>1</v>
      </c>
      <c r="R74" s="8">
        <v>0</v>
      </c>
      <c r="S74" s="16">
        <v>1</v>
      </c>
      <c r="T74" s="16" t="s">
        <v>142</v>
      </c>
      <c r="U74" s="16" t="s">
        <v>231</v>
      </c>
      <c r="V74" s="16" t="s">
        <v>232</v>
      </c>
      <c r="W74" s="16" t="s">
        <v>574</v>
      </c>
      <c r="X74" s="7" t="s">
        <v>574</v>
      </c>
      <c r="Y74" s="16" t="s">
        <v>583</v>
      </c>
      <c r="Z74" s="16" t="s">
        <v>53</v>
      </c>
    </row>
    <row r="75" spans="2:26" ht="15" customHeight="1">
      <c r="B75" s="16" t="s">
        <v>398</v>
      </c>
      <c r="C75" s="16" t="s">
        <v>151</v>
      </c>
      <c r="D75" s="16" t="s">
        <v>64</v>
      </c>
      <c r="E75" s="16" t="s">
        <v>167</v>
      </c>
      <c r="F75" s="16" t="s">
        <v>399</v>
      </c>
      <c r="G75" s="8">
        <v>1</v>
      </c>
      <c r="H75" s="8">
        <v>10</v>
      </c>
      <c r="I75" s="8">
        <v>3005</v>
      </c>
      <c r="J75" s="8">
        <v>3005</v>
      </c>
      <c r="K75" s="8">
        <v>219</v>
      </c>
      <c r="L75" s="8">
        <v>3</v>
      </c>
      <c r="M75" s="8">
        <v>3</v>
      </c>
      <c r="N75" s="8">
        <v>0</v>
      </c>
      <c r="O75" s="8">
        <v>0</v>
      </c>
      <c r="P75" s="8">
        <v>1</v>
      </c>
      <c r="Q75" s="8">
        <v>0</v>
      </c>
      <c r="R75" s="8">
        <v>0</v>
      </c>
      <c r="S75" s="16">
        <v>1</v>
      </c>
      <c r="T75" s="16" t="s">
        <v>142</v>
      </c>
      <c r="U75" s="16" t="s">
        <v>400</v>
      </c>
      <c r="V75" s="16" t="s">
        <v>401</v>
      </c>
      <c r="W75" s="16" t="s">
        <v>571</v>
      </c>
      <c r="X75" s="7" t="s">
        <v>571</v>
      </c>
      <c r="Y75" s="16" t="s">
        <v>53</v>
      </c>
      <c r="Z75" s="16" t="s">
        <v>53</v>
      </c>
    </row>
    <row r="76" spans="2:26" ht="15" customHeight="1">
      <c r="B76" s="16" t="s">
        <v>404</v>
      </c>
      <c r="C76" s="16" t="s">
        <v>151</v>
      </c>
      <c r="D76" s="16" t="s">
        <v>70</v>
      </c>
      <c r="E76" s="16" t="s">
        <v>153</v>
      </c>
      <c r="F76" s="16" t="s">
        <v>405</v>
      </c>
      <c r="G76" s="8">
        <v>1</v>
      </c>
      <c r="H76" s="8">
        <v>0</v>
      </c>
      <c r="I76" s="8">
        <v>4</v>
      </c>
      <c r="J76" s="8">
        <v>4</v>
      </c>
      <c r="K76" s="8">
        <v>2</v>
      </c>
      <c r="L76" s="8">
        <v>0</v>
      </c>
      <c r="M76" s="8">
        <v>0</v>
      </c>
      <c r="N76" s="8">
        <v>0</v>
      </c>
      <c r="O76" s="8">
        <v>0</v>
      </c>
      <c r="P76" s="8">
        <v>0</v>
      </c>
      <c r="Q76" s="8">
        <v>1</v>
      </c>
      <c r="R76" s="8">
        <v>0</v>
      </c>
      <c r="S76" s="16">
        <v>1</v>
      </c>
      <c r="T76" s="16"/>
      <c r="U76" s="16" t="s">
        <v>53</v>
      </c>
      <c r="V76" s="16"/>
      <c r="W76" s="16" t="s">
        <v>53</v>
      </c>
      <c r="X76" s="7" t="s">
        <v>53</v>
      </c>
      <c r="Y76" s="16" t="s">
        <v>53</v>
      </c>
      <c r="Z76" s="16" t="s">
        <v>53</v>
      </c>
    </row>
    <row r="77" spans="2:26" ht="15" customHeight="1">
      <c r="B77" s="16" t="s">
        <v>644</v>
      </c>
      <c r="C77" s="16" t="s">
        <v>151</v>
      </c>
      <c r="D77" s="16" t="s">
        <v>114</v>
      </c>
      <c r="E77" s="16" t="s">
        <v>156</v>
      </c>
      <c r="F77" s="16" t="s">
        <v>645</v>
      </c>
      <c r="G77" s="8">
        <v>1</v>
      </c>
      <c r="H77" s="8">
        <v>0</v>
      </c>
      <c r="I77" s="8" t="s">
        <v>82</v>
      </c>
      <c r="J77" s="8" t="s">
        <v>82</v>
      </c>
      <c r="K77" s="8">
        <v>0</v>
      </c>
      <c r="L77" s="8" t="s">
        <v>82</v>
      </c>
      <c r="M77" s="8">
        <v>0</v>
      </c>
      <c r="N77" s="8">
        <v>0</v>
      </c>
      <c r="O77" s="8">
        <v>0</v>
      </c>
      <c r="P77" s="8">
        <v>1</v>
      </c>
      <c r="Q77" s="8">
        <v>0</v>
      </c>
      <c r="R77" s="8">
        <v>0</v>
      </c>
      <c r="S77" s="16">
        <v>1</v>
      </c>
      <c r="T77" s="16"/>
      <c r="U77" s="16" t="s">
        <v>53</v>
      </c>
      <c r="V77" s="16"/>
      <c r="W77" s="16" t="s">
        <v>574</v>
      </c>
      <c r="X77" s="7" t="s">
        <v>574</v>
      </c>
      <c r="Y77" s="16" t="s">
        <v>53</v>
      </c>
      <c r="Z77" s="16" t="s">
        <v>53</v>
      </c>
    </row>
    <row r="78" spans="2:26" ht="15" customHeight="1">
      <c r="B78" s="16" t="s">
        <v>646</v>
      </c>
      <c r="C78" s="16" t="s">
        <v>151</v>
      </c>
      <c r="D78" s="16" t="s">
        <v>64</v>
      </c>
      <c r="E78" s="16" t="s">
        <v>167</v>
      </c>
      <c r="F78" s="16" t="s">
        <v>647</v>
      </c>
      <c r="G78" s="8">
        <v>1</v>
      </c>
      <c r="H78" s="8">
        <v>1</v>
      </c>
      <c r="I78" s="8">
        <v>13</v>
      </c>
      <c r="J78" s="8">
        <v>13924</v>
      </c>
      <c r="K78" s="8">
        <v>0</v>
      </c>
      <c r="L78" s="8">
        <v>3</v>
      </c>
      <c r="M78" s="8">
        <v>3</v>
      </c>
      <c r="N78" s="8">
        <v>0</v>
      </c>
      <c r="O78" s="8">
        <v>0</v>
      </c>
      <c r="P78" s="8">
        <v>0</v>
      </c>
      <c r="Q78" s="8">
        <v>0</v>
      </c>
      <c r="R78" s="8">
        <v>1</v>
      </c>
      <c r="S78" s="16">
        <v>1</v>
      </c>
      <c r="T78" s="16" t="s">
        <v>142</v>
      </c>
      <c r="U78" s="16" t="s">
        <v>168</v>
      </c>
      <c r="V78" s="16" t="s">
        <v>169</v>
      </c>
      <c r="W78" s="16" t="s">
        <v>574</v>
      </c>
      <c r="X78" s="7" t="s">
        <v>574</v>
      </c>
      <c r="Y78" s="16" t="s">
        <v>583</v>
      </c>
      <c r="Z78" s="16" t="s">
        <v>53</v>
      </c>
    </row>
    <row r="79" spans="2:26" ht="15" customHeight="1">
      <c r="B79" s="16" t="s">
        <v>648</v>
      </c>
      <c r="C79" s="16" t="s">
        <v>151</v>
      </c>
      <c r="D79" s="16" t="s">
        <v>108</v>
      </c>
      <c r="E79" s="16" t="s">
        <v>156</v>
      </c>
      <c r="F79" s="16" t="s">
        <v>649</v>
      </c>
      <c r="G79" s="8">
        <v>1</v>
      </c>
      <c r="H79" s="8">
        <v>0</v>
      </c>
      <c r="I79" s="8">
        <v>0</v>
      </c>
      <c r="J79" s="8">
        <v>1060000</v>
      </c>
      <c r="K79" s="8">
        <v>0</v>
      </c>
      <c r="L79" s="8">
        <v>10</v>
      </c>
      <c r="M79" s="8">
        <v>10</v>
      </c>
      <c r="N79" s="8">
        <v>0</v>
      </c>
      <c r="O79" s="8">
        <v>0</v>
      </c>
      <c r="P79" s="8">
        <v>0</v>
      </c>
      <c r="Q79" s="8">
        <v>1</v>
      </c>
      <c r="R79" s="8">
        <v>0</v>
      </c>
      <c r="S79" s="16">
        <v>1</v>
      </c>
      <c r="T79" s="16"/>
      <c r="U79" s="16" t="s">
        <v>53</v>
      </c>
      <c r="V79" s="16"/>
      <c r="W79" s="16" t="s">
        <v>53</v>
      </c>
      <c r="X79" s="7" t="s">
        <v>53</v>
      </c>
      <c r="Y79" s="16" t="s">
        <v>53</v>
      </c>
      <c r="Z79" s="16" t="s">
        <v>53</v>
      </c>
    </row>
    <row r="80" spans="2:26" ht="15" customHeight="1">
      <c r="B80" s="16" t="s">
        <v>414</v>
      </c>
      <c r="C80" s="16" t="s">
        <v>151</v>
      </c>
      <c r="D80" s="16" t="s">
        <v>104</v>
      </c>
      <c r="E80" s="16" t="s">
        <v>167</v>
      </c>
      <c r="F80" s="16" t="s">
        <v>415</v>
      </c>
      <c r="G80" s="8">
        <v>1</v>
      </c>
      <c r="H80" s="8">
        <v>0</v>
      </c>
      <c r="I80" s="8">
        <v>415500</v>
      </c>
      <c r="J80" s="8">
        <v>415500</v>
      </c>
      <c r="K80" s="8">
        <v>1577</v>
      </c>
      <c r="L80" s="8">
        <v>84</v>
      </c>
      <c r="M80" s="8">
        <v>65</v>
      </c>
      <c r="N80" s="8">
        <v>1</v>
      </c>
      <c r="O80" s="8">
        <v>18</v>
      </c>
      <c r="P80" s="8">
        <v>0</v>
      </c>
      <c r="Q80" s="8">
        <v>1</v>
      </c>
      <c r="R80" s="8">
        <v>0</v>
      </c>
      <c r="S80" s="16">
        <v>1</v>
      </c>
      <c r="T80" s="16"/>
      <c r="U80" s="16" t="s">
        <v>53</v>
      </c>
      <c r="V80" s="16"/>
      <c r="W80" s="16" t="s">
        <v>53</v>
      </c>
      <c r="X80" s="7" t="s">
        <v>53</v>
      </c>
      <c r="Y80" s="16" t="s">
        <v>53</v>
      </c>
      <c r="Z80" s="16" t="s">
        <v>53</v>
      </c>
    </row>
    <row r="81" spans="2:26" ht="15" customHeight="1">
      <c r="B81" s="16" t="s">
        <v>650</v>
      </c>
      <c r="C81" s="16" t="s">
        <v>151</v>
      </c>
      <c r="D81" s="16" t="s">
        <v>116</v>
      </c>
      <c r="E81" s="16" t="s">
        <v>156</v>
      </c>
      <c r="F81" s="16" t="s">
        <v>651</v>
      </c>
      <c r="G81" s="8">
        <v>1</v>
      </c>
      <c r="H81" s="8">
        <v>0</v>
      </c>
      <c r="I81" s="8">
        <v>0</v>
      </c>
      <c r="J81" s="8">
        <v>0</v>
      </c>
      <c r="K81" s="8">
        <v>0</v>
      </c>
      <c r="L81" s="8">
        <v>0</v>
      </c>
      <c r="M81" s="8">
        <v>0</v>
      </c>
      <c r="N81" s="8">
        <v>0</v>
      </c>
      <c r="O81" s="8">
        <v>0</v>
      </c>
      <c r="P81" s="8">
        <v>1</v>
      </c>
      <c r="Q81" s="8">
        <v>0</v>
      </c>
      <c r="R81" s="8">
        <v>0</v>
      </c>
      <c r="S81" s="16">
        <v>1</v>
      </c>
      <c r="T81" s="16"/>
      <c r="U81" s="16" t="s">
        <v>53</v>
      </c>
      <c r="V81" s="16"/>
      <c r="W81" s="16" t="s">
        <v>574</v>
      </c>
      <c r="X81" s="7" t="s">
        <v>574</v>
      </c>
      <c r="Y81" s="16" t="s">
        <v>53</v>
      </c>
      <c r="Z81" s="16" t="s">
        <v>53</v>
      </c>
    </row>
    <row r="82" spans="2:26" ht="15" customHeight="1">
      <c r="B82" s="16" t="s">
        <v>652</v>
      </c>
      <c r="C82" s="16" t="s">
        <v>151</v>
      </c>
      <c r="D82" s="16" t="s">
        <v>98</v>
      </c>
      <c r="E82" s="16" t="s">
        <v>156</v>
      </c>
      <c r="F82" s="16" t="s">
        <v>653</v>
      </c>
      <c r="G82" s="8">
        <v>1</v>
      </c>
      <c r="H82" s="8">
        <v>0</v>
      </c>
      <c r="I82" s="8" t="s">
        <v>82</v>
      </c>
      <c r="J82" s="8" t="s">
        <v>82</v>
      </c>
      <c r="K82" s="8">
        <v>0</v>
      </c>
      <c r="L82" s="8" t="s">
        <v>82</v>
      </c>
      <c r="M82" s="8">
        <v>0</v>
      </c>
      <c r="N82" s="8">
        <v>0</v>
      </c>
      <c r="O82" s="8">
        <v>0</v>
      </c>
      <c r="P82" s="8">
        <v>1</v>
      </c>
      <c r="Q82" s="8">
        <v>0</v>
      </c>
      <c r="R82" s="8">
        <v>0</v>
      </c>
      <c r="S82" s="16">
        <v>1</v>
      </c>
      <c r="T82" s="16"/>
      <c r="U82" s="16" t="s">
        <v>53</v>
      </c>
      <c r="V82" s="16"/>
      <c r="W82" s="16" t="s">
        <v>574</v>
      </c>
      <c r="X82" s="7" t="s">
        <v>574</v>
      </c>
      <c r="Y82" s="16" t="s">
        <v>53</v>
      </c>
      <c r="Z82" s="16" t="s">
        <v>53</v>
      </c>
    </row>
    <row r="83" spans="2:26" ht="15" customHeight="1">
      <c r="B83" s="16" t="s">
        <v>654</v>
      </c>
      <c r="C83" s="16" t="s">
        <v>151</v>
      </c>
      <c r="D83" s="16" t="s">
        <v>98</v>
      </c>
      <c r="E83" s="16" t="s">
        <v>156</v>
      </c>
      <c r="F83" s="16" t="s">
        <v>655</v>
      </c>
      <c r="G83" s="8">
        <v>1</v>
      </c>
      <c r="H83" s="8">
        <v>0</v>
      </c>
      <c r="I83" s="8" t="s">
        <v>82</v>
      </c>
      <c r="J83" s="8" t="s">
        <v>82</v>
      </c>
      <c r="K83" s="8">
        <v>0</v>
      </c>
      <c r="L83" s="8" t="s">
        <v>82</v>
      </c>
      <c r="M83" s="8">
        <v>0</v>
      </c>
      <c r="N83" s="8">
        <v>0</v>
      </c>
      <c r="O83" s="8">
        <v>0</v>
      </c>
      <c r="P83" s="8">
        <v>1</v>
      </c>
      <c r="Q83" s="8">
        <v>0</v>
      </c>
      <c r="R83" s="8">
        <v>0</v>
      </c>
      <c r="S83" s="16">
        <v>1</v>
      </c>
      <c r="T83" s="16"/>
      <c r="U83" s="16" t="s">
        <v>53</v>
      </c>
      <c r="V83" s="16"/>
      <c r="W83" s="16" t="s">
        <v>574</v>
      </c>
      <c r="X83" s="7" t="s">
        <v>574</v>
      </c>
      <c r="Y83" s="16" t="s">
        <v>53</v>
      </c>
      <c r="Z83" s="16" t="s">
        <v>53</v>
      </c>
    </row>
    <row r="84" spans="2:26" ht="15" customHeight="1">
      <c r="B84" s="16" t="s">
        <v>656</v>
      </c>
      <c r="C84" s="16" t="s">
        <v>151</v>
      </c>
      <c r="D84" s="16" t="s">
        <v>64</v>
      </c>
      <c r="E84" s="16" t="s">
        <v>167</v>
      </c>
      <c r="F84" s="16" t="s">
        <v>657</v>
      </c>
      <c r="G84" s="8">
        <v>1</v>
      </c>
      <c r="H84" s="8">
        <v>4</v>
      </c>
      <c r="I84" s="8">
        <v>72</v>
      </c>
      <c r="J84" s="8">
        <v>191376</v>
      </c>
      <c r="K84" s="8">
        <v>0</v>
      </c>
      <c r="L84" s="8">
        <v>0</v>
      </c>
      <c r="M84" s="8">
        <v>0</v>
      </c>
      <c r="N84" s="8">
        <v>0</v>
      </c>
      <c r="O84" s="8">
        <v>0</v>
      </c>
      <c r="P84" s="8">
        <v>0</v>
      </c>
      <c r="Q84" s="8">
        <v>0</v>
      </c>
      <c r="R84" s="8">
        <v>1</v>
      </c>
      <c r="S84" s="16">
        <v>1</v>
      </c>
      <c r="T84" s="16" t="s">
        <v>142</v>
      </c>
      <c r="U84" s="16" t="s">
        <v>168</v>
      </c>
      <c r="V84" s="16" t="s">
        <v>169</v>
      </c>
      <c r="W84" s="16" t="s">
        <v>571</v>
      </c>
      <c r="X84" s="7" t="s">
        <v>571</v>
      </c>
      <c r="Y84" s="16" t="s">
        <v>583</v>
      </c>
      <c r="Z84" s="16" t="s">
        <v>53</v>
      </c>
    </row>
    <row r="85" spans="2:26" ht="15" customHeight="1">
      <c r="B85" s="16" t="s">
        <v>652</v>
      </c>
      <c r="C85" s="16" t="s">
        <v>151</v>
      </c>
      <c r="D85" s="16" t="s">
        <v>100</v>
      </c>
      <c r="E85" s="16" t="s">
        <v>156</v>
      </c>
      <c r="F85" s="16" t="s">
        <v>658</v>
      </c>
      <c r="G85" s="8">
        <v>1</v>
      </c>
      <c r="H85" s="8">
        <v>0</v>
      </c>
      <c r="I85" s="8" t="s">
        <v>82</v>
      </c>
      <c r="J85" s="8" t="s">
        <v>82</v>
      </c>
      <c r="K85" s="8">
        <v>0</v>
      </c>
      <c r="L85" s="8" t="s">
        <v>82</v>
      </c>
      <c r="M85" s="8">
        <v>0</v>
      </c>
      <c r="N85" s="8">
        <v>0</v>
      </c>
      <c r="O85" s="8">
        <v>0</v>
      </c>
      <c r="P85" s="8">
        <v>1</v>
      </c>
      <c r="Q85" s="8">
        <v>0</v>
      </c>
      <c r="R85" s="8">
        <v>0</v>
      </c>
      <c r="S85" s="16">
        <v>1</v>
      </c>
      <c r="T85" s="16"/>
      <c r="U85" s="16" t="s">
        <v>53</v>
      </c>
      <c r="V85" s="16"/>
      <c r="W85" s="16" t="s">
        <v>574</v>
      </c>
      <c r="X85" s="7" t="s">
        <v>574</v>
      </c>
      <c r="Y85" s="16" t="s">
        <v>53</v>
      </c>
      <c r="Z85" s="16" t="s">
        <v>53</v>
      </c>
    </row>
    <row r="86" spans="2:26" ht="15" customHeight="1">
      <c r="B86" s="16" t="s">
        <v>654</v>
      </c>
      <c r="C86" s="16" t="s">
        <v>151</v>
      </c>
      <c r="D86" s="16" t="s">
        <v>100</v>
      </c>
      <c r="E86" s="16" t="s">
        <v>156</v>
      </c>
      <c r="F86" s="16" t="s">
        <v>659</v>
      </c>
      <c r="G86" s="8">
        <v>1</v>
      </c>
      <c r="H86" s="8">
        <v>0</v>
      </c>
      <c r="I86" s="8" t="s">
        <v>82</v>
      </c>
      <c r="J86" s="8" t="s">
        <v>82</v>
      </c>
      <c r="K86" s="8">
        <v>0</v>
      </c>
      <c r="L86" s="8" t="s">
        <v>82</v>
      </c>
      <c r="M86" s="8">
        <v>0</v>
      </c>
      <c r="N86" s="8">
        <v>0</v>
      </c>
      <c r="O86" s="8">
        <v>0</v>
      </c>
      <c r="P86" s="8">
        <v>1</v>
      </c>
      <c r="Q86" s="8">
        <v>0</v>
      </c>
      <c r="R86" s="8">
        <v>0</v>
      </c>
      <c r="S86" s="16">
        <v>1</v>
      </c>
      <c r="T86" s="16"/>
      <c r="U86" s="16" t="s">
        <v>53</v>
      </c>
      <c r="V86" s="16"/>
      <c r="W86" s="16" t="s">
        <v>574</v>
      </c>
      <c r="X86" s="7" t="s">
        <v>574</v>
      </c>
      <c r="Y86" s="16" t="s">
        <v>53</v>
      </c>
      <c r="Z86" s="16" t="s">
        <v>53</v>
      </c>
    </row>
    <row r="87" spans="2:26" ht="15" customHeight="1">
      <c r="B87" s="16" t="s">
        <v>418</v>
      </c>
      <c r="C87" s="16" t="s">
        <v>151</v>
      </c>
      <c r="D87" s="16" t="s">
        <v>70</v>
      </c>
      <c r="E87" s="16" t="s">
        <v>153</v>
      </c>
      <c r="F87" s="16" t="s">
        <v>419</v>
      </c>
      <c r="G87" s="8">
        <v>1</v>
      </c>
      <c r="H87" s="8">
        <v>396</v>
      </c>
      <c r="I87" s="8">
        <v>17748</v>
      </c>
      <c r="J87" s="8">
        <v>17748</v>
      </c>
      <c r="K87" s="8">
        <v>3460</v>
      </c>
      <c r="L87" s="8">
        <v>254</v>
      </c>
      <c r="M87" s="8">
        <v>233</v>
      </c>
      <c r="N87" s="8">
        <v>21</v>
      </c>
      <c r="O87" s="8">
        <v>0</v>
      </c>
      <c r="P87" s="8">
        <v>0</v>
      </c>
      <c r="Q87" s="8">
        <v>1</v>
      </c>
      <c r="R87" s="8">
        <v>0</v>
      </c>
      <c r="S87" s="16">
        <v>1</v>
      </c>
      <c r="T87" s="16"/>
      <c r="U87" s="16" t="s">
        <v>53</v>
      </c>
      <c r="V87" s="16"/>
      <c r="W87" s="16" t="s">
        <v>53</v>
      </c>
      <c r="X87" s="7" t="s">
        <v>53</v>
      </c>
      <c r="Y87" s="16" t="s">
        <v>53</v>
      </c>
      <c r="Z87" s="16" t="s">
        <v>53</v>
      </c>
    </row>
    <row r="88" spans="2:26" ht="15" customHeight="1">
      <c r="B88" s="16" t="s">
        <v>420</v>
      </c>
      <c r="C88" s="16" t="s">
        <v>151</v>
      </c>
      <c r="D88" s="16" t="s">
        <v>70</v>
      </c>
      <c r="E88" s="16" t="s">
        <v>153</v>
      </c>
      <c r="F88" s="16" t="s">
        <v>421</v>
      </c>
      <c r="G88" s="8">
        <v>1</v>
      </c>
      <c r="H88" s="8">
        <v>328</v>
      </c>
      <c r="I88" s="8">
        <v>10458</v>
      </c>
      <c r="J88" s="8">
        <v>10458</v>
      </c>
      <c r="K88" s="8">
        <v>1420</v>
      </c>
      <c r="L88" s="8">
        <v>83</v>
      </c>
      <c r="M88" s="8">
        <v>67</v>
      </c>
      <c r="N88" s="8">
        <v>16</v>
      </c>
      <c r="O88" s="8">
        <v>0</v>
      </c>
      <c r="P88" s="8">
        <v>0</v>
      </c>
      <c r="Q88" s="8">
        <v>1</v>
      </c>
      <c r="R88" s="8">
        <v>0</v>
      </c>
      <c r="S88" s="16">
        <v>1</v>
      </c>
      <c r="T88" s="16"/>
      <c r="U88" s="16" t="s">
        <v>53</v>
      </c>
      <c r="V88" s="16"/>
      <c r="W88" s="16" t="s">
        <v>571</v>
      </c>
      <c r="X88" s="7" t="s">
        <v>571</v>
      </c>
      <c r="Y88" s="16" t="s">
        <v>53</v>
      </c>
      <c r="Z88" s="16" t="s">
        <v>53</v>
      </c>
    </row>
    <row r="89" spans="2:26" ht="15" customHeight="1">
      <c r="B89" s="16" t="s">
        <v>660</v>
      </c>
      <c r="C89" s="16" t="s">
        <v>151</v>
      </c>
      <c r="D89" s="16" t="s">
        <v>70</v>
      </c>
      <c r="E89" s="16" t="s">
        <v>156</v>
      </c>
      <c r="F89" s="16" t="s">
        <v>661</v>
      </c>
      <c r="G89" s="8">
        <v>1</v>
      </c>
      <c r="H89" s="8">
        <v>5</v>
      </c>
      <c r="I89" s="8">
        <v>0</v>
      </c>
      <c r="J89" s="8">
        <v>8352</v>
      </c>
      <c r="K89" s="8">
        <v>0</v>
      </c>
      <c r="L89" s="8">
        <v>0</v>
      </c>
      <c r="M89" s="8">
        <v>0</v>
      </c>
      <c r="N89" s="8">
        <v>0</v>
      </c>
      <c r="O89" s="8">
        <v>0</v>
      </c>
      <c r="P89" s="8">
        <v>0</v>
      </c>
      <c r="Q89" s="8">
        <v>1</v>
      </c>
      <c r="R89" s="8">
        <v>0</v>
      </c>
      <c r="S89" s="16">
        <v>1</v>
      </c>
      <c r="T89" s="16"/>
      <c r="U89" s="16" t="s">
        <v>53</v>
      </c>
      <c r="V89" s="16"/>
      <c r="W89" s="16" t="s">
        <v>574</v>
      </c>
      <c r="X89" s="7" t="s">
        <v>574</v>
      </c>
      <c r="Y89" s="16" t="s">
        <v>53</v>
      </c>
      <c r="Z89" s="16" t="s">
        <v>53</v>
      </c>
    </row>
    <row r="90" spans="2:26" ht="15" customHeight="1">
      <c r="B90" s="16" t="s">
        <v>422</v>
      </c>
      <c r="C90" s="16" t="s">
        <v>151</v>
      </c>
      <c r="D90" s="16" t="s">
        <v>70</v>
      </c>
      <c r="E90" s="16" t="s">
        <v>153</v>
      </c>
      <c r="F90" s="16" t="s">
        <v>423</v>
      </c>
      <c r="G90" s="8">
        <v>1</v>
      </c>
      <c r="H90" s="8">
        <v>147</v>
      </c>
      <c r="I90" s="8">
        <v>2183</v>
      </c>
      <c r="J90" s="8">
        <v>2183</v>
      </c>
      <c r="K90" s="8">
        <v>533</v>
      </c>
      <c r="L90" s="8">
        <v>0</v>
      </c>
      <c r="M90" s="8">
        <v>0</v>
      </c>
      <c r="N90" s="8">
        <v>0</v>
      </c>
      <c r="O90" s="8">
        <v>0</v>
      </c>
      <c r="P90" s="8">
        <v>0</v>
      </c>
      <c r="Q90" s="8">
        <v>1</v>
      </c>
      <c r="R90" s="8">
        <v>0</v>
      </c>
      <c r="S90" s="16">
        <v>1</v>
      </c>
      <c r="T90" s="16"/>
      <c r="U90" s="16" t="s">
        <v>53</v>
      </c>
      <c r="V90" s="16"/>
      <c r="W90" s="16" t="s">
        <v>53</v>
      </c>
      <c r="X90" s="7" t="s">
        <v>53</v>
      </c>
      <c r="Y90" s="16" t="s">
        <v>53</v>
      </c>
      <c r="Z90" s="16" t="s">
        <v>53</v>
      </c>
    </row>
    <row r="91" spans="2:26" ht="15" customHeight="1">
      <c r="B91" s="16" t="s">
        <v>662</v>
      </c>
      <c r="C91" s="16" t="s">
        <v>151</v>
      </c>
      <c r="D91" s="16" t="s">
        <v>70</v>
      </c>
      <c r="E91" s="16" t="s">
        <v>167</v>
      </c>
      <c r="F91" s="16" t="s">
        <v>663</v>
      </c>
      <c r="G91" s="8">
        <v>1</v>
      </c>
      <c r="H91" s="8">
        <v>0</v>
      </c>
      <c r="I91" s="8">
        <v>0</v>
      </c>
      <c r="J91" s="8">
        <v>1033</v>
      </c>
      <c r="K91" s="8">
        <v>0</v>
      </c>
      <c r="L91" s="8">
        <v>0</v>
      </c>
      <c r="M91" s="8">
        <v>0</v>
      </c>
      <c r="N91" s="8">
        <v>0</v>
      </c>
      <c r="O91" s="8">
        <v>0</v>
      </c>
      <c r="P91" s="8">
        <v>0</v>
      </c>
      <c r="Q91" s="8">
        <v>1</v>
      </c>
      <c r="R91" s="8">
        <v>0</v>
      </c>
      <c r="S91" s="16">
        <v>1</v>
      </c>
      <c r="T91" s="16"/>
      <c r="U91" s="16" t="s">
        <v>53</v>
      </c>
      <c r="V91" s="16"/>
      <c r="W91" s="16" t="s">
        <v>574</v>
      </c>
      <c r="X91" s="7" t="s">
        <v>574</v>
      </c>
      <c r="Y91" s="16" t="s">
        <v>53</v>
      </c>
      <c r="Z91" s="16" t="s">
        <v>53</v>
      </c>
    </row>
    <row r="92" spans="2:26" ht="15" customHeight="1">
      <c r="B92" s="16" t="s">
        <v>664</v>
      </c>
      <c r="C92" s="16" t="s">
        <v>151</v>
      </c>
      <c r="D92" s="16" t="s">
        <v>64</v>
      </c>
      <c r="E92" s="16" t="s">
        <v>167</v>
      </c>
      <c r="F92" s="16" t="s">
        <v>665</v>
      </c>
      <c r="G92" s="8">
        <v>1</v>
      </c>
      <c r="H92" s="8">
        <v>3</v>
      </c>
      <c r="I92" s="8">
        <v>786</v>
      </c>
      <c r="J92" s="8">
        <v>66349</v>
      </c>
      <c r="K92" s="8">
        <v>0</v>
      </c>
      <c r="L92" s="8">
        <v>0</v>
      </c>
      <c r="M92" s="8">
        <v>0</v>
      </c>
      <c r="N92" s="8">
        <v>0</v>
      </c>
      <c r="O92" s="8">
        <v>0</v>
      </c>
      <c r="P92" s="8">
        <v>0</v>
      </c>
      <c r="Q92" s="8">
        <v>1</v>
      </c>
      <c r="R92" s="8">
        <v>0</v>
      </c>
      <c r="S92" s="16">
        <v>1</v>
      </c>
      <c r="T92" s="16" t="s">
        <v>142</v>
      </c>
      <c r="U92" s="16" t="s">
        <v>356</v>
      </c>
      <c r="V92" s="16" t="s">
        <v>357</v>
      </c>
      <c r="W92" s="16" t="s">
        <v>574</v>
      </c>
      <c r="X92" s="7" t="s">
        <v>574</v>
      </c>
      <c r="Y92" s="16" t="s">
        <v>53</v>
      </c>
      <c r="Z92" s="16" t="s">
        <v>53</v>
      </c>
    </row>
    <row r="93" spans="2:26" ht="15" customHeight="1">
      <c r="B93" s="16" t="s">
        <v>666</v>
      </c>
      <c r="C93" s="16" t="s">
        <v>151</v>
      </c>
      <c r="D93" s="16" t="s">
        <v>64</v>
      </c>
      <c r="E93" s="16" t="s">
        <v>167</v>
      </c>
      <c r="F93" s="16" t="s">
        <v>667</v>
      </c>
      <c r="G93" s="8">
        <v>1</v>
      </c>
      <c r="H93" s="8">
        <v>2</v>
      </c>
      <c r="I93" s="8">
        <v>0</v>
      </c>
      <c r="J93" s="8">
        <v>50706</v>
      </c>
      <c r="K93" s="8">
        <v>0</v>
      </c>
      <c r="L93" s="8">
        <v>3</v>
      </c>
      <c r="M93" s="8">
        <v>3</v>
      </c>
      <c r="N93" s="8">
        <v>0</v>
      </c>
      <c r="O93" s="8">
        <v>0</v>
      </c>
      <c r="P93" s="8">
        <v>1</v>
      </c>
      <c r="Q93" s="8">
        <v>0</v>
      </c>
      <c r="R93" s="8">
        <v>0</v>
      </c>
      <c r="S93" s="16">
        <v>1</v>
      </c>
      <c r="T93" s="16" t="s">
        <v>142</v>
      </c>
      <c r="U93" s="16" t="s">
        <v>237</v>
      </c>
      <c r="V93" s="16" t="s">
        <v>238</v>
      </c>
      <c r="W93" s="16" t="s">
        <v>574</v>
      </c>
      <c r="X93" s="7" t="s">
        <v>574</v>
      </c>
      <c r="Y93" s="16" t="s">
        <v>53</v>
      </c>
      <c r="Z93" s="16" t="s">
        <v>53</v>
      </c>
    </row>
    <row r="94" spans="2:26" ht="15" customHeight="1">
      <c r="B94" s="16" t="s">
        <v>650</v>
      </c>
      <c r="C94" s="16" t="s">
        <v>151</v>
      </c>
      <c r="D94" s="16" t="s">
        <v>73</v>
      </c>
      <c r="E94" s="16" t="s">
        <v>156</v>
      </c>
      <c r="F94" s="16" t="s">
        <v>668</v>
      </c>
      <c r="G94" s="8">
        <v>1</v>
      </c>
      <c r="H94" s="8">
        <v>0</v>
      </c>
      <c r="I94" s="8">
        <v>0</v>
      </c>
      <c r="J94" s="8">
        <v>0</v>
      </c>
      <c r="K94" s="8">
        <v>0</v>
      </c>
      <c r="L94" s="8">
        <v>0</v>
      </c>
      <c r="M94" s="8">
        <v>0</v>
      </c>
      <c r="N94" s="8">
        <v>0</v>
      </c>
      <c r="O94" s="8">
        <v>0</v>
      </c>
      <c r="P94" s="8">
        <v>0</v>
      </c>
      <c r="Q94" s="8">
        <v>1</v>
      </c>
      <c r="R94" s="8">
        <v>0</v>
      </c>
      <c r="S94" s="16">
        <v>1</v>
      </c>
      <c r="T94" s="16"/>
      <c r="U94" s="16" t="s">
        <v>53</v>
      </c>
      <c r="V94" s="16"/>
      <c r="W94" s="16" t="s">
        <v>574</v>
      </c>
      <c r="X94" s="7" t="s">
        <v>574</v>
      </c>
      <c r="Y94" s="16" t="s">
        <v>53</v>
      </c>
      <c r="Z94" s="16" t="s">
        <v>53</v>
      </c>
    </row>
    <row r="95" spans="2:26" ht="15" customHeight="1">
      <c r="B95" s="16" t="s">
        <v>669</v>
      </c>
      <c r="C95" s="16" t="s">
        <v>151</v>
      </c>
      <c r="D95" s="16" t="s">
        <v>73</v>
      </c>
      <c r="E95" s="16" t="s">
        <v>156</v>
      </c>
      <c r="F95" s="16" t="s">
        <v>670</v>
      </c>
      <c r="G95" s="8">
        <v>1</v>
      </c>
      <c r="H95" s="8">
        <v>0</v>
      </c>
      <c r="I95" s="8">
        <v>0</v>
      </c>
      <c r="J95" s="8">
        <v>0</v>
      </c>
      <c r="K95" s="8">
        <v>0</v>
      </c>
      <c r="L95" s="8">
        <v>0</v>
      </c>
      <c r="M95" s="8">
        <v>0</v>
      </c>
      <c r="N95" s="8">
        <v>0</v>
      </c>
      <c r="O95" s="8">
        <v>0</v>
      </c>
      <c r="P95" s="8">
        <v>0</v>
      </c>
      <c r="Q95" s="8">
        <v>1</v>
      </c>
      <c r="R95" s="8">
        <v>0</v>
      </c>
      <c r="S95" s="16">
        <v>1</v>
      </c>
      <c r="T95" s="16"/>
      <c r="U95" s="16" t="s">
        <v>53</v>
      </c>
      <c r="V95" s="16"/>
      <c r="W95" s="16" t="s">
        <v>574</v>
      </c>
      <c r="X95" s="7" t="s">
        <v>574</v>
      </c>
      <c r="Y95" s="16" t="s">
        <v>53</v>
      </c>
      <c r="Z95" s="16" t="s">
        <v>53</v>
      </c>
    </row>
    <row r="96" spans="2:26" ht="15" customHeight="1">
      <c r="B96" s="16" t="s">
        <v>434</v>
      </c>
      <c r="C96" s="16" t="s">
        <v>151</v>
      </c>
      <c r="D96" s="16" t="s">
        <v>436</v>
      </c>
      <c r="E96" s="16" t="s">
        <v>167</v>
      </c>
      <c r="F96" s="16" t="s">
        <v>435</v>
      </c>
      <c r="G96" s="8">
        <v>1</v>
      </c>
      <c r="H96" s="8">
        <v>0</v>
      </c>
      <c r="I96" s="8">
        <v>81</v>
      </c>
      <c r="J96" s="8">
        <v>81</v>
      </c>
      <c r="K96" s="8">
        <v>0</v>
      </c>
      <c r="L96" s="8">
        <v>0</v>
      </c>
      <c r="M96" s="8">
        <v>0</v>
      </c>
      <c r="N96" s="8">
        <v>0</v>
      </c>
      <c r="O96" s="8">
        <v>0</v>
      </c>
      <c r="P96" s="8">
        <v>0</v>
      </c>
      <c r="Q96" s="8">
        <v>1</v>
      </c>
      <c r="R96" s="8">
        <v>0</v>
      </c>
      <c r="S96" s="16">
        <v>1</v>
      </c>
      <c r="T96" s="16" t="s">
        <v>142</v>
      </c>
      <c r="U96" s="16" t="s">
        <v>53</v>
      </c>
      <c r="V96" s="16"/>
      <c r="W96" s="16" t="s">
        <v>53</v>
      </c>
      <c r="X96" s="7" t="s">
        <v>53</v>
      </c>
      <c r="Y96" s="16" t="s">
        <v>53</v>
      </c>
      <c r="Z96" s="16" t="s">
        <v>53</v>
      </c>
    </row>
    <row r="97" spans="2:26" ht="15" customHeight="1">
      <c r="B97" s="16" t="s">
        <v>671</v>
      </c>
      <c r="C97" s="16" t="s">
        <v>151</v>
      </c>
      <c r="D97" s="16" t="s">
        <v>67</v>
      </c>
      <c r="E97" s="16" t="s">
        <v>156</v>
      </c>
      <c r="F97" s="16" t="s">
        <v>672</v>
      </c>
      <c r="G97" s="8">
        <v>1</v>
      </c>
      <c r="H97" s="8">
        <v>0</v>
      </c>
      <c r="I97" s="8">
        <v>1</v>
      </c>
      <c r="J97" s="8">
        <v>40156</v>
      </c>
      <c r="K97" s="8">
        <v>0</v>
      </c>
      <c r="L97" s="8">
        <v>0</v>
      </c>
      <c r="M97" s="8">
        <v>0</v>
      </c>
      <c r="N97" s="8">
        <v>0</v>
      </c>
      <c r="O97" s="8">
        <v>0</v>
      </c>
      <c r="P97" s="8">
        <v>0</v>
      </c>
      <c r="Q97" s="8">
        <v>1</v>
      </c>
      <c r="R97" s="8">
        <v>0</v>
      </c>
      <c r="S97" s="16">
        <v>1</v>
      </c>
      <c r="T97" s="16"/>
      <c r="U97" s="16" t="s">
        <v>53</v>
      </c>
      <c r="V97" s="16"/>
      <c r="W97" s="16" t="s">
        <v>53</v>
      </c>
      <c r="X97" s="7" t="s">
        <v>53</v>
      </c>
      <c r="Y97" s="16" t="s">
        <v>53</v>
      </c>
      <c r="Z97" s="16" t="s">
        <v>53</v>
      </c>
    </row>
    <row r="98" spans="2:26" ht="15" customHeight="1">
      <c r="B98" s="16" t="s">
        <v>673</v>
      </c>
      <c r="C98" s="16" t="s">
        <v>151</v>
      </c>
      <c r="D98" s="16" t="s">
        <v>70</v>
      </c>
      <c r="E98" s="16" t="s">
        <v>167</v>
      </c>
      <c r="F98" s="16" t="s">
        <v>674</v>
      </c>
      <c r="G98" s="8">
        <v>1</v>
      </c>
      <c r="H98" s="8">
        <v>0</v>
      </c>
      <c r="I98" s="8">
        <v>0</v>
      </c>
      <c r="J98" s="8">
        <v>30711</v>
      </c>
      <c r="K98" s="8">
        <v>0</v>
      </c>
      <c r="L98" s="8">
        <v>0</v>
      </c>
      <c r="M98" s="8">
        <v>0</v>
      </c>
      <c r="N98" s="8">
        <v>0</v>
      </c>
      <c r="O98" s="8">
        <v>0</v>
      </c>
      <c r="P98" s="8">
        <v>0</v>
      </c>
      <c r="Q98" s="8">
        <v>1</v>
      </c>
      <c r="R98" s="8">
        <v>0</v>
      </c>
      <c r="S98" s="16">
        <v>1</v>
      </c>
      <c r="T98" s="16"/>
      <c r="U98" s="16" t="s">
        <v>53</v>
      </c>
      <c r="V98" s="16"/>
      <c r="W98" s="16" t="s">
        <v>574</v>
      </c>
      <c r="X98" s="7" t="s">
        <v>574</v>
      </c>
      <c r="Y98" s="16" t="s">
        <v>53</v>
      </c>
      <c r="Z98" s="16" t="s">
        <v>53</v>
      </c>
    </row>
    <row r="99" spans="2:26" ht="15" customHeight="1">
      <c r="B99" s="16" t="s">
        <v>437</v>
      </c>
      <c r="C99" s="16" t="s">
        <v>151</v>
      </c>
      <c r="D99" s="16" t="s">
        <v>70</v>
      </c>
      <c r="E99" s="16" t="s">
        <v>153</v>
      </c>
      <c r="F99" s="16" t="s">
        <v>438</v>
      </c>
      <c r="G99" s="8">
        <v>1</v>
      </c>
      <c r="H99" s="8">
        <v>180</v>
      </c>
      <c r="I99" s="8">
        <v>1987</v>
      </c>
      <c r="J99" s="8">
        <v>1987</v>
      </c>
      <c r="K99" s="8">
        <v>473</v>
      </c>
      <c r="L99" s="8">
        <v>28</v>
      </c>
      <c r="M99" s="8">
        <v>28</v>
      </c>
      <c r="N99" s="8">
        <v>0</v>
      </c>
      <c r="O99" s="8">
        <v>0</v>
      </c>
      <c r="P99" s="8">
        <v>1</v>
      </c>
      <c r="Q99" s="8">
        <v>0</v>
      </c>
      <c r="R99" s="8">
        <v>0</v>
      </c>
      <c r="S99" s="16">
        <v>1</v>
      </c>
      <c r="T99" s="16"/>
      <c r="U99" s="16" t="s">
        <v>53</v>
      </c>
      <c r="V99" s="16"/>
      <c r="W99" s="16" t="s">
        <v>53</v>
      </c>
      <c r="X99" s="7" t="s">
        <v>53</v>
      </c>
      <c r="Y99" s="16" t="s">
        <v>53</v>
      </c>
      <c r="Z99" s="16" t="s">
        <v>53</v>
      </c>
    </row>
    <row r="100" spans="2:26" ht="15" customHeight="1">
      <c r="B100" s="16" t="s">
        <v>675</v>
      </c>
      <c r="C100" s="16" t="s">
        <v>215</v>
      </c>
      <c r="D100" s="16" t="s">
        <v>64</v>
      </c>
      <c r="E100" s="16" t="s">
        <v>167</v>
      </c>
      <c r="F100" s="16" t="s">
        <v>676</v>
      </c>
      <c r="G100" s="8">
        <v>1</v>
      </c>
      <c r="H100" s="8">
        <v>3</v>
      </c>
      <c r="I100" s="8">
        <v>171</v>
      </c>
      <c r="J100" s="8">
        <v>98770</v>
      </c>
      <c r="K100" s="8">
        <v>0</v>
      </c>
      <c r="L100" s="8">
        <v>1</v>
      </c>
      <c r="M100" s="8">
        <v>1</v>
      </c>
      <c r="N100" s="8">
        <v>0</v>
      </c>
      <c r="O100" s="8">
        <v>0</v>
      </c>
      <c r="P100" s="8">
        <v>0</v>
      </c>
      <c r="Q100" s="8">
        <v>1</v>
      </c>
      <c r="R100" s="8">
        <v>0</v>
      </c>
      <c r="S100" s="16">
        <v>1</v>
      </c>
      <c r="T100" s="16" t="s">
        <v>142</v>
      </c>
      <c r="U100" s="16" t="s">
        <v>208</v>
      </c>
      <c r="V100" s="16" t="s">
        <v>547</v>
      </c>
      <c r="W100" s="16" t="s">
        <v>574</v>
      </c>
      <c r="X100" s="7" t="s">
        <v>574</v>
      </c>
      <c r="Y100" s="16" t="s">
        <v>53</v>
      </c>
      <c r="Z100" s="16" t="s">
        <v>53</v>
      </c>
    </row>
    <row r="101" spans="2:26" ht="15" customHeight="1">
      <c r="B101" s="16" t="s">
        <v>441</v>
      </c>
      <c r="C101" s="16" t="s">
        <v>151</v>
      </c>
      <c r="D101" s="16" t="s">
        <v>70</v>
      </c>
      <c r="E101" s="16" t="s">
        <v>153</v>
      </c>
      <c r="F101" s="16" t="s">
        <v>442</v>
      </c>
      <c r="G101" s="8">
        <v>1</v>
      </c>
      <c r="H101" s="8">
        <v>170</v>
      </c>
      <c r="I101" s="8">
        <v>1878</v>
      </c>
      <c r="J101" s="8">
        <v>1878</v>
      </c>
      <c r="K101" s="8">
        <v>483</v>
      </c>
      <c r="L101" s="8">
        <v>8</v>
      </c>
      <c r="M101" s="8">
        <v>8</v>
      </c>
      <c r="N101" s="8">
        <v>0</v>
      </c>
      <c r="O101" s="8">
        <v>0</v>
      </c>
      <c r="P101" s="8">
        <v>0</v>
      </c>
      <c r="Q101" s="8">
        <v>1</v>
      </c>
      <c r="R101" s="8">
        <v>0</v>
      </c>
      <c r="S101" s="16">
        <v>1</v>
      </c>
      <c r="T101" s="16"/>
      <c r="U101" s="16" t="s">
        <v>53</v>
      </c>
      <c r="V101" s="16"/>
      <c r="W101" s="16" t="s">
        <v>53</v>
      </c>
      <c r="X101" s="7" t="s">
        <v>53</v>
      </c>
      <c r="Y101" s="16" t="s">
        <v>53</v>
      </c>
      <c r="Z101" s="16" t="s">
        <v>53</v>
      </c>
    </row>
    <row r="102" spans="2:26" ht="15" customHeight="1">
      <c r="B102" s="16" t="s">
        <v>677</v>
      </c>
      <c r="C102" s="16" t="s">
        <v>151</v>
      </c>
      <c r="D102" s="16" t="s">
        <v>70</v>
      </c>
      <c r="E102" s="16" t="s">
        <v>167</v>
      </c>
      <c r="F102" s="16" t="s">
        <v>678</v>
      </c>
      <c r="G102" s="8">
        <v>1</v>
      </c>
      <c r="H102" s="8">
        <v>0</v>
      </c>
      <c r="I102" s="8">
        <v>0</v>
      </c>
      <c r="J102" s="8">
        <v>329</v>
      </c>
      <c r="K102" s="8">
        <v>0</v>
      </c>
      <c r="L102" s="8">
        <v>0</v>
      </c>
      <c r="M102" s="8">
        <v>0</v>
      </c>
      <c r="N102" s="8">
        <v>0</v>
      </c>
      <c r="O102" s="8">
        <v>0</v>
      </c>
      <c r="P102" s="8">
        <v>0</v>
      </c>
      <c r="Q102" s="8">
        <v>1</v>
      </c>
      <c r="R102" s="8">
        <v>0</v>
      </c>
      <c r="S102" s="16">
        <v>1</v>
      </c>
      <c r="T102" s="16"/>
      <c r="U102" s="16" t="s">
        <v>53</v>
      </c>
      <c r="V102" s="16"/>
      <c r="W102" s="16" t="s">
        <v>574</v>
      </c>
      <c r="X102" s="7" t="s">
        <v>574</v>
      </c>
      <c r="Y102" s="16" t="s">
        <v>53</v>
      </c>
      <c r="Z102" s="16" t="s">
        <v>53</v>
      </c>
    </row>
    <row r="103" spans="2:26" ht="15" customHeight="1">
      <c r="B103" s="16" t="s">
        <v>679</v>
      </c>
      <c r="C103" s="16" t="s">
        <v>151</v>
      </c>
      <c r="D103" s="16" t="s">
        <v>90</v>
      </c>
      <c r="E103" s="16" t="s">
        <v>167</v>
      </c>
      <c r="F103" s="16" t="s">
        <v>680</v>
      </c>
      <c r="G103" s="8">
        <v>1</v>
      </c>
      <c r="H103" s="8">
        <v>0</v>
      </c>
      <c r="I103" s="8">
        <v>31</v>
      </c>
      <c r="J103" s="8">
        <v>148</v>
      </c>
      <c r="K103" s="8">
        <v>0</v>
      </c>
      <c r="L103" s="8">
        <v>0</v>
      </c>
      <c r="M103" s="8">
        <v>0</v>
      </c>
      <c r="N103" s="8">
        <v>0</v>
      </c>
      <c r="O103" s="8">
        <v>0</v>
      </c>
      <c r="P103" s="8">
        <v>0</v>
      </c>
      <c r="Q103" s="8">
        <v>1</v>
      </c>
      <c r="R103" s="8">
        <v>0</v>
      </c>
      <c r="S103" s="16">
        <v>1</v>
      </c>
      <c r="T103" s="16"/>
      <c r="U103" s="16" t="s">
        <v>53</v>
      </c>
      <c r="V103" s="16"/>
      <c r="W103" s="16" t="s">
        <v>574</v>
      </c>
      <c r="X103" s="7" t="s">
        <v>574</v>
      </c>
      <c r="Y103" s="16" t="s">
        <v>53</v>
      </c>
      <c r="Z103" s="16" t="s">
        <v>53</v>
      </c>
    </row>
    <row r="104" spans="2:26" ht="15" customHeight="1">
      <c r="B104" s="16" t="s">
        <v>681</v>
      </c>
      <c r="C104" s="16" t="s">
        <v>151</v>
      </c>
      <c r="D104" s="16" t="s">
        <v>76</v>
      </c>
      <c r="E104" s="16" t="s">
        <v>167</v>
      </c>
      <c r="F104" s="16" t="s">
        <v>682</v>
      </c>
      <c r="G104" s="8">
        <v>1</v>
      </c>
      <c r="H104" s="8">
        <v>0</v>
      </c>
      <c r="I104" s="8">
        <v>59</v>
      </c>
      <c r="J104" s="8">
        <v>0</v>
      </c>
      <c r="K104" s="8">
        <v>0</v>
      </c>
      <c r="L104" s="8">
        <v>0</v>
      </c>
      <c r="M104" s="8">
        <v>0</v>
      </c>
      <c r="N104" s="8">
        <v>0</v>
      </c>
      <c r="O104" s="8">
        <v>0</v>
      </c>
      <c r="P104" s="8">
        <v>0</v>
      </c>
      <c r="Q104" s="8">
        <v>1</v>
      </c>
      <c r="R104" s="8">
        <v>0</v>
      </c>
      <c r="S104" s="16">
        <v>1</v>
      </c>
      <c r="T104" s="16"/>
      <c r="U104" s="16" t="s">
        <v>53</v>
      </c>
      <c r="V104" s="16"/>
      <c r="W104" s="16" t="s">
        <v>574</v>
      </c>
      <c r="X104" s="7" t="s">
        <v>574</v>
      </c>
      <c r="Y104" s="16" t="s">
        <v>53</v>
      </c>
      <c r="Z104" s="16" t="s">
        <v>53</v>
      </c>
    </row>
    <row r="105" spans="2:26" ht="15" customHeight="1">
      <c r="B105" s="16" t="s">
        <v>683</v>
      </c>
      <c r="C105" s="16" t="s">
        <v>151</v>
      </c>
      <c r="D105" s="16" t="s">
        <v>92</v>
      </c>
      <c r="E105" s="16" t="s">
        <v>167</v>
      </c>
      <c r="F105" s="16" t="s">
        <v>684</v>
      </c>
      <c r="G105" s="8">
        <v>1</v>
      </c>
      <c r="H105" s="8">
        <v>0</v>
      </c>
      <c r="I105" s="8">
        <v>1</v>
      </c>
      <c r="J105" s="8">
        <v>0</v>
      </c>
      <c r="K105" s="8">
        <v>0</v>
      </c>
      <c r="L105" s="8">
        <v>0</v>
      </c>
      <c r="M105" s="8">
        <v>0</v>
      </c>
      <c r="N105" s="8">
        <v>0</v>
      </c>
      <c r="O105" s="8">
        <v>0</v>
      </c>
      <c r="P105" s="8">
        <v>0</v>
      </c>
      <c r="Q105" s="8">
        <v>1</v>
      </c>
      <c r="R105" s="8">
        <v>0</v>
      </c>
      <c r="S105" s="16">
        <v>1</v>
      </c>
      <c r="T105" s="16" t="s">
        <v>142</v>
      </c>
      <c r="U105" s="16" t="s">
        <v>481</v>
      </c>
      <c r="V105" s="16" t="s">
        <v>490</v>
      </c>
      <c r="W105" s="16" t="s">
        <v>574</v>
      </c>
      <c r="X105" s="7" t="s">
        <v>574</v>
      </c>
      <c r="Y105" s="16" t="s">
        <v>53</v>
      </c>
      <c r="Z105" s="16" t="s">
        <v>53</v>
      </c>
    </row>
    <row r="106" spans="2:26" ht="15" customHeight="1">
      <c r="B106" s="16" t="s">
        <v>685</v>
      </c>
      <c r="C106" s="16" t="s">
        <v>151</v>
      </c>
      <c r="D106" s="16" t="s">
        <v>76</v>
      </c>
      <c r="E106" s="16" t="s">
        <v>167</v>
      </c>
      <c r="F106" s="16" t="s">
        <v>686</v>
      </c>
      <c r="G106" s="8">
        <v>1</v>
      </c>
      <c r="H106" s="8">
        <v>0</v>
      </c>
      <c r="I106" s="8">
        <v>13</v>
      </c>
      <c r="J106" s="8">
        <v>0</v>
      </c>
      <c r="K106" s="8">
        <v>0</v>
      </c>
      <c r="L106" s="8">
        <v>2</v>
      </c>
      <c r="M106" s="8">
        <v>2</v>
      </c>
      <c r="N106" s="8">
        <v>0</v>
      </c>
      <c r="O106" s="8">
        <v>0</v>
      </c>
      <c r="P106" s="8">
        <v>0</v>
      </c>
      <c r="Q106" s="8">
        <v>1</v>
      </c>
      <c r="R106" s="8">
        <v>0</v>
      </c>
      <c r="S106" s="16">
        <v>1</v>
      </c>
      <c r="T106" s="16" t="s">
        <v>142</v>
      </c>
      <c r="U106" s="16" t="s">
        <v>187</v>
      </c>
      <c r="V106" s="16" t="s">
        <v>188</v>
      </c>
      <c r="W106" s="16" t="s">
        <v>571</v>
      </c>
      <c r="X106" s="7" t="s">
        <v>571</v>
      </c>
      <c r="Y106" s="16" t="s">
        <v>53</v>
      </c>
      <c r="Z106" s="16" t="s">
        <v>53</v>
      </c>
    </row>
    <row r="107" spans="2:26" ht="15" customHeight="1">
      <c r="B107" s="16" t="s">
        <v>687</v>
      </c>
      <c r="C107" s="16" t="s">
        <v>151</v>
      </c>
      <c r="D107" s="16" t="s">
        <v>76</v>
      </c>
      <c r="E107" s="16" t="s">
        <v>167</v>
      </c>
      <c r="F107" s="16" t="s">
        <v>688</v>
      </c>
      <c r="G107" s="8">
        <v>1</v>
      </c>
      <c r="H107" s="8">
        <v>0</v>
      </c>
      <c r="I107" s="8">
        <v>13</v>
      </c>
      <c r="J107" s="8">
        <v>311</v>
      </c>
      <c r="K107" s="8">
        <v>0</v>
      </c>
      <c r="L107" s="8">
        <v>0</v>
      </c>
      <c r="M107" s="8">
        <v>0</v>
      </c>
      <c r="N107" s="8">
        <v>0</v>
      </c>
      <c r="O107" s="8">
        <v>0</v>
      </c>
      <c r="P107" s="8">
        <v>0</v>
      </c>
      <c r="Q107" s="8">
        <v>0</v>
      </c>
      <c r="R107" s="8">
        <v>1</v>
      </c>
      <c r="S107" s="16">
        <v>1</v>
      </c>
      <c r="T107" s="16"/>
      <c r="U107" s="16" t="s">
        <v>53</v>
      </c>
      <c r="V107" s="16"/>
      <c r="W107" s="16" t="s">
        <v>574</v>
      </c>
      <c r="X107" s="7" t="s">
        <v>574</v>
      </c>
      <c r="Y107" s="16" t="s">
        <v>53</v>
      </c>
      <c r="Z107" s="16" t="s">
        <v>53</v>
      </c>
    </row>
    <row r="108" spans="2:26" ht="15" customHeight="1">
      <c r="B108" s="16" t="s">
        <v>689</v>
      </c>
      <c r="C108" s="16" t="s">
        <v>151</v>
      </c>
      <c r="D108" s="16" t="s">
        <v>106</v>
      </c>
      <c r="E108" s="16" t="s">
        <v>167</v>
      </c>
      <c r="F108" s="16" t="s">
        <v>690</v>
      </c>
      <c r="G108" s="8">
        <v>1</v>
      </c>
      <c r="H108" s="8">
        <v>0</v>
      </c>
      <c r="I108" s="8">
        <v>1</v>
      </c>
      <c r="J108" s="8">
        <v>0</v>
      </c>
      <c r="K108" s="8">
        <v>0</v>
      </c>
      <c r="L108" s="8">
        <v>0</v>
      </c>
      <c r="M108" s="8">
        <v>0</v>
      </c>
      <c r="N108" s="8">
        <v>0</v>
      </c>
      <c r="O108" s="8">
        <v>0</v>
      </c>
      <c r="P108" s="8">
        <v>0</v>
      </c>
      <c r="Q108" s="8">
        <v>1</v>
      </c>
      <c r="R108" s="8">
        <v>0</v>
      </c>
      <c r="S108" s="16">
        <v>1</v>
      </c>
      <c r="T108" s="16" t="s">
        <v>142</v>
      </c>
      <c r="U108" s="16" t="s">
        <v>263</v>
      </c>
      <c r="V108" s="16" t="s">
        <v>546</v>
      </c>
      <c r="W108" s="16" t="s">
        <v>53</v>
      </c>
      <c r="X108" s="7" t="s">
        <v>53</v>
      </c>
      <c r="Y108" s="16" t="s">
        <v>53</v>
      </c>
      <c r="Z108" s="16" t="s">
        <v>53</v>
      </c>
    </row>
    <row r="109" spans="2:26" ht="15" customHeight="1">
      <c r="B109" s="16" t="s">
        <v>691</v>
      </c>
      <c r="C109" s="16" t="s">
        <v>151</v>
      </c>
      <c r="D109" s="16" t="s">
        <v>80</v>
      </c>
      <c r="E109" s="16" t="s">
        <v>156</v>
      </c>
      <c r="F109" s="16" t="s">
        <v>692</v>
      </c>
      <c r="G109" s="8">
        <v>1</v>
      </c>
      <c r="H109" s="8">
        <v>0</v>
      </c>
      <c r="I109" s="8" t="s">
        <v>82</v>
      </c>
      <c r="J109" s="8" t="s">
        <v>82</v>
      </c>
      <c r="K109" s="8">
        <v>0</v>
      </c>
      <c r="L109" s="8" t="s">
        <v>82</v>
      </c>
      <c r="M109" s="8">
        <v>0</v>
      </c>
      <c r="N109" s="8">
        <v>0</v>
      </c>
      <c r="O109" s="8">
        <v>0</v>
      </c>
      <c r="P109" s="8">
        <v>1</v>
      </c>
      <c r="Q109" s="8">
        <v>0</v>
      </c>
      <c r="R109" s="8">
        <v>0</v>
      </c>
      <c r="S109" s="16">
        <v>1</v>
      </c>
      <c r="T109" s="16"/>
      <c r="U109" s="16" t="s">
        <v>53</v>
      </c>
      <c r="V109" s="16"/>
      <c r="W109" s="16" t="s">
        <v>53</v>
      </c>
      <c r="X109" s="7" t="s">
        <v>53</v>
      </c>
      <c r="Y109" s="16" t="s">
        <v>53</v>
      </c>
      <c r="Z109" s="16" t="s">
        <v>53</v>
      </c>
    </row>
    <row r="110" spans="2:26" ht="15" customHeight="1">
      <c r="B110" s="16" t="s">
        <v>258</v>
      </c>
      <c r="C110" s="16" t="s">
        <v>151</v>
      </c>
      <c r="D110" s="16" t="s">
        <v>70</v>
      </c>
      <c r="E110" s="16" t="s">
        <v>153</v>
      </c>
      <c r="F110" s="16" t="s">
        <v>259</v>
      </c>
      <c r="G110" s="8">
        <v>1</v>
      </c>
      <c r="H110" s="8">
        <v>0</v>
      </c>
      <c r="I110" s="8">
        <v>329</v>
      </c>
      <c r="J110" s="8">
        <v>329</v>
      </c>
      <c r="K110" s="8">
        <v>0</v>
      </c>
      <c r="L110" s="8">
        <v>0</v>
      </c>
      <c r="M110" s="8">
        <v>0</v>
      </c>
      <c r="N110" s="8">
        <v>0</v>
      </c>
      <c r="O110" s="8">
        <v>0</v>
      </c>
      <c r="P110" s="8">
        <v>0</v>
      </c>
      <c r="Q110" s="8">
        <v>1</v>
      </c>
      <c r="R110" s="8">
        <v>0</v>
      </c>
      <c r="S110" s="16">
        <v>1</v>
      </c>
      <c r="T110" s="16"/>
      <c r="U110" s="16" t="s">
        <v>53</v>
      </c>
      <c r="V110" s="16"/>
      <c r="W110" s="16" t="s">
        <v>53</v>
      </c>
      <c r="X110" s="7" t="s">
        <v>53</v>
      </c>
      <c r="Y110" s="16" t="s">
        <v>53</v>
      </c>
      <c r="Z110" s="16" t="s">
        <v>53</v>
      </c>
    </row>
    <row r="111" spans="2:26" ht="15" customHeight="1">
      <c r="B111" s="16" t="s">
        <v>446</v>
      </c>
      <c r="C111" s="16" t="s">
        <v>151</v>
      </c>
      <c r="D111" s="16" t="s">
        <v>64</v>
      </c>
      <c r="E111" s="16" t="s">
        <v>153</v>
      </c>
      <c r="F111" s="16" t="s">
        <v>447</v>
      </c>
      <c r="G111" s="8">
        <v>1</v>
      </c>
      <c r="H111" s="8">
        <v>0</v>
      </c>
      <c r="I111" s="8">
        <v>50</v>
      </c>
      <c r="J111" s="8">
        <v>50</v>
      </c>
      <c r="K111" s="8">
        <v>7</v>
      </c>
      <c r="L111" s="8">
        <v>0</v>
      </c>
      <c r="M111" s="8">
        <v>0</v>
      </c>
      <c r="N111" s="8">
        <v>0</v>
      </c>
      <c r="O111" s="8">
        <v>0</v>
      </c>
      <c r="P111" s="8">
        <v>0</v>
      </c>
      <c r="Q111" s="8">
        <v>1</v>
      </c>
      <c r="R111" s="8">
        <v>0</v>
      </c>
      <c r="S111" s="16">
        <v>1</v>
      </c>
      <c r="T111" s="16" t="s">
        <v>142</v>
      </c>
      <c r="U111" s="16" t="s">
        <v>168</v>
      </c>
      <c r="V111" s="16" t="s">
        <v>169</v>
      </c>
      <c r="W111" s="16" t="s">
        <v>53</v>
      </c>
      <c r="X111" s="7" t="s">
        <v>53</v>
      </c>
      <c r="Y111" s="16" t="s">
        <v>53</v>
      </c>
      <c r="Z111" s="16" t="s">
        <v>53</v>
      </c>
    </row>
    <row r="112" spans="2:26" ht="15" customHeight="1">
      <c r="B112" s="16" t="s">
        <v>693</v>
      </c>
      <c r="C112" s="16" t="s">
        <v>123</v>
      </c>
      <c r="D112" s="16" t="s">
        <v>64</v>
      </c>
      <c r="E112" s="16" t="s">
        <v>167</v>
      </c>
      <c r="F112" s="16" t="s">
        <v>694</v>
      </c>
      <c r="G112" s="8">
        <v>1</v>
      </c>
      <c r="H112" s="8">
        <v>1</v>
      </c>
      <c r="I112" s="8">
        <v>0</v>
      </c>
      <c r="J112" s="8">
        <v>22118</v>
      </c>
      <c r="K112" s="8">
        <v>0</v>
      </c>
      <c r="L112" s="8">
        <v>3</v>
      </c>
      <c r="M112" s="8">
        <v>3</v>
      </c>
      <c r="N112" s="8">
        <v>0</v>
      </c>
      <c r="O112" s="8">
        <v>0</v>
      </c>
      <c r="P112" s="8">
        <v>1</v>
      </c>
      <c r="Q112" s="8">
        <v>0</v>
      </c>
      <c r="R112" s="8">
        <v>0</v>
      </c>
      <c r="S112" s="16">
        <v>1</v>
      </c>
      <c r="T112" s="16"/>
      <c r="U112" s="16" t="s">
        <v>53</v>
      </c>
      <c r="V112" s="16"/>
      <c r="W112" s="16" t="s">
        <v>574</v>
      </c>
      <c r="X112" s="7" t="s">
        <v>574</v>
      </c>
      <c r="Y112" s="16" t="s">
        <v>53</v>
      </c>
      <c r="Z112" s="16" t="s">
        <v>53</v>
      </c>
    </row>
    <row r="113" spans="2:26" ht="15" customHeight="1">
      <c r="B113" s="16" t="s">
        <v>695</v>
      </c>
      <c r="C113" s="16" t="s">
        <v>151</v>
      </c>
      <c r="D113" s="16" t="s">
        <v>64</v>
      </c>
      <c r="E113" s="16" t="s">
        <v>167</v>
      </c>
      <c r="F113" s="16" t="s">
        <v>696</v>
      </c>
      <c r="G113" s="8">
        <v>1</v>
      </c>
      <c r="H113" s="8">
        <v>1</v>
      </c>
      <c r="I113" s="8">
        <v>0</v>
      </c>
      <c r="J113" s="8">
        <v>13924</v>
      </c>
      <c r="K113" s="8">
        <v>0</v>
      </c>
      <c r="L113" s="8">
        <v>2</v>
      </c>
      <c r="M113" s="8">
        <v>2</v>
      </c>
      <c r="N113" s="8">
        <v>0</v>
      </c>
      <c r="O113" s="8">
        <v>0</v>
      </c>
      <c r="P113" s="8">
        <v>1</v>
      </c>
      <c r="Q113" s="8">
        <v>0</v>
      </c>
      <c r="R113" s="8">
        <v>0</v>
      </c>
      <c r="S113" s="16">
        <v>1</v>
      </c>
      <c r="T113" s="16"/>
      <c r="U113" s="16" t="s">
        <v>53</v>
      </c>
      <c r="V113" s="16"/>
      <c r="W113" s="16" t="s">
        <v>574</v>
      </c>
      <c r="X113" s="7" t="s">
        <v>574</v>
      </c>
      <c r="Y113" s="16" t="s">
        <v>53</v>
      </c>
      <c r="Z113" s="16" t="s">
        <v>53</v>
      </c>
    </row>
    <row r="114" spans="2:26" ht="15" customHeight="1">
      <c r="B114" s="16" t="s">
        <v>697</v>
      </c>
      <c r="C114" s="16" t="s">
        <v>151</v>
      </c>
      <c r="D114" s="16" t="s">
        <v>76</v>
      </c>
      <c r="E114" s="16" t="s">
        <v>167</v>
      </c>
      <c r="F114" s="16" t="s">
        <v>698</v>
      </c>
      <c r="G114" s="8">
        <v>1</v>
      </c>
      <c r="H114" s="8">
        <v>0</v>
      </c>
      <c r="I114" s="8">
        <v>2</v>
      </c>
      <c r="J114" s="8">
        <v>1</v>
      </c>
      <c r="K114" s="8">
        <v>0</v>
      </c>
      <c r="L114" s="8">
        <v>0</v>
      </c>
      <c r="M114" s="8">
        <v>0</v>
      </c>
      <c r="N114" s="8">
        <v>0</v>
      </c>
      <c r="O114" s="8">
        <v>0</v>
      </c>
      <c r="P114" s="8">
        <v>0</v>
      </c>
      <c r="Q114" s="8">
        <v>1</v>
      </c>
      <c r="R114" s="8">
        <v>0</v>
      </c>
      <c r="S114" s="16">
        <v>1</v>
      </c>
      <c r="T114" s="16"/>
      <c r="U114" s="16" t="s">
        <v>53</v>
      </c>
      <c r="V114" s="16"/>
      <c r="W114" s="16" t="s">
        <v>574</v>
      </c>
      <c r="X114" s="7" t="s">
        <v>574</v>
      </c>
      <c r="Y114" s="16" t="s">
        <v>53</v>
      </c>
      <c r="Z114" s="16" t="s">
        <v>53</v>
      </c>
    </row>
    <row r="115" spans="2:26" ht="15" customHeight="1">
      <c r="B115" s="16" t="s">
        <v>699</v>
      </c>
      <c r="C115" s="16" t="s">
        <v>151</v>
      </c>
      <c r="D115" s="16" t="s">
        <v>67</v>
      </c>
      <c r="E115" s="16" t="s">
        <v>167</v>
      </c>
      <c r="F115" s="16" t="s">
        <v>700</v>
      </c>
      <c r="G115" s="8">
        <v>1</v>
      </c>
      <c r="H115" s="8">
        <v>0</v>
      </c>
      <c r="I115" s="8">
        <v>1</v>
      </c>
      <c r="J115" s="8">
        <v>170966</v>
      </c>
      <c r="K115" s="8">
        <v>0</v>
      </c>
      <c r="L115" s="8">
        <v>1</v>
      </c>
      <c r="M115" s="8">
        <v>1</v>
      </c>
      <c r="N115" s="8">
        <v>0</v>
      </c>
      <c r="O115" s="8">
        <v>0</v>
      </c>
      <c r="P115" s="8">
        <v>0</v>
      </c>
      <c r="Q115" s="8">
        <v>1</v>
      </c>
      <c r="R115" s="8">
        <v>0</v>
      </c>
      <c r="S115" s="16">
        <v>1</v>
      </c>
      <c r="T115" s="16"/>
      <c r="U115" s="16" t="s">
        <v>53</v>
      </c>
      <c r="V115" s="16"/>
      <c r="W115" s="16" t="s">
        <v>574</v>
      </c>
      <c r="X115" s="7" t="s">
        <v>574</v>
      </c>
      <c r="Y115" s="16" t="s">
        <v>53</v>
      </c>
      <c r="Z115" s="16" t="s">
        <v>53</v>
      </c>
    </row>
    <row r="116" spans="2:26" ht="15" customHeight="1">
      <c r="B116" s="16" t="s">
        <v>701</v>
      </c>
      <c r="C116" s="16" t="s">
        <v>151</v>
      </c>
      <c r="D116" s="16" t="s">
        <v>70</v>
      </c>
      <c r="E116" s="16" t="s">
        <v>167</v>
      </c>
      <c r="F116" s="16" t="s">
        <v>702</v>
      </c>
      <c r="G116" s="8">
        <v>1</v>
      </c>
      <c r="H116" s="8">
        <v>0</v>
      </c>
      <c r="I116" s="8">
        <v>0</v>
      </c>
      <c r="J116" s="8">
        <v>15117</v>
      </c>
      <c r="K116" s="8">
        <v>0</v>
      </c>
      <c r="L116" s="8">
        <v>0</v>
      </c>
      <c r="M116" s="8">
        <v>0</v>
      </c>
      <c r="N116" s="8">
        <v>0</v>
      </c>
      <c r="O116" s="8">
        <v>0</v>
      </c>
      <c r="P116" s="8">
        <v>0</v>
      </c>
      <c r="Q116" s="8">
        <v>1</v>
      </c>
      <c r="R116" s="8">
        <v>0</v>
      </c>
      <c r="S116" s="16">
        <v>1</v>
      </c>
      <c r="T116" s="16"/>
      <c r="U116" s="16" t="s">
        <v>53</v>
      </c>
      <c r="V116" s="16"/>
      <c r="W116" s="16" t="s">
        <v>571</v>
      </c>
      <c r="X116" s="7" t="s">
        <v>571</v>
      </c>
      <c r="Y116" s="16" t="s">
        <v>53</v>
      </c>
      <c r="Z116" s="16" t="s">
        <v>53</v>
      </c>
    </row>
    <row r="117" spans="2:26" ht="15" customHeight="1">
      <c r="B117" s="16" t="s">
        <v>703</v>
      </c>
      <c r="C117" s="16" t="s">
        <v>151</v>
      </c>
      <c r="D117" s="16" t="s">
        <v>80</v>
      </c>
      <c r="E117" s="16" t="s">
        <v>156</v>
      </c>
      <c r="F117" s="16" t="s">
        <v>704</v>
      </c>
      <c r="G117" s="8">
        <v>1</v>
      </c>
      <c r="H117" s="8">
        <v>0</v>
      </c>
      <c r="I117" s="8" t="s">
        <v>82</v>
      </c>
      <c r="J117" s="8" t="s">
        <v>82</v>
      </c>
      <c r="K117" s="8">
        <v>0</v>
      </c>
      <c r="L117" s="8" t="s">
        <v>82</v>
      </c>
      <c r="M117" s="8">
        <v>1</v>
      </c>
      <c r="N117" s="8">
        <v>0</v>
      </c>
      <c r="O117" s="8">
        <v>0</v>
      </c>
      <c r="P117" s="8">
        <v>1</v>
      </c>
      <c r="Q117" s="8">
        <v>0</v>
      </c>
      <c r="R117" s="8">
        <v>0</v>
      </c>
      <c r="S117" s="16">
        <v>1</v>
      </c>
      <c r="T117" s="16"/>
      <c r="U117" s="16" t="s">
        <v>53</v>
      </c>
      <c r="V117" s="16"/>
      <c r="W117" s="16" t="s">
        <v>53</v>
      </c>
      <c r="X117" s="7" t="s">
        <v>53</v>
      </c>
      <c r="Y117" s="16" t="s">
        <v>53</v>
      </c>
      <c r="Z117" s="16" t="s">
        <v>53</v>
      </c>
    </row>
    <row r="118" spans="2:26" ht="15" customHeight="1">
      <c r="B118" s="16" t="s">
        <v>705</v>
      </c>
      <c r="C118" s="16" t="s">
        <v>151</v>
      </c>
      <c r="D118" s="16" t="s">
        <v>84</v>
      </c>
      <c r="E118" s="16" t="s">
        <v>156</v>
      </c>
      <c r="F118" s="16" t="s">
        <v>706</v>
      </c>
      <c r="G118" s="8">
        <v>1</v>
      </c>
      <c r="H118" s="8">
        <v>0</v>
      </c>
      <c r="I118" s="8" t="s">
        <v>82</v>
      </c>
      <c r="J118" s="8" t="s">
        <v>82</v>
      </c>
      <c r="K118" s="8">
        <v>0</v>
      </c>
      <c r="L118" s="8" t="s">
        <v>82</v>
      </c>
      <c r="M118" s="8">
        <v>0</v>
      </c>
      <c r="N118" s="8">
        <v>0</v>
      </c>
      <c r="O118" s="8">
        <v>0</v>
      </c>
      <c r="P118" s="8">
        <v>1</v>
      </c>
      <c r="Q118" s="8">
        <v>0</v>
      </c>
      <c r="R118" s="8">
        <v>0</v>
      </c>
      <c r="S118" s="16">
        <v>1</v>
      </c>
      <c r="T118" s="16"/>
      <c r="U118" s="16" t="s">
        <v>53</v>
      </c>
      <c r="V118" s="16"/>
      <c r="W118" s="16" t="s">
        <v>53</v>
      </c>
      <c r="X118" s="7" t="s">
        <v>53</v>
      </c>
      <c r="Y118" s="16" t="s">
        <v>53</v>
      </c>
      <c r="Z118" s="16" t="s">
        <v>53</v>
      </c>
    </row>
    <row r="119" spans="2:26" ht="15" customHeight="1">
      <c r="B119" s="16" t="s">
        <v>707</v>
      </c>
      <c r="C119" s="16" t="s">
        <v>151</v>
      </c>
      <c r="D119" s="16" t="s">
        <v>84</v>
      </c>
      <c r="E119" s="16" t="s">
        <v>156</v>
      </c>
      <c r="F119" s="16" t="s">
        <v>708</v>
      </c>
      <c r="G119" s="8">
        <v>1</v>
      </c>
      <c r="H119" s="8">
        <v>0</v>
      </c>
      <c r="I119" s="8" t="s">
        <v>82</v>
      </c>
      <c r="J119" s="8" t="s">
        <v>82</v>
      </c>
      <c r="K119" s="8">
        <v>0</v>
      </c>
      <c r="L119" s="8" t="s">
        <v>82</v>
      </c>
      <c r="M119" s="8">
        <v>0</v>
      </c>
      <c r="N119" s="8">
        <v>0</v>
      </c>
      <c r="O119" s="8">
        <v>0</v>
      </c>
      <c r="P119" s="8">
        <v>1</v>
      </c>
      <c r="Q119" s="8">
        <v>0</v>
      </c>
      <c r="R119" s="8">
        <v>0</v>
      </c>
      <c r="S119" s="16">
        <v>1</v>
      </c>
      <c r="T119" s="16"/>
      <c r="U119" s="16" t="s">
        <v>53</v>
      </c>
      <c r="V119" s="16"/>
      <c r="W119" s="16" t="s">
        <v>571</v>
      </c>
      <c r="X119" s="7" t="s">
        <v>571</v>
      </c>
      <c r="Y119" s="16" t="s">
        <v>53</v>
      </c>
      <c r="Z119" s="16" t="s">
        <v>53</v>
      </c>
    </row>
    <row r="120" spans="2:26" ht="15" customHeight="1">
      <c r="B120" s="16" t="s">
        <v>709</v>
      </c>
      <c r="C120" s="16" t="s">
        <v>151</v>
      </c>
      <c r="D120" s="16" t="s">
        <v>84</v>
      </c>
      <c r="E120" s="16" t="s">
        <v>156</v>
      </c>
      <c r="F120" s="16" t="s">
        <v>710</v>
      </c>
      <c r="G120" s="8">
        <v>1</v>
      </c>
      <c r="H120" s="8">
        <v>0</v>
      </c>
      <c r="I120" s="8" t="s">
        <v>82</v>
      </c>
      <c r="J120" s="8" t="s">
        <v>82</v>
      </c>
      <c r="K120" s="8">
        <v>0</v>
      </c>
      <c r="L120" s="8" t="s">
        <v>82</v>
      </c>
      <c r="M120" s="8">
        <v>0</v>
      </c>
      <c r="N120" s="8">
        <v>0</v>
      </c>
      <c r="O120" s="8">
        <v>0</v>
      </c>
      <c r="P120" s="8">
        <v>1</v>
      </c>
      <c r="Q120" s="8">
        <v>0</v>
      </c>
      <c r="R120" s="8">
        <v>0</v>
      </c>
      <c r="S120" s="16">
        <v>1</v>
      </c>
      <c r="T120" s="16"/>
      <c r="U120" s="16" t="s">
        <v>53</v>
      </c>
      <c r="V120" s="16"/>
      <c r="W120" s="16" t="s">
        <v>571</v>
      </c>
      <c r="X120" s="7" t="s">
        <v>571</v>
      </c>
      <c r="Y120" s="16" t="s">
        <v>53</v>
      </c>
      <c r="Z120" s="16" t="s">
        <v>53</v>
      </c>
    </row>
    <row r="121" spans="2:26" ht="15" customHeight="1">
      <c r="B121" s="16" t="s">
        <v>711</v>
      </c>
      <c r="C121" s="16" t="s">
        <v>151</v>
      </c>
      <c r="D121" s="16" t="s">
        <v>84</v>
      </c>
      <c r="E121" s="16" t="s">
        <v>156</v>
      </c>
      <c r="F121" s="16" t="s">
        <v>712</v>
      </c>
      <c r="G121" s="8">
        <v>1</v>
      </c>
      <c r="H121" s="8">
        <v>0</v>
      </c>
      <c r="I121" s="8" t="s">
        <v>82</v>
      </c>
      <c r="J121" s="8" t="s">
        <v>82</v>
      </c>
      <c r="K121" s="8">
        <v>0</v>
      </c>
      <c r="L121" s="8" t="s">
        <v>82</v>
      </c>
      <c r="M121" s="8">
        <v>0</v>
      </c>
      <c r="N121" s="8">
        <v>0</v>
      </c>
      <c r="O121" s="8">
        <v>0</v>
      </c>
      <c r="P121" s="8">
        <v>1</v>
      </c>
      <c r="Q121" s="8">
        <v>0</v>
      </c>
      <c r="R121" s="8">
        <v>0</v>
      </c>
      <c r="S121" s="16">
        <v>1</v>
      </c>
      <c r="T121" s="16"/>
      <c r="U121" s="16" t="s">
        <v>53</v>
      </c>
      <c r="V121" s="16"/>
      <c r="W121" s="16" t="s">
        <v>574</v>
      </c>
      <c r="X121" s="7" t="s">
        <v>574</v>
      </c>
      <c r="Y121" s="16" t="s">
        <v>53</v>
      </c>
      <c r="Z121" s="16" t="s">
        <v>53</v>
      </c>
    </row>
    <row r="122" spans="2:26" ht="15" customHeight="1">
      <c r="B122" s="16" t="s">
        <v>713</v>
      </c>
      <c r="C122" s="16" t="s">
        <v>151</v>
      </c>
      <c r="D122" s="16" t="s">
        <v>84</v>
      </c>
      <c r="E122" s="16" t="s">
        <v>156</v>
      </c>
      <c r="F122" s="16" t="s">
        <v>714</v>
      </c>
      <c r="G122" s="8">
        <v>1</v>
      </c>
      <c r="H122" s="8">
        <v>0</v>
      </c>
      <c r="I122" s="8" t="s">
        <v>82</v>
      </c>
      <c r="J122" s="8" t="s">
        <v>82</v>
      </c>
      <c r="K122" s="8">
        <v>0</v>
      </c>
      <c r="L122" s="8" t="s">
        <v>82</v>
      </c>
      <c r="M122" s="8">
        <v>0</v>
      </c>
      <c r="N122" s="8">
        <v>0</v>
      </c>
      <c r="O122" s="8">
        <v>0</v>
      </c>
      <c r="P122" s="8">
        <v>1</v>
      </c>
      <c r="Q122" s="8">
        <v>0</v>
      </c>
      <c r="R122" s="8">
        <v>0</v>
      </c>
      <c r="S122" s="16">
        <v>1</v>
      </c>
      <c r="T122" s="16"/>
      <c r="U122" s="16" t="s">
        <v>53</v>
      </c>
      <c r="V122" s="16"/>
      <c r="W122" s="16" t="s">
        <v>571</v>
      </c>
      <c r="X122" s="7" t="s">
        <v>571</v>
      </c>
      <c r="Y122" s="16" t="s">
        <v>53</v>
      </c>
      <c r="Z122" s="16" t="s">
        <v>53</v>
      </c>
    </row>
    <row r="123" spans="2:26" ht="15" customHeight="1">
      <c r="B123" s="16" t="s">
        <v>715</v>
      </c>
      <c r="C123" s="16" t="s">
        <v>151</v>
      </c>
      <c r="D123" s="16" t="s">
        <v>67</v>
      </c>
      <c r="E123" s="16" t="s">
        <v>156</v>
      </c>
      <c r="F123" s="16" t="s">
        <v>716</v>
      </c>
      <c r="G123" s="8">
        <v>1</v>
      </c>
      <c r="H123" s="8">
        <v>0</v>
      </c>
      <c r="I123" s="8">
        <v>1</v>
      </c>
      <c r="J123" s="8">
        <v>2023</v>
      </c>
      <c r="K123" s="8">
        <v>0</v>
      </c>
      <c r="L123" s="8">
        <v>0</v>
      </c>
      <c r="M123" s="8">
        <v>0</v>
      </c>
      <c r="N123" s="8">
        <v>0</v>
      </c>
      <c r="O123" s="8">
        <v>0</v>
      </c>
      <c r="P123" s="8">
        <v>1</v>
      </c>
      <c r="Q123" s="8">
        <v>0</v>
      </c>
      <c r="R123" s="8">
        <v>0</v>
      </c>
      <c r="S123" s="16">
        <v>1</v>
      </c>
      <c r="T123" s="16"/>
      <c r="U123" s="16" t="s">
        <v>53</v>
      </c>
      <c r="V123" s="16"/>
      <c r="W123" s="16" t="s">
        <v>53</v>
      </c>
      <c r="X123" s="7" t="s">
        <v>53</v>
      </c>
      <c r="Y123" s="16" t="s">
        <v>53</v>
      </c>
      <c r="Z123" s="16" t="s">
        <v>53</v>
      </c>
    </row>
    <row r="124" spans="2:26" ht="15" customHeight="1">
      <c r="B124" s="16" t="s">
        <v>717</v>
      </c>
      <c r="C124" s="16" t="s">
        <v>151</v>
      </c>
      <c r="D124" s="16" t="s">
        <v>67</v>
      </c>
      <c r="E124" s="16" t="s">
        <v>156</v>
      </c>
      <c r="F124" s="16" t="s">
        <v>718</v>
      </c>
      <c r="G124" s="8">
        <v>1</v>
      </c>
      <c r="H124" s="8">
        <v>0</v>
      </c>
      <c r="I124" s="8">
        <v>1</v>
      </c>
      <c r="J124" s="8">
        <v>8389</v>
      </c>
      <c r="K124" s="8">
        <v>0</v>
      </c>
      <c r="L124" s="8">
        <v>0</v>
      </c>
      <c r="M124" s="8">
        <v>0</v>
      </c>
      <c r="N124" s="8">
        <v>0</v>
      </c>
      <c r="O124" s="8">
        <v>0</v>
      </c>
      <c r="P124" s="8">
        <v>0</v>
      </c>
      <c r="Q124" s="8">
        <v>1</v>
      </c>
      <c r="R124" s="8">
        <v>0</v>
      </c>
      <c r="S124" s="16">
        <v>1</v>
      </c>
      <c r="T124" s="16"/>
      <c r="U124" s="16" t="s">
        <v>53</v>
      </c>
      <c r="V124" s="16"/>
      <c r="W124" s="16" t="s">
        <v>53</v>
      </c>
      <c r="X124" s="7" t="s">
        <v>53</v>
      </c>
      <c r="Y124" s="16" t="s">
        <v>53</v>
      </c>
      <c r="Z124" s="16" t="s">
        <v>53</v>
      </c>
    </row>
    <row r="125" spans="2:26" ht="15" customHeight="1">
      <c r="B125" s="16" t="s">
        <v>475</v>
      </c>
      <c r="C125" s="16" t="s">
        <v>151</v>
      </c>
      <c r="D125" s="16" t="s">
        <v>86</v>
      </c>
      <c r="E125" s="16" t="s">
        <v>167</v>
      </c>
      <c r="F125" s="16" t="s">
        <v>476</v>
      </c>
      <c r="G125" s="8">
        <v>1</v>
      </c>
      <c r="H125" s="8">
        <v>0</v>
      </c>
      <c r="I125" s="8">
        <v>12</v>
      </c>
      <c r="J125" s="8">
        <v>12</v>
      </c>
      <c r="K125" s="8">
        <v>0</v>
      </c>
      <c r="L125" s="8">
        <v>0</v>
      </c>
      <c r="M125" s="8">
        <v>0</v>
      </c>
      <c r="N125" s="8">
        <v>0</v>
      </c>
      <c r="O125" s="8">
        <v>0</v>
      </c>
      <c r="P125" s="8">
        <v>0</v>
      </c>
      <c r="Q125" s="8">
        <v>1</v>
      </c>
      <c r="R125" s="8">
        <v>0</v>
      </c>
      <c r="S125" s="16">
        <v>1</v>
      </c>
      <c r="T125" s="16"/>
      <c r="U125" s="16" t="s">
        <v>53</v>
      </c>
      <c r="V125" s="16"/>
      <c r="W125" s="16" t="s">
        <v>574</v>
      </c>
      <c r="X125" s="7" t="s">
        <v>574</v>
      </c>
      <c r="Y125" s="16" t="s">
        <v>53</v>
      </c>
      <c r="Z125" s="16" t="s">
        <v>53</v>
      </c>
    </row>
    <row r="126" spans="2:26" ht="15" customHeight="1">
      <c r="B126" s="16" t="s">
        <v>719</v>
      </c>
      <c r="C126" s="16" t="s">
        <v>151</v>
      </c>
      <c r="D126" s="16" t="s">
        <v>73</v>
      </c>
      <c r="E126" s="16" t="s">
        <v>156</v>
      </c>
      <c r="F126" s="16" t="s">
        <v>720</v>
      </c>
      <c r="G126" s="8">
        <v>1</v>
      </c>
      <c r="H126" s="8">
        <v>0</v>
      </c>
      <c r="I126" s="8">
        <v>0</v>
      </c>
      <c r="J126" s="8">
        <v>0</v>
      </c>
      <c r="K126" s="8">
        <v>0</v>
      </c>
      <c r="L126" s="8">
        <v>0</v>
      </c>
      <c r="M126" s="8">
        <v>0</v>
      </c>
      <c r="N126" s="8">
        <v>0</v>
      </c>
      <c r="O126" s="8">
        <v>0</v>
      </c>
      <c r="P126" s="8">
        <v>1</v>
      </c>
      <c r="Q126" s="8">
        <v>0</v>
      </c>
      <c r="R126" s="8">
        <v>0</v>
      </c>
      <c r="S126" s="16">
        <v>1</v>
      </c>
      <c r="T126" s="16"/>
      <c r="U126" s="16" t="s">
        <v>53</v>
      </c>
      <c r="V126" s="16"/>
      <c r="W126" s="16" t="s">
        <v>571</v>
      </c>
      <c r="X126" s="7" t="s">
        <v>571</v>
      </c>
      <c r="Y126" s="16" t="s">
        <v>53</v>
      </c>
      <c r="Z126" s="16" t="s">
        <v>53</v>
      </c>
    </row>
    <row r="127" spans="2:26" ht="15" customHeight="1">
      <c r="B127" s="16" t="s">
        <v>697</v>
      </c>
      <c r="C127" s="16" t="s">
        <v>151</v>
      </c>
      <c r="D127" s="16" t="s">
        <v>76</v>
      </c>
      <c r="E127" s="16" t="s">
        <v>167</v>
      </c>
      <c r="F127" s="16" t="s">
        <v>721</v>
      </c>
      <c r="G127" s="8">
        <v>1</v>
      </c>
      <c r="H127" s="8">
        <v>0</v>
      </c>
      <c r="I127" s="8">
        <v>5</v>
      </c>
      <c r="J127" s="8">
        <v>0</v>
      </c>
      <c r="K127" s="8">
        <v>728</v>
      </c>
      <c r="L127" s="8">
        <v>25</v>
      </c>
      <c r="M127" s="8">
        <v>0</v>
      </c>
      <c r="N127" s="8">
        <v>25</v>
      </c>
      <c r="O127" s="8">
        <v>0</v>
      </c>
      <c r="P127" s="8">
        <v>0</v>
      </c>
      <c r="Q127" s="8">
        <v>1</v>
      </c>
      <c r="R127" s="8">
        <v>0</v>
      </c>
      <c r="S127" s="16">
        <v>1</v>
      </c>
      <c r="T127" s="16"/>
      <c r="U127" s="16" t="s">
        <v>53</v>
      </c>
      <c r="V127" s="16"/>
      <c r="W127" s="16" t="s">
        <v>574</v>
      </c>
      <c r="X127" s="7" t="s">
        <v>574</v>
      </c>
      <c r="Y127" s="16" t="s">
        <v>53</v>
      </c>
      <c r="Z127" s="16" t="s">
        <v>53</v>
      </c>
    </row>
    <row r="128" spans="2:26" ht="15" customHeight="1">
      <c r="B128" s="16" t="s">
        <v>722</v>
      </c>
      <c r="C128" s="16" t="s">
        <v>151</v>
      </c>
      <c r="D128" s="16" t="s">
        <v>64</v>
      </c>
      <c r="E128" s="16" t="s">
        <v>167</v>
      </c>
      <c r="F128" s="16" t="s">
        <v>723</v>
      </c>
      <c r="G128" s="8">
        <v>1</v>
      </c>
      <c r="H128" s="8">
        <v>2</v>
      </c>
      <c r="I128" s="8">
        <v>0</v>
      </c>
      <c r="J128" s="8">
        <v>61816</v>
      </c>
      <c r="K128" s="8">
        <v>0</v>
      </c>
      <c r="L128" s="8">
        <v>0</v>
      </c>
      <c r="M128" s="8">
        <v>0</v>
      </c>
      <c r="N128" s="8">
        <v>0</v>
      </c>
      <c r="O128" s="8">
        <v>0</v>
      </c>
      <c r="P128" s="8">
        <v>1</v>
      </c>
      <c r="Q128" s="8">
        <v>0</v>
      </c>
      <c r="R128" s="8">
        <v>0</v>
      </c>
      <c r="S128" s="16">
        <v>1</v>
      </c>
      <c r="T128" s="16"/>
      <c r="U128" s="16" t="s">
        <v>53</v>
      </c>
      <c r="V128" s="16"/>
      <c r="W128" s="16" t="s">
        <v>574</v>
      </c>
      <c r="X128" s="7" t="s">
        <v>574</v>
      </c>
      <c r="Y128" s="16" t="s">
        <v>53</v>
      </c>
      <c r="Z128" s="16" t="s">
        <v>53</v>
      </c>
    </row>
    <row r="129" spans="2:26" ht="15" customHeight="1">
      <c r="B129" s="16" t="s">
        <v>724</v>
      </c>
      <c r="C129" s="16" t="s">
        <v>151</v>
      </c>
      <c r="D129" s="16" t="s">
        <v>78</v>
      </c>
      <c r="E129" s="16" t="s">
        <v>167</v>
      </c>
      <c r="F129" s="16" t="s">
        <v>725</v>
      </c>
      <c r="G129" s="8">
        <v>1</v>
      </c>
      <c r="H129" s="8">
        <v>1</v>
      </c>
      <c r="I129" s="8">
        <v>0</v>
      </c>
      <c r="J129" s="8">
        <v>10890</v>
      </c>
      <c r="K129" s="8">
        <v>0</v>
      </c>
      <c r="L129" s="8">
        <v>0</v>
      </c>
      <c r="M129" s="8">
        <v>0</v>
      </c>
      <c r="N129" s="8">
        <v>0</v>
      </c>
      <c r="O129" s="8">
        <v>0</v>
      </c>
      <c r="P129" s="8">
        <v>1</v>
      </c>
      <c r="Q129" s="8">
        <v>0</v>
      </c>
      <c r="R129" s="8">
        <v>0</v>
      </c>
      <c r="S129" s="16">
        <v>1</v>
      </c>
      <c r="T129" s="16" t="s">
        <v>726</v>
      </c>
      <c r="U129" s="16" t="s">
        <v>53</v>
      </c>
      <c r="V129" s="16"/>
      <c r="W129" s="16" t="s">
        <v>53</v>
      </c>
      <c r="X129" s="7" t="s">
        <v>53</v>
      </c>
      <c r="Y129" s="16" t="s">
        <v>53</v>
      </c>
      <c r="Z129" s="16" t="s">
        <v>53</v>
      </c>
    </row>
    <row r="130" spans="2:26" ht="15" customHeight="1">
      <c r="B130" s="16" t="s">
        <v>727</v>
      </c>
      <c r="C130" s="16" t="s">
        <v>151</v>
      </c>
      <c r="D130" s="16" t="s">
        <v>64</v>
      </c>
      <c r="E130" s="16" t="s">
        <v>167</v>
      </c>
      <c r="F130" s="16" t="s">
        <v>728</v>
      </c>
      <c r="G130" s="8">
        <v>1</v>
      </c>
      <c r="H130" s="8">
        <v>7</v>
      </c>
      <c r="I130" s="8">
        <v>1</v>
      </c>
      <c r="J130" s="8">
        <v>86541</v>
      </c>
      <c r="K130" s="8">
        <v>0</v>
      </c>
      <c r="L130" s="8">
        <v>0</v>
      </c>
      <c r="M130" s="8">
        <v>0</v>
      </c>
      <c r="N130" s="8">
        <v>0</v>
      </c>
      <c r="O130" s="8">
        <v>0</v>
      </c>
      <c r="P130" s="8">
        <v>1</v>
      </c>
      <c r="Q130" s="8">
        <v>0</v>
      </c>
      <c r="R130" s="8">
        <v>0</v>
      </c>
      <c r="S130" s="16">
        <v>1</v>
      </c>
      <c r="T130" s="16"/>
      <c r="U130" s="16" t="s">
        <v>53</v>
      </c>
      <c r="V130" s="16"/>
      <c r="W130" s="16" t="s">
        <v>574</v>
      </c>
      <c r="X130" s="7" t="s">
        <v>574</v>
      </c>
      <c r="Y130" s="16" t="s">
        <v>583</v>
      </c>
      <c r="Z130" s="16" t="s">
        <v>53</v>
      </c>
    </row>
    <row r="131" spans="2:26" ht="15" customHeight="1">
      <c r="B131" s="16" t="s">
        <v>483</v>
      </c>
      <c r="C131" s="16" t="s">
        <v>151</v>
      </c>
      <c r="D131" s="16" t="s">
        <v>86</v>
      </c>
      <c r="E131" s="16" t="s">
        <v>167</v>
      </c>
      <c r="F131" s="16" t="s">
        <v>484</v>
      </c>
      <c r="G131" s="8">
        <v>1</v>
      </c>
      <c r="H131" s="8">
        <v>0</v>
      </c>
      <c r="I131" s="8">
        <v>2</v>
      </c>
      <c r="J131" s="8">
        <v>2</v>
      </c>
      <c r="K131" s="8">
        <v>0</v>
      </c>
      <c r="L131" s="8">
        <v>1</v>
      </c>
      <c r="M131" s="8">
        <v>0</v>
      </c>
      <c r="N131" s="8">
        <v>1</v>
      </c>
      <c r="O131" s="8">
        <v>0</v>
      </c>
      <c r="P131" s="8">
        <v>1</v>
      </c>
      <c r="Q131" s="8">
        <v>0</v>
      </c>
      <c r="R131" s="8">
        <v>0</v>
      </c>
      <c r="S131" s="16">
        <v>1</v>
      </c>
      <c r="T131" s="16"/>
      <c r="U131" s="16" t="s">
        <v>53</v>
      </c>
      <c r="V131" s="16"/>
      <c r="W131" s="16" t="s">
        <v>53</v>
      </c>
      <c r="X131" s="7" t="s">
        <v>53</v>
      </c>
      <c r="Y131" s="16" t="s">
        <v>53</v>
      </c>
      <c r="Z131" s="16" t="s">
        <v>53</v>
      </c>
    </row>
    <row r="132" spans="2:26" ht="15" customHeight="1">
      <c r="B132" s="16" t="s">
        <v>729</v>
      </c>
      <c r="C132" s="16" t="s">
        <v>151</v>
      </c>
      <c r="D132" s="16" t="s">
        <v>80</v>
      </c>
      <c r="E132" s="16" t="s">
        <v>156</v>
      </c>
      <c r="F132" s="16" t="s">
        <v>730</v>
      </c>
      <c r="G132" s="8">
        <v>1</v>
      </c>
      <c r="H132" s="8">
        <v>0</v>
      </c>
      <c r="I132" s="8" t="s">
        <v>82</v>
      </c>
      <c r="J132" s="8" t="s">
        <v>82</v>
      </c>
      <c r="K132" s="8">
        <v>0</v>
      </c>
      <c r="L132" s="8" t="s">
        <v>82</v>
      </c>
      <c r="M132" s="8">
        <v>3</v>
      </c>
      <c r="N132" s="8">
        <v>0</v>
      </c>
      <c r="O132" s="8">
        <v>0</v>
      </c>
      <c r="P132" s="8">
        <v>1</v>
      </c>
      <c r="Q132" s="8">
        <v>0</v>
      </c>
      <c r="R132" s="8">
        <v>0</v>
      </c>
      <c r="S132" s="16">
        <v>1</v>
      </c>
      <c r="T132" s="16"/>
      <c r="U132" s="16" t="s">
        <v>53</v>
      </c>
      <c r="V132" s="16"/>
      <c r="W132" s="16" t="s">
        <v>53</v>
      </c>
      <c r="X132" s="7" t="s">
        <v>53</v>
      </c>
      <c r="Y132" s="16" t="s">
        <v>53</v>
      </c>
      <c r="Z132" s="16" t="s">
        <v>53</v>
      </c>
    </row>
    <row r="133" spans="2:26" ht="15" customHeight="1">
      <c r="B133" s="16" t="s">
        <v>731</v>
      </c>
      <c r="C133" s="16" t="s">
        <v>124</v>
      </c>
      <c r="D133" s="16" t="s">
        <v>64</v>
      </c>
      <c r="E133" s="16" t="s">
        <v>167</v>
      </c>
      <c r="F133" s="16" t="s">
        <v>732</v>
      </c>
      <c r="G133" s="8">
        <v>1</v>
      </c>
      <c r="H133" s="8">
        <v>2</v>
      </c>
      <c r="I133" s="8">
        <v>0</v>
      </c>
      <c r="J133" s="8">
        <v>21668</v>
      </c>
      <c r="K133" s="8">
        <v>0</v>
      </c>
      <c r="L133" s="8">
        <v>0</v>
      </c>
      <c r="M133" s="8">
        <v>0</v>
      </c>
      <c r="N133" s="8">
        <v>0</v>
      </c>
      <c r="O133" s="8">
        <v>0</v>
      </c>
      <c r="P133" s="8">
        <v>1</v>
      </c>
      <c r="Q133" s="8">
        <v>0</v>
      </c>
      <c r="R133" s="8">
        <v>0</v>
      </c>
      <c r="S133" s="16">
        <v>1</v>
      </c>
      <c r="T133" s="16"/>
      <c r="U133" s="16" t="s">
        <v>53</v>
      </c>
      <c r="V133" s="16"/>
      <c r="W133" s="16" t="s">
        <v>574</v>
      </c>
      <c r="X133" s="7" t="s">
        <v>574</v>
      </c>
      <c r="Y133" s="16" t="s">
        <v>53</v>
      </c>
      <c r="Z133" s="16" t="s">
        <v>53</v>
      </c>
    </row>
    <row r="134" spans="2:26" ht="15" customHeight="1">
      <c r="B134" s="16" t="s">
        <v>733</v>
      </c>
      <c r="C134" s="16" t="s">
        <v>151</v>
      </c>
      <c r="D134" s="16" t="s">
        <v>67</v>
      </c>
      <c r="E134" s="16" t="s">
        <v>156</v>
      </c>
      <c r="F134" s="16" t="s">
        <v>734</v>
      </c>
      <c r="G134" s="8">
        <v>1</v>
      </c>
      <c r="H134" s="8">
        <v>0</v>
      </c>
      <c r="I134" s="8">
        <v>0</v>
      </c>
      <c r="J134" s="8">
        <v>999</v>
      </c>
      <c r="K134" s="8">
        <v>0</v>
      </c>
      <c r="L134" s="8">
        <v>2</v>
      </c>
      <c r="M134" s="8">
        <v>2</v>
      </c>
      <c r="N134" s="8">
        <v>0</v>
      </c>
      <c r="O134" s="8">
        <v>0</v>
      </c>
      <c r="P134" s="8">
        <v>1</v>
      </c>
      <c r="Q134" s="8">
        <v>0</v>
      </c>
      <c r="R134" s="8">
        <v>0</v>
      </c>
      <c r="S134" s="16">
        <v>1</v>
      </c>
      <c r="T134" s="16"/>
      <c r="U134" s="16" t="s">
        <v>53</v>
      </c>
      <c r="V134" s="16"/>
      <c r="W134" s="16" t="s">
        <v>574</v>
      </c>
      <c r="X134" s="7" t="s">
        <v>574</v>
      </c>
      <c r="Y134" s="16" t="s">
        <v>53</v>
      </c>
      <c r="Z134" s="16" t="s">
        <v>53</v>
      </c>
    </row>
    <row r="135" spans="2:26" ht="15" customHeight="1">
      <c r="B135" s="16" t="s">
        <v>189</v>
      </c>
      <c r="C135" s="16" t="s">
        <v>151</v>
      </c>
      <c r="D135" s="16" t="s">
        <v>67</v>
      </c>
      <c r="E135" s="16" t="s">
        <v>156</v>
      </c>
      <c r="F135" s="16" t="s">
        <v>190</v>
      </c>
      <c r="G135" s="8">
        <v>1</v>
      </c>
      <c r="H135" s="8">
        <v>0</v>
      </c>
      <c r="I135" s="8">
        <v>647</v>
      </c>
      <c r="J135" s="8">
        <v>647</v>
      </c>
      <c r="K135" s="8">
        <v>0</v>
      </c>
      <c r="L135" s="8">
        <v>0</v>
      </c>
      <c r="M135" s="8">
        <v>0</v>
      </c>
      <c r="N135" s="8">
        <v>0</v>
      </c>
      <c r="O135" s="8">
        <v>0</v>
      </c>
      <c r="P135" s="8">
        <v>0</v>
      </c>
      <c r="Q135" s="8">
        <v>1</v>
      </c>
      <c r="R135" s="8">
        <v>0</v>
      </c>
      <c r="S135" s="16">
        <v>1</v>
      </c>
      <c r="T135" s="16"/>
      <c r="U135" s="16" t="s">
        <v>53</v>
      </c>
      <c r="V135" s="16"/>
      <c r="W135" s="16" t="s">
        <v>53</v>
      </c>
      <c r="X135" s="7" t="s">
        <v>53</v>
      </c>
      <c r="Y135" s="16" t="s">
        <v>53</v>
      </c>
      <c r="Z135" s="16" t="s">
        <v>53</v>
      </c>
    </row>
    <row r="136" spans="2:26" ht="15" customHeight="1">
      <c r="B136" s="16" t="s">
        <v>485</v>
      </c>
      <c r="C136" s="16" t="s">
        <v>151</v>
      </c>
      <c r="D136" s="16" t="s">
        <v>64</v>
      </c>
      <c r="E136" s="16" t="s">
        <v>153</v>
      </c>
      <c r="F136" s="16" t="s">
        <v>486</v>
      </c>
      <c r="G136" s="8">
        <v>1</v>
      </c>
      <c r="H136" s="8">
        <v>0</v>
      </c>
      <c r="I136" s="8">
        <v>179</v>
      </c>
      <c r="J136" s="8">
        <v>179</v>
      </c>
      <c r="K136" s="8">
        <v>231</v>
      </c>
      <c r="L136" s="8">
        <v>11</v>
      </c>
      <c r="M136" s="8">
        <v>10</v>
      </c>
      <c r="N136" s="8">
        <v>0</v>
      </c>
      <c r="O136" s="8">
        <v>1</v>
      </c>
      <c r="P136" s="8">
        <v>1</v>
      </c>
      <c r="Q136" s="8">
        <v>0</v>
      </c>
      <c r="R136" s="8">
        <v>0</v>
      </c>
      <c r="S136" s="16">
        <v>1</v>
      </c>
      <c r="T136" s="16" t="s">
        <v>142</v>
      </c>
      <c r="U136" s="16" t="s">
        <v>237</v>
      </c>
      <c r="V136" s="16" t="s">
        <v>238</v>
      </c>
      <c r="W136" s="16" t="s">
        <v>53</v>
      </c>
      <c r="X136" s="7" t="s">
        <v>53</v>
      </c>
      <c r="Y136" s="16" t="s">
        <v>53</v>
      </c>
      <c r="Z136" s="16" t="s">
        <v>53</v>
      </c>
    </row>
    <row r="137" spans="2:26" ht="15" customHeight="1">
      <c r="B137" s="16" t="s">
        <v>735</v>
      </c>
      <c r="C137" s="16" t="s">
        <v>151</v>
      </c>
      <c r="D137" s="16" t="s">
        <v>67</v>
      </c>
      <c r="E137" s="16" t="s">
        <v>156</v>
      </c>
      <c r="F137" s="16" t="s">
        <v>736</v>
      </c>
      <c r="G137" s="8">
        <v>1</v>
      </c>
      <c r="H137" s="8">
        <v>0</v>
      </c>
      <c r="I137" s="8">
        <v>0</v>
      </c>
      <c r="J137" s="8">
        <v>2228</v>
      </c>
      <c r="K137" s="8">
        <v>0</v>
      </c>
      <c r="L137" s="8">
        <v>0</v>
      </c>
      <c r="M137" s="8">
        <v>0</v>
      </c>
      <c r="N137" s="8">
        <v>0</v>
      </c>
      <c r="O137" s="8">
        <v>0</v>
      </c>
      <c r="P137" s="8">
        <v>0</v>
      </c>
      <c r="Q137" s="8">
        <v>1</v>
      </c>
      <c r="R137" s="8">
        <v>0</v>
      </c>
      <c r="S137" s="16">
        <v>1</v>
      </c>
      <c r="T137" s="16"/>
      <c r="U137" s="16" t="s">
        <v>53</v>
      </c>
      <c r="V137" s="16"/>
      <c r="W137" s="16" t="s">
        <v>53</v>
      </c>
      <c r="X137" s="7" t="s">
        <v>53</v>
      </c>
      <c r="Y137" s="16" t="s">
        <v>53</v>
      </c>
      <c r="Z137" s="16" t="s">
        <v>53</v>
      </c>
    </row>
    <row r="138" spans="2:26" ht="15" customHeight="1">
      <c r="B138" s="16" t="s">
        <v>737</v>
      </c>
      <c r="C138" s="16" t="s">
        <v>151</v>
      </c>
      <c r="D138" s="16" t="s">
        <v>67</v>
      </c>
      <c r="E138" s="16" t="s">
        <v>156</v>
      </c>
      <c r="F138" s="16" t="s">
        <v>738</v>
      </c>
      <c r="G138" s="8">
        <v>1</v>
      </c>
      <c r="H138" s="8">
        <v>0</v>
      </c>
      <c r="I138" s="8">
        <v>0</v>
      </c>
      <c r="J138" s="8">
        <v>258004</v>
      </c>
      <c r="K138" s="8">
        <v>0</v>
      </c>
      <c r="L138" s="8">
        <v>0</v>
      </c>
      <c r="M138" s="8">
        <v>0</v>
      </c>
      <c r="N138" s="8">
        <v>0</v>
      </c>
      <c r="O138" s="8">
        <v>0</v>
      </c>
      <c r="P138" s="8">
        <v>1</v>
      </c>
      <c r="Q138" s="8">
        <v>0</v>
      </c>
      <c r="R138" s="8">
        <v>0</v>
      </c>
      <c r="S138" s="16">
        <v>1</v>
      </c>
      <c r="T138" s="16"/>
      <c r="U138" s="16" t="s">
        <v>53</v>
      </c>
      <c r="V138" s="16"/>
      <c r="W138" s="16" t="s">
        <v>53</v>
      </c>
      <c r="X138" s="7" t="s">
        <v>53</v>
      </c>
      <c r="Y138" s="16" t="s">
        <v>53</v>
      </c>
      <c r="Z138" s="16" t="s">
        <v>53</v>
      </c>
    </row>
    <row r="139" spans="2:26" ht="15" customHeight="1">
      <c r="B139" s="16" t="s">
        <v>739</v>
      </c>
      <c r="C139" s="16" t="s">
        <v>151</v>
      </c>
      <c r="D139" s="16" t="s">
        <v>80</v>
      </c>
      <c r="E139" s="16" t="s">
        <v>156</v>
      </c>
      <c r="F139" s="16" t="s">
        <v>740</v>
      </c>
      <c r="G139" s="8">
        <v>1</v>
      </c>
      <c r="H139" s="8">
        <v>0</v>
      </c>
      <c r="I139" s="8" t="s">
        <v>82</v>
      </c>
      <c r="J139" s="8" t="s">
        <v>82</v>
      </c>
      <c r="K139" s="8">
        <v>0</v>
      </c>
      <c r="L139" s="8" t="s">
        <v>82</v>
      </c>
      <c r="M139" s="8">
        <v>0</v>
      </c>
      <c r="N139" s="8">
        <v>0</v>
      </c>
      <c r="O139" s="8">
        <v>0</v>
      </c>
      <c r="P139" s="8">
        <v>1</v>
      </c>
      <c r="Q139" s="8">
        <v>0</v>
      </c>
      <c r="R139" s="8">
        <v>0</v>
      </c>
      <c r="S139" s="16">
        <v>1</v>
      </c>
      <c r="T139" s="16"/>
      <c r="U139" s="16" t="s">
        <v>53</v>
      </c>
      <c r="V139" s="16"/>
      <c r="W139" s="16" t="s">
        <v>574</v>
      </c>
      <c r="X139" s="7" t="s">
        <v>574</v>
      </c>
      <c r="Y139" s="16" t="s">
        <v>53</v>
      </c>
      <c r="Z139" s="16" t="s">
        <v>53</v>
      </c>
    </row>
    <row r="140" spans="2:26" ht="15" customHeight="1">
      <c r="B140" s="16" t="s">
        <v>741</v>
      </c>
      <c r="C140" s="16" t="s">
        <v>151</v>
      </c>
      <c r="D140" s="16" t="s">
        <v>64</v>
      </c>
      <c r="E140" s="16" t="s">
        <v>167</v>
      </c>
      <c r="F140" s="16" t="s">
        <v>742</v>
      </c>
      <c r="G140" s="8">
        <v>1</v>
      </c>
      <c r="H140" s="8">
        <v>2</v>
      </c>
      <c r="I140" s="8">
        <v>0</v>
      </c>
      <c r="J140" s="8">
        <v>3437</v>
      </c>
      <c r="K140" s="8">
        <v>0</v>
      </c>
      <c r="L140" s="8">
        <v>0</v>
      </c>
      <c r="M140" s="8">
        <v>0</v>
      </c>
      <c r="N140" s="8">
        <v>0</v>
      </c>
      <c r="O140" s="8">
        <v>0</v>
      </c>
      <c r="P140" s="8">
        <v>0</v>
      </c>
      <c r="Q140" s="8">
        <v>1</v>
      </c>
      <c r="R140" s="8">
        <v>0</v>
      </c>
      <c r="S140" s="16">
        <v>1</v>
      </c>
      <c r="T140" s="16"/>
      <c r="U140" s="16" t="s">
        <v>53</v>
      </c>
      <c r="V140" s="16"/>
      <c r="W140" s="16" t="s">
        <v>574</v>
      </c>
      <c r="X140" s="7" t="s">
        <v>574</v>
      </c>
      <c r="Y140" s="16" t="s">
        <v>53</v>
      </c>
      <c r="Z140" s="16" t="s">
        <v>53</v>
      </c>
    </row>
    <row r="141" spans="2:26" ht="15" customHeight="1">
      <c r="B141" s="16" t="s">
        <v>743</v>
      </c>
      <c r="C141" s="16" t="s">
        <v>151</v>
      </c>
      <c r="D141" s="16" t="s">
        <v>76</v>
      </c>
      <c r="E141" s="16" t="s">
        <v>167</v>
      </c>
      <c r="F141" s="16" t="s">
        <v>744</v>
      </c>
      <c r="G141" s="8">
        <v>1</v>
      </c>
      <c r="H141" s="8">
        <v>0</v>
      </c>
      <c r="I141" s="8">
        <v>5</v>
      </c>
      <c r="J141" s="8">
        <v>0</v>
      </c>
      <c r="K141" s="8">
        <v>293</v>
      </c>
      <c r="L141" s="8">
        <v>8</v>
      </c>
      <c r="M141" s="8">
        <v>0</v>
      </c>
      <c r="N141" s="8">
        <v>8</v>
      </c>
      <c r="O141" s="8">
        <v>0</v>
      </c>
      <c r="P141" s="8">
        <v>0</v>
      </c>
      <c r="Q141" s="8">
        <v>1</v>
      </c>
      <c r="R141" s="8">
        <v>0</v>
      </c>
      <c r="S141" s="16">
        <v>1</v>
      </c>
      <c r="T141" s="16"/>
      <c r="U141" s="16" t="s">
        <v>53</v>
      </c>
      <c r="V141" s="16"/>
      <c r="W141" s="16" t="s">
        <v>574</v>
      </c>
      <c r="X141" s="7" t="s">
        <v>574</v>
      </c>
      <c r="Y141" s="16" t="s">
        <v>53</v>
      </c>
      <c r="Z141" s="16" t="s">
        <v>53</v>
      </c>
    </row>
    <row r="142" spans="2:26" ht="15" customHeight="1">
      <c r="B142" s="16" t="s">
        <v>737</v>
      </c>
      <c r="C142" s="16" t="s">
        <v>151</v>
      </c>
      <c r="D142" s="16" t="s">
        <v>67</v>
      </c>
      <c r="E142" s="16" t="s">
        <v>167</v>
      </c>
      <c r="F142" s="16" t="s">
        <v>745</v>
      </c>
      <c r="G142" s="8">
        <v>1</v>
      </c>
      <c r="H142" s="8">
        <v>0</v>
      </c>
      <c r="I142" s="8">
        <v>0</v>
      </c>
      <c r="J142" s="8">
        <v>209511</v>
      </c>
      <c r="K142" s="8">
        <v>0</v>
      </c>
      <c r="L142" s="8">
        <v>0</v>
      </c>
      <c r="M142" s="8">
        <v>0</v>
      </c>
      <c r="N142" s="8">
        <v>0</v>
      </c>
      <c r="O142" s="8">
        <v>0</v>
      </c>
      <c r="P142" s="8">
        <v>0</v>
      </c>
      <c r="Q142" s="8">
        <v>1</v>
      </c>
      <c r="R142" s="8">
        <v>0</v>
      </c>
      <c r="S142" s="16">
        <v>1</v>
      </c>
      <c r="T142" s="16"/>
      <c r="U142" s="16" t="s">
        <v>53</v>
      </c>
      <c r="V142" s="16"/>
      <c r="W142" s="16" t="s">
        <v>574</v>
      </c>
      <c r="X142" s="7" t="s">
        <v>574</v>
      </c>
      <c r="Y142" s="16" t="s">
        <v>53</v>
      </c>
      <c r="Z142" s="16" t="s">
        <v>53</v>
      </c>
    </row>
    <row r="143" spans="2:26" ht="15" customHeight="1">
      <c r="B143" s="16" t="s">
        <v>746</v>
      </c>
      <c r="C143" s="16" t="s">
        <v>151</v>
      </c>
      <c r="D143" s="16" t="s">
        <v>67</v>
      </c>
      <c r="E143" s="16" t="s">
        <v>156</v>
      </c>
      <c r="F143" s="16" t="s">
        <v>747</v>
      </c>
      <c r="G143" s="8">
        <v>1</v>
      </c>
      <c r="H143" s="8">
        <v>0</v>
      </c>
      <c r="I143" s="8">
        <v>0</v>
      </c>
      <c r="J143" s="8">
        <v>647</v>
      </c>
      <c r="K143" s="8">
        <v>0</v>
      </c>
      <c r="L143" s="8">
        <v>0</v>
      </c>
      <c r="M143" s="8">
        <v>0</v>
      </c>
      <c r="N143" s="8">
        <v>0</v>
      </c>
      <c r="O143" s="8">
        <v>0</v>
      </c>
      <c r="P143" s="8">
        <v>1</v>
      </c>
      <c r="Q143" s="8">
        <v>0</v>
      </c>
      <c r="R143" s="8">
        <v>0</v>
      </c>
      <c r="S143" s="16">
        <v>1</v>
      </c>
      <c r="T143" s="16"/>
      <c r="U143" s="16" t="s">
        <v>53</v>
      </c>
      <c r="V143" s="16"/>
      <c r="W143" s="16" t="s">
        <v>574</v>
      </c>
      <c r="X143" s="7" t="s">
        <v>574</v>
      </c>
      <c r="Y143" s="16" t="s">
        <v>53</v>
      </c>
      <c r="Z143" s="16" t="s">
        <v>53</v>
      </c>
    </row>
    <row r="144" spans="2:26" ht="15" customHeight="1">
      <c r="B144" s="16" t="s">
        <v>748</v>
      </c>
      <c r="C144" s="16" t="s">
        <v>151</v>
      </c>
      <c r="D144" s="16" t="s">
        <v>80</v>
      </c>
      <c r="E144" s="16" t="s">
        <v>156</v>
      </c>
      <c r="F144" s="16" t="s">
        <v>749</v>
      </c>
      <c r="G144" s="8">
        <v>1</v>
      </c>
      <c r="H144" s="8">
        <v>0</v>
      </c>
      <c r="I144" s="8" t="s">
        <v>82</v>
      </c>
      <c r="J144" s="8" t="s">
        <v>82</v>
      </c>
      <c r="K144" s="8">
        <v>0</v>
      </c>
      <c r="L144" s="8" t="s">
        <v>82</v>
      </c>
      <c r="M144" s="8">
        <v>1</v>
      </c>
      <c r="N144" s="8">
        <v>0</v>
      </c>
      <c r="O144" s="8">
        <v>0</v>
      </c>
      <c r="P144" s="8">
        <v>1</v>
      </c>
      <c r="Q144" s="8">
        <v>0</v>
      </c>
      <c r="R144" s="8">
        <v>0</v>
      </c>
      <c r="S144" s="16">
        <v>1</v>
      </c>
      <c r="T144" s="16"/>
      <c r="U144" s="16" t="s">
        <v>53</v>
      </c>
      <c r="V144" s="16"/>
      <c r="W144" s="16" t="s">
        <v>53</v>
      </c>
      <c r="X144" s="7" t="s">
        <v>53</v>
      </c>
      <c r="Y144" s="16" t="s">
        <v>53</v>
      </c>
      <c r="Z144" s="16" t="s">
        <v>53</v>
      </c>
    </row>
    <row r="145" spans="2:26" ht="15" customHeight="1">
      <c r="B145" s="16" t="s">
        <v>750</v>
      </c>
      <c r="C145" s="16" t="s">
        <v>151</v>
      </c>
      <c r="D145" s="16" t="s">
        <v>96</v>
      </c>
      <c r="E145" s="16" t="s">
        <v>156</v>
      </c>
      <c r="F145" s="16" t="s">
        <v>751</v>
      </c>
      <c r="G145" s="8">
        <v>1</v>
      </c>
      <c r="H145" s="8">
        <v>0</v>
      </c>
      <c r="I145" s="8" t="s">
        <v>82</v>
      </c>
      <c r="J145" s="8" t="s">
        <v>82</v>
      </c>
      <c r="K145" s="8">
        <v>0</v>
      </c>
      <c r="L145" s="8" t="s">
        <v>82</v>
      </c>
      <c r="M145" s="8">
        <v>0</v>
      </c>
      <c r="N145" s="8">
        <v>0</v>
      </c>
      <c r="O145" s="8">
        <v>0</v>
      </c>
      <c r="P145" s="8">
        <v>1</v>
      </c>
      <c r="Q145" s="8">
        <v>0</v>
      </c>
      <c r="R145" s="8">
        <v>0</v>
      </c>
      <c r="S145" s="16">
        <v>1</v>
      </c>
      <c r="T145" s="16"/>
      <c r="U145" s="16" t="s">
        <v>53</v>
      </c>
      <c r="V145" s="16"/>
      <c r="W145" s="16" t="s">
        <v>53</v>
      </c>
      <c r="X145" s="7" t="s">
        <v>53</v>
      </c>
      <c r="Y145" s="16" t="s">
        <v>53</v>
      </c>
      <c r="Z145" s="16" t="s">
        <v>53</v>
      </c>
    </row>
    <row r="146" spans="2:26" ht="15" customHeight="1">
      <c r="B146" s="16" t="s">
        <v>752</v>
      </c>
      <c r="C146" s="16" t="s">
        <v>151</v>
      </c>
      <c r="D146" s="16" t="s">
        <v>112</v>
      </c>
      <c r="E146" s="16" t="s">
        <v>156</v>
      </c>
      <c r="F146" s="16" t="s">
        <v>753</v>
      </c>
      <c r="G146" s="8">
        <v>1</v>
      </c>
      <c r="H146" s="8">
        <v>0</v>
      </c>
      <c r="I146" s="8" t="s">
        <v>82</v>
      </c>
      <c r="J146" s="8" t="s">
        <v>82</v>
      </c>
      <c r="K146" s="8">
        <v>0</v>
      </c>
      <c r="L146" s="8" t="s">
        <v>82</v>
      </c>
      <c r="M146" s="8">
        <v>0</v>
      </c>
      <c r="N146" s="8">
        <v>0</v>
      </c>
      <c r="O146" s="8">
        <v>0</v>
      </c>
      <c r="P146" s="8">
        <v>1</v>
      </c>
      <c r="Q146" s="8">
        <v>0</v>
      </c>
      <c r="R146" s="8">
        <v>0</v>
      </c>
      <c r="S146" s="16">
        <v>1</v>
      </c>
      <c r="T146" s="16"/>
      <c r="U146" s="16" t="s">
        <v>53</v>
      </c>
      <c r="V146" s="16"/>
      <c r="W146" s="16" t="s">
        <v>53</v>
      </c>
      <c r="X146" s="7" t="s">
        <v>53</v>
      </c>
      <c r="Y146" s="16" t="s">
        <v>53</v>
      </c>
      <c r="Z146" s="16" t="s">
        <v>53</v>
      </c>
    </row>
    <row r="147" spans="2:26" ht="15" customHeight="1">
      <c r="B147" s="16" t="s">
        <v>754</v>
      </c>
      <c r="C147" s="16" t="s">
        <v>151</v>
      </c>
      <c r="D147" s="16" t="s">
        <v>67</v>
      </c>
      <c r="E147" s="16" t="s">
        <v>156</v>
      </c>
      <c r="F147" s="16" t="s">
        <v>755</v>
      </c>
      <c r="G147" s="8">
        <v>1</v>
      </c>
      <c r="H147" s="8">
        <v>0</v>
      </c>
      <c r="I147" s="8">
        <v>0</v>
      </c>
      <c r="J147" s="8">
        <v>647</v>
      </c>
      <c r="K147" s="8">
        <v>0</v>
      </c>
      <c r="L147" s="8">
        <v>0</v>
      </c>
      <c r="M147" s="8">
        <v>0</v>
      </c>
      <c r="N147" s="8">
        <v>0</v>
      </c>
      <c r="O147" s="8">
        <v>0</v>
      </c>
      <c r="P147" s="8">
        <v>1</v>
      </c>
      <c r="Q147" s="8">
        <v>0</v>
      </c>
      <c r="R147" s="8">
        <v>0</v>
      </c>
      <c r="S147" s="16">
        <v>1</v>
      </c>
      <c r="T147" s="16"/>
      <c r="U147" s="16" t="s">
        <v>53</v>
      </c>
      <c r="V147" s="16"/>
      <c r="W147" s="16" t="s">
        <v>53</v>
      </c>
      <c r="X147" s="7" t="s">
        <v>53</v>
      </c>
      <c r="Y147" s="16" t="s">
        <v>53</v>
      </c>
      <c r="Z147" s="16" t="s">
        <v>53</v>
      </c>
    </row>
    <row r="148" spans="2:26" ht="15" customHeight="1">
      <c r="B148" s="16" t="s">
        <v>756</v>
      </c>
      <c r="C148" s="16" t="s">
        <v>151</v>
      </c>
      <c r="D148" s="16" t="s">
        <v>80</v>
      </c>
      <c r="E148" s="16" t="s">
        <v>156</v>
      </c>
      <c r="F148" s="16" t="s">
        <v>757</v>
      </c>
      <c r="G148" s="8">
        <v>1</v>
      </c>
      <c r="H148" s="8">
        <v>0</v>
      </c>
      <c r="I148" s="8" t="s">
        <v>82</v>
      </c>
      <c r="J148" s="8" t="s">
        <v>82</v>
      </c>
      <c r="K148" s="8">
        <v>0</v>
      </c>
      <c r="L148" s="8" t="s">
        <v>82</v>
      </c>
      <c r="M148" s="8">
        <v>6</v>
      </c>
      <c r="N148" s="8">
        <v>0</v>
      </c>
      <c r="O148" s="8">
        <v>0</v>
      </c>
      <c r="P148" s="8">
        <v>1</v>
      </c>
      <c r="Q148" s="8">
        <v>0</v>
      </c>
      <c r="R148" s="8">
        <v>0</v>
      </c>
      <c r="S148" s="16">
        <v>1</v>
      </c>
      <c r="T148" s="16"/>
      <c r="U148" s="16" t="s">
        <v>53</v>
      </c>
      <c r="V148" s="16"/>
      <c r="W148" s="16" t="s">
        <v>53</v>
      </c>
      <c r="X148" s="7" t="s">
        <v>53</v>
      </c>
      <c r="Y148" s="16" t="s">
        <v>53</v>
      </c>
      <c r="Z148" s="16" t="s">
        <v>53</v>
      </c>
    </row>
    <row r="149" spans="2:26" ht="15" customHeight="1">
      <c r="B149" s="16" t="s">
        <v>758</v>
      </c>
      <c r="C149" s="16" t="s">
        <v>151</v>
      </c>
      <c r="D149" s="16" t="s">
        <v>110</v>
      </c>
      <c r="E149" s="16" t="s">
        <v>156</v>
      </c>
      <c r="F149" s="16" t="s">
        <v>759</v>
      </c>
      <c r="G149" s="8">
        <v>1</v>
      </c>
      <c r="H149" s="8">
        <v>0</v>
      </c>
      <c r="I149" s="8" t="s">
        <v>82</v>
      </c>
      <c r="J149" s="8" t="s">
        <v>82</v>
      </c>
      <c r="K149" s="8">
        <v>0</v>
      </c>
      <c r="L149" s="8" t="s">
        <v>82</v>
      </c>
      <c r="M149" s="8">
        <v>0</v>
      </c>
      <c r="N149" s="8">
        <v>0</v>
      </c>
      <c r="O149" s="8">
        <v>0</v>
      </c>
      <c r="P149" s="8">
        <v>1</v>
      </c>
      <c r="Q149" s="8">
        <v>0</v>
      </c>
      <c r="R149" s="8">
        <v>0</v>
      </c>
      <c r="S149" s="16">
        <v>1</v>
      </c>
      <c r="T149" s="16"/>
      <c r="U149" s="16" t="s">
        <v>53</v>
      </c>
      <c r="V149" s="16"/>
      <c r="W149" s="16" t="s">
        <v>53</v>
      </c>
      <c r="X149" s="7" t="s">
        <v>53</v>
      </c>
      <c r="Y149" s="16" t="s">
        <v>53</v>
      </c>
      <c r="Z149" s="16" t="s">
        <v>53</v>
      </c>
    </row>
    <row r="150" spans="2:26" ht="15" customHeight="1">
      <c r="B150" s="16" t="s">
        <v>491</v>
      </c>
      <c r="C150" s="16" t="s">
        <v>151</v>
      </c>
      <c r="D150" s="16" t="s">
        <v>86</v>
      </c>
      <c r="E150" s="16" t="s">
        <v>167</v>
      </c>
      <c r="F150" s="16" t="s">
        <v>492</v>
      </c>
      <c r="G150" s="8">
        <v>1</v>
      </c>
      <c r="H150" s="8">
        <v>0</v>
      </c>
      <c r="I150" s="8">
        <v>0</v>
      </c>
      <c r="J150" s="8">
        <v>0</v>
      </c>
      <c r="K150" s="8">
        <v>0</v>
      </c>
      <c r="L150" s="8">
        <v>0</v>
      </c>
      <c r="M150" s="8">
        <v>0</v>
      </c>
      <c r="N150" s="8">
        <v>0</v>
      </c>
      <c r="O150" s="8">
        <v>0</v>
      </c>
      <c r="P150" s="8">
        <v>1</v>
      </c>
      <c r="Q150" s="8">
        <v>0</v>
      </c>
      <c r="R150" s="8">
        <v>0</v>
      </c>
      <c r="S150" s="16">
        <v>1</v>
      </c>
      <c r="T150" s="16"/>
      <c r="U150" s="16" t="s">
        <v>53</v>
      </c>
      <c r="V150" s="16"/>
      <c r="W150" s="16" t="s">
        <v>53</v>
      </c>
      <c r="X150" s="7" t="s">
        <v>53</v>
      </c>
      <c r="Y150" s="16" t="s">
        <v>53</v>
      </c>
      <c r="Z150" s="16" t="s">
        <v>53</v>
      </c>
    </row>
    <row r="151" spans="2:26" ht="15" customHeight="1">
      <c r="B151" s="16" t="s">
        <v>760</v>
      </c>
      <c r="C151" s="16" t="s">
        <v>151</v>
      </c>
      <c r="D151" s="16" t="s">
        <v>80</v>
      </c>
      <c r="E151" s="16" t="s">
        <v>156</v>
      </c>
      <c r="F151" s="16" t="s">
        <v>761</v>
      </c>
      <c r="G151" s="8">
        <v>1</v>
      </c>
      <c r="H151" s="8">
        <v>0</v>
      </c>
      <c r="I151" s="8" t="s">
        <v>82</v>
      </c>
      <c r="J151" s="8" t="s">
        <v>82</v>
      </c>
      <c r="K151" s="8">
        <v>0</v>
      </c>
      <c r="L151" s="8" t="s">
        <v>82</v>
      </c>
      <c r="M151" s="8">
        <v>3</v>
      </c>
      <c r="N151" s="8">
        <v>0</v>
      </c>
      <c r="O151" s="8">
        <v>0</v>
      </c>
      <c r="P151" s="8">
        <v>1</v>
      </c>
      <c r="Q151" s="8">
        <v>0</v>
      </c>
      <c r="R151" s="8">
        <v>0</v>
      </c>
      <c r="S151" s="16">
        <v>1</v>
      </c>
      <c r="T151" s="16"/>
      <c r="U151" s="16" t="s">
        <v>53</v>
      </c>
      <c r="V151" s="16"/>
      <c r="W151" s="16" t="s">
        <v>53</v>
      </c>
      <c r="X151" s="7" t="s">
        <v>53</v>
      </c>
      <c r="Y151" s="16" t="s">
        <v>53</v>
      </c>
      <c r="Z151" s="16" t="s">
        <v>53</v>
      </c>
    </row>
    <row r="152" spans="2:26" ht="15" customHeight="1">
      <c r="B152" s="16" t="s">
        <v>581</v>
      </c>
      <c r="C152" s="16" t="s">
        <v>151</v>
      </c>
      <c r="D152" s="16" t="s">
        <v>67</v>
      </c>
      <c r="E152" s="16" t="s">
        <v>156</v>
      </c>
      <c r="F152" s="16" t="s">
        <v>762</v>
      </c>
      <c r="G152" s="8">
        <v>1</v>
      </c>
      <c r="H152" s="8">
        <v>0</v>
      </c>
      <c r="I152" s="8">
        <v>0</v>
      </c>
      <c r="J152" s="8">
        <v>6679</v>
      </c>
      <c r="K152" s="8">
        <v>0</v>
      </c>
      <c r="L152" s="8">
        <v>0</v>
      </c>
      <c r="M152" s="8">
        <v>0</v>
      </c>
      <c r="N152" s="8">
        <v>0</v>
      </c>
      <c r="O152" s="8">
        <v>0</v>
      </c>
      <c r="P152" s="8">
        <v>0</v>
      </c>
      <c r="Q152" s="8">
        <v>1</v>
      </c>
      <c r="R152" s="8">
        <v>0</v>
      </c>
      <c r="S152" s="16">
        <v>1</v>
      </c>
      <c r="T152" s="16"/>
      <c r="U152" s="16" t="s">
        <v>53</v>
      </c>
      <c r="V152" s="16"/>
      <c r="W152" s="16" t="s">
        <v>53</v>
      </c>
      <c r="X152" s="7" t="s">
        <v>53</v>
      </c>
      <c r="Y152" s="16" t="s">
        <v>53</v>
      </c>
      <c r="Z152" s="16" t="s">
        <v>53</v>
      </c>
    </row>
    <row r="153" spans="2:26" ht="15" customHeight="1">
      <c r="B153" s="16" t="s">
        <v>763</v>
      </c>
      <c r="C153" s="16" t="s">
        <v>151</v>
      </c>
      <c r="D153" s="16" t="s">
        <v>67</v>
      </c>
      <c r="E153" s="16" t="s">
        <v>167</v>
      </c>
      <c r="F153" s="16" t="s">
        <v>764</v>
      </c>
      <c r="G153" s="8">
        <v>1</v>
      </c>
      <c r="H153" s="8">
        <v>0</v>
      </c>
      <c r="I153" s="8">
        <v>0</v>
      </c>
      <c r="J153" s="8">
        <v>258004</v>
      </c>
      <c r="K153" s="8">
        <v>0</v>
      </c>
      <c r="L153" s="8">
        <v>10</v>
      </c>
      <c r="M153" s="8">
        <v>10</v>
      </c>
      <c r="N153" s="8">
        <v>0</v>
      </c>
      <c r="O153" s="8">
        <v>0</v>
      </c>
      <c r="P153" s="8">
        <v>0</v>
      </c>
      <c r="Q153" s="8">
        <v>1</v>
      </c>
      <c r="R153" s="8">
        <v>0</v>
      </c>
      <c r="S153" s="16">
        <v>1</v>
      </c>
      <c r="T153" s="16"/>
      <c r="U153" s="16" t="s">
        <v>53</v>
      </c>
      <c r="V153" s="16"/>
      <c r="W153" s="16" t="s">
        <v>53</v>
      </c>
      <c r="X153" s="7" t="s">
        <v>53</v>
      </c>
      <c r="Y153" s="16" t="s">
        <v>53</v>
      </c>
      <c r="Z153" s="16" t="s">
        <v>53</v>
      </c>
    </row>
    <row r="154" spans="2:26" ht="15" customHeight="1">
      <c r="B154" s="16" t="s">
        <v>493</v>
      </c>
      <c r="C154" s="16" t="s">
        <v>151</v>
      </c>
      <c r="D154" s="16" t="s">
        <v>86</v>
      </c>
      <c r="E154" s="16" t="s">
        <v>167</v>
      </c>
      <c r="F154" s="16" t="s">
        <v>494</v>
      </c>
      <c r="G154" s="8">
        <v>1</v>
      </c>
      <c r="H154" s="8">
        <v>0</v>
      </c>
      <c r="I154" s="8">
        <v>0</v>
      </c>
      <c r="J154" s="8">
        <v>0</v>
      </c>
      <c r="K154" s="8">
        <v>0</v>
      </c>
      <c r="L154" s="8">
        <v>0</v>
      </c>
      <c r="M154" s="8">
        <v>0</v>
      </c>
      <c r="N154" s="8">
        <v>0</v>
      </c>
      <c r="O154" s="8">
        <v>0</v>
      </c>
      <c r="P154" s="8">
        <v>1</v>
      </c>
      <c r="Q154" s="8">
        <v>0</v>
      </c>
      <c r="R154" s="8">
        <v>0</v>
      </c>
      <c r="S154" s="16">
        <v>1</v>
      </c>
      <c r="T154" s="16"/>
      <c r="U154" s="16" t="s">
        <v>53</v>
      </c>
      <c r="V154" s="16"/>
      <c r="W154" s="16" t="s">
        <v>53</v>
      </c>
      <c r="X154" s="7" t="s">
        <v>53</v>
      </c>
      <c r="Y154" s="16" t="s">
        <v>53</v>
      </c>
      <c r="Z154" s="16" t="s">
        <v>53</v>
      </c>
    </row>
    <row r="155" spans="2:26" ht="15" customHeight="1">
      <c r="B155" s="16" t="s">
        <v>765</v>
      </c>
      <c r="C155" s="16" t="s">
        <v>151</v>
      </c>
      <c r="D155" s="16" t="s">
        <v>94</v>
      </c>
      <c r="E155" s="16" t="s">
        <v>156</v>
      </c>
      <c r="F155" s="16" t="s">
        <v>766</v>
      </c>
      <c r="G155" s="8">
        <v>1</v>
      </c>
      <c r="H155" s="8">
        <v>0</v>
      </c>
      <c r="I155" s="8">
        <v>0</v>
      </c>
      <c r="J155" s="8">
        <v>0</v>
      </c>
      <c r="K155" s="8">
        <v>0</v>
      </c>
      <c r="L155" s="8">
        <v>0</v>
      </c>
      <c r="M155" s="8">
        <v>0</v>
      </c>
      <c r="N155" s="8">
        <v>0</v>
      </c>
      <c r="O155" s="8">
        <v>0</v>
      </c>
      <c r="P155" s="8">
        <v>1</v>
      </c>
      <c r="Q155" s="8">
        <v>0</v>
      </c>
      <c r="R155" s="8">
        <v>0</v>
      </c>
      <c r="S155" s="16">
        <v>1</v>
      </c>
      <c r="T155" s="16"/>
      <c r="U155" s="16" t="s">
        <v>53</v>
      </c>
      <c r="V155" s="16"/>
      <c r="W155" s="16" t="s">
        <v>53</v>
      </c>
      <c r="X155" s="7" t="s">
        <v>53</v>
      </c>
      <c r="Y155" s="16" t="s">
        <v>53</v>
      </c>
      <c r="Z155" s="16" t="s">
        <v>53</v>
      </c>
    </row>
    <row r="156" spans="2:26" ht="15" customHeight="1">
      <c r="B156" s="16" t="s">
        <v>767</v>
      </c>
      <c r="C156" s="16" t="s">
        <v>151</v>
      </c>
      <c r="D156" s="16" t="s">
        <v>94</v>
      </c>
      <c r="E156" s="16" t="s">
        <v>156</v>
      </c>
      <c r="F156" s="16" t="s">
        <v>768</v>
      </c>
      <c r="G156" s="8">
        <v>1</v>
      </c>
      <c r="H156" s="8">
        <v>0</v>
      </c>
      <c r="I156" s="8">
        <v>0</v>
      </c>
      <c r="J156" s="8">
        <v>0</v>
      </c>
      <c r="K156" s="8">
        <v>0</v>
      </c>
      <c r="L156" s="8">
        <v>0</v>
      </c>
      <c r="M156" s="8">
        <v>0</v>
      </c>
      <c r="N156" s="8">
        <v>0</v>
      </c>
      <c r="O156" s="8">
        <v>0</v>
      </c>
      <c r="P156" s="8">
        <v>1</v>
      </c>
      <c r="Q156" s="8">
        <v>0</v>
      </c>
      <c r="R156" s="8">
        <v>0</v>
      </c>
      <c r="S156" s="16">
        <v>1</v>
      </c>
      <c r="T156" s="16"/>
      <c r="U156" s="16" t="s">
        <v>53</v>
      </c>
      <c r="V156" s="16"/>
      <c r="W156" s="16" t="s">
        <v>53</v>
      </c>
      <c r="X156" s="7" t="s">
        <v>53</v>
      </c>
      <c r="Y156" s="16" t="s">
        <v>53</v>
      </c>
      <c r="Z156" s="16" t="s">
        <v>53</v>
      </c>
    </row>
    <row r="157" spans="2:26" ht="15" customHeight="1">
      <c r="B157" s="16" t="s">
        <v>622</v>
      </c>
      <c r="C157" s="16" t="s">
        <v>151</v>
      </c>
      <c r="D157" s="16" t="s">
        <v>67</v>
      </c>
      <c r="E157" s="16" t="s">
        <v>167</v>
      </c>
      <c r="F157" s="16" t="s">
        <v>769</v>
      </c>
      <c r="G157" s="8">
        <v>1</v>
      </c>
      <c r="H157" s="8">
        <v>0</v>
      </c>
      <c r="I157" s="8">
        <v>0</v>
      </c>
      <c r="J157" s="8">
        <v>1944</v>
      </c>
      <c r="K157" s="8">
        <v>0</v>
      </c>
      <c r="L157" s="8">
        <v>3</v>
      </c>
      <c r="M157" s="8">
        <v>3</v>
      </c>
      <c r="N157" s="8">
        <v>0</v>
      </c>
      <c r="O157" s="8">
        <v>0</v>
      </c>
      <c r="P157" s="8">
        <v>1</v>
      </c>
      <c r="Q157" s="8">
        <v>0</v>
      </c>
      <c r="R157" s="8">
        <v>0</v>
      </c>
      <c r="S157" s="16">
        <v>1</v>
      </c>
      <c r="T157" s="16"/>
      <c r="U157" s="16" t="s">
        <v>53</v>
      </c>
      <c r="V157" s="16"/>
      <c r="W157" s="16" t="s">
        <v>53</v>
      </c>
      <c r="X157" s="7" t="s">
        <v>53</v>
      </c>
      <c r="Y157" s="16" t="s">
        <v>53</v>
      </c>
      <c r="Z157" s="16" t="s">
        <v>53</v>
      </c>
    </row>
    <row r="158" spans="2:26" ht="15" customHeight="1">
      <c r="B158" s="16" t="s">
        <v>770</v>
      </c>
      <c r="C158" s="16" t="s">
        <v>123</v>
      </c>
      <c r="D158" s="16" t="s">
        <v>64</v>
      </c>
      <c r="E158" s="16" t="s">
        <v>167</v>
      </c>
      <c r="F158" s="16" t="s">
        <v>771</v>
      </c>
      <c r="G158" s="8">
        <v>1</v>
      </c>
      <c r="H158" s="8">
        <v>3</v>
      </c>
      <c r="I158" s="8">
        <v>0</v>
      </c>
      <c r="J158" s="8">
        <v>42011</v>
      </c>
      <c r="K158" s="8">
        <v>0</v>
      </c>
      <c r="L158" s="8">
        <v>0</v>
      </c>
      <c r="M158" s="8">
        <v>0</v>
      </c>
      <c r="N158" s="8">
        <v>0</v>
      </c>
      <c r="O158" s="8">
        <v>0</v>
      </c>
      <c r="P158" s="8">
        <v>0</v>
      </c>
      <c r="Q158" s="8">
        <v>1</v>
      </c>
      <c r="R158" s="8">
        <v>0</v>
      </c>
      <c r="S158" s="16">
        <v>1</v>
      </c>
      <c r="T158" s="16"/>
      <c r="U158" s="16" t="s">
        <v>53</v>
      </c>
      <c r="V158" s="16"/>
      <c r="W158" s="16" t="s">
        <v>53</v>
      </c>
      <c r="X158" s="7" t="s">
        <v>53</v>
      </c>
      <c r="Y158" s="16" t="s">
        <v>53</v>
      </c>
      <c r="Z158" s="16" t="s">
        <v>53</v>
      </c>
    </row>
    <row r="159" spans="2:26" ht="15" customHeight="1">
      <c r="B159" s="16" t="s">
        <v>772</v>
      </c>
      <c r="C159" s="16" t="s">
        <v>206</v>
      </c>
      <c r="D159" s="16" t="s">
        <v>64</v>
      </c>
      <c r="E159" s="16" t="s">
        <v>167</v>
      </c>
      <c r="F159" s="16" t="s">
        <v>773</v>
      </c>
      <c r="G159" s="8">
        <v>1</v>
      </c>
      <c r="H159" s="8">
        <v>2</v>
      </c>
      <c r="I159" s="8">
        <v>0</v>
      </c>
      <c r="J159" s="8">
        <v>24003</v>
      </c>
      <c r="K159" s="8">
        <v>0</v>
      </c>
      <c r="L159" s="8">
        <v>0</v>
      </c>
      <c r="M159" s="8">
        <v>0</v>
      </c>
      <c r="N159" s="8">
        <v>0</v>
      </c>
      <c r="O159" s="8">
        <v>0</v>
      </c>
      <c r="P159" s="8">
        <v>0</v>
      </c>
      <c r="Q159" s="8">
        <v>1</v>
      </c>
      <c r="R159" s="8">
        <v>0</v>
      </c>
      <c r="S159" s="16">
        <v>1</v>
      </c>
      <c r="T159" s="16"/>
      <c r="U159" s="16" t="s">
        <v>53</v>
      </c>
      <c r="V159" s="16"/>
      <c r="W159" s="16" t="s">
        <v>574</v>
      </c>
      <c r="X159" s="7" t="s">
        <v>574</v>
      </c>
      <c r="Y159" s="16" t="s">
        <v>53</v>
      </c>
      <c r="Z159" s="16" t="s">
        <v>53</v>
      </c>
    </row>
    <row r="160" spans="2:26" ht="15" customHeight="1">
      <c r="B160" s="16" t="s">
        <v>774</v>
      </c>
      <c r="C160" s="16" t="s">
        <v>198</v>
      </c>
      <c r="D160" s="16" t="s">
        <v>64</v>
      </c>
      <c r="E160" s="16" t="s">
        <v>167</v>
      </c>
      <c r="F160" s="16" t="s">
        <v>775</v>
      </c>
      <c r="G160" s="8">
        <v>1</v>
      </c>
      <c r="H160" s="8">
        <v>2</v>
      </c>
      <c r="I160" s="8">
        <v>0</v>
      </c>
      <c r="J160" s="8">
        <v>153200</v>
      </c>
      <c r="K160" s="8">
        <v>0</v>
      </c>
      <c r="L160" s="8">
        <v>0</v>
      </c>
      <c r="M160" s="8">
        <v>0</v>
      </c>
      <c r="N160" s="8">
        <v>0</v>
      </c>
      <c r="O160" s="8">
        <v>0</v>
      </c>
      <c r="P160" s="8">
        <v>1</v>
      </c>
      <c r="Q160" s="8">
        <v>0</v>
      </c>
      <c r="R160" s="8">
        <v>0</v>
      </c>
      <c r="S160" s="16">
        <v>1</v>
      </c>
      <c r="T160" s="16"/>
      <c r="U160" s="16" t="s">
        <v>53</v>
      </c>
      <c r="V160" s="16"/>
      <c r="W160" s="16" t="s">
        <v>53</v>
      </c>
      <c r="X160" s="7" t="s">
        <v>53</v>
      </c>
      <c r="Y160" s="16" t="s">
        <v>53</v>
      </c>
      <c r="Z160" s="16" t="s">
        <v>53</v>
      </c>
    </row>
    <row r="161" spans="2:26" ht="15" customHeight="1">
      <c r="B161" s="16" t="s">
        <v>776</v>
      </c>
      <c r="C161" s="16" t="s">
        <v>151</v>
      </c>
      <c r="D161" s="16" t="s">
        <v>96</v>
      </c>
      <c r="E161" s="16" t="s">
        <v>156</v>
      </c>
      <c r="F161" s="16" t="s">
        <v>777</v>
      </c>
      <c r="G161" s="8">
        <v>1</v>
      </c>
      <c r="H161" s="8">
        <v>0</v>
      </c>
      <c r="I161" s="8" t="s">
        <v>82</v>
      </c>
      <c r="J161" s="8" t="s">
        <v>82</v>
      </c>
      <c r="K161" s="8">
        <v>0</v>
      </c>
      <c r="L161" s="8" t="s">
        <v>82</v>
      </c>
      <c r="M161" s="8">
        <v>0</v>
      </c>
      <c r="N161" s="8">
        <v>0</v>
      </c>
      <c r="O161" s="8">
        <v>0</v>
      </c>
      <c r="P161" s="8">
        <v>1</v>
      </c>
      <c r="Q161" s="8">
        <v>0</v>
      </c>
      <c r="R161" s="8">
        <v>0</v>
      </c>
      <c r="S161" s="16">
        <v>1</v>
      </c>
      <c r="T161" s="16"/>
      <c r="U161" s="16" t="s">
        <v>53</v>
      </c>
      <c r="V161" s="16"/>
      <c r="W161" s="16" t="s">
        <v>53</v>
      </c>
      <c r="X161" s="7" t="s">
        <v>53</v>
      </c>
      <c r="Y161" s="16" t="s">
        <v>53</v>
      </c>
      <c r="Z161" s="16" t="s">
        <v>53</v>
      </c>
    </row>
    <row r="162" spans="2:26" ht="15" customHeight="1">
      <c r="B162" s="16" t="s">
        <v>778</v>
      </c>
      <c r="C162" s="16" t="s">
        <v>268</v>
      </c>
      <c r="D162" s="16" t="s">
        <v>64</v>
      </c>
      <c r="E162" s="16" t="s">
        <v>167</v>
      </c>
      <c r="F162" s="16" t="s">
        <v>779</v>
      </c>
      <c r="G162" s="8">
        <v>1</v>
      </c>
      <c r="H162" s="8">
        <v>1</v>
      </c>
      <c r="I162" s="8">
        <v>0</v>
      </c>
      <c r="J162" s="8">
        <v>60187</v>
      </c>
      <c r="K162" s="8">
        <v>0</v>
      </c>
      <c r="L162" s="8">
        <v>0</v>
      </c>
      <c r="M162" s="8">
        <v>0</v>
      </c>
      <c r="N162" s="8">
        <v>0</v>
      </c>
      <c r="O162" s="8">
        <v>0</v>
      </c>
      <c r="P162" s="8">
        <v>1</v>
      </c>
      <c r="Q162" s="8">
        <v>0</v>
      </c>
      <c r="R162" s="8">
        <v>0</v>
      </c>
      <c r="S162" s="16">
        <v>1</v>
      </c>
      <c r="T162" s="16"/>
      <c r="U162" s="16" t="s">
        <v>53</v>
      </c>
      <c r="V162" s="16"/>
      <c r="W162" s="16" t="s">
        <v>574</v>
      </c>
      <c r="X162" s="7" t="s">
        <v>574</v>
      </c>
      <c r="Y162" s="16" t="s">
        <v>53</v>
      </c>
      <c r="Z162" s="16" t="s">
        <v>53</v>
      </c>
    </row>
    <row r="163" spans="2:26" ht="15" customHeight="1">
      <c r="B163" s="16" t="s">
        <v>780</v>
      </c>
      <c r="C163" s="16" t="s">
        <v>151</v>
      </c>
      <c r="D163" s="16" t="s">
        <v>102</v>
      </c>
      <c r="E163" s="16" t="s">
        <v>156</v>
      </c>
      <c r="F163" s="16" t="s">
        <v>781</v>
      </c>
      <c r="G163" s="8">
        <v>1</v>
      </c>
      <c r="H163" s="8">
        <v>0</v>
      </c>
      <c r="I163" s="8">
        <v>0</v>
      </c>
      <c r="J163" s="8">
        <v>826</v>
      </c>
      <c r="K163" s="8">
        <v>0</v>
      </c>
      <c r="L163" s="8">
        <v>0</v>
      </c>
      <c r="M163" s="8">
        <v>0</v>
      </c>
      <c r="N163" s="8">
        <v>0</v>
      </c>
      <c r="O163" s="8">
        <v>0</v>
      </c>
      <c r="P163" s="8">
        <v>0</v>
      </c>
      <c r="Q163" s="8">
        <v>1</v>
      </c>
      <c r="R163" s="8">
        <v>0</v>
      </c>
      <c r="S163" s="16">
        <v>1</v>
      </c>
      <c r="T163" s="16"/>
      <c r="U163" s="16" t="s">
        <v>53</v>
      </c>
      <c r="V163" s="16"/>
      <c r="W163" s="16" t="s">
        <v>53</v>
      </c>
      <c r="X163" s="7" t="s">
        <v>53</v>
      </c>
      <c r="Y163" s="16" t="s">
        <v>53</v>
      </c>
      <c r="Z163" s="16" t="s">
        <v>53</v>
      </c>
    </row>
  </sheetData>
  <autoFilter ref="B27:Z27"/>
  <hyperlinks>
    <hyperlink ref="C1" location="Содержание!B4" display="К содержанию"/>
    <hyperlink ref="F28" r:id="rId1" display="https://web.telegram.org/#/im?p=@af_patientbot"/>
    <hyperlink ref="F29" r:id="rId2" display="http://vk.com/id1072092712"/>
    <hyperlink ref="F30" r:id="rId3" display="http://vk.com/id1083057434"/>
    <hyperlink ref="F31" r:id="rId4" display="https://dzen.ru/user/rfl58ladvq_ppa-kwlgrzold4no"/>
    <hyperlink ref="F32" r:id="rId5" display="http://ok.ru/profile/910116631862"/>
    <hyperlink ref="F33" r:id="rId6" display="https://sprosivracha.com/authors/Жумасия Жаналиева"/>
    <hyperlink ref="F34" r:id="rId7" display="http://vk.com/id1110218210"/>
    <hyperlink ref="F35" r:id="rId8" display="http://vk.com/id1110219570"/>
    <hyperlink ref="F36" r:id="rId9" display="http://vk.com/id1111392168"/>
    <hyperlink ref="F37" r:id="rId10" display="http://vk.com/id612772983"/>
    <hyperlink ref="F38" r:id="rId11" display="http://vk.com/id744099322"/>
    <hyperlink ref="F39" r:id="rId12" display="http://vk.com/id1082474662"/>
    <hyperlink ref="F40" r:id="rId13" display="http://vk.com/id1110220150"/>
    <hyperlink ref="F41" r:id="rId14" display="http://vk.com/id1111260863"/>
    <hyperlink ref="F42" r:id="rId15" display="http://vk.com/id1114259735"/>
    <hyperlink ref="F43" r:id="rId16" display="http://vk.com/id275256519"/>
    <hyperlink ref="F44" r:id="rId17" display="http://vk.com/id383835053"/>
    <hyperlink ref="F45" r:id="rId18" display="https://web.telegram.org/#/im?p=@danielabialik"/>
    <hyperlink ref="F46" r:id="rId19" display="http://vk.com/id568725896"/>
    <hyperlink ref="F47" r:id="rId20" display="https://sprosivracha.com/authors/Зоя"/>
    <hyperlink ref="F48" r:id="rId21" display="http://vk.com/id851767110"/>
    <hyperlink ref="F49" r:id="rId22" display="http://vk.com/id855401331"/>
    <hyperlink ref="F50" r:id="rId23" display="https://mom.life/user/5c6d48f80bdf004ed10e6684"/>
    <hyperlink ref="F51" r:id="rId24" display="http://vk.com/id880724074"/>
    <hyperlink ref="F52" r:id="rId25" display="http://vk.com/id788574328"/>
    <hyperlink ref="F53" r:id="rId26" display="http://vk.com/id1108851059"/>
    <hyperlink ref="F54" r:id="rId27" display="https://dzen.ru/user/a2z_dp-q6s0e0c-xb3tho5wsmqg"/>
    <hyperlink ref="F55" r:id="rId28" display="https://dzen.ru/user/vf8tak0kxzfoslbsoumaseybksg"/>
    <hyperlink ref="F56" r:id="rId29" display="http://vk.com/id141197373"/>
    <hyperlink ref="F57" r:id="rId30" display="http://vk.com/id78727646"/>
    <hyperlink ref="F58" r:id="rId31" display="http://vk.com/club35402404"/>
    <hyperlink ref="F59" r:id="rId32" display="http://vk.com/club61570233"/>
    <hyperlink ref="F60" r:id="rId33" display="http://www.youtube.com/channel/UCmXcQ3wSf1szPGmssQOop8Q"/>
    <hyperlink ref="F61" r:id="rId34" display="http://ok.ru/group/52171764269129"/>
    <hyperlink ref="F62" r:id="rId35" display="http://vk.com/id69795047"/>
    <hyperlink ref="F63" r:id="rId36" display="http://ok.ru/group/52161146519625"/>
    <hyperlink ref="F64" r:id="rId37" display="http://vk.com/club116010319"/>
    <hyperlink ref="F65" r:id="rId38" display="http://vk.com/id267144897"/>
    <hyperlink ref="F66" r:id="rId39" display="http://vk.com/id51000347"/>
    <hyperlink ref="F67" r:id="rId40" display="https://instagram.com/zsevastianova"/>
    <hyperlink ref="F68" r:id="rId41" display="http://vk.com/id388891844"/>
    <hyperlink ref="F69" r:id="rId42" display="http://vk.com/id6705830"/>
    <hyperlink ref="F70" r:id="rId43" display="http://www.youtube.com/channel/UCj5sl2ikNJVEgNQKCVQXUoA"/>
    <hyperlink ref="F71" r:id="rId44" display="http://vk.com/id466341803"/>
    <hyperlink ref="F72" r:id="rId45" display="http://vk.com/id516390091"/>
    <hyperlink ref="F73" r:id="rId46" display="http://vk.com/id530200276"/>
    <hyperlink ref="F74" r:id="rId47" display="http://vk.com/id569170044"/>
    <hyperlink ref="F75" r:id="rId48" display="http://vk.com/id530424871"/>
    <hyperlink ref="F76" r:id="rId49" display="https://web.telegram.org/#/im?p=@tamzdes"/>
    <hyperlink ref="F77" r:id="rId50" display="https://www.medcentre24.ru/authors/Светлана"/>
    <hyperlink ref="F78" r:id="rId51" display="http://vk.com/id628724076"/>
    <hyperlink ref="F79" r:id="rId52" display="https://www.sports.ru/profile/6162031"/>
    <hyperlink ref="F80" r:id="rId53" display="https://www.tiktok.com/@ripsime_pro_food"/>
    <hyperlink ref="F81" r:id="rId54" display="https://medum.ru/authors/Наталья"/>
    <hyperlink ref="F82" r:id="rId55" display="https://www.vashe-mnenie.com/authors/Диана"/>
    <hyperlink ref="F83" r:id="rId56" display="https://www.vashe-mnenie.com/authors/Снежана"/>
    <hyperlink ref="F84" r:id="rId57" display="http://vk.com/id673867691"/>
    <hyperlink ref="F85" r:id="rId58" display="https://www.otzyvru.com/authors/Диана"/>
    <hyperlink ref="F86" r:id="rId59" display="https://www.otzyvru.com/authors/Снежана"/>
    <hyperlink ref="F87" r:id="rId60" display="https://web.telegram.org/#/im?p=@izbamolodilnya"/>
    <hyperlink ref="F88" r:id="rId61" display="https://web.telegram.org/#/im?p=@drvkuvaev"/>
    <hyperlink ref="F89" r:id="rId62" display="https://web.telegram.org/#/im?p=@Ирина"/>
    <hyperlink ref="F90" r:id="rId63" display="https://web.telegram.org/#/im?p=@aleksatru"/>
    <hyperlink ref="F91" r:id="rId64" display="https://web.telegram.org/#/im?p=@5148404132"/>
    <hyperlink ref="F92" r:id="rId65" display="http://vk.com/id721803152"/>
    <hyperlink ref="F93" r:id="rId66" display="http://vk.com/id734929608"/>
    <hyperlink ref="F94" r:id="rId67" display="https://sprosivracha.com/authors/Наталья"/>
    <hyperlink ref="F95" r:id="rId68" display="https://sprosivracha.com/authors/Вера"/>
    <hyperlink ref="F96" r:id="rId69" display="https://www.babyblog.ru/user/nastyaeta"/>
    <hyperlink ref="F97" r:id="rId70" display="https://dzen.ru/id/63b464865ba1321f078fbed7"/>
    <hyperlink ref="F98" r:id="rId71" display="https://web.telegram.org/#/im?p=@mvelikaya"/>
    <hyperlink ref="F99" r:id="rId72" display="https://web.telegram.org/#/im?p=@actual_phlebology_ru"/>
    <hyperlink ref="F100" r:id="rId73" display="http://vk.com/id813766710"/>
    <hyperlink ref="F101" r:id="rId74" display="https://web.telegram.org/#/im?p=@dr_kikina"/>
    <hyperlink ref="F102" r:id="rId75" display="https://web.telegram.org/#/im?p=@aetolena"/>
    <hyperlink ref="F103" r:id="rId76" display="https://instagram.com/dabaevm"/>
    <hyperlink ref="F104" r:id="rId77" display="https://mom.life/user/5dcac65f375c755c874888aa"/>
    <hyperlink ref="F105" r:id="rId78" display="https://www.babyblog.ru/user/msimchik"/>
    <hyperlink ref="F106" r:id="rId79" display="https://mom.life/user/5a096a0e17699c031b653d75"/>
    <hyperlink ref="F107" r:id="rId80" display="https://mom.life/user/643a23244bf7ec52aa5d6427"/>
    <hyperlink ref="F108" r:id="rId81" display="https://forum.baby.ru/u/usr958074"/>
    <hyperlink ref="F109" r:id="rId82" display="https://otzovik.com/profile/Xavitara"/>
    <hyperlink ref="F110" r:id="rId83" display="https://web.telegram.org/#/im?p=@doctor_alina_chat"/>
    <hyperlink ref="F111" r:id="rId84" display="http://vk.com/club226299499"/>
    <hyperlink ref="F112" r:id="rId85" display="http://vk.com/id870911079"/>
    <hyperlink ref="F113" r:id="rId86" display="http://vk.com/id880432507"/>
    <hyperlink ref="F114" r:id="rId87" display="https://mom.life/user/63dc744a8a79a255a34c142d"/>
    <hyperlink ref="F115" r:id="rId88" display="https://dzen.ru/user/10000000619591296"/>
    <hyperlink ref="F116" r:id="rId89" display="https://web.telegram.org/#/im?p=@egort125"/>
    <hyperlink ref="F117" r:id="rId90" display="https://otzovik.com/profile/Nevinardel"/>
    <hyperlink ref="F118" r:id="rId91" display="https://www.ozon.ru/context/client_opinion/ClientGuid/00000000-0000-0000-0000-000000000000#Пользователь предпочёл скрыть свои данные"/>
    <hyperlink ref="F119" r:id="rId92" display="https://www.ozon.ru/context/client_opinion/ClientGuid/00000000-0000-0000-0000-000000000000#Андрей К."/>
    <hyperlink ref="F120" r:id="rId93" display="https://www.ozon.ru/context/client_opinion/ClientGuid/00000000-0000-0000-0000-000000000000#Евгений С."/>
    <hyperlink ref="F121" r:id="rId94" display="https://www.ozon.ru/context/client_opinion/ClientGuid/00000000-0000-0000-0000-000000000000#Наталия П."/>
    <hyperlink ref="F122" r:id="rId95" display="https://www.ozon.ru/context/client_opinion/ClientGuid/00000000-0000-0000-0000-000000000000#Леонид З."/>
    <hyperlink ref="F123" r:id="rId96" display="https://dzen.ru/user/j8uxeszc3lrg5deshbbkefkjkxc"/>
    <hyperlink ref="F124" r:id="rId97" display="https://dzen.ru/user/_bhpegrneaisss9rhcv19fecxto"/>
    <hyperlink ref="F125" r:id="rId98" display="https://threads.com/@znaika121"/>
    <hyperlink ref="F126" r:id="rId99" display="https://sprosivracha.com/authors/Владислав Казаков"/>
    <hyperlink ref="F127" r:id="rId100" display="https://mom.life/user/6938570a5f655a40e20c04ad"/>
    <hyperlink ref="F128" r:id="rId101" display="http://vk.com/id1089131922"/>
    <hyperlink ref="F129" r:id="rId102" display="http://ok.ru/profile/910157872241"/>
    <hyperlink ref="F130" r:id="rId103" display="http://vk.com/id1102001942"/>
    <hyperlink ref="F131" r:id="rId104" display="https://threads.com/@sssevorobeva"/>
    <hyperlink ref="F132" r:id="rId105" display="https://otzovik.com/profile/Katarianka"/>
    <hyperlink ref="F133" r:id="rId106" display="http://vk.com/id1104573797"/>
    <hyperlink ref="F134" r:id="rId107" display="https://dzen.ru/user/1aizypi03h3m3iudcxtcesigzgc"/>
    <hyperlink ref="F135" r:id="rId108" display="https://dzen.ru/id/69b5bb875330f8608cd9b95d"/>
    <hyperlink ref="F136" r:id="rId109" display="http://vk.com/club227216729"/>
    <hyperlink ref="F137" r:id="rId110" display="https://dzen.ru/user/f31w7dydatlm126z-_f-7ziqxek"/>
    <hyperlink ref="F138" r:id="rId111" display="https://dzen.ru/user/cigvvu3wczjxhpejt_7e7truozm"/>
    <hyperlink ref="F139" r:id="rId112" display="https://otzovik.com/profile/Кристина+Поданев"/>
    <hyperlink ref="F140" r:id="rId113" display="http://vk.com/id1109330634"/>
    <hyperlink ref="F141" r:id="rId114" display="https://mom.life/user/69eba7f785a7f42e770f5d4d"/>
    <hyperlink ref="F142" r:id="rId115" display="https://dzen.ru/user/2360994008"/>
    <hyperlink ref="F143" r:id="rId116" display="https://dzen.ru/user/dhia3dpnnk5n9emsdaq_rz7jbmm"/>
    <hyperlink ref="F144" r:id="rId117" display="https://otzovik.com/profile/olgaradina"/>
    <hyperlink ref="F145" r:id="rId118" display="https://otzyv.pro/user/tata225"/>
    <hyperlink ref="F146" r:id="rId119" display="https://market.yandex.ru/user/c10jjgx2b7etrdb4qfva3zpq7m"/>
    <hyperlink ref="F147" r:id="rId120" display="https://dzen.ru/user/grgfitidzfc2yyoeg_9dzbsltj0"/>
    <hyperlink ref="F148" r:id="rId121" display="https://otzovik.com/profile/marylozov88"/>
    <hyperlink ref="F149" r:id="rId122" display="https://irecommend.ru/users/igorruinova"/>
    <hyperlink ref="F150" r:id="rId123" display="https://threads.com/@itreva741"/>
    <hyperlink ref="F151" r:id="rId124" display="https://otzovik.com/profile/Аноним7215859"/>
    <hyperlink ref="F152" r:id="rId125" display="https://dzen.ru/user/uyzdk9mawshux5qs5vnmxxyuo2m"/>
    <hyperlink ref="F153" r:id="rId126" display="https://dzen.ru/user/1541034028"/>
    <hyperlink ref="F154" r:id="rId127" display="https://threads.com/@kuroskinam"/>
    <hyperlink ref="F155" r:id="rId128" display="https://www.woman.ru/authors/Гость [3028007619]"/>
    <hyperlink ref="F156" r:id="rId129" display="https://www.woman.ru/authors/Клава [3833012333]"/>
    <hyperlink ref="F157" r:id="rId130" display="https://dzen.ru/user/2370083782"/>
    <hyperlink ref="F158" r:id="rId131" display="http://vk.com/id1116260947"/>
    <hyperlink ref="F159" r:id="rId132" display="http://vk.com/id1116386313"/>
    <hyperlink ref="F160" r:id="rId133" display="http://vk.com/id1115976524"/>
    <hyperlink ref="F161" r:id="rId134" display="https://otzyv.pro/user/bastarda"/>
    <hyperlink ref="F162" r:id="rId135" display="http://vk.com/id1114749370"/>
    <hyperlink ref="F163" r:id="rId136" display="https://rutube.ru/video/person/25742999"/>
  </hyperlinks>
  <pageMargins left="0.75" right="0.75" top="1" bottom="1" header="0.5" footer="0.5"/>
  <drawing r:id="rId137"/>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5ff304d5-582d-4443-99ca-0694bc4b3eb1}">
  <dimension ref="B1:H97"/>
  <sheetViews>
    <sheetView showGridLines="0" workbookViewId="0" topLeftCell="A1"/>
  </sheetViews>
  <sheetFormatPr defaultRowHeight="12.75"/>
  <cols>
    <col min="1" max="1" width="4.714285714285714" customWidth="1"/>
    <col min="2" max="2" width="22.714285714285715" customWidth="1"/>
    <col min="3" max="3" width="30.714285714285715" customWidth="1"/>
    <col min="4" max="4" width="20.714285714285715" customWidth="1"/>
    <col min="5" max="5" width="30.714285714285715" customWidth="1"/>
    <col min="6" max="6" width="20.714285714285715" customWidth="1"/>
    <col min="7" max="13" width="13.714285714285714" customWidth="1"/>
  </cols>
  <sheetData>
    <row r="1" spans="2:3" s="1" customFormat="1" ht="30" customHeight="1">
      <c r="B1" s="1" t="s">
        <v>0</v>
      </c>
      <c r="C1" s="4" t="s">
        <v>2</v>
      </c>
    </row>
    <row r="4" spans="2:2" ht="12.75">
      <c r="B4" s="2" t="s">
        <v>29</v>
      </c>
    </row>
    <row r="6" spans="2:8" ht="30" customHeight="1">
      <c r="B6" s="5" t="s">
        <v>506</v>
      </c>
      <c r="C6" s="6" t="s">
        <v>5</v>
      </c>
      <c r="D6" s="6" t="s">
        <v>507</v>
      </c>
      <c r="E6" s="6" t="s">
        <v>28</v>
      </c>
      <c r="F6" s="6" t="s">
        <v>507</v>
      </c>
    </row>
    <row r="7" spans="2:6" ht="15" customHeight="1">
      <c r="B7" s="16" t="s">
        <v>508</v>
      </c>
      <c r="C7" s="8">
        <v>24</v>
      </c>
      <c r="D7" s="20">
        <v>0.18045112781954886</v>
      </c>
      <c r="E7" s="8">
        <v>11</v>
      </c>
      <c r="F7" s="20">
        <v>0.13580246913580246</v>
      </c>
    </row>
    <row r="8" spans="2:6" ht="15" customHeight="1">
      <c r="B8" s="16" t="s">
        <v>509</v>
      </c>
      <c r="C8" s="8">
        <v>109</v>
      </c>
      <c r="D8" s="20">
        <v>0.81954887218045114</v>
      </c>
      <c r="E8" s="8">
        <v>70</v>
      </c>
      <c r="F8" s="20">
        <v>0.86419753086419748</v>
      </c>
    </row>
    <row r="9" spans="2:2" ht="12.75">
      <c r="B9" s="25" t="s">
        <v>510</v>
      </c>
    </row>
    <row r="10" ht="25" customHeight="1"/>
    <row r="11" spans="2:6" ht="30" customHeight="1">
      <c r="B11" s="5" t="s">
        <v>511</v>
      </c>
      <c r="C11" s="6" t="s">
        <v>5</v>
      </c>
      <c r="D11" s="6" t="s">
        <v>507</v>
      </c>
      <c r="E11" s="6" t="s">
        <v>28</v>
      </c>
      <c r="F11" s="6" t="s">
        <v>507</v>
      </c>
    </row>
    <row r="12" spans="2:6" ht="15" customHeight="1">
      <c r="B12" s="16" t="s">
        <v>512</v>
      </c>
      <c r="C12" s="8">
        <v>0</v>
      </c>
      <c r="D12" s="20">
        <v>0</v>
      </c>
      <c r="E12" s="8">
        <v>0</v>
      </c>
      <c r="F12" s="20">
        <v>0</v>
      </c>
    </row>
    <row r="13" spans="2:6" ht="15" customHeight="1">
      <c r="B13" s="16" t="s">
        <v>513</v>
      </c>
      <c r="C13" s="8">
        <v>2</v>
      </c>
      <c r="D13" s="20">
        <v>0.032258064516129031</v>
      </c>
      <c r="E13" s="8">
        <v>2</v>
      </c>
      <c r="F13" s="20">
        <v>0.066666666666666666</v>
      </c>
    </row>
    <row r="14" spans="2:6" ht="15" customHeight="1">
      <c r="B14" s="16" t="s">
        <v>514</v>
      </c>
      <c r="C14" s="8">
        <v>28</v>
      </c>
      <c r="D14" s="20">
        <v>0.45161290322580644</v>
      </c>
      <c r="E14" s="8">
        <v>13</v>
      </c>
      <c r="F14" s="20">
        <v>0.43333333333333335</v>
      </c>
    </row>
    <row r="15" spans="2:6" ht="15" customHeight="1">
      <c r="B15" s="16" t="s">
        <v>515</v>
      </c>
      <c r="C15" s="8">
        <v>26</v>
      </c>
      <c r="D15" s="20">
        <v>0.41935483870967744</v>
      </c>
      <c r="E15" s="8">
        <v>12</v>
      </c>
      <c r="F15" s="20">
        <v>0.40000000000000002</v>
      </c>
    </row>
    <row r="16" spans="2:6" ht="15" customHeight="1">
      <c r="B16" s="16" t="s">
        <v>516</v>
      </c>
      <c r="C16" s="8">
        <v>6</v>
      </c>
      <c r="D16" s="20">
        <v>0.096774193548387094</v>
      </c>
      <c r="E16" s="8">
        <v>3</v>
      </c>
      <c r="F16" s="20">
        <v>0.10000000000000001</v>
      </c>
    </row>
    <row r="17" spans="2:2" ht="12.75">
      <c r="B17" s="25" t="s">
        <v>517</v>
      </c>
    </row>
    <row r="18" ht="25" customHeight="1"/>
    <row r="19" spans="2:8" ht="30" customHeight="1">
      <c r="B19" s="5" t="s">
        <v>518</v>
      </c>
      <c r="C19" s="6" t="s">
        <v>5</v>
      </c>
      <c r="D19" s="6" t="s">
        <v>507</v>
      </c>
      <c r="E19" s="6" t="s">
        <v>28</v>
      </c>
      <c r="F19" s="6" t="s">
        <v>507</v>
      </c>
    </row>
    <row r="20" spans="2:6" ht="15" customHeight="1">
      <c r="B20" s="16" t="s">
        <v>519</v>
      </c>
      <c r="C20" s="8">
        <v>0</v>
      </c>
      <c r="D20" s="20">
        <v>0</v>
      </c>
      <c r="E20" s="8">
        <v>0</v>
      </c>
      <c r="F20" s="20">
        <v>0</v>
      </c>
    </row>
    <row r="21" spans="2:6" ht="15" customHeight="1">
      <c r="B21" s="16" t="s">
        <v>520</v>
      </c>
      <c r="C21" s="8">
        <v>11</v>
      </c>
      <c r="D21" s="20">
        <v>1</v>
      </c>
      <c r="E21" s="8">
        <v>8</v>
      </c>
      <c r="F21" s="20">
        <v>1</v>
      </c>
    </row>
    <row r="22" spans="2:2" ht="12.75">
      <c r="B22" s="25" t="s">
        <v>521</v>
      </c>
    </row>
    <row r="23" ht="25" customHeight="1"/>
    <row r="24" spans="2:6" ht="30" customHeight="1">
      <c r="B24" s="5" t="s">
        <v>127</v>
      </c>
      <c r="C24" s="6" t="s">
        <v>5</v>
      </c>
      <c r="D24" s="6" t="s">
        <v>507</v>
      </c>
      <c r="E24" s="6" t="s">
        <v>28</v>
      </c>
      <c r="F24" s="6" t="s">
        <v>507</v>
      </c>
    </row>
    <row r="25" spans="2:6" ht="15" customHeight="1">
      <c r="B25" s="16" t="s">
        <v>522</v>
      </c>
      <c r="C25" s="8">
        <v>2</v>
      </c>
      <c r="D25" s="20">
        <v>1</v>
      </c>
      <c r="E25" s="8">
        <v>2</v>
      </c>
      <c r="F25" s="20">
        <v>1</v>
      </c>
    </row>
    <row r="26" spans="2:6" ht="15" customHeight="1">
      <c r="B26" s="16" t="s">
        <v>523</v>
      </c>
      <c r="C26" s="8">
        <v>0</v>
      </c>
      <c r="D26" s="20">
        <v>0</v>
      </c>
      <c r="E26" s="8">
        <v>0</v>
      </c>
      <c r="F26" s="20">
        <v>0</v>
      </c>
    </row>
    <row r="27" spans="2:6" ht="15" customHeight="1">
      <c r="B27" s="16" t="s">
        <v>524</v>
      </c>
      <c r="C27" s="8">
        <v>0</v>
      </c>
      <c r="D27" s="20">
        <v>0</v>
      </c>
      <c r="E27" s="8">
        <v>0</v>
      </c>
      <c r="F27" s="20">
        <v>0</v>
      </c>
    </row>
    <row r="28" spans="2:2" ht="12.75">
      <c r="B28" s="25" t="s">
        <v>525</v>
      </c>
    </row>
    <row r="29" ht="25" customHeight="1"/>
    <row r="30" spans="2:6" ht="30" customHeight="1">
      <c r="B30" s="5" t="s">
        <v>526</v>
      </c>
      <c r="C30" s="6" t="s">
        <v>5</v>
      </c>
      <c r="D30" s="6" t="s">
        <v>507</v>
      </c>
      <c r="E30" s="6" t="s">
        <v>28</v>
      </c>
      <c r="F30" s="6" t="s">
        <v>507</v>
      </c>
    </row>
    <row r="31" spans="2:6" ht="15" customHeight="1">
      <c r="B31" s="16" t="s">
        <v>527</v>
      </c>
      <c r="C31" s="8">
        <v>162</v>
      </c>
      <c r="D31" s="20">
        <v>0.80597014925373134</v>
      </c>
      <c r="E31" s="8">
        <v>105</v>
      </c>
      <c r="F31" s="20">
        <v>0.7720588235294118</v>
      </c>
    </row>
    <row r="32" spans="2:8" ht="15" customHeight="1">
      <c r="B32" s="16" t="s">
        <v>528</v>
      </c>
      <c r="C32" s="8">
        <v>20</v>
      </c>
      <c r="D32" s="20">
        <v>0.09950248756218906</v>
      </c>
      <c r="E32" s="8">
        <v>12</v>
      </c>
      <c r="F32" s="20">
        <v>0.088235294117647065</v>
      </c>
    </row>
    <row r="33" spans="2:6" ht="15" customHeight="1">
      <c r="B33" s="16" t="s">
        <v>529</v>
      </c>
      <c r="C33" s="8">
        <v>4</v>
      </c>
      <c r="D33" s="20">
        <v>0.019900497512437811</v>
      </c>
      <c r="E33" s="8">
        <v>4</v>
      </c>
      <c r="F33" s="20">
        <v>0.029411764705882353</v>
      </c>
    </row>
    <row r="34" spans="2:6" ht="15" customHeight="1">
      <c r="B34" s="16" t="s">
        <v>530</v>
      </c>
      <c r="C34" s="8">
        <v>6</v>
      </c>
      <c r="D34" s="20">
        <v>0.029850746268656716</v>
      </c>
      <c r="E34" s="8">
        <v>6</v>
      </c>
      <c r="F34" s="20">
        <v>0.044117647058823532</v>
      </c>
    </row>
    <row r="35" spans="2:6" ht="15" customHeight="1">
      <c r="B35" s="16" t="s">
        <v>531</v>
      </c>
      <c r="C35" s="8">
        <v>1</v>
      </c>
      <c r="D35" s="20">
        <v>0.0049751243781094526</v>
      </c>
      <c r="E35" s="8">
        <v>1</v>
      </c>
      <c r="F35" s="20">
        <v>0.0073529411764705881</v>
      </c>
    </row>
    <row r="36" spans="2:6" ht="15" customHeight="1">
      <c r="B36" s="16" t="s">
        <v>532</v>
      </c>
      <c r="C36" s="8">
        <v>8</v>
      </c>
      <c r="D36" s="20">
        <v>0.039800995024875621</v>
      </c>
      <c r="E36" s="8">
        <v>8</v>
      </c>
      <c r="F36" s="20">
        <v>0.058823529411764705</v>
      </c>
    </row>
    <row r="37" spans="2:2" ht="12.75">
      <c r="B37" s="25" t="s">
        <v>533</v>
      </c>
    </row>
    <row r="38" ht="25" customHeight="1"/>
    <row r="39" spans="2:4" ht="30" customHeight="1">
      <c r="B39" s="5" t="s">
        <v>534</v>
      </c>
      <c r="C39" s="6" t="s">
        <v>5</v>
      </c>
      <c r="D39" s="6" t="s">
        <v>28</v>
      </c>
    </row>
    <row r="40" spans="2:4" ht="15" customHeight="1">
      <c r="B40" s="16" t="s">
        <v>535</v>
      </c>
      <c r="C40" s="8">
        <v>4</v>
      </c>
      <c r="D40" s="8">
        <v>1</v>
      </c>
    </row>
    <row r="41" spans="2:4" ht="15" customHeight="1">
      <c r="B41" s="16" t="s">
        <v>536</v>
      </c>
      <c r="C41" s="8">
        <v>5</v>
      </c>
      <c r="D41" s="8">
        <v>2</v>
      </c>
    </row>
    <row r="42" spans="2:4" ht="15" customHeight="1">
      <c r="B42" s="16" t="s">
        <v>537</v>
      </c>
      <c r="C42" s="8">
        <v>0</v>
      </c>
      <c r="D42" s="8">
        <v>0</v>
      </c>
    </row>
    <row r="43" spans="2:4" ht="15" customHeight="1">
      <c r="B43" s="16" t="s">
        <v>538</v>
      </c>
      <c r="C43" s="8">
        <v>5</v>
      </c>
      <c r="D43" s="8">
        <v>2</v>
      </c>
    </row>
    <row r="44" spans="2:4" ht="15" customHeight="1">
      <c r="B44" s="16" t="s">
        <v>539</v>
      </c>
      <c r="C44" s="8">
        <v>0</v>
      </c>
      <c r="D44" s="8">
        <v>0</v>
      </c>
    </row>
    <row r="45" spans="2:8" ht="15" customHeight="1">
      <c r="B45" s="16" t="s">
        <v>540</v>
      </c>
      <c r="C45" s="8">
        <v>0</v>
      </c>
      <c r="D45" s="8">
        <v>0</v>
      </c>
    </row>
    <row r="46" spans="2:2" ht="12.75">
      <c r="B46" s="25" t="s">
        <v>541</v>
      </c>
    </row>
    <row r="47" ht="25" customHeight="1"/>
    <row r="48" spans="2:6" ht="30" customHeight="1">
      <c r="B48" s="5" t="s">
        <v>34</v>
      </c>
      <c r="C48" s="6" t="s">
        <v>5</v>
      </c>
      <c r="D48" s="6" t="s">
        <v>507</v>
      </c>
      <c r="E48" s="6" t="s">
        <v>28</v>
      </c>
      <c r="F48" s="6" t="s">
        <v>507</v>
      </c>
    </row>
    <row r="49" spans="2:6" ht="15" customHeight="1">
      <c r="B49" s="16" t="s">
        <v>142</v>
      </c>
      <c r="C49" s="8">
        <v>39</v>
      </c>
      <c r="D49" s="26">
        <v>1</v>
      </c>
      <c r="E49" s="8">
        <v>29</v>
      </c>
      <c r="F49" s="26">
        <v>1</v>
      </c>
    </row>
    <row r="50" spans="2:2" ht="12.75">
      <c r="B50" s="25" t="s">
        <v>542</v>
      </c>
    </row>
    <row r="51" ht="25" customHeight="1"/>
    <row r="52" spans="2:6" ht="30" customHeight="1">
      <c r="B52" s="5" t="s">
        <v>543</v>
      </c>
      <c r="C52" s="6" t="s">
        <v>5</v>
      </c>
      <c r="D52" s="6" t="s">
        <v>507</v>
      </c>
      <c r="E52" s="6" t="s">
        <v>28</v>
      </c>
      <c r="F52" s="6" t="s">
        <v>507</v>
      </c>
    </row>
    <row r="53" spans="2:6" ht="15" customHeight="1">
      <c r="B53" s="16" t="s">
        <v>169</v>
      </c>
      <c r="C53" s="8">
        <v>14</v>
      </c>
      <c r="D53" s="26">
        <v>0.46666666666666667</v>
      </c>
      <c r="E53" s="8">
        <v>8</v>
      </c>
      <c r="F53" s="26">
        <v>0.34782608695652173</v>
      </c>
    </row>
    <row r="54" spans="2:6" ht="15" customHeight="1">
      <c r="B54" s="16" t="s">
        <v>238</v>
      </c>
      <c r="C54" s="8">
        <v>3</v>
      </c>
      <c r="D54" s="26">
        <v>0.10000000000000001</v>
      </c>
      <c r="E54" s="8">
        <v>3</v>
      </c>
      <c r="F54" s="26">
        <v>0.13043478260869565</v>
      </c>
    </row>
    <row r="55" spans="2:6" ht="15" customHeight="1">
      <c r="B55" s="16" t="s">
        <v>263</v>
      </c>
      <c r="C55" s="8">
        <v>2</v>
      </c>
      <c r="D55" s="26">
        <v>0.066666666666666666</v>
      </c>
      <c r="E55" s="8">
        <v>2</v>
      </c>
      <c r="F55" s="26">
        <v>0.086956521739130432</v>
      </c>
    </row>
    <row r="56" spans="2:6" ht="15" customHeight="1">
      <c r="B56" s="16" t="s">
        <v>231</v>
      </c>
      <c r="C56" s="8">
        <v>2</v>
      </c>
      <c r="D56" s="26">
        <v>0.066666666666666666</v>
      </c>
      <c r="E56" s="8">
        <v>2</v>
      </c>
      <c r="F56" s="26">
        <v>0.086956521739130432</v>
      </c>
    </row>
    <row r="57" spans="2:6" ht="15" customHeight="1">
      <c r="B57" s="16" t="s">
        <v>212</v>
      </c>
      <c r="C57" s="8">
        <v>2</v>
      </c>
      <c r="D57" s="26">
        <v>0.066666666666666666</v>
      </c>
      <c r="E57" s="8">
        <v>1</v>
      </c>
      <c r="F57" s="26">
        <v>0.043478260869565216</v>
      </c>
    </row>
    <row r="58" spans="2:8" ht="15" customHeight="1">
      <c r="B58" s="16" t="s">
        <v>400</v>
      </c>
      <c r="C58" s="8">
        <v>1</v>
      </c>
      <c r="D58" s="26">
        <v>0.033333333333333333</v>
      </c>
      <c r="E58" s="8">
        <v>1</v>
      </c>
      <c r="F58" s="26">
        <v>0.043478260869565216</v>
      </c>
    </row>
    <row r="59" spans="2:6" ht="15" customHeight="1">
      <c r="B59" s="16" t="s">
        <v>356</v>
      </c>
      <c r="C59" s="8">
        <v>1</v>
      </c>
      <c r="D59" s="26">
        <v>0.033333333333333333</v>
      </c>
      <c r="E59" s="8">
        <v>1</v>
      </c>
      <c r="F59" s="26">
        <v>0.043478260869565216</v>
      </c>
    </row>
    <row r="60" spans="2:6" ht="15" customHeight="1">
      <c r="B60" s="16" t="s">
        <v>195</v>
      </c>
      <c r="C60" s="8">
        <v>1</v>
      </c>
      <c r="D60" s="26">
        <v>0.033333333333333333</v>
      </c>
      <c r="E60" s="8">
        <v>1</v>
      </c>
      <c r="F60" s="26">
        <v>0.043478260869565216</v>
      </c>
    </row>
    <row r="61" spans="2:6" ht="15" customHeight="1">
      <c r="B61" s="16" t="s">
        <v>163</v>
      </c>
      <c r="C61" s="8">
        <v>1</v>
      </c>
      <c r="D61" s="26">
        <v>0.033333333333333333</v>
      </c>
      <c r="E61" s="8">
        <v>1</v>
      </c>
      <c r="F61" s="26">
        <v>0.043478260869565216</v>
      </c>
    </row>
    <row r="62" spans="2:6" ht="15" customHeight="1">
      <c r="B62" s="16" t="s">
        <v>187</v>
      </c>
      <c r="C62" s="8">
        <v>1</v>
      </c>
      <c r="D62" s="26">
        <v>0.033333333333333333</v>
      </c>
      <c r="E62" s="8">
        <v>1</v>
      </c>
      <c r="F62" s="26">
        <v>0.043478260869565216</v>
      </c>
    </row>
    <row r="63" spans="2:6" ht="15" customHeight="1">
      <c r="B63" s="16" t="s">
        <v>208</v>
      </c>
      <c r="C63" s="8">
        <v>1</v>
      </c>
      <c r="D63" s="26">
        <v>0.033333333333333333</v>
      </c>
      <c r="E63" s="8">
        <v>1</v>
      </c>
      <c r="F63" s="26">
        <v>0.043478260869565216</v>
      </c>
    </row>
    <row r="64" spans="2:6" ht="15" customHeight="1">
      <c r="B64" s="16" t="s">
        <v>481</v>
      </c>
      <c r="C64" s="8">
        <v>1</v>
      </c>
      <c r="D64" s="26">
        <v>0.033333333333333333</v>
      </c>
      <c r="E64" s="8">
        <v>1</v>
      </c>
      <c r="F64" s="26">
        <v>0.043478260869565216</v>
      </c>
    </row>
    <row r="65" spans="2:2" ht="12.75">
      <c r="B65" s="25" t="s">
        <v>544</v>
      </c>
    </row>
    <row r="66" ht="25" customHeight="1"/>
    <row r="67" spans="2:6" ht="30" customHeight="1">
      <c r="B67" s="5" t="s">
        <v>545</v>
      </c>
      <c r="C67" s="6" t="s">
        <v>5</v>
      </c>
      <c r="D67" s="6" t="s">
        <v>507</v>
      </c>
      <c r="E67" s="6" t="s">
        <v>28</v>
      </c>
      <c r="F67" s="6" t="s">
        <v>507</v>
      </c>
    </row>
    <row r="68" spans="2:6" ht="15" customHeight="1">
      <c r="B68" s="16" t="s">
        <v>169</v>
      </c>
      <c r="C68" s="8">
        <v>14</v>
      </c>
      <c r="D68" s="26">
        <v>0.46666666666666667</v>
      </c>
      <c r="E68" s="8">
        <v>8</v>
      </c>
      <c r="F68" s="26">
        <v>0.34782608695652173</v>
      </c>
    </row>
    <row r="69" spans="2:6" ht="15" customHeight="1">
      <c r="B69" s="16" t="s">
        <v>238</v>
      </c>
      <c r="C69" s="8">
        <v>3</v>
      </c>
      <c r="D69" s="26">
        <v>0.10000000000000001</v>
      </c>
      <c r="E69" s="8">
        <v>3</v>
      </c>
      <c r="F69" s="26">
        <v>0.13043478260869565</v>
      </c>
    </row>
    <row r="70" spans="2:6" ht="15" customHeight="1">
      <c r="B70" s="16" t="s">
        <v>232</v>
      </c>
      <c r="C70" s="8">
        <v>2</v>
      </c>
      <c r="D70" s="26">
        <v>0.066666666666666666</v>
      </c>
      <c r="E70" s="8">
        <v>2</v>
      </c>
      <c r="F70" s="26">
        <v>0.086956521739130432</v>
      </c>
    </row>
    <row r="71" spans="2:8" ht="15" customHeight="1">
      <c r="B71" s="16" t="s">
        <v>164</v>
      </c>
      <c r="C71" s="8">
        <v>1</v>
      </c>
      <c r="D71" s="26">
        <v>0.033333333333333333</v>
      </c>
      <c r="E71" s="8">
        <v>1</v>
      </c>
      <c r="F71" s="26">
        <v>0.043478260869565216</v>
      </c>
    </row>
    <row r="72" spans="2:6" ht="15" customHeight="1">
      <c r="B72" s="16" t="s">
        <v>401</v>
      </c>
      <c r="C72" s="8">
        <v>1</v>
      </c>
      <c r="D72" s="26">
        <v>0.033333333333333333</v>
      </c>
      <c r="E72" s="8">
        <v>1</v>
      </c>
      <c r="F72" s="26">
        <v>0.043478260869565216</v>
      </c>
    </row>
    <row r="73" spans="2:6" ht="15" customHeight="1">
      <c r="B73" s="16" t="s">
        <v>213</v>
      </c>
      <c r="C73" s="8">
        <v>2</v>
      </c>
      <c r="D73" s="26">
        <v>0.066666666666666666</v>
      </c>
      <c r="E73" s="8">
        <v>1</v>
      </c>
      <c r="F73" s="26">
        <v>0.043478260869565216</v>
      </c>
    </row>
    <row r="74" spans="2:6" ht="15" customHeight="1">
      <c r="B74" s="16" t="s">
        <v>357</v>
      </c>
      <c r="C74" s="8">
        <v>1</v>
      </c>
      <c r="D74" s="26">
        <v>0.033333333333333333</v>
      </c>
      <c r="E74" s="8">
        <v>1</v>
      </c>
      <c r="F74" s="26">
        <v>0.043478260869565216</v>
      </c>
    </row>
    <row r="75" spans="2:6" ht="15" customHeight="1">
      <c r="B75" s="16" t="s">
        <v>490</v>
      </c>
      <c r="C75" s="8">
        <v>1</v>
      </c>
      <c r="D75" s="26">
        <v>0.033333333333333333</v>
      </c>
      <c r="E75" s="8">
        <v>1</v>
      </c>
      <c r="F75" s="26">
        <v>0.043478260869565216</v>
      </c>
    </row>
    <row r="76" spans="2:6" ht="15" customHeight="1">
      <c r="B76" s="16" t="s">
        <v>188</v>
      </c>
      <c r="C76" s="8">
        <v>1</v>
      </c>
      <c r="D76" s="26">
        <v>0.033333333333333333</v>
      </c>
      <c r="E76" s="8">
        <v>1</v>
      </c>
      <c r="F76" s="26">
        <v>0.043478260869565216</v>
      </c>
    </row>
    <row r="77" spans="2:6" ht="15" customHeight="1">
      <c r="B77" s="16" t="s">
        <v>546</v>
      </c>
      <c r="C77" s="8">
        <v>1</v>
      </c>
      <c r="D77" s="26">
        <v>0.033333333333333333</v>
      </c>
      <c r="E77" s="8">
        <v>1</v>
      </c>
      <c r="F77" s="26">
        <v>0.043478260869565216</v>
      </c>
    </row>
    <row r="78" spans="2:6" ht="15" customHeight="1">
      <c r="B78" s="16" t="s">
        <v>445</v>
      </c>
      <c r="C78" s="8">
        <v>1</v>
      </c>
      <c r="D78" s="26">
        <v>0.033333333333333333</v>
      </c>
      <c r="E78" s="8">
        <v>1</v>
      </c>
      <c r="F78" s="26">
        <v>0.043478260869565216</v>
      </c>
    </row>
    <row r="79" spans="2:6" ht="15" customHeight="1">
      <c r="B79" s="16" t="s">
        <v>547</v>
      </c>
      <c r="C79" s="8">
        <v>1</v>
      </c>
      <c r="D79" s="26">
        <v>0.033333333333333333</v>
      </c>
      <c r="E79" s="8">
        <v>1</v>
      </c>
      <c r="F79" s="26">
        <v>0.043478260869565216</v>
      </c>
    </row>
    <row r="80" spans="2:6" ht="15" customHeight="1">
      <c r="B80" s="16" t="s">
        <v>548</v>
      </c>
      <c r="C80" s="8">
        <v>1</v>
      </c>
      <c r="D80" s="26">
        <v>0.033333333333333333</v>
      </c>
      <c r="E80" s="8">
        <v>1</v>
      </c>
      <c r="F80" s="26">
        <v>0.043478260869565216</v>
      </c>
    </row>
    <row r="81" spans="2:2" ht="12.75">
      <c r="B81" s="25" t="s">
        <v>549</v>
      </c>
    </row>
    <row r="84" spans="8:8" ht="12.75"/>
    <row r="97" spans="8:8" ht="12.75"/>
  </sheetData>
  <hyperlinks>
    <hyperlink ref="C1" location="Содержание!B4" display="К содержанию"/>
  </hyperlinks>
  <pageMargins left="0.75" right="0.75" top="1" bottom="1" header="0.5" footer="0.5"/>
  <drawing r:id="rId1"/>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30ffc062-81a0-418d-aea9-82dd9a31c462}">
  <dimension ref="B1:C51"/>
  <sheetViews>
    <sheetView showGridLines="0" workbookViewId="0" topLeftCell="A1"/>
  </sheetViews>
  <sheetFormatPr defaultRowHeight="12.75"/>
  <cols>
    <col min="1" max="1" width="4.714285714285714" customWidth="1"/>
    <col min="2" max="2" width="22.714285714285715" customWidth="1"/>
    <col min="3" max="3" width="15.857142857142858" customWidth="1"/>
  </cols>
  <sheetData>
    <row r="1" spans="2:3" s="1" customFormat="1" ht="30" customHeight="1">
      <c r="B1" s="1" t="s">
        <v>0</v>
      </c>
      <c r="C1" s="4" t="s">
        <v>2</v>
      </c>
    </row>
    <row r="4" spans="2:2" ht="12.75">
      <c r="B4" s="2" t="s">
        <v>30</v>
      </c>
    </row>
    <row r="6" spans="2:2" ht="14" customHeight="1"/>
    <row r="7" ht="14" customHeight="1"/>
    <row r="8" ht="14" customHeight="1"/>
    <row r="9" ht="14" customHeight="1"/>
    <row r="10" ht="14" customHeight="1"/>
    <row r="11" ht="14" customHeight="1"/>
    <row r="12" ht="14" customHeight="1"/>
    <row r="13" ht="14" customHeight="1"/>
    <row r="14" ht="14" customHeight="1"/>
    <row r="15" ht="14" customHeight="1"/>
    <row r="16" ht="14" customHeight="1"/>
    <row r="17" ht="14" customHeight="1"/>
    <row r="18" ht="14" customHeight="1"/>
    <row r="19" ht="14" customHeight="1"/>
    <row r="20" ht="14" customHeight="1"/>
    <row r="21" ht="14" customHeight="1"/>
    <row r="22" ht="14" customHeight="1"/>
    <row r="23" ht="14" customHeight="1"/>
    <row r="24" spans="2:3" ht="30" customHeight="1">
      <c r="B24" s="5" t="s">
        <v>30</v>
      </c>
      <c r="C24" s="5" t="s">
        <v>15</v>
      </c>
    </row>
    <row r="25" spans="2:3" ht="15" customHeight="1">
      <c r="B25" s="17" t="s">
        <v>1653</v>
      </c>
      <c r="C25" s="17">
        <v>14</v>
      </c>
    </row>
    <row r="26" spans="2:3" ht="15" customHeight="1">
      <c r="B26" s="17" t="s">
        <v>1654</v>
      </c>
      <c r="C26" s="17">
        <v>11</v>
      </c>
    </row>
    <row r="27" spans="2:3" ht="15" customHeight="1">
      <c r="B27" s="17" t="s">
        <v>1655</v>
      </c>
      <c r="C27" s="17">
        <v>3</v>
      </c>
    </row>
    <row r="28" spans="2:3" ht="15" customHeight="1">
      <c r="B28" s="17" t="s">
        <v>789</v>
      </c>
      <c r="C28" s="17">
        <v>2</v>
      </c>
    </row>
    <row r="29" spans="2:3" ht="15" customHeight="1">
      <c r="B29" s="17" t="s">
        <v>1656</v>
      </c>
      <c r="C29" s="17">
        <v>2</v>
      </c>
    </row>
    <row r="30" spans="2:3" ht="15" customHeight="1">
      <c r="B30" s="17" t="s">
        <v>1657</v>
      </c>
      <c r="C30" s="17">
        <v>2</v>
      </c>
    </row>
    <row r="31" spans="2:3" ht="15" customHeight="1">
      <c r="B31" s="17" t="s">
        <v>1658</v>
      </c>
      <c r="C31" s="17">
        <v>2</v>
      </c>
    </row>
    <row r="32" spans="2:3" ht="15" customHeight="1">
      <c r="B32" s="17" t="s">
        <v>1659</v>
      </c>
      <c r="C32" s="17">
        <v>2</v>
      </c>
    </row>
    <row r="33" spans="2:3" ht="15" customHeight="1">
      <c r="B33" s="17" t="s">
        <v>1660</v>
      </c>
      <c r="C33" s="17">
        <v>2</v>
      </c>
    </row>
    <row r="34" spans="2:3" ht="15" customHeight="1">
      <c r="B34" s="17" t="s">
        <v>1661</v>
      </c>
      <c r="C34" s="17">
        <v>2</v>
      </c>
    </row>
    <row r="35" spans="2:3" ht="15" customHeight="1">
      <c r="B35" s="17" t="s">
        <v>1662</v>
      </c>
      <c r="C35" s="17">
        <v>2</v>
      </c>
    </row>
    <row r="36" spans="2:3" ht="15" customHeight="1">
      <c r="B36" s="17" t="s">
        <v>1663</v>
      </c>
      <c r="C36" s="17">
        <v>2</v>
      </c>
    </row>
    <row r="37" spans="2:3" ht="15" customHeight="1">
      <c r="B37" s="17" t="s">
        <v>1664</v>
      </c>
      <c r="C37" s="17">
        <v>2</v>
      </c>
    </row>
    <row r="38" spans="2:3" ht="15" customHeight="1">
      <c r="B38" s="17" t="s">
        <v>786</v>
      </c>
      <c r="C38" s="17">
        <v>2</v>
      </c>
    </row>
    <row r="39" spans="2:3" ht="15" customHeight="1">
      <c r="B39" s="17" t="s">
        <v>1665</v>
      </c>
      <c r="C39" s="17">
        <v>1</v>
      </c>
    </row>
    <row r="40" spans="2:3" ht="15" customHeight="1">
      <c r="B40" s="17" t="s">
        <v>788</v>
      </c>
      <c r="C40" s="17">
        <v>1</v>
      </c>
    </row>
    <row r="41" spans="2:3" ht="15" customHeight="1">
      <c r="B41" s="17" t="s">
        <v>1666</v>
      </c>
      <c r="C41" s="17">
        <v>1</v>
      </c>
    </row>
    <row r="42" spans="2:3" ht="15" customHeight="1">
      <c r="B42" s="17" t="s">
        <v>1667</v>
      </c>
      <c r="C42" s="17">
        <v>1</v>
      </c>
    </row>
    <row r="43" spans="2:3" ht="15" customHeight="1">
      <c r="B43" s="17" t="s">
        <v>1668</v>
      </c>
      <c r="C43" s="17">
        <v>1</v>
      </c>
    </row>
    <row r="44" spans="2:3" ht="15" customHeight="1">
      <c r="B44" s="17" t="s">
        <v>1669</v>
      </c>
      <c r="C44" s="17">
        <v>1</v>
      </c>
    </row>
    <row r="45" spans="2:3" ht="15" customHeight="1">
      <c r="B45" s="17" t="s">
        <v>1670</v>
      </c>
      <c r="C45" s="17">
        <v>1</v>
      </c>
    </row>
    <row r="46" spans="2:3" ht="15" customHeight="1">
      <c r="B46" s="17" t="s">
        <v>1671</v>
      </c>
      <c r="C46" s="17">
        <v>1</v>
      </c>
    </row>
    <row r="47" spans="2:3" ht="15" customHeight="1">
      <c r="B47" s="17" t="s">
        <v>1672</v>
      </c>
      <c r="C47" s="17">
        <v>1</v>
      </c>
    </row>
    <row r="48" spans="2:3" ht="15" customHeight="1">
      <c r="B48" s="17" t="s">
        <v>1673</v>
      </c>
      <c r="C48" s="17">
        <v>1</v>
      </c>
    </row>
    <row r="49" spans="2:3" ht="15" customHeight="1">
      <c r="B49" s="17" t="s">
        <v>1674</v>
      </c>
      <c r="C49" s="17">
        <v>1</v>
      </c>
    </row>
    <row r="50" spans="2:3" ht="15" customHeight="1">
      <c r="B50" s="17" t="s">
        <v>1675</v>
      </c>
      <c r="C50" s="17">
        <v>1</v>
      </c>
    </row>
    <row r="51" spans="2:3" ht="15" customHeight="1">
      <c r="B51" s="17" t="s">
        <v>1676</v>
      </c>
      <c r="C51" s="17">
        <v>1</v>
      </c>
    </row>
  </sheetData>
  <hyperlinks>
    <hyperlink ref="C1" location="Содержание!B4" display="К содержанию"/>
  </hyperlinks>
  <pageMargins left="0.75" right="0.75" top="1" bottom="1" header="0.5" footer="0.5"/>
  <drawing r:id="rId1"/>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a51ea9ca-032b-41ad-a5db-4f35b3cebf02}">
  <dimension ref="B1:D32"/>
  <sheetViews>
    <sheetView showGridLines="0" workbookViewId="0" topLeftCell="A1"/>
  </sheetViews>
  <sheetFormatPr defaultRowHeight="12.75"/>
  <cols>
    <col min="1" max="1" width="4.714285714285714" customWidth="1"/>
    <col min="2" max="2" width="22.714285714285715" customWidth="1"/>
    <col min="3" max="4" width="15.857142857142858" customWidth="1"/>
  </cols>
  <sheetData>
    <row r="1" spans="2:3" s="1" customFormat="1" ht="30" customHeight="1">
      <c r="B1" s="1" t="s">
        <v>0</v>
      </c>
      <c r="C1" s="4" t="s">
        <v>2</v>
      </c>
    </row>
    <row r="4" spans="2:2" ht="12.75">
      <c r="B4" s="2" t="s">
        <v>31</v>
      </c>
    </row>
    <row r="6" spans="2:2" ht="14" customHeight="1"/>
    <row r="7" ht="14" customHeight="1"/>
    <row r="8" ht="14" customHeight="1"/>
    <row r="9" ht="14" customHeight="1"/>
    <row r="10" ht="14" customHeight="1"/>
    <row r="11" ht="14" customHeight="1"/>
    <row r="12" ht="14" customHeight="1"/>
    <row r="13" ht="14" customHeight="1"/>
    <row r="14" ht="14" customHeight="1"/>
    <row r="15" ht="14" customHeight="1"/>
    <row r="16" ht="14" customHeight="1"/>
    <row r="17" ht="14" customHeight="1"/>
    <row r="18" ht="14" customHeight="1"/>
    <row r="19" ht="14" customHeight="1"/>
    <row r="20" ht="14" customHeight="1"/>
    <row r="21" ht="14" customHeight="1"/>
    <row r="22" ht="14" customHeight="1"/>
    <row r="23" ht="14" customHeight="1"/>
    <row r="24" spans="2:4" ht="30" customHeight="1">
      <c r="B24" s="5" t="s">
        <v>31</v>
      </c>
      <c r="C24" s="5" t="s">
        <v>785</v>
      </c>
      <c r="D24" s="5" t="s">
        <v>15</v>
      </c>
    </row>
    <row r="25" spans="2:4" ht="15" customHeight="1">
      <c r="B25" s="17" t="s">
        <v>786</v>
      </c>
      <c r="C25" s="17">
        <v>236</v>
      </c>
      <c r="D25" s="17">
        <v>4</v>
      </c>
    </row>
    <row r="26" spans="2:4" ht="15" customHeight="1">
      <c r="B26" s="17" t="s">
        <v>787</v>
      </c>
      <c r="C26" s="17">
        <v>39</v>
      </c>
      <c r="D26" s="17">
        <v>2</v>
      </c>
    </row>
    <row r="27" spans="2:4" ht="15" customHeight="1">
      <c r="B27" s="17" t="s">
        <v>788</v>
      </c>
      <c r="C27" s="17">
        <v>24</v>
      </c>
      <c r="D27" s="17">
        <v>3</v>
      </c>
    </row>
    <row r="28" spans="2:4" ht="15" customHeight="1">
      <c r="B28" s="17" t="s">
        <v>789</v>
      </c>
      <c r="C28" s="17">
        <v>18</v>
      </c>
      <c r="D28" s="17">
        <v>1</v>
      </c>
    </row>
    <row r="29" spans="2:4" ht="15" customHeight="1">
      <c r="B29" s="17" t="s">
        <v>790</v>
      </c>
      <c r="C29" s="17">
        <v>9</v>
      </c>
      <c r="D29" s="17">
        <v>1</v>
      </c>
    </row>
    <row r="30" spans="2:4" ht="15" customHeight="1">
      <c r="B30" s="17" t="s">
        <v>791</v>
      </c>
      <c r="C30" s="17">
        <v>6</v>
      </c>
      <c r="D30" s="17">
        <v>1</v>
      </c>
    </row>
    <row r="31" spans="2:4" ht="15" customHeight="1">
      <c r="B31" s="17" t="s">
        <v>792</v>
      </c>
      <c r="C31" s="17">
        <v>3</v>
      </c>
      <c r="D31" s="17">
        <v>1</v>
      </c>
    </row>
    <row r="32" spans="2:4" ht="15" customHeight="1">
      <c r="B32" s="17" t="s">
        <v>793</v>
      </c>
      <c r="C32" s="17">
        <v>1</v>
      </c>
      <c r="D32" s="17">
        <v>1</v>
      </c>
    </row>
  </sheetData>
  <hyperlinks>
    <hyperlink ref="C1" location="Содержание!B4" display="К содержанию"/>
  </hyperlinks>
  <pageMargins left="0.75" right="0.75" top="1" bottom="1" header="0.5" footer="0.5"/>
  <drawing r:id="rId1"/>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85da3a3b-5314-4584-b113-5147c0180f79}">
  <dimension ref="B1:C106"/>
  <sheetViews>
    <sheetView showGridLines="0" workbookViewId="0" topLeftCell="A1"/>
  </sheetViews>
  <sheetFormatPr defaultRowHeight="12.75"/>
  <cols>
    <col min="1" max="1" width="4.714285714285714" customWidth="1"/>
    <col min="2" max="2" width="22.714285714285715" customWidth="1"/>
    <col min="3" max="3" width="25.714285714285715" customWidth="1"/>
    <col min="4" max="9" width="14.714285714285714" customWidth="1"/>
  </cols>
  <sheetData>
    <row r="1" spans="2:3" s="1" customFormat="1" ht="30" customHeight="1">
      <c r="B1" s="1" t="s">
        <v>0</v>
      </c>
      <c r="C1" s="4" t="s">
        <v>2</v>
      </c>
    </row>
    <row r="4" spans="2:2" ht="12.75">
      <c r="B4" s="2" t="s">
        <v>32</v>
      </c>
    </row>
    <row r="6" spans="2:3" ht="30" customHeight="1">
      <c r="B6" s="5" t="s">
        <v>32</v>
      </c>
      <c r="C6" s="6" t="s">
        <v>5</v>
      </c>
    </row>
    <row r="7" spans="2:3" ht="15" customHeight="1">
      <c r="B7" s="16" t="s">
        <v>812</v>
      </c>
      <c r="C7" s="8">
        <v>138</v>
      </c>
    </row>
    <row r="8" spans="2:3" ht="15" customHeight="1">
      <c r="B8" s="16" t="s">
        <v>813</v>
      </c>
      <c r="C8" s="8">
        <v>131</v>
      </c>
    </row>
    <row r="9" spans="2:3" ht="15" customHeight="1">
      <c r="B9" s="16" t="s">
        <v>814</v>
      </c>
      <c r="C9" s="8">
        <v>60</v>
      </c>
    </row>
    <row r="10" spans="2:3" ht="15" customHeight="1">
      <c r="B10" s="16" t="s">
        <v>815</v>
      </c>
      <c r="C10" s="8">
        <v>58</v>
      </c>
    </row>
    <row r="11" spans="2:3" ht="15" customHeight="1">
      <c r="B11" s="16" t="s">
        <v>816</v>
      </c>
      <c r="C11" s="8">
        <v>48</v>
      </c>
    </row>
    <row r="12" spans="2:3" ht="15" customHeight="1">
      <c r="B12" s="16" t="s">
        <v>817</v>
      </c>
      <c r="C12" s="8">
        <v>46</v>
      </c>
    </row>
    <row r="13" spans="2:3" ht="15" customHeight="1">
      <c r="B13" s="16" t="s">
        <v>818</v>
      </c>
      <c r="C13" s="8">
        <v>44</v>
      </c>
    </row>
    <row r="14" spans="2:3" ht="15" customHeight="1">
      <c r="B14" s="16" t="s">
        <v>819</v>
      </c>
      <c r="C14" s="8">
        <v>42</v>
      </c>
    </row>
    <row r="15" spans="2:3" ht="15" customHeight="1">
      <c r="B15" s="16" t="s">
        <v>820</v>
      </c>
      <c r="C15" s="8">
        <v>41</v>
      </c>
    </row>
    <row r="16" spans="2:3" ht="15" customHeight="1">
      <c r="B16" s="16" t="s">
        <v>821</v>
      </c>
      <c r="C16" s="8">
        <v>39</v>
      </c>
    </row>
    <row r="17" spans="2:3" ht="15" customHeight="1">
      <c r="B17" s="16" t="s">
        <v>822</v>
      </c>
      <c r="C17" s="8">
        <v>38</v>
      </c>
    </row>
    <row r="18" spans="2:3" ht="15" customHeight="1">
      <c r="B18" s="16" t="s">
        <v>823</v>
      </c>
      <c r="C18" s="8">
        <v>36</v>
      </c>
    </row>
    <row r="19" spans="2:3" ht="15" customHeight="1">
      <c r="B19" s="16" t="s">
        <v>824</v>
      </c>
      <c r="C19" s="8">
        <v>32</v>
      </c>
    </row>
    <row r="20" spans="2:3" ht="15" customHeight="1">
      <c r="B20" s="16" t="s">
        <v>825</v>
      </c>
      <c r="C20" s="8">
        <v>31</v>
      </c>
    </row>
    <row r="21" spans="2:3" ht="15" customHeight="1">
      <c r="B21" s="16" t="s">
        <v>826</v>
      </c>
      <c r="C21" s="8">
        <v>30</v>
      </c>
    </row>
    <row r="22" spans="2:3" ht="15" customHeight="1">
      <c r="B22" s="16" t="s">
        <v>827</v>
      </c>
      <c r="C22" s="8">
        <v>30</v>
      </c>
    </row>
    <row r="23" spans="2:3" ht="15" customHeight="1">
      <c r="B23" s="16" t="s">
        <v>828</v>
      </c>
      <c r="C23" s="8">
        <v>29</v>
      </c>
    </row>
    <row r="24" spans="2:3" ht="15" customHeight="1">
      <c r="B24" s="16" t="s">
        <v>829</v>
      </c>
      <c r="C24" s="8">
        <v>27</v>
      </c>
    </row>
    <row r="25" spans="2:3" ht="15" customHeight="1">
      <c r="B25" s="16" t="s">
        <v>830</v>
      </c>
      <c r="C25" s="8">
        <v>27</v>
      </c>
    </row>
    <row r="26" spans="2:3" ht="15" customHeight="1">
      <c r="B26" s="16" t="s">
        <v>831</v>
      </c>
      <c r="C26" s="8">
        <v>24</v>
      </c>
    </row>
    <row r="27" spans="2:3" ht="15" customHeight="1">
      <c r="B27" s="16" t="s">
        <v>832</v>
      </c>
      <c r="C27" s="8">
        <v>24</v>
      </c>
    </row>
    <row r="28" spans="2:3" ht="15" customHeight="1">
      <c r="B28" s="16" t="s">
        <v>833</v>
      </c>
      <c r="C28" s="8">
        <v>24</v>
      </c>
    </row>
    <row r="29" spans="2:3" ht="15" customHeight="1">
      <c r="B29" s="16" t="s">
        <v>834</v>
      </c>
      <c r="C29" s="8">
        <v>23</v>
      </c>
    </row>
    <row r="30" spans="2:3" ht="15" customHeight="1">
      <c r="B30" s="16" t="s">
        <v>835</v>
      </c>
      <c r="C30" s="8">
        <v>22</v>
      </c>
    </row>
    <row r="31" spans="2:3" ht="15" customHeight="1">
      <c r="B31" s="16" t="s">
        <v>836</v>
      </c>
      <c r="C31" s="8">
        <v>21</v>
      </c>
    </row>
    <row r="32" spans="2:3" ht="15" customHeight="1">
      <c r="B32" s="16" t="s">
        <v>837</v>
      </c>
      <c r="C32" s="8">
        <v>21</v>
      </c>
    </row>
    <row r="33" spans="2:3" ht="15" customHeight="1">
      <c r="B33" s="16" t="s">
        <v>838</v>
      </c>
      <c r="C33" s="8">
        <v>19</v>
      </c>
    </row>
    <row r="34" spans="2:3" ht="15" customHeight="1">
      <c r="B34" s="16" t="s">
        <v>839</v>
      </c>
      <c r="C34" s="8">
        <v>19</v>
      </c>
    </row>
    <row r="35" spans="2:3" ht="15" customHeight="1">
      <c r="B35" s="16" t="s">
        <v>840</v>
      </c>
      <c r="C35" s="8">
        <v>18</v>
      </c>
    </row>
    <row r="36" spans="2:3" ht="15" customHeight="1">
      <c r="B36" s="16" t="s">
        <v>841</v>
      </c>
      <c r="C36" s="8">
        <v>18</v>
      </c>
    </row>
    <row r="37" spans="2:3" ht="15" customHeight="1">
      <c r="B37" s="16" t="s">
        <v>842</v>
      </c>
      <c r="C37" s="8">
        <v>17</v>
      </c>
    </row>
    <row r="38" spans="2:3" ht="15" customHeight="1">
      <c r="B38" s="16" t="s">
        <v>843</v>
      </c>
      <c r="C38" s="8">
        <v>17</v>
      </c>
    </row>
    <row r="39" spans="2:3" ht="15" customHeight="1">
      <c r="B39" s="16" t="s">
        <v>844</v>
      </c>
      <c r="C39" s="8">
        <v>17</v>
      </c>
    </row>
    <row r="40" spans="2:3" ht="15" customHeight="1">
      <c r="B40" s="16" t="s">
        <v>845</v>
      </c>
      <c r="C40" s="8">
        <v>17</v>
      </c>
    </row>
    <row r="41" spans="2:3" ht="15" customHeight="1">
      <c r="B41" s="16" t="s">
        <v>846</v>
      </c>
      <c r="C41" s="8">
        <v>17</v>
      </c>
    </row>
    <row r="42" spans="2:3" ht="15" customHeight="1">
      <c r="B42" s="16" t="s">
        <v>847</v>
      </c>
      <c r="C42" s="8">
        <v>17</v>
      </c>
    </row>
    <row r="43" spans="2:3" ht="15" customHeight="1">
      <c r="B43" s="16" t="s">
        <v>848</v>
      </c>
      <c r="C43" s="8">
        <v>16</v>
      </c>
    </row>
    <row r="44" spans="2:3" ht="15" customHeight="1">
      <c r="B44" s="16" t="s">
        <v>849</v>
      </c>
      <c r="C44" s="8">
        <v>16</v>
      </c>
    </row>
    <row r="45" spans="2:3" ht="15" customHeight="1">
      <c r="B45" s="16" t="s">
        <v>850</v>
      </c>
      <c r="C45" s="8">
        <v>16</v>
      </c>
    </row>
    <row r="46" spans="2:3" ht="15" customHeight="1">
      <c r="B46" s="16" t="s">
        <v>851</v>
      </c>
      <c r="C46" s="8">
        <v>16</v>
      </c>
    </row>
    <row r="47" spans="2:3" ht="15" customHeight="1">
      <c r="B47" s="16" t="s">
        <v>852</v>
      </c>
      <c r="C47" s="8">
        <v>16</v>
      </c>
    </row>
    <row r="48" spans="2:3" ht="15" customHeight="1">
      <c r="B48" s="16" t="s">
        <v>853</v>
      </c>
      <c r="C48" s="8">
        <v>16</v>
      </c>
    </row>
    <row r="49" spans="2:3" ht="15" customHeight="1">
      <c r="B49" s="16" t="s">
        <v>854</v>
      </c>
      <c r="C49" s="8">
        <v>15</v>
      </c>
    </row>
    <row r="50" spans="2:3" ht="15" customHeight="1">
      <c r="B50" s="16" t="s">
        <v>855</v>
      </c>
      <c r="C50" s="8">
        <v>15</v>
      </c>
    </row>
    <row r="51" spans="2:3" ht="15" customHeight="1">
      <c r="B51" s="16" t="s">
        <v>856</v>
      </c>
      <c r="C51" s="8">
        <v>15</v>
      </c>
    </row>
    <row r="52" spans="2:3" ht="15" customHeight="1">
      <c r="B52" s="16" t="s">
        <v>857</v>
      </c>
      <c r="C52" s="8">
        <v>15</v>
      </c>
    </row>
    <row r="53" spans="2:3" ht="15" customHeight="1">
      <c r="B53" s="16" t="s">
        <v>858</v>
      </c>
      <c r="C53" s="8">
        <v>15</v>
      </c>
    </row>
    <row r="54" spans="2:3" ht="15" customHeight="1">
      <c r="B54" s="16" t="s">
        <v>859</v>
      </c>
      <c r="C54" s="8">
        <v>15</v>
      </c>
    </row>
    <row r="55" spans="2:3" ht="15" customHeight="1">
      <c r="B55" s="16" t="s">
        <v>860</v>
      </c>
      <c r="C55" s="8">
        <v>15</v>
      </c>
    </row>
    <row r="56" spans="2:3" ht="15" customHeight="1">
      <c r="B56" s="16" t="s">
        <v>861</v>
      </c>
      <c r="C56" s="8">
        <v>14</v>
      </c>
    </row>
    <row r="57" spans="2:3" ht="15" customHeight="1">
      <c r="B57" s="16" t="s">
        <v>862</v>
      </c>
      <c r="C57" s="8">
        <v>14</v>
      </c>
    </row>
    <row r="58" spans="2:3" ht="15" customHeight="1">
      <c r="B58" s="16" t="s">
        <v>863</v>
      </c>
      <c r="C58" s="8">
        <v>14</v>
      </c>
    </row>
    <row r="59" spans="2:3" ht="15" customHeight="1">
      <c r="B59" s="16" t="s">
        <v>864</v>
      </c>
      <c r="C59" s="8">
        <v>14</v>
      </c>
    </row>
    <row r="60" spans="2:3" ht="15" customHeight="1">
      <c r="B60" s="16" t="s">
        <v>865</v>
      </c>
      <c r="C60" s="8">
        <v>14</v>
      </c>
    </row>
    <row r="61" spans="2:3" ht="15" customHeight="1">
      <c r="B61" s="16" t="s">
        <v>866</v>
      </c>
      <c r="C61" s="8">
        <v>13</v>
      </c>
    </row>
    <row r="62" spans="2:3" ht="15" customHeight="1">
      <c r="B62" s="16" t="s">
        <v>867</v>
      </c>
      <c r="C62" s="8">
        <v>13</v>
      </c>
    </row>
    <row r="63" spans="2:3" ht="15" customHeight="1">
      <c r="B63" s="16" t="s">
        <v>868</v>
      </c>
      <c r="C63" s="8">
        <v>13</v>
      </c>
    </row>
    <row r="64" spans="2:3" ht="15" customHeight="1">
      <c r="B64" s="16" t="s">
        <v>869</v>
      </c>
      <c r="C64" s="8">
        <v>13</v>
      </c>
    </row>
    <row r="65" spans="2:3" ht="15" customHeight="1">
      <c r="B65" s="16" t="s">
        <v>870</v>
      </c>
      <c r="C65" s="8">
        <v>13</v>
      </c>
    </row>
    <row r="66" spans="2:3" ht="15" customHeight="1">
      <c r="B66" s="16" t="s">
        <v>871</v>
      </c>
      <c r="C66" s="8">
        <v>13</v>
      </c>
    </row>
    <row r="67" spans="2:3" ht="15" customHeight="1">
      <c r="B67" s="16" t="s">
        <v>872</v>
      </c>
      <c r="C67" s="8">
        <v>13</v>
      </c>
    </row>
    <row r="68" spans="2:3" ht="15" customHeight="1">
      <c r="B68" s="16" t="s">
        <v>873</v>
      </c>
      <c r="C68" s="8">
        <v>12</v>
      </c>
    </row>
    <row r="69" spans="2:3" ht="15" customHeight="1">
      <c r="B69" s="16" t="s">
        <v>874</v>
      </c>
      <c r="C69" s="8">
        <v>12</v>
      </c>
    </row>
    <row r="70" spans="2:3" ht="15" customHeight="1">
      <c r="B70" s="16" t="s">
        <v>875</v>
      </c>
      <c r="C70" s="8">
        <v>12</v>
      </c>
    </row>
    <row r="71" spans="2:3" ht="15" customHeight="1">
      <c r="B71" s="16" t="s">
        <v>876</v>
      </c>
      <c r="C71" s="8">
        <v>12</v>
      </c>
    </row>
    <row r="72" spans="2:3" ht="15" customHeight="1">
      <c r="B72" s="16" t="s">
        <v>877</v>
      </c>
      <c r="C72" s="8">
        <v>12</v>
      </c>
    </row>
    <row r="73" spans="2:3" ht="15" customHeight="1">
      <c r="B73" s="16" t="s">
        <v>878</v>
      </c>
      <c r="C73" s="8">
        <v>12</v>
      </c>
    </row>
    <row r="74" spans="2:3" ht="15" customHeight="1">
      <c r="B74" s="16" t="s">
        <v>879</v>
      </c>
      <c r="C74" s="8">
        <v>12</v>
      </c>
    </row>
    <row r="75" spans="2:3" ht="15" customHeight="1">
      <c r="B75" s="16" t="s">
        <v>880</v>
      </c>
      <c r="C75" s="8">
        <v>12</v>
      </c>
    </row>
    <row r="76" spans="2:3" ht="15" customHeight="1">
      <c r="B76" s="16" t="s">
        <v>881</v>
      </c>
      <c r="C76" s="8">
        <v>11</v>
      </c>
    </row>
    <row r="77" spans="2:3" ht="15" customHeight="1">
      <c r="B77" s="16" t="s">
        <v>882</v>
      </c>
      <c r="C77" s="8">
        <v>11</v>
      </c>
    </row>
    <row r="78" spans="2:3" ht="15" customHeight="1">
      <c r="B78" s="16" t="s">
        <v>883</v>
      </c>
      <c r="C78" s="8">
        <v>11</v>
      </c>
    </row>
    <row r="79" spans="2:3" ht="15" customHeight="1">
      <c r="B79" s="16" t="s">
        <v>884</v>
      </c>
      <c r="C79" s="8">
        <v>11</v>
      </c>
    </row>
    <row r="80" spans="2:3" ht="15" customHeight="1">
      <c r="B80" s="16" t="s">
        <v>885</v>
      </c>
      <c r="C80" s="8">
        <v>11</v>
      </c>
    </row>
    <row r="81" spans="2:3" ht="15" customHeight="1">
      <c r="B81" s="16" t="s">
        <v>886</v>
      </c>
      <c r="C81" s="8">
        <v>11</v>
      </c>
    </row>
    <row r="82" spans="2:3" ht="15" customHeight="1">
      <c r="B82" s="16" t="s">
        <v>887</v>
      </c>
      <c r="C82" s="8">
        <v>11</v>
      </c>
    </row>
    <row r="83" spans="2:3" ht="15" customHeight="1">
      <c r="B83" s="16" t="s">
        <v>888</v>
      </c>
      <c r="C83" s="8">
        <v>11</v>
      </c>
    </row>
    <row r="84" spans="2:3" ht="15" customHeight="1">
      <c r="B84" s="16" t="s">
        <v>889</v>
      </c>
      <c r="C84" s="8">
        <v>11</v>
      </c>
    </row>
    <row r="85" spans="2:3" ht="15" customHeight="1">
      <c r="B85" s="16" t="s">
        <v>890</v>
      </c>
      <c r="C85" s="8">
        <v>11</v>
      </c>
    </row>
    <row r="86" spans="2:3" ht="15" customHeight="1">
      <c r="B86" s="16" t="s">
        <v>891</v>
      </c>
      <c r="C86" s="8">
        <v>11</v>
      </c>
    </row>
    <row r="87" spans="2:3" ht="15" customHeight="1">
      <c r="B87" s="16" t="s">
        <v>892</v>
      </c>
      <c r="C87" s="8">
        <v>11</v>
      </c>
    </row>
    <row r="88" spans="2:3" ht="15" customHeight="1">
      <c r="B88" s="16" t="s">
        <v>893</v>
      </c>
      <c r="C88" s="8">
        <v>11</v>
      </c>
    </row>
    <row r="89" spans="2:3" ht="15" customHeight="1">
      <c r="B89" s="16" t="s">
        <v>894</v>
      </c>
      <c r="C89" s="8">
        <v>11</v>
      </c>
    </row>
    <row r="90" spans="2:3" ht="15" customHeight="1">
      <c r="B90" s="16" t="s">
        <v>895</v>
      </c>
      <c r="C90" s="8">
        <v>11</v>
      </c>
    </row>
    <row r="91" spans="2:3" ht="15" customHeight="1">
      <c r="B91" s="16" t="s">
        <v>896</v>
      </c>
      <c r="C91" s="8">
        <v>11</v>
      </c>
    </row>
    <row r="92" spans="2:3" ht="15" customHeight="1">
      <c r="B92" s="16" t="s">
        <v>897</v>
      </c>
      <c r="C92" s="8">
        <v>11</v>
      </c>
    </row>
    <row r="93" spans="2:3" ht="15" customHeight="1">
      <c r="B93" s="16" t="s">
        <v>898</v>
      </c>
      <c r="C93" s="8">
        <v>11</v>
      </c>
    </row>
    <row r="94" spans="2:3" ht="15" customHeight="1">
      <c r="B94" s="16" t="s">
        <v>899</v>
      </c>
      <c r="C94" s="8">
        <v>11</v>
      </c>
    </row>
    <row r="95" spans="2:3" ht="15" customHeight="1">
      <c r="B95" s="16" t="s">
        <v>900</v>
      </c>
      <c r="C95" s="8">
        <v>10</v>
      </c>
    </row>
    <row r="96" spans="2:3" ht="15" customHeight="1">
      <c r="B96" s="16" t="s">
        <v>901</v>
      </c>
      <c r="C96" s="8">
        <v>10</v>
      </c>
    </row>
    <row r="97" spans="2:3" ht="15" customHeight="1">
      <c r="B97" s="16" t="s">
        <v>902</v>
      </c>
      <c r="C97" s="8">
        <v>10</v>
      </c>
    </row>
    <row r="98" spans="2:3" ht="15" customHeight="1">
      <c r="B98" s="16" t="s">
        <v>903</v>
      </c>
      <c r="C98" s="8">
        <v>10</v>
      </c>
    </row>
    <row r="99" spans="2:3" ht="15" customHeight="1">
      <c r="B99" s="16" t="s">
        <v>904</v>
      </c>
      <c r="C99" s="8">
        <v>10</v>
      </c>
    </row>
    <row r="100" spans="2:3" ht="15" customHeight="1">
      <c r="B100" s="16" t="s">
        <v>905</v>
      </c>
      <c r="C100" s="8">
        <v>10</v>
      </c>
    </row>
    <row r="101" spans="2:3" ht="15" customHeight="1">
      <c r="B101" s="16" t="s">
        <v>906</v>
      </c>
      <c r="C101" s="8">
        <v>10</v>
      </c>
    </row>
    <row r="102" spans="2:3" ht="15" customHeight="1">
      <c r="B102" s="16" t="s">
        <v>907</v>
      </c>
      <c r="C102" s="8">
        <v>10</v>
      </c>
    </row>
    <row r="103" spans="2:3" ht="15" customHeight="1">
      <c r="B103" s="16" t="s">
        <v>908</v>
      </c>
      <c r="C103" s="8">
        <v>10</v>
      </c>
    </row>
    <row r="104" spans="2:3" ht="15" customHeight="1">
      <c r="B104" s="16" t="s">
        <v>909</v>
      </c>
      <c r="C104" s="8">
        <v>10</v>
      </c>
    </row>
    <row r="105" spans="2:3" ht="15" customHeight="1">
      <c r="B105" s="16" t="s">
        <v>910</v>
      </c>
      <c r="C105" s="8">
        <v>10</v>
      </c>
    </row>
    <row r="106" spans="2:3" ht="15" customHeight="1">
      <c r="B106" s="16" t="s">
        <v>911</v>
      </c>
      <c r="C106" s="8">
        <v>9</v>
      </c>
    </row>
  </sheetData>
  <hyperlinks>
    <hyperlink ref="C1" location="Содержание!B4" display="К содержанию"/>
  </hyperlinks>
  <pageMargins left="0.75" right="0.75" top="1" bottom="1" header="0.5" footer="0.5"/>
  <drawing r:id="rId1"/>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46f8b8ac-023a-465f-bd41-7570a75fc6d6}">
  <dimension ref="B1:C24"/>
  <sheetViews>
    <sheetView showGridLines="0" workbookViewId="0" topLeftCell="A1"/>
  </sheetViews>
  <sheetFormatPr defaultRowHeight="12.75"/>
  <cols>
    <col min="1" max="1" width="4.714285714285714" customWidth="1"/>
    <col min="2" max="2" width="22.714285714285715" customWidth="1"/>
    <col min="3" max="3" width="25.714285714285715" customWidth="1"/>
    <col min="4" max="9" width="14.714285714285714" customWidth="1"/>
  </cols>
  <sheetData>
    <row r="1" spans="2:3" s="1" customFormat="1" ht="30" customHeight="1">
      <c r="B1" s="1" t="s">
        <v>0</v>
      </c>
      <c r="C1" s="4" t="s">
        <v>2</v>
      </c>
    </row>
    <row r="4" spans="2:2" ht="12.75">
      <c r="B4" s="2" t="s">
        <v>33</v>
      </c>
    </row>
    <row r="6" spans="2:3" ht="30" customHeight="1">
      <c r="B6" s="5" t="s">
        <v>33</v>
      </c>
      <c r="C6" s="6" t="s">
        <v>5</v>
      </c>
    </row>
    <row r="7" spans="2:3" ht="15" customHeight="1">
      <c r="B7" s="16" t="s">
        <v>794</v>
      </c>
      <c r="C7" s="8">
        <v>1</v>
      </c>
    </row>
    <row r="8" spans="2:3" ht="15" customHeight="1">
      <c r="B8" s="16" t="s">
        <v>795</v>
      </c>
      <c r="C8" s="8">
        <v>1</v>
      </c>
    </row>
    <row r="9" spans="2:3" ht="15" customHeight="1">
      <c r="B9" s="16" t="s">
        <v>796</v>
      </c>
      <c r="C9" s="8">
        <v>1</v>
      </c>
    </row>
    <row r="10" spans="2:3" ht="15" customHeight="1">
      <c r="B10" s="16" t="s">
        <v>797</v>
      </c>
      <c r="C10" s="8">
        <v>1</v>
      </c>
    </row>
    <row r="11" spans="2:3" ht="15" customHeight="1">
      <c r="B11" s="16" t="s">
        <v>798</v>
      </c>
      <c r="C11" s="8">
        <v>1</v>
      </c>
    </row>
    <row r="12" spans="2:3" ht="15" customHeight="1">
      <c r="B12" s="16" t="s">
        <v>799</v>
      </c>
      <c r="C12" s="8">
        <v>1</v>
      </c>
    </row>
    <row r="13" spans="2:3" ht="15" customHeight="1">
      <c r="B13" s="16" t="s">
        <v>800</v>
      </c>
      <c r="C13" s="8">
        <v>1</v>
      </c>
    </row>
    <row r="14" spans="2:3" ht="15" customHeight="1">
      <c r="B14" s="16" t="s">
        <v>801</v>
      </c>
      <c r="C14" s="8">
        <v>1</v>
      </c>
    </row>
    <row r="15" spans="2:3" ht="15" customHeight="1">
      <c r="B15" s="16" t="s">
        <v>802</v>
      </c>
      <c r="C15" s="8">
        <v>1</v>
      </c>
    </row>
    <row r="16" spans="2:3" ht="15" customHeight="1">
      <c r="B16" s="16" t="s">
        <v>803</v>
      </c>
      <c r="C16" s="8">
        <v>1</v>
      </c>
    </row>
    <row r="17" spans="2:3" ht="15" customHeight="1">
      <c r="B17" s="16" t="s">
        <v>804</v>
      </c>
      <c r="C17" s="8">
        <v>1</v>
      </c>
    </row>
    <row r="18" spans="2:3" ht="15" customHeight="1">
      <c r="B18" s="16" t="s">
        <v>805</v>
      </c>
      <c r="C18" s="8">
        <v>1</v>
      </c>
    </row>
    <row r="19" spans="2:3" ht="15" customHeight="1">
      <c r="B19" s="16" t="s">
        <v>806</v>
      </c>
      <c r="C19" s="8">
        <v>1</v>
      </c>
    </row>
    <row r="20" spans="2:3" ht="15" customHeight="1">
      <c r="B20" s="16" t="s">
        <v>807</v>
      </c>
      <c r="C20" s="8">
        <v>1</v>
      </c>
    </row>
    <row r="21" spans="2:3" ht="15" customHeight="1">
      <c r="B21" s="16" t="s">
        <v>808</v>
      </c>
      <c r="C21" s="8">
        <v>1</v>
      </c>
    </row>
    <row r="22" spans="2:3" ht="15" customHeight="1">
      <c r="B22" s="16" t="s">
        <v>809</v>
      </c>
      <c r="C22" s="8">
        <v>1</v>
      </c>
    </row>
    <row r="23" spans="2:3" ht="15" customHeight="1">
      <c r="B23" s="16" t="s">
        <v>810</v>
      </c>
      <c r="C23" s="8">
        <v>1</v>
      </c>
    </row>
    <row r="24" spans="2:3" ht="15" customHeight="1">
      <c r="B24" s="16" t="s">
        <v>811</v>
      </c>
      <c r="C24" s="8">
        <v>1</v>
      </c>
    </row>
  </sheetData>
  <hyperlinks>
    <hyperlink ref="C1" location="Содержание!B4" display="К содержанию"/>
  </hyperlinks>
  <pageMargins left="0.75" right="0.75" top="1" bottom="1" header="0.5" footer="0.5"/>
  <drawing r:id="rId1"/>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73ba07f0-3045-4881-a7f1-a0f8b57a4c78}">
  <dimension ref="B1:I30"/>
  <sheetViews>
    <sheetView showGridLines="0" workbookViewId="0" topLeftCell="A1"/>
  </sheetViews>
  <sheetFormatPr defaultRowHeight="12.75"/>
  <cols>
    <col min="1" max="1" width="4.714285714285714" customWidth="1"/>
    <col min="2" max="2" width="35.714285714285715" customWidth="1"/>
    <col min="3" max="9" width="20.714285714285715" customWidth="1"/>
  </cols>
  <sheetData>
    <row r="1" spans="2:3" s="1" customFormat="1" ht="30" customHeight="1">
      <c r="B1" s="1" t="s">
        <v>0</v>
      </c>
      <c r="C1" s="4" t="s">
        <v>2</v>
      </c>
    </row>
    <row r="4" spans="2:2" ht="12.75">
      <c r="B4" s="2" t="s">
        <v>34</v>
      </c>
    </row>
    <row r="6" spans="2:2" ht="12.75"/>
    <row r="26" spans="2:9" ht="30" customHeight="1">
      <c r="B26" s="5" t="s">
        <v>141</v>
      </c>
      <c r="C26" s="6" t="s">
        <v>5</v>
      </c>
      <c r="D26" s="6" t="s">
        <v>40</v>
      </c>
      <c r="E26" s="6" t="s">
        <v>41</v>
      </c>
      <c r="F26" s="6" t="s">
        <v>43</v>
      </c>
      <c r="G26" s="6" t="s">
        <v>47</v>
      </c>
      <c r="H26" s="6" t="s">
        <v>48</v>
      </c>
      <c r="I26" s="6" t="s">
        <v>28</v>
      </c>
    </row>
    <row r="27" spans="2:9" ht="15" customHeight="1">
      <c r="B27" s="16" t="s">
        <v>142</v>
      </c>
      <c r="C27" s="8">
        <v>111</v>
      </c>
      <c r="D27" s="8">
        <v>4957076</v>
      </c>
      <c r="E27" s="8">
        <v>165</v>
      </c>
      <c r="F27" s="8">
        <v>64</v>
      </c>
      <c r="G27" s="8">
        <v>45</v>
      </c>
      <c r="H27" s="8">
        <v>2</v>
      </c>
      <c r="I27" s="8">
        <v>81</v>
      </c>
    </row>
    <row r="28" spans="2:9" ht="15" customHeight="1">
      <c r="B28" s="16" t="s">
        <v>143</v>
      </c>
      <c r="C28" s="8">
        <v>90</v>
      </c>
      <c r="D28" s="8">
        <v>6944802</v>
      </c>
      <c r="E28" s="8">
        <v>498</v>
      </c>
      <c r="F28" s="8">
        <v>29</v>
      </c>
      <c r="G28" s="8">
        <v>55</v>
      </c>
      <c r="H28" s="8">
        <v>6</v>
      </c>
      <c r="I28" s="8">
        <v>63</v>
      </c>
    </row>
    <row r="29" spans="2:8" ht="12.75"/>
    <row r="30" spans="2:2" ht="15" customHeight="1">
      <c r="B30" s="23" t="s">
        <v>144</v>
      </c>
    </row>
  </sheetData>
  <autoFilter ref="B26:I26"/>
  <hyperlinks>
    <hyperlink ref="C1" location="Содержание!B4" display="К содержанию"/>
  </hyperlinks>
  <pageMargins left="0.75" right="0.75" top="1" bottom="1" header="0.5" footer="0.5"/>
  <drawing r:id="rId1"/>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7ad90e5b-c3a8-499f-aa75-3f62b6a41989}">
  <dimension ref="B1:I37"/>
  <sheetViews>
    <sheetView showGridLines="0" workbookViewId="0" topLeftCell="A1"/>
  </sheetViews>
  <sheetFormatPr defaultRowHeight="12.75"/>
  <cols>
    <col min="1" max="1" width="4.714285714285714" customWidth="1"/>
    <col min="2" max="2" width="35.714285714285715" customWidth="1"/>
    <col min="3" max="9" width="20.714285714285715" customWidth="1"/>
  </cols>
  <sheetData>
    <row r="1" spans="2:3" s="1" customFormat="1" ht="30" customHeight="1">
      <c r="B1" s="1" t="s">
        <v>0</v>
      </c>
      <c r="C1" s="4" t="s">
        <v>2</v>
      </c>
    </row>
    <row r="4" spans="2:2" ht="12.75">
      <c r="B4" s="2" t="s">
        <v>35</v>
      </c>
    </row>
    <row r="6" spans="2:2" ht="12.75"/>
    <row r="26" spans="2:9" ht="30" customHeight="1">
      <c r="B26" s="5" t="s">
        <v>495</v>
      </c>
      <c r="C26" s="6" t="s">
        <v>5</v>
      </c>
      <c r="D26" s="6" t="s">
        <v>40</v>
      </c>
      <c r="E26" s="6" t="s">
        <v>41</v>
      </c>
      <c r="F26" s="6" t="s">
        <v>43</v>
      </c>
      <c r="G26" s="6" t="s">
        <v>47</v>
      </c>
      <c r="H26" s="6" t="s">
        <v>48</v>
      </c>
      <c r="I26" s="6" t="s">
        <v>28</v>
      </c>
    </row>
    <row r="27" spans="2:9" ht="15" customHeight="1">
      <c r="B27" s="16" t="s">
        <v>496</v>
      </c>
      <c r="C27" s="8">
        <v>36</v>
      </c>
      <c r="D27" s="8">
        <v>1459589</v>
      </c>
      <c r="E27" s="8">
        <v>23</v>
      </c>
      <c r="F27" s="8">
        <v>19</v>
      </c>
      <c r="G27" s="8">
        <v>17</v>
      </c>
      <c r="H27" s="8">
        <v>0</v>
      </c>
      <c r="I27" s="8">
        <v>27</v>
      </c>
    </row>
    <row r="28" spans="2:9" ht="15" customHeight="1">
      <c r="B28" s="16" t="s">
        <v>497</v>
      </c>
      <c r="C28" s="8">
        <v>30</v>
      </c>
      <c r="D28" s="8">
        <v>717994</v>
      </c>
      <c r="E28" s="8">
        <v>73</v>
      </c>
      <c r="F28" s="8">
        <v>16</v>
      </c>
      <c r="G28" s="8">
        <v>12</v>
      </c>
      <c r="H28" s="8">
        <v>2</v>
      </c>
      <c r="I28" s="8">
        <v>25</v>
      </c>
    </row>
    <row r="29" spans="2:9" ht="15" customHeight="1">
      <c r="B29" s="16" t="s">
        <v>498</v>
      </c>
      <c r="C29" s="8">
        <v>26</v>
      </c>
      <c r="D29" s="8">
        <v>1859170</v>
      </c>
      <c r="E29" s="8">
        <v>21</v>
      </c>
      <c r="F29" s="8">
        <v>22</v>
      </c>
      <c r="G29" s="8">
        <v>4</v>
      </c>
      <c r="H29" s="8">
        <v>0</v>
      </c>
      <c r="I29" s="8">
        <v>26</v>
      </c>
    </row>
    <row r="30" spans="2:9" ht="15" customHeight="1">
      <c r="B30" s="16" t="s">
        <v>499</v>
      </c>
      <c r="C30" s="8">
        <v>8</v>
      </c>
      <c r="D30" s="8">
        <v>804623</v>
      </c>
      <c r="E30" s="8">
        <v>15</v>
      </c>
      <c r="F30" s="8">
        <v>4</v>
      </c>
      <c r="G30" s="8">
        <v>4</v>
      </c>
      <c r="H30" s="8">
        <v>0</v>
      </c>
      <c r="I30" s="8">
        <v>8</v>
      </c>
    </row>
    <row r="31" spans="2:9" ht="15" customHeight="1">
      <c r="B31" s="16" t="s">
        <v>500</v>
      </c>
      <c r="C31" s="8">
        <v>5</v>
      </c>
      <c r="D31" s="8">
        <v>30317</v>
      </c>
      <c r="E31" s="8">
        <v>1</v>
      </c>
      <c r="F31" s="8">
        <v>1</v>
      </c>
      <c r="G31" s="8">
        <v>4</v>
      </c>
      <c r="H31" s="8">
        <v>0</v>
      </c>
      <c r="I31" s="8">
        <v>5</v>
      </c>
    </row>
    <row r="32" spans="2:9" ht="15" customHeight="1">
      <c r="B32" s="16" t="s">
        <v>501</v>
      </c>
      <c r="C32" s="8">
        <v>2</v>
      </c>
      <c r="D32" s="8">
        <v>311</v>
      </c>
      <c r="E32" s="8">
        <v>23</v>
      </c>
      <c r="F32" s="8">
        <v>0</v>
      </c>
      <c r="G32" s="8">
        <v>2</v>
      </c>
      <c r="H32" s="8">
        <v>0</v>
      </c>
      <c r="I32" s="8">
        <v>1</v>
      </c>
    </row>
    <row r="33" spans="2:9" ht="15" customHeight="1">
      <c r="B33" s="16" t="s">
        <v>502</v>
      </c>
      <c r="C33" s="8">
        <v>2</v>
      </c>
      <c r="D33" s="8">
        <v>83729</v>
      </c>
      <c r="E33" s="8">
        <v>1</v>
      </c>
      <c r="F33" s="8">
        <v>2</v>
      </c>
      <c r="G33" s="8">
        <v>0</v>
      </c>
      <c r="H33" s="8">
        <v>0</v>
      </c>
      <c r="I33" s="8">
        <v>2</v>
      </c>
    </row>
    <row r="34" spans="2:9" ht="15" customHeight="1">
      <c r="B34" s="16" t="s">
        <v>503</v>
      </c>
      <c r="C34" s="8">
        <v>1</v>
      </c>
      <c r="D34" s="8">
        <v>0</v>
      </c>
      <c r="E34" s="8">
        <v>8</v>
      </c>
      <c r="F34" s="8">
        <v>0</v>
      </c>
      <c r="G34" s="8">
        <v>1</v>
      </c>
      <c r="H34" s="8">
        <v>0</v>
      </c>
      <c r="I34" s="8">
        <v>1</v>
      </c>
    </row>
    <row r="35" spans="2:9" ht="15" customHeight="1">
      <c r="B35" s="16" t="s">
        <v>504</v>
      </c>
      <c r="C35" s="8">
        <v>1</v>
      </c>
      <c r="D35" s="8">
        <v>22250</v>
      </c>
      <c r="E35" s="8">
        <v>0</v>
      </c>
      <c r="F35" s="8">
        <v>0</v>
      </c>
      <c r="G35" s="8">
        <v>1</v>
      </c>
      <c r="H35" s="8">
        <v>0</v>
      </c>
      <c r="I35" s="8">
        <v>1</v>
      </c>
    </row>
    <row r="37" spans="2:2" ht="15" customHeight="1">
      <c r="B37" s="23" t="s">
        <v>505</v>
      </c>
    </row>
  </sheetData>
  <autoFilter ref="B26:I26"/>
  <hyperlinks>
    <hyperlink ref="C1" location="Содержание!B4" display="К содержанию"/>
  </hyperlinks>
  <pageMargins left="0.75" right="0.75" top="1" bottom="1" header="0.5" footer="0.5"/>
  <drawing r:id="rId1"/>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211179b9-2be9-424f-ae66-b62a0500d20d}">
  <dimension ref="B1:I59"/>
  <sheetViews>
    <sheetView showGridLines="0" workbookViewId="0" topLeftCell="A1"/>
  </sheetViews>
  <sheetFormatPr defaultRowHeight="12.75"/>
  <cols>
    <col min="1" max="1" width="4.714285714285714" customWidth="1"/>
    <col min="2" max="2" width="35.714285714285715" customWidth="1"/>
    <col min="3" max="9" width="20.714285714285715" customWidth="1"/>
  </cols>
  <sheetData>
    <row r="1" spans="2:3" s="1" customFormat="1" ht="30" customHeight="1">
      <c r="B1" s="1" t="s">
        <v>0</v>
      </c>
      <c r="C1" s="4" t="s">
        <v>2</v>
      </c>
    </row>
    <row r="4" spans="2:2" ht="12.75">
      <c r="B4" s="2" t="s">
        <v>36</v>
      </c>
    </row>
    <row r="6" spans="2:2" ht="12.75"/>
    <row r="26" spans="2:9" ht="30" customHeight="1">
      <c r="B26" s="5" t="s">
        <v>550</v>
      </c>
      <c r="C26" s="6" t="s">
        <v>5</v>
      </c>
      <c r="D26" s="6" t="s">
        <v>40</v>
      </c>
      <c r="E26" s="6" t="s">
        <v>41</v>
      </c>
      <c r="F26" s="6" t="s">
        <v>43</v>
      </c>
      <c r="G26" s="6" t="s">
        <v>47</v>
      </c>
      <c r="H26" s="6" t="s">
        <v>48</v>
      </c>
      <c r="I26" s="6" t="s">
        <v>28</v>
      </c>
    </row>
    <row r="27" spans="2:9" ht="15" customHeight="1">
      <c r="B27" s="16" t="s">
        <v>551</v>
      </c>
      <c r="C27" s="8">
        <v>26</v>
      </c>
      <c r="D27" s="8">
        <v>1859170</v>
      </c>
      <c r="E27" s="8">
        <v>21</v>
      </c>
      <c r="F27" s="8">
        <v>22</v>
      </c>
      <c r="G27" s="8">
        <v>4</v>
      </c>
      <c r="H27" s="8">
        <v>0</v>
      </c>
      <c r="I27" s="8">
        <v>26</v>
      </c>
    </row>
    <row r="28" spans="2:9" ht="15" customHeight="1">
      <c r="B28" s="16" t="s">
        <v>169</v>
      </c>
      <c r="C28" s="8">
        <v>12</v>
      </c>
      <c r="D28" s="8">
        <v>169895</v>
      </c>
      <c r="E28" s="8">
        <v>1</v>
      </c>
      <c r="F28" s="8">
        <v>4</v>
      </c>
      <c r="G28" s="8">
        <v>8</v>
      </c>
      <c r="H28" s="8">
        <v>0</v>
      </c>
      <c r="I28" s="8">
        <v>8</v>
      </c>
    </row>
    <row r="29" spans="2:9" ht="15" customHeight="1">
      <c r="B29" s="16" t="s">
        <v>159</v>
      </c>
      <c r="C29" s="8">
        <v>9</v>
      </c>
      <c r="D29" s="8">
        <v>114309</v>
      </c>
      <c r="E29" s="8">
        <v>14</v>
      </c>
      <c r="F29" s="8">
        <v>6</v>
      </c>
      <c r="G29" s="8">
        <v>2</v>
      </c>
      <c r="H29" s="8">
        <v>1</v>
      </c>
      <c r="I29" s="8">
        <v>7</v>
      </c>
    </row>
    <row r="30" spans="2:9" ht="15" customHeight="1">
      <c r="B30" s="16" t="s">
        <v>163</v>
      </c>
      <c r="C30" s="8">
        <v>7</v>
      </c>
      <c r="D30" s="8">
        <v>327793</v>
      </c>
      <c r="E30" s="8">
        <v>28</v>
      </c>
      <c r="F30" s="8">
        <v>2</v>
      </c>
      <c r="G30" s="8">
        <v>4</v>
      </c>
      <c r="H30" s="8">
        <v>1</v>
      </c>
      <c r="I30" s="8">
        <v>7</v>
      </c>
    </row>
    <row r="31" spans="2:9" ht="15" customHeight="1">
      <c r="B31" s="16" t="s">
        <v>195</v>
      </c>
      <c r="C31" s="8">
        <v>6</v>
      </c>
      <c r="D31" s="8">
        <v>826290</v>
      </c>
      <c r="E31" s="8">
        <v>2</v>
      </c>
      <c r="F31" s="8">
        <v>2</v>
      </c>
      <c r="G31" s="8">
        <v>4</v>
      </c>
      <c r="H31" s="8">
        <v>0</v>
      </c>
      <c r="I31" s="8">
        <v>6</v>
      </c>
    </row>
    <row r="32" spans="2:9" ht="15" customHeight="1">
      <c r="B32" s="16" t="s">
        <v>238</v>
      </c>
      <c r="C32" s="8">
        <v>6</v>
      </c>
      <c r="D32" s="8">
        <v>775802</v>
      </c>
      <c r="E32" s="8">
        <v>12</v>
      </c>
      <c r="F32" s="8">
        <v>2</v>
      </c>
      <c r="G32" s="8">
        <v>4</v>
      </c>
      <c r="H32" s="8">
        <v>0</v>
      </c>
      <c r="I32" s="8">
        <v>6</v>
      </c>
    </row>
    <row r="33" spans="2:9" ht="15" customHeight="1">
      <c r="B33" s="16" t="s">
        <v>212</v>
      </c>
      <c r="C33" s="8">
        <v>5</v>
      </c>
      <c r="D33" s="8">
        <v>85332</v>
      </c>
      <c r="E33" s="8">
        <v>9</v>
      </c>
      <c r="F33" s="8">
        <v>4</v>
      </c>
      <c r="G33" s="8">
        <v>1</v>
      </c>
      <c r="H33" s="8">
        <v>0</v>
      </c>
      <c r="I33" s="8">
        <v>4</v>
      </c>
    </row>
    <row r="34" spans="2:9" ht="15" customHeight="1">
      <c r="B34" s="16" t="s">
        <v>219</v>
      </c>
      <c r="C34" s="8">
        <v>5</v>
      </c>
      <c r="D34" s="8">
        <v>70208</v>
      </c>
      <c r="E34" s="8">
        <v>7</v>
      </c>
      <c r="F34" s="8">
        <v>4</v>
      </c>
      <c r="G34" s="8">
        <v>1</v>
      </c>
      <c r="H34" s="8">
        <v>0</v>
      </c>
      <c r="I34" s="8">
        <v>4</v>
      </c>
    </row>
    <row r="35" spans="2:9" ht="15" customHeight="1">
      <c r="B35" s="16" t="s">
        <v>241</v>
      </c>
      <c r="C35" s="8">
        <v>3</v>
      </c>
      <c r="D35" s="8">
        <v>59507</v>
      </c>
      <c r="E35" s="8">
        <v>0</v>
      </c>
      <c r="F35" s="8">
        <v>1</v>
      </c>
      <c r="G35" s="8">
        <v>2</v>
      </c>
      <c r="H35" s="8">
        <v>0</v>
      </c>
      <c r="I35" s="8">
        <v>3</v>
      </c>
    </row>
    <row r="36" spans="2:9" ht="15" customHeight="1">
      <c r="B36" s="16" t="s">
        <v>231</v>
      </c>
      <c r="C36" s="8">
        <v>3</v>
      </c>
      <c r="D36" s="8">
        <v>47565</v>
      </c>
      <c r="E36" s="8">
        <v>1</v>
      </c>
      <c r="F36" s="8">
        <v>2</v>
      </c>
      <c r="G36" s="8">
        <v>1</v>
      </c>
      <c r="H36" s="8">
        <v>0</v>
      </c>
      <c r="I36" s="8">
        <v>3</v>
      </c>
    </row>
    <row r="37" spans="2:9" ht="15" customHeight="1">
      <c r="B37" s="16" t="s">
        <v>552</v>
      </c>
      <c r="C37" s="8">
        <v>2</v>
      </c>
      <c r="D37" s="8">
        <v>49374</v>
      </c>
      <c r="E37" s="8">
        <v>3</v>
      </c>
      <c r="F37" s="8">
        <v>1</v>
      </c>
      <c r="G37" s="8">
        <v>1</v>
      </c>
      <c r="H37" s="8">
        <v>0</v>
      </c>
      <c r="I37" s="8">
        <v>2</v>
      </c>
    </row>
    <row r="38" spans="2:9" ht="15" customHeight="1">
      <c r="B38" s="16" t="s">
        <v>263</v>
      </c>
      <c r="C38" s="8">
        <v>2</v>
      </c>
      <c r="D38" s="8">
        <v>20907</v>
      </c>
      <c r="E38" s="8">
        <v>1</v>
      </c>
      <c r="F38" s="8">
        <v>0</v>
      </c>
      <c r="G38" s="8">
        <v>2</v>
      </c>
      <c r="H38" s="8">
        <v>0</v>
      </c>
      <c r="I38" s="8">
        <v>2</v>
      </c>
    </row>
    <row r="39" spans="2:9" ht="15" customHeight="1">
      <c r="B39" s="16" t="s">
        <v>200</v>
      </c>
      <c r="C39" s="8">
        <v>2</v>
      </c>
      <c r="D39" s="8">
        <v>153213</v>
      </c>
      <c r="E39" s="8">
        <v>1</v>
      </c>
      <c r="F39" s="8">
        <v>2</v>
      </c>
      <c r="G39" s="8">
        <v>0</v>
      </c>
      <c r="H39" s="8">
        <v>0</v>
      </c>
      <c r="I39" s="8">
        <v>2</v>
      </c>
    </row>
    <row r="40" spans="2:9" ht="15" customHeight="1">
      <c r="B40" s="16" t="s">
        <v>208</v>
      </c>
      <c r="C40" s="8">
        <v>2</v>
      </c>
      <c r="D40" s="8">
        <v>15658</v>
      </c>
      <c r="E40" s="8">
        <v>0</v>
      </c>
      <c r="F40" s="8">
        <v>2</v>
      </c>
      <c r="G40" s="8">
        <v>0</v>
      </c>
      <c r="H40" s="8">
        <v>0</v>
      </c>
      <c r="I40" s="8">
        <v>2</v>
      </c>
    </row>
    <row r="41" spans="2:9" ht="15" customHeight="1">
      <c r="B41" s="16" t="s">
        <v>187</v>
      </c>
      <c r="C41" s="8">
        <v>2</v>
      </c>
      <c r="D41" s="8">
        <v>0</v>
      </c>
      <c r="E41" s="8">
        <v>27</v>
      </c>
      <c r="F41" s="8">
        <v>0</v>
      </c>
      <c r="G41" s="8">
        <v>2</v>
      </c>
      <c r="H41" s="8">
        <v>0</v>
      </c>
      <c r="I41" s="8">
        <v>2</v>
      </c>
    </row>
    <row r="42" spans="2:9" ht="15" customHeight="1">
      <c r="B42" s="16" t="s">
        <v>481</v>
      </c>
      <c r="C42" s="8">
        <v>2</v>
      </c>
      <c r="D42" s="8">
        <v>0</v>
      </c>
      <c r="E42" s="8">
        <v>0</v>
      </c>
      <c r="F42" s="8">
        <v>0</v>
      </c>
      <c r="G42" s="8">
        <v>2</v>
      </c>
      <c r="H42" s="8">
        <v>0</v>
      </c>
      <c r="I42" s="8">
        <v>2</v>
      </c>
    </row>
    <row r="43" spans="2:9" ht="15" customHeight="1">
      <c r="B43" s="16" t="s">
        <v>175</v>
      </c>
      <c r="C43" s="8">
        <v>2</v>
      </c>
      <c r="D43" s="8">
        <v>311</v>
      </c>
      <c r="E43" s="8">
        <v>23</v>
      </c>
      <c r="F43" s="8">
        <v>0</v>
      </c>
      <c r="G43" s="8">
        <v>2</v>
      </c>
      <c r="H43" s="8">
        <v>0</v>
      </c>
      <c r="I43" s="8">
        <v>1</v>
      </c>
    </row>
    <row r="44" spans="2:9" ht="15" customHeight="1">
      <c r="B44" s="16" t="s">
        <v>334</v>
      </c>
      <c r="C44" s="8">
        <v>2</v>
      </c>
      <c r="D44" s="8">
        <v>44438</v>
      </c>
      <c r="E44" s="8">
        <v>0</v>
      </c>
      <c r="F44" s="8">
        <v>1</v>
      </c>
      <c r="G44" s="8">
        <v>1</v>
      </c>
      <c r="H44" s="8">
        <v>0</v>
      </c>
      <c r="I44" s="8">
        <v>2</v>
      </c>
    </row>
    <row r="45" spans="2:9" ht="15" customHeight="1">
      <c r="B45" s="16" t="s">
        <v>467</v>
      </c>
      <c r="C45" s="8">
        <v>1</v>
      </c>
      <c r="D45" s="8">
        <v>0</v>
      </c>
      <c r="E45" s="8">
        <v>8</v>
      </c>
      <c r="F45" s="8">
        <v>0</v>
      </c>
      <c r="G45" s="8">
        <v>1</v>
      </c>
      <c r="H45" s="8">
        <v>0</v>
      </c>
      <c r="I45" s="8">
        <v>1</v>
      </c>
    </row>
    <row r="46" spans="2:9" ht="15" customHeight="1">
      <c r="B46" s="16" t="s">
        <v>306</v>
      </c>
      <c r="C46" s="8">
        <v>1</v>
      </c>
      <c r="D46" s="8">
        <v>25816</v>
      </c>
      <c r="E46" s="8">
        <v>0</v>
      </c>
      <c r="F46" s="8">
        <v>1</v>
      </c>
      <c r="G46" s="8">
        <v>0</v>
      </c>
      <c r="H46" s="8">
        <v>0</v>
      </c>
      <c r="I46" s="8">
        <v>1</v>
      </c>
    </row>
    <row r="47" spans="2:9" ht="15" customHeight="1">
      <c r="B47" s="16" t="s">
        <v>553</v>
      </c>
      <c r="C47" s="8">
        <v>1</v>
      </c>
      <c r="D47" s="8">
        <v>26143</v>
      </c>
      <c r="E47" s="8">
        <v>0</v>
      </c>
      <c r="F47" s="8">
        <v>0</v>
      </c>
      <c r="G47" s="8">
        <v>1</v>
      </c>
      <c r="H47" s="8">
        <v>0</v>
      </c>
      <c r="I47" s="8">
        <v>1</v>
      </c>
    </row>
    <row r="48" spans="2:9" ht="15" customHeight="1">
      <c r="B48" s="16" t="s">
        <v>290</v>
      </c>
      <c r="C48" s="8">
        <v>1</v>
      </c>
      <c r="D48" s="8">
        <v>60187</v>
      </c>
      <c r="E48" s="8">
        <v>0</v>
      </c>
      <c r="F48" s="8">
        <v>1</v>
      </c>
      <c r="G48" s="8">
        <v>0</v>
      </c>
      <c r="H48" s="8">
        <v>0</v>
      </c>
      <c r="I48" s="8">
        <v>1</v>
      </c>
    </row>
    <row r="49" spans="2:9" ht="15" customHeight="1">
      <c r="B49" s="16" t="s">
        <v>299</v>
      </c>
      <c r="C49" s="8">
        <v>1</v>
      </c>
      <c r="D49" s="8">
        <v>61816</v>
      </c>
      <c r="E49" s="8">
        <v>0</v>
      </c>
      <c r="F49" s="8">
        <v>1</v>
      </c>
      <c r="G49" s="8">
        <v>0</v>
      </c>
      <c r="H49" s="8">
        <v>0</v>
      </c>
      <c r="I49" s="8">
        <v>1</v>
      </c>
    </row>
    <row r="50" spans="2:9" ht="15" customHeight="1">
      <c r="B50" s="16" t="s">
        <v>352</v>
      </c>
      <c r="C50" s="8">
        <v>1</v>
      </c>
      <c r="D50" s="8">
        <v>50706</v>
      </c>
      <c r="E50" s="8">
        <v>3</v>
      </c>
      <c r="F50" s="8">
        <v>1</v>
      </c>
      <c r="G50" s="8">
        <v>0</v>
      </c>
      <c r="H50" s="8">
        <v>0</v>
      </c>
      <c r="I50" s="8">
        <v>1</v>
      </c>
    </row>
    <row r="51" spans="2:9" ht="15" customHeight="1">
      <c r="B51" s="16" t="s">
        <v>322</v>
      </c>
      <c r="C51" s="8">
        <v>1</v>
      </c>
      <c r="D51" s="8">
        <v>21913</v>
      </c>
      <c r="E51" s="8">
        <v>1</v>
      </c>
      <c r="F51" s="8">
        <v>1</v>
      </c>
      <c r="G51" s="8">
        <v>0</v>
      </c>
      <c r="H51" s="8">
        <v>0</v>
      </c>
      <c r="I51" s="8">
        <v>1</v>
      </c>
    </row>
    <row r="52" spans="2:9" ht="15" customHeight="1">
      <c r="B52" s="16" t="s">
        <v>400</v>
      </c>
      <c r="C52" s="8">
        <v>1</v>
      </c>
      <c r="D52" s="8">
        <v>3005</v>
      </c>
      <c r="E52" s="8">
        <v>3</v>
      </c>
      <c r="F52" s="8">
        <v>1</v>
      </c>
      <c r="G52" s="8">
        <v>0</v>
      </c>
      <c r="H52" s="8">
        <v>0</v>
      </c>
      <c r="I52" s="8">
        <v>1</v>
      </c>
    </row>
    <row r="53" spans="2:9" ht="15" customHeight="1">
      <c r="B53" s="16" t="s">
        <v>368</v>
      </c>
      <c r="C53" s="8">
        <v>1</v>
      </c>
      <c r="D53" s="8">
        <v>10616</v>
      </c>
      <c r="E53" s="8">
        <v>0</v>
      </c>
      <c r="F53" s="8">
        <v>1</v>
      </c>
      <c r="G53" s="8">
        <v>0</v>
      </c>
      <c r="H53" s="8">
        <v>0</v>
      </c>
      <c r="I53" s="8">
        <v>1</v>
      </c>
    </row>
    <row r="54" spans="2:9" ht="15" customHeight="1">
      <c r="B54" s="16" t="s">
        <v>183</v>
      </c>
      <c r="C54" s="8">
        <v>1</v>
      </c>
      <c r="D54" s="8">
        <v>0</v>
      </c>
      <c r="E54" s="8">
        <v>0</v>
      </c>
      <c r="F54" s="8">
        <v>1</v>
      </c>
      <c r="G54" s="8">
        <v>0</v>
      </c>
      <c r="H54" s="8">
        <v>0</v>
      </c>
      <c r="I54" s="8">
        <v>1</v>
      </c>
    </row>
    <row r="55" spans="2:9" ht="15" customHeight="1">
      <c r="B55" s="16" t="s">
        <v>356</v>
      </c>
      <c r="C55" s="8">
        <v>1</v>
      </c>
      <c r="D55" s="8">
        <v>66349</v>
      </c>
      <c r="E55" s="8">
        <v>0</v>
      </c>
      <c r="F55" s="8">
        <v>0</v>
      </c>
      <c r="G55" s="8">
        <v>1</v>
      </c>
      <c r="H55" s="8">
        <v>0</v>
      </c>
      <c r="I55" s="8">
        <v>1</v>
      </c>
    </row>
    <row r="56" spans="2:9" ht="15" customHeight="1">
      <c r="B56" s="16" t="s">
        <v>330</v>
      </c>
      <c r="C56" s="8">
        <v>1</v>
      </c>
      <c r="D56" s="8">
        <v>22250</v>
      </c>
      <c r="E56" s="8">
        <v>0</v>
      </c>
      <c r="F56" s="8">
        <v>0</v>
      </c>
      <c r="G56" s="8">
        <v>1</v>
      </c>
      <c r="H56" s="8">
        <v>0</v>
      </c>
      <c r="I56" s="8">
        <v>1</v>
      </c>
    </row>
    <row r="57" spans="2:9" ht="15" customHeight="1">
      <c r="B57" s="16" t="s">
        <v>392</v>
      </c>
      <c r="C57" s="8">
        <v>1</v>
      </c>
      <c r="D57" s="8">
        <v>9410</v>
      </c>
      <c r="E57" s="8">
        <v>0</v>
      </c>
      <c r="F57" s="8">
        <v>1</v>
      </c>
      <c r="G57" s="8">
        <v>0</v>
      </c>
      <c r="H57" s="8">
        <v>0</v>
      </c>
      <c r="I57" s="8">
        <v>1</v>
      </c>
    </row>
    <row r="59" spans="2:2" ht="15" customHeight="1">
      <c r="B59" s="23" t="s">
        <v>554</v>
      </c>
    </row>
  </sheetData>
  <autoFilter ref="B26:I26"/>
  <hyperlinks>
    <hyperlink ref="C1" location="Содержание!B4" display="К содержанию"/>
  </hyperlinks>
  <pageMargins left="0.75" right="0.75" top="1" bottom="1" header="0.5" footer="0.5"/>
  <drawing r:id="rId1"/>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c2099576-78b5-401b-805e-842c8031e466}">
  <dimension ref="B1:I69"/>
  <sheetViews>
    <sheetView showGridLines="0" workbookViewId="0" topLeftCell="A1"/>
  </sheetViews>
  <sheetFormatPr defaultRowHeight="12.75"/>
  <cols>
    <col min="1" max="1" width="4.714285714285714" customWidth="1"/>
    <col min="2" max="2" width="35.714285714285715" customWidth="1"/>
    <col min="3" max="9" width="20.714285714285715" customWidth="1"/>
  </cols>
  <sheetData>
    <row r="1" spans="2:3" s="1" customFormat="1" ht="30" customHeight="1">
      <c r="B1" s="1" t="s">
        <v>0</v>
      </c>
      <c r="C1" s="4" t="s">
        <v>2</v>
      </c>
    </row>
    <row r="4" spans="2:2" ht="12.75">
      <c r="B4" s="2" t="s">
        <v>37</v>
      </c>
    </row>
    <row r="6" spans="2:2" ht="12.75"/>
    <row r="26" spans="2:9" ht="30" customHeight="1">
      <c r="B26" s="5" t="s">
        <v>782</v>
      </c>
      <c r="C26" s="6" t="s">
        <v>5</v>
      </c>
      <c r="D26" s="6" t="s">
        <v>40</v>
      </c>
      <c r="E26" s="6" t="s">
        <v>41</v>
      </c>
      <c r="F26" s="6" t="s">
        <v>43</v>
      </c>
      <c r="G26" s="6" t="s">
        <v>47</v>
      </c>
      <c r="H26" s="6" t="s">
        <v>48</v>
      </c>
      <c r="I26" s="6" t="s">
        <v>28</v>
      </c>
    </row>
    <row r="27" spans="2:9" ht="15" customHeight="1">
      <c r="B27" s="16" t="s">
        <v>783</v>
      </c>
      <c r="C27" s="8">
        <v>26</v>
      </c>
      <c r="D27" s="8">
        <v>1859170</v>
      </c>
      <c r="E27" s="8">
        <v>21</v>
      </c>
      <c r="F27" s="8">
        <v>22</v>
      </c>
      <c r="G27" s="8">
        <v>4</v>
      </c>
      <c r="H27" s="8">
        <v>0</v>
      </c>
      <c r="I27" s="8">
        <v>26</v>
      </c>
    </row>
    <row r="28" spans="2:9" ht="15" customHeight="1">
      <c r="B28" s="16" t="s">
        <v>169</v>
      </c>
      <c r="C28" s="8">
        <v>12</v>
      </c>
      <c r="D28" s="8">
        <v>169895</v>
      </c>
      <c r="E28" s="8">
        <v>1</v>
      </c>
      <c r="F28" s="8">
        <v>4</v>
      </c>
      <c r="G28" s="8">
        <v>8</v>
      </c>
      <c r="H28" s="8">
        <v>0</v>
      </c>
      <c r="I28" s="8">
        <v>8</v>
      </c>
    </row>
    <row r="29" spans="2:9" ht="15" customHeight="1">
      <c r="B29" s="16" t="s">
        <v>164</v>
      </c>
      <c r="C29" s="8">
        <v>7</v>
      </c>
      <c r="D29" s="8">
        <v>327793</v>
      </c>
      <c r="E29" s="8">
        <v>28</v>
      </c>
      <c r="F29" s="8">
        <v>2</v>
      </c>
      <c r="G29" s="8">
        <v>4</v>
      </c>
      <c r="H29" s="8">
        <v>1</v>
      </c>
      <c r="I29" s="8">
        <v>7</v>
      </c>
    </row>
    <row r="30" spans="2:9" ht="15" customHeight="1">
      <c r="B30" s="16" t="s">
        <v>238</v>
      </c>
      <c r="C30" s="8">
        <v>6</v>
      </c>
      <c r="D30" s="8">
        <v>775802</v>
      </c>
      <c r="E30" s="8">
        <v>12</v>
      </c>
      <c r="F30" s="8">
        <v>2</v>
      </c>
      <c r="G30" s="8">
        <v>4</v>
      </c>
      <c r="H30" s="8">
        <v>0</v>
      </c>
      <c r="I30" s="8">
        <v>6</v>
      </c>
    </row>
    <row r="31" spans="2:9" ht="15" customHeight="1">
      <c r="B31" s="16" t="s">
        <v>213</v>
      </c>
      <c r="C31" s="8">
        <v>5</v>
      </c>
      <c r="D31" s="8">
        <v>85332</v>
      </c>
      <c r="E31" s="8">
        <v>9</v>
      </c>
      <c r="F31" s="8">
        <v>4</v>
      </c>
      <c r="G31" s="8">
        <v>1</v>
      </c>
      <c r="H31" s="8">
        <v>0</v>
      </c>
      <c r="I31" s="8">
        <v>4</v>
      </c>
    </row>
    <row r="32" spans="2:9" ht="15" customHeight="1">
      <c r="B32" s="16" t="s">
        <v>160</v>
      </c>
      <c r="C32" s="8">
        <v>5</v>
      </c>
      <c r="D32" s="8">
        <v>61843</v>
      </c>
      <c r="E32" s="8">
        <v>6</v>
      </c>
      <c r="F32" s="8">
        <v>3</v>
      </c>
      <c r="G32" s="8">
        <v>2</v>
      </c>
      <c r="H32" s="8">
        <v>0</v>
      </c>
      <c r="I32" s="8">
        <v>5</v>
      </c>
    </row>
    <row r="33" spans="2:9" ht="15" customHeight="1">
      <c r="B33" s="16" t="s">
        <v>172</v>
      </c>
      <c r="C33" s="8">
        <v>4</v>
      </c>
      <c r="D33" s="8">
        <v>52466</v>
      </c>
      <c r="E33" s="8">
        <v>8</v>
      </c>
      <c r="F33" s="8">
        <v>3</v>
      </c>
      <c r="G33" s="8">
        <v>0</v>
      </c>
      <c r="H33" s="8">
        <v>1</v>
      </c>
      <c r="I33" s="8">
        <v>4</v>
      </c>
    </row>
    <row r="34" spans="2:9" ht="15" customHeight="1">
      <c r="B34" s="16" t="s">
        <v>242</v>
      </c>
      <c r="C34" s="8">
        <v>3</v>
      </c>
      <c r="D34" s="8">
        <v>59507</v>
      </c>
      <c r="E34" s="8">
        <v>0</v>
      </c>
      <c r="F34" s="8">
        <v>1</v>
      </c>
      <c r="G34" s="8">
        <v>2</v>
      </c>
      <c r="H34" s="8">
        <v>0</v>
      </c>
      <c r="I34" s="8">
        <v>3</v>
      </c>
    </row>
    <row r="35" spans="2:9" ht="15" customHeight="1">
      <c r="B35" s="16" t="s">
        <v>220</v>
      </c>
      <c r="C35" s="8">
        <v>3</v>
      </c>
      <c r="D35" s="8">
        <v>56833</v>
      </c>
      <c r="E35" s="8">
        <v>7</v>
      </c>
      <c r="F35" s="8">
        <v>2</v>
      </c>
      <c r="G35" s="8">
        <v>1</v>
      </c>
      <c r="H35" s="8">
        <v>0</v>
      </c>
      <c r="I35" s="8">
        <v>2</v>
      </c>
    </row>
    <row r="36" spans="2:9" ht="15" customHeight="1">
      <c r="B36" s="16" t="s">
        <v>339</v>
      </c>
      <c r="C36" s="8">
        <v>2</v>
      </c>
      <c r="D36" s="8">
        <v>49374</v>
      </c>
      <c r="E36" s="8">
        <v>3</v>
      </c>
      <c r="F36" s="8">
        <v>1</v>
      </c>
      <c r="G36" s="8">
        <v>1</v>
      </c>
      <c r="H36" s="8">
        <v>0</v>
      </c>
      <c r="I36" s="8">
        <v>2</v>
      </c>
    </row>
    <row r="37" spans="2:9" ht="15" customHeight="1">
      <c r="B37" s="16" t="s">
        <v>201</v>
      </c>
      <c r="C37" s="8">
        <v>2</v>
      </c>
      <c r="D37" s="8">
        <v>153213</v>
      </c>
      <c r="E37" s="8">
        <v>1</v>
      </c>
      <c r="F37" s="8">
        <v>2</v>
      </c>
      <c r="G37" s="8">
        <v>0</v>
      </c>
      <c r="H37" s="8">
        <v>0</v>
      </c>
      <c r="I37" s="8">
        <v>2</v>
      </c>
    </row>
    <row r="38" spans="2:9" ht="15" customHeight="1">
      <c r="B38" s="16" t="s">
        <v>227</v>
      </c>
      <c r="C38" s="8">
        <v>2</v>
      </c>
      <c r="D38" s="8">
        <v>13375</v>
      </c>
      <c r="E38" s="8">
        <v>0</v>
      </c>
      <c r="F38" s="8">
        <v>2</v>
      </c>
      <c r="G38" s="8">
        <v>0</v>
      </c>
      <c r="H38" s="8">
        <v>0</v>
      </c>
      <c r="I38" s="8">
        <v>2</v>
      </c>
    </row>
    <row r="39" spans="2:9" ht="15" customHeight="1">
      <c r="B39" s="16" t="s">
        <v>204</v>
      </c>
      <c r="C39" s="8">
        <v>2</v>
      </c>
      <c r="D39" s="8">
        <v>6100</v>
      </c>
      <c r="E39" s="8">
        <v>0</v>
      </c>
      <c r="F39" s="8">
        <v>2</v>
      </c>
      <c r="G39" s="8">
        <v>0</v>
      </c>
      <c r="H39" s="8">
        <v>0</v>
      </c>
      <c r="I39" s="8">
        <v>2</v>
      </c>
    </row>
    <row r="40" spans="2:9" ht="15" customHeight="1">
      <c r="B40" s="16" t="s">
        <v>209</v>
      </c>
      <c r="C40" s="8">
        <v>2</v>
      </c>
      <c r="D40" s="8">
        <v>15658</v>
      </c>
      <c r="E40" s="8">
        <v>0</v>
      </c>
      <c r="F40" s="8">
        <v>2</v>
      </c>
      <c r="G40" s="8">
        <v>0</v>
      </c>
      <c r="H40" s="8">
        <v>0</v>
      </c>
      <c r="I40" s="8">
        <v>2</v>
      </c>
    </row>
    <row r="41" spans="2:9" ht="15" customHeight="1">
      <c r="B41" s="16" t="s">
        <v>188</v>
      </c>
      <c r="C41" s="8">
        <v>2</v>
      </c>
      <c r="D41" s="8">
        <v>0</v>
      </c>
      <c r="E41" s="8">
        <v>27</v>
      </c>
      <c r="F41" s="8">
        <v>0</v>
      </c>
      <c r="G41" s="8">
        <v>2</v>
      </c>
      <c r="H41" s="8">
        <v>0</v>
      </c>
      <c r="I41" s="8">
        <v>2</v>
      </c>
    </row>
    <row r="42" spans="2:9" ht="15" customHeight="1">
      <c r="B42" s="16" t="s">
        <v>232</v>
      </c>
      <c r="C42" s="8">
        <v>2</v>
      </c>
      <c r="D42" s="8">
        <v>24903</v>
      </c>
      <c r="E42" s="8">
        <v>1</v>
      </c>
      <c r="F42" s="8">
        <v>1</v>
      </c>
      <c r="G42" s="8">
        <v>1</v>
      </c>
      <c r="H42" s="8">
        <v>0</v>
      </c>
      <c r="I42" s="8">
        <v>2</v>
      </c>
    </row>
    <row r="43" spans="2:9" ht="15" customHeight="1">
      <c r="B43" s="16" t="s">
        <v>176</v>
      </c>
      <c r="C43" s="8">
        <v>2</v>
      </c>
      <c r="D43" s="8">
        <v>311</v>
      </c>
      <c r="E43" s="8">
        <v>23</v>
      </c>
      <c r="F43" s="8">
        <v>0</v>
      </c>
      <c r="G43" s="8">
        <v>2</v>
      </c>
      <c r="H43" s="8">
        <v>0</v>
      </c>
      <c r="I43" s="8">
        <v>1</v>
      </c>
    </row>
    <row r="44" spans="2:9" ht="15" customHeight="1">
      <c r="B44" s="16" t="s">
        <v>468</v>
      </c>
      <c r="C44" s="8">
        <v>1</v>
      </c>
      <c r="D44" s="8">
        <v>0</v>
      </c>
      <c r="E44" s="8">
        <v>8</v>
      </c>
      <c r="F44" s="8">
        <v>0</v>
      </c>
      <c r="G44" s="8">
        <v>1</v>
      </c>
      <c r="H44" s="8">
        <v>0</v>
      </c>
      <c r="I44" s="8">
        <v>1</v>
      </c>
    </row>
    <row r="45" spans="2:9" ht="15" customHeight="1">
      <c r="B45" s="16" t="s">
        <v>307</v>
      </c>
      <c r="C45" s="8">
        <v>1</v>
      </c>
      <c r="D45" s="8">
        <v>25816</v>
      </c>
      <c r="E45" s="8">
        <v>0</v>
      </c>
      <c r="F45" s="8">
        <v>1</v>
      </c>
      <c r="G45" s="8">
        <v>0</v>
      </c>
      <c r="H45" s="8">
        <v>0</v>
      </c>
      <c r="I45" s="8">
        <v>1</v>
      </c>
    </row>
    <row r="46" spans="2:9" ht="15" customHeight="1">
      <c r="B46" s="16" t="s">
        <v>376</v>
      </c>
      <c r="C46" s="8">
        <v>1</v>
      </c>
      <c r="D46" s="8">
        <v>26143</v>
      </c>
      <c r="E46" s="8">
        <v>0</v>
      </c>
      <c r="F46" s="8">
        <v>0</v>
      </c>
      <c r="G46" s="8">
        <v>1</v>
      </c>
      <c r="H46" s="8">
        <v>0</v>
      </c>
      <c r="I46" s="8">
        <v>1</v>
      </c>
    </row>
    <row r="47" spans="2:9" ht="15" customHeight="1">
      <c r="B47" s="16" t="s">
        <v>291</v>
      </c>
      <c r="C47" s="8">
        <v>1</v>
      </c>
      <c r="D47" s="8">
        <v>60187</v>
      </c>
      <c r="E47" s="8">
        <v>0</v>
      </c>
      <c r="F47" s="8">
        <v>1</v>
      </c>
      <c r="G47" s="8">
        <v>0</v>
      </c>
      <c r="H47" s="8">
        <v>0</v>
      </c>
      <c r="I47" s="8">
        <v>1</v>
      </c>
    </row>
    <row r="48" spans="2:9" ht="15" customHeight="1">
      <c r="B48" s="16" t="s">
        <v>264</v>
      </c>
      <c r="C48" s="8">
        <v>1</v>
      </c>
      <c r="D48" s="8">
        <v>0</v>
      </c>
      <c r="E48" s="8">
        <v>0</v>
      </c>
      <c r="F48" s="8">
        <v>0</v>
      </c>
      <c r="G48" s="8">
        <v>1</v>
      </c>
      <c r="H48" s="8">
        <v>0</v>
      </c>
      <c r="I48" s="8">
        <v>1</v>
      </c>
    </row>
    <row r="49" spans="2:9" ht="15" customHeight="1">
      <c r="B49" s="16" t="s">
        <v>548</v>
      </c>
      <c r="C49" s="8">
        <v>1</v>
      </c>
      <c r="D49" s="8">
        <v>20907</v>
      </c>
      <c r="E49" s="8">
        <v>1</v>
      </c>
      <c r="F49" s="8">
        <v>0</v>
      </c>
      <c r="G49" s="8">
        <v>1</v>
      </c>
      <c r="H49" s="8">
        <v>0</v>
      </c>
      <c r="I49" s="8">
        <v>1</v>
      </c>
    </row>
    <row r="50" spans="2:9" ht="15" customHeight="1">
      <c r="B50" s="16" t="s">
        <v>300</v>
      </c>
      <c r="C50" s="8">
        <v>1</v>
      </c>
      <c r="D50" s="8">
        <v>61816</v>
      </c>
      <c r="E50" s="8">
        <v>0</v>
      </c>
      <c r="F50" s="8">
        <v>1</v>
      </c>
      <c r="G50" s="8">
        <v>0</v>
      </c>
      <c r="H50" s="8">
        <v>0</v>
      </c>
      <c r="I50" s="8">
        <v>1</v>
      </c>
    </row>
    <row r="51" spans="2:9" ht="15" customHeight="1">
      <c r="B51" s="16" t="s">
        <v>353</v>
      </c>
      <c r="C51" s="8">
        <v>1</v>
      </c>
      <c r="D51" s="8">
        <v>50706</v>
      </c>
      <c r="E51" s="8">
        <v>3</v>
      </c>
      <c r="F51" s="8">
        <v>1</v>
      </c>
      <c r="G51" s="8">
        <v>0</v>
      </c>
      <c r="H51" s="8">
        <v>0</v>
      </c>
      <c r="I51" s="8">
        <v>1</v>
      </c>
    </row>
    <row r="52" spans="2:9" ht="15" customHeight="1">
      <c r="B52" s="16" t="s">
        <v>323</v>
      </c>
      <c r="C52" s="8">
        <v>1</v>
      </c>
      <c r="D52" s="8">
        <v>21913</v>
      </c>
      <c r="E52" s="8">
        <v>1</v>
      </c>
      <c r="F52" s="8">
        <v>1</v>
      </c>
      <c r="G52" s="8">
        <v>0</v>
      </c>
      <c r="H52" s="8">
        <v>0</v>
      </c>
      <c r="I52" s="8">
        <v>1</v>
      </c>
    </row>
    <row r="53" spans="2:9" ht="15" customHeight="1">
      <c r="B53" s="16" t="s">
        <v>401</v>
      </c>
      <c r="C53" s="8">
        <v>1</v>
      </c>
      <c r="D53" s="8">
        <v>3005</v>
      </c>
      <c r="E53" s="8">
        <v>3</v>
      </c>
      <c r="F53" s="8">
        <v>1</v>
      </c>
      <c r="G53" s="8">
        <v>0</v>
      </c>
      <c r="H53" s="8">
        <v>0</v>
      </c>
      <c r="I53" s="8">
        <v>1</v>
      </c>
    </row>
    <row r="54" spans="2:9" ht="15" customHeight="1">
      <c r="B54" s="16" t="s">
        <v>344</v>
      </c>
      <c r="C54" s="8">
        <v>1</v>
      </c>
      <c r="D54" s="8">
        <v>17881</v>
      </c>
      <c r="E54" s="8">
        <v>2</v>
      </c>
      <c r="F54" s="8">
        <v>0</v>
      </c>
      <c r="G54" s="8">
        <v>1</v>
      </c>
      <c r="H54" s="8">
        <v>0</v>
      </c>
      <c r="I54" s="8">
        <v>1</v>
      </c>
    </row>
    <row r="55" spans="2:9" ht="15" customHeight="1">
      <c r="B55" s="16" t="s">
        <v>196</v>
      </c>
      <c r="C55" s="8">
        <v>1</v>
      </c>
      <c r="D55" s="8">
        <v>0</v>
      </c>
      <c r="E55" s="8">
        <v>0</v>
      </c>
      <c r="F55" s="8">
        <v>0</v>
      </c>
      <c r="G55" s="8">
        <v>1</v>
      </c>
      <c r="H55" s="8">
        <v>0</v>
      </c>
      <c r="I55" s="8">
        <v>1</v>
      </c>
    </row>
    <row r="56" spans="2:9" ht="15" customHeight="1">
      <c r="B56" s="16" t="s">
        <v>445</v>
      </c>
      <c r="C56" s="8">
        <v>1</v>
      </c>
      <c r="D56" s="8">
        <v>778810</v>
      </c>
      <c r="E56" s="8">
        <v>0</v>
      </c>
      <c r="F56" s="8">
        <v>0</v>
      </c>
      <c r="G56" s="8">
        <v>1</v>
      </c>
      <c r="H56" s="8">
        <v>0</v>
      </c>
      <c r="I56" s="8">
        <v>1</v>
      </c>
    </row>
    <row r="57" spans="2:9" ht="15" customHeight="1">
      <c r="B57" s="16" t="s">
        <v>274</v>
      </c>
      <c r="C57" s="8">
        <v>1</v>
      </c>
      <c r="D57" s="8">
        <v>23499</v>
      </c>
      <c r="E57" s="8">
        <v>0</v>
      </c>
      <c r="F57" s="8">
        <v>0</v>
      </c>
      <c r="G57" s="8">
        <v>1</v>
      </c>
      <c r="H57" s="8">
        <v>0</v>
      </c>
      <c r="I57" s="8">
        <v>1</v>
      </c>
    </row>
    <row r="58" spans="2:9" ht="15" customHeight="1">
      <c r="B58" s="16" t="s">
        <v>369</v>
      </c>
      <c r="C58" s="8">
        <v>1</v>
      </c>
      <c r="D58" s="8">
        <v>10616</v>
      </c>
      <c r="E58" s="8">
        <v>0</v>
      </c>
      <c r="F58" s="8">
        <v>1</v>
      </c>
      <c r="G58" s="8">
        <v>0</v>
      </c>
      <c r="H58" s="8">
        <v>0</v>
      </c>
      <c r="I58" s="8">
        <v>1</v>
      </c>
    </row>
    <row r="59" spans="2:9" ht="15" customHeight="1">
      <c r="B59" s="16" t="s">
        <v>317</v>
      </c>
      <c r="C59" s="8">
        <v>1</v>
      </c>
      <c r="D59" s="8">
        <v>22662</v>
      </c>
      <c r="E59" s="8">
        <v>0</v>
      </c>
      <c r="F59" s="8">
        <v>1</v>
      </c>
      <c r="G59" s="8">
        <v>0</v>
      </c>
      <c r="H59" s="8">
        <v>0</v>
      </c>
      <c r="I59" s="8">
        <v>1</v>
      </c>
    </row>
    <row r="60" spans="2:9" ht="15" customHeight="1">
      <c r="B60" s="16" t="s">
        <v>482</v>
      </c>
      <c r="C60" s="8">
        <v>1</v>
      </c>
      <c r="D60" s="8">
        <v>0</v>
      </c>
      <c r="E60" s="8">
        <v>0</v>
      </c>
      <c r="F60" s="8">
        <v>0</v>
      </c>
      <c r="G60" s="8">
        <v>1</v>
      </c>
      <c r="H60" s="8">
        <v>0</v>
      </c>
      <c r="I60" s="8">
        <v>1</v>
      </c>
    </row>
    <row r="61" spans="2:9" ht="15" customHeight="1">
      <c r="B61" s="16" t="s">
        <v>490</v>
      </c>
      <c r="C61" s="8">
        <v>1</v>
      </c>
      <c r="D61" s="8">
        <v>0</v>
      </c>
      <c r="E61" s="8">
        <v>0</v>
      </c>
      <c r="F61" s="8">
        <v>0</v>
      </c>
      <c r="G61" s="8">
        <v>1</v>
      </c>
      <c r="H61" s="8">
        <v>0</v>
      </c>
      <c r="I61" s="8">
        <v>1</v>
      </c>
    </row>
    <row r="62" spans="2:9" ht="15" customHeight="1">
      <c r="B62" s="16" t="s">
        <v>184</v>
      </c>
      <c r="C62" s="8">
        <v>1</v>
      </c>
      <c r="D62" s="8">
        <v>0</v>
      </c>
      <c r="E62" s="8">
        <v>0</v>
      </c>
      <c r="F62" s="8">
        <v>1</v>
      </c>
      <c r="G62" s="8">
        <v>0</v>
      </c>
      <c r="H62" s="8">
        <v>0</v>
      </c>
      <c r="I62" s="8">
        <v>1</v>
      </c>
    </row>
    <row r="63" spans="2:9" ht="15" customHeight="1">
      <c r="B63" s="16" t="s">
        <v>357</v>
      </c>
      <c r="C63" s="8">
        <v>1</v>
      </c>
      <c r="D63" s="8">
        <v>66349</v>
      </c>
      <c r="E63" s="8">
        <v>0</v>
      </c>
      <c r="F63" s="8">
        <v>0</v>
      </c>
      <c r="G63" s="8">
        <v>1</v>
      </c>
      <c r="H63" s="8">
        <v>0</v>
      </c>
      <c r="I63" s="8">
        <v>1</v>
      </c>
    </row>
    <row r="64" spans="2:9" ht="15" customHeight="1">
      <c r="B64" s="16" t="s">
        <v>363</v>
      </c>
      <c r="C64" s="8">
        <v>1</v>
      </c>
      <c r="D64" s="8">
        <v>21668</v>
      </c>
      <c r="E64" s="8">
        <v>0</v>
      </c>
      <c r="F64" s="8">
        <v>1</v>
      </c>
      <c r="G64" s="8">
        <v>0</v>
      </c>
      <c r="H64" s="8">
        <v>0</v>
      </c>
      <c r="I64" s="8">
        <v>1</v>
      </c>
    </row>
    <row r="65" spans="2:9" ht="15" customHeight="1">
      <c r="B65" s="16" t="s">
        <v>335</v>
      </c>
      <c r="C65" s="8">
        <v>1</v>
      </c>
      <c r="D65" s="8">
        <v>22770</v>
      </c>
      <c r="E65" s="8">
        <v>0</v>
      </c>
      <c r="F65" s="8">
        <v>0</v>
      </c>
      <c r="G65" s="8">
        <v>1</v>
      </c>
      <c r="H65" s="8">
        <v>0</v>
      </c>
      <c r="I65" s="8">
        <v>1</v>
      </c>
    </row>
    <row r="66" spans="2:9" ht="15" customHeight="1">
      <c r="B66" s="16" t="s">
        <v>331</v>
      </c>
      <c r="C66" s="8">
        <v>1</v>
      </c>
      <c r="D66" s="8">
        <v>22250</v>
      </c>
      <c r="E66" s="8">
        <v>0</v>
      </c>
      <c r="F66" s="8">
        <v>0</v>
      </c>
      <c r="G66" s="8">
        <v>1</v>
      </c>
      <c r="H66" s="8">
        <v>0</v>
      </c>
      <c r="I66" s="8">
        <v>1</v>
      </c>
    </row>
    <row r="67" spans="2:9" ht="15" customHeight="1">
      <c r="B67" s="16" t="s">
        <v>393</v>
      </c>
      <c r="C67" s="8">
        <v>1</v>
      </c>
      <c r="D67" s="8">
        <v>9410</v>
      </c>
      <c r="E67" s="8">
        <v>0</v>
      </c>
      <c r="F67" s="8">
        <v>1</v>
      </c>
      <c r="G67" s="8">
        <v>0</v>
      </c>
      <c r="H67" s="8">
        <v>0</v>
      </c>
      <c r="I67" s="8">
        <v>1</v>
      </c>
    </row>
    <row r="69" spans="2:2" ht="15" customHeight="1">
      <c r="B69" s="23" t="s">
        <v>784</v>
      </c>
    </row>
  </sheetData>
  <autoFilter ref="B26:I26"/>
  <hyperlinks>
    <hyperlink ref="C1" location="Содержание!B4" display="К содержанию"/>
  </hyperlinks>
  <pageMargins left="0.75" right="0.75" top="1" bottom="1" header="0.5" footer="0.5"/>
  <drawing r:id="rId1"/>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25</vt:i4>
      </vt:variant>
    </vt:vector>
  </HeadingPairs>
  <TitlesOfParts>
    <vt:vector size="25" baseType="lpstr">
      <vt:lpstr>Содержание</vt:lpstr>
      <vt:lpstr>Показатели</vt:lpstr>
      <vt:lpstr>Динамика</vt:lpstr>
      <vt:lpstr>Сообщения</vt:lpstr>
      <vt:lpstr>События СМИ</vt:lpstr>
      <vt:lpstr>Тональность</vt:lpstr>
      <vt:lpstr>Мнения</vt:lpstr>
      <vt:lpstr>Теги</vt:lpstr>
      <vt:lpstr>Промо</vt:lpstr>
      <vt:lpstr>Заказчики</vt:lpstr>
      <vt:lpstr>Оценки</vt:lpstr>
      <vt:lpstr>Типы площадок</vt:lpstr>
      <vt:lpstr>Площадки</vt:lpstr>
      <vt:lpstr>Тематики</vt:lpstr>
      <vt:lpstr>Группы</vt:lpstr>
      <vt:lpstr>Авторы</vt:lpstr>
      <vt:lpstr>Соцдем авторов</vt:lpstr>
      <vt:lpstr>Эмоции</vt:lpstr>
      <vt:lpstr>Реакции</vt:lpstr>
      <vt:lpstr>Слова</vt:lpstr>
      <vt:lpstr>Хэштеги</vt:lpstr>
      <vt:lpstr>Страны</vt:lpstr>
      <vt:lpstr>Федеральные округа</vt:lpstr>
      <vt:lpstr>Регионы РФ</vt:lpstr>
      <vt:lpstr>Города РФ</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